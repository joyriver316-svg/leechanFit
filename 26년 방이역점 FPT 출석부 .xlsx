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50" yWindow="885" windowWidth="27495" windowHeight="11415"/>
  </bookViews>
  <sheets>
    <sheet name="26년 1월 유효회원" sheetId="1" r:id="rId1"/>
    <sheet name="26년 1월 출석표" sheetId="2" r:id="rId2"/>
    <sheet name="25년 12월 유효회원" sheetId="3" r:id="rId3"/>
    <sheet name="25년 12월 출석표" sheetId="4" r:id="rId4"/>
  </sheets>
  <externalReferences>
    <externalReference r:id="rId5"/>
  </externalReferences>
  <definedNames>
    <definedName name="_xlnm._FilterDatabase" localSheetId="2" hidden="1">'25년 12월 유효회원'!$A$5:$Z$465</definedName>
    <definedName name="_xlnm._FilterDatabase" localSheetId="0" hidden="1">'26년 1월 유효회원'!$A$5:$Y$438</definedName>
  </definedNames>
  <calcPr calcId="144525"/>
</workbook>
</file>

<file path=xl/calcChain.xml><?xml version="1.0" encoding="utf-8"?>
<calcChain xmlns="http://schemas.openxmlformats.org/spreadsheetml/2006/main">
  <c r="BO497" i="4" l="1"/>
  <c r="BG497" i="4"/>
  <c r="AS497" i="4"/>
  <c r="AE497" i="4"/>
  <c r="Q497" i="4"/>
  <c r="D497" i="4" s="1"/>
  <c r="BO496" i="4"/>
  <c r="BG496" i="4"/>
  <c r="AS496" i="4"/>
  <c r="AE496" i="4"/>
  <c r="Q496" i="4"/>
  <c r="D496" i="4" s="1"/>
  <c r="BO495" i="4"/>
  <c r="BG495" i="4"/>
  <c r="AS495" i="4"/>
  <c r="AE495" i="4"/>
  <c r="Q495" i="4"/>
  <c r="D495" i="4" s="1"/>
  <c r="BO494" i="4"/>
  <c r="BG494" i="4"/>
  <c r="AS494" i="4"/>
  <c r="AE494" i="4"/>
  <c r="D494" i="4" s="1"/>
  <c r="Q494" i="4"/>
  <c r="BO493" i="4"/>
  <c r="BG493" i="4"/>
  <c r="AS493" i="4"/>
  <c r="AE493" i="4"/>
  <c r="Q493" i="4"/>
  <c r="D493" i="4"/>
  <c r="BO492" i="4"/>
  <c r="BG492" i="4"/>
  <c r="D492" i="4" s="1"/>
  <c r="AS492" i="4"/>
  <c r="AE492" i="4"/>
  <c r="Q492" i="4"/>
  <c r="BO491" i="4"/>
  <c r="BG491" i="4"/>
  <c r="AS491" i="4"/>
  <c r="AE491" i="4"/>
  <c r="Q491" i="4"/>
  <c r="D491" i="4" s="1"/>
  <c r="BO490" i="4"/>
  <c r="BG490" i="4"/>
  <c r="AS490" i="4"/>
  <c r="AE490" i="4"/>
  <c r="D490" i="4" s="1"/>
  <c r="Q490" i="4"/>
  <c r="BO489" i="4"/>
  <c r="BG489" i="4"/>
  <c r="AS489" i="4"/>
  <c r="AE489" i="4"/>
  <c r="Q489" i="4"/>
  <c r="D489" i="4"/>
  <c r="BO488" i="4"/>
  <c r="BG488" i="4"/>
  <c r="D488" i="4" s="1"/>
  <c r="AS488" i="4"/>
  <c r="AE488" i="4"/>
  <c r="Q488" i="4"/>
  <c r="BO487" i="4"/>
  <c r="BG487" i="4"/>
  <c r="AS487" i="4"/>
  <c r="AE487" i="4"/>
  <c r="Q487" i="4"/>
  <c r="D487" i="4" s="1"/>
  <c r="BO486" i="4"/>
  <c r="BG486" i="4"/>
  <c r="AS486" i="4"/>
  <c r="AE486" i="4"/>
  <c r="D486" i="4" s="1"/>
  <c r="Q486" i="4"/>
  <c r="BO485" i="4"/>
  <c r="BG485" i="4"/>
  <c r="AS485" i="4"/>
  <c r="AE485" i="4"/>
  <c r="Q485" i="4"/>
  <c r="D485" i="4"/>
  <c r="BO484" i="4"/>
  <c r="BG484" i="4"/>
  <c r="D484" i="4" s="1"/>
  <c r="AS484" i="4"/>
  <c r="AE484" i="4"/>
  <c r="Q484" i="4"/>
  <c r="BO483" i="4"/>
  <c r="BG483" i="4"/>
  <c r="AS483" i="4"/>
  <c r="AE483" i="4"/>
  <c r="Q483" i="4"/>
  <c r="D483" i="4" s="1"/>
  <c r="BO482" i="4"/>
  <c r="BG482" i="4"/>
  <c r="AS482" i="4"/>
  <c r="AE482" i="4"/>
  <c r="D482" i="4" s="1"/>
  <c r="Q482" i="4"/>
  <c r="BO481" i="4"/>
  <c r="BG481" i="4"/>
  <c r="AS481" i="4"/>
  <c r="AE481" i="4"/>
  <c r="Q481" i="4"/>
  <c r="D481" i="4"/>
  <c r="BO480" i="4"/>
  <c r="BG480" i="4"/>
  <c r="D480" i="4" s="1"/>
  <c r="AS480" i="4"/>
  <c r="AE480" i="4"/>
  <c r="Q480" i="4"/>
  <c r="BO479" i="4"/>
  <c r="BG479" i="4"/>
  <c r="AS479" i="4"/>
  <c r="AE479" i="4"/>
  <c r="Q479" i="4"/>
  <c r="D479" i="4" s="1"/>
  <c r="BO478" i="4"/>
  <c r="BG478" i="4"/>
  <c r="AS478" i="4"/>
  <c r="AE478" i="4"/>
  <c r="D478" i="4" s="1"/>
  <c r="Q478" i="4"/>
  <c r="BO477" i="4"/>
  <c r="BG477" i="4"/>
  <c r="AS477" i="4"/>
  <c r="AE477" i="4"/>
  <c r="Q477" i="4"/>
  <c r="D477" i="4"/>
  <c r="BO476" i="4"/>
  <c r="BG476" i="4"/>
  <c r="D476" i="4" s="1"/>
  <c r="AS476" i="4"/>
  <c r="AE476" i="4"/>
  <c r="Q476" i="4"/>
  <c r="BO475" i="4"/>
  <c r="BG475" i="4"/>
  <c r="AS475" i="4"/>
  <c r="AE475" i="4"/>
  <c r="Q475" i="4"/>
  <c r="D475" i="4" s="1"/>
  <c r="BO474" i="4"/>
  <c r="BG474" i="4"/>
  <c r="AS474" i="4"/>
  <c r="AE474" i="4"/>
  <c r="D474" i="4" s="1"/>
  <c r="Q474" i="4"/>
  <c r="BO473" i="4"/>
  <c r="BG473" i="4"/>
  <c r="AS473" i="4"/>
  <c r="AE473" i="4"/>
  <c r="Q473" i="4"/>
  <c r="D473" i="4"/>
  <c r="BO472" i="4"/>
  <c r="BG472" i="4"/>
  <c r="D472" i="4" s="1"/>
  <c r="AS472" i="4"/>
  <c r="AE472" i="4"/>
  <c r="Q472" i="4"/>
  <c r="BO471" i="4"/>
  <c r="BG471" i="4"/>
  <c r="AS471" i="4"/>
  <c r="AE471" i="4"/>
  <c r="Q471" i="4"/>
  <c r="D471" i="4" s="1"/>
  <c r="BO470" i="4"/>
  <c r="BG470" i="4"/>
  <c r="AS470" i="4"/>
  <c r="AE470" i="4"/>
  <c r="D470" i="4" s="1"/>
  <c r="Q470" i="4"/>
  <c r="BO469" i="4"/>
  <c r="BG469" i="4"/>
  <c r="AS469" i="4"/>
  <c r="AE469" i="4"/>
  <c r="Q469" i="4"/>
  <c r="D469" i="4"/>
  <c r="BO468" i="4"/>
  <c r="BG468" i="4"/>
  <c r="D468" i="4" s="1"/>
  <c r="AS468" i="4"/>
  <c r="AE468" i="4"/>
  <c r="Q468" i="4"/>
  <c r="BO467" i="4"/>
  <c r="BG467" i="4"/>
  <c r="AS467" i="4"/>
  <c r="AE467" i="4"/>
  <c r="Q467" i="4"/>
  <c r="D467" i="4" s="1"/>
  <c r="BO466" i="4"/>
  <c r="BG466" i="4"/>
  <c r="AS466" i="4"/>
  <c r="AE466" i="4"/>
  <c r="D466" i="4" s="1"/>
  <c r="Q466" i="4"/>
  <c r="BO465" i="4"/>
  <c r="BG465" i="4"/>
  <c r="AS465" i="4"/>
  <c r="AE465" i="4"/>
  <c r="Q465" i="4"/>
  <c r="D465" i="4"/>
  <c r="BO464" i="4"/>
  <c r="BG464" i="4"/>
  <c r="D464" i="4" s="1"/>
  <c r="AS464" i="4"/>
  <c r="AE464" i="4"/>
  <c r="Q464" i="4"/>
  <c r="BO463" i="4"/>
  <c r="BG463" i="4"/>
  <c r="AS463" i="4"/>
  <c r="AE463" i="4"/>
  <c r="Q463" i="4"/>
  <c r="D463" i="4" s="1"/>
  <c r="BO462" i="4"/>
  <c r="BG462" i="4"/>
  <c r="AS462" i="4"/>
  <c r="AE462" i="4"/>
  <c r="D462" i="4" s="1"/>
  <c r="Q462" i="4"/>
  <c r="BO461" i="4"/>
  <c r="BG461" i="4"/>
  <c r="AS461" i="4"/>
  <c r="AE461" i="4"/>
  <c r="Q461" i="4"/>
  <c r="D461" i="4"/>
  <c r="BO460" i="4"/>
  <c r="BG460" i="4"/>
  <c r="D460" i="4" s="1"/>
  <c r="AS460" i="4"/>
  <c r="AE460" i="4"/>
  <c r="Q460" i="4"/>
  <c r="BO459" i="4"/>
  <c r="BG459" i="4"/>
  <c r="AS459" i="4"/>
  <c r="AE459" i="4"/>
  <c r="Q459" i="4"/>
  <c r="D459" i="4" s="1"/>
  <c r="BO458" i="4"/>
  <c r="BG458" i="4"/>
  <c r="AS458" i="4"/>
  <c r="AE458" i="4"/>
  <c r="D458" i="4" s="1"/>
  <c r="Q458" i="4"/>
  <c r="BO457" i="4"/>
  <c r="BG457" i="4"/>
  <c r="AS457" i="4"/>
  <c r="AE457" i="4"/>
  <c r="Q457" i="4"/>
  <c r="D457" i="4"/>
  <c r="BO456" i="4"/>
  <c r="BG456" i="4"/>
  <c r="D456" i="4" s="1"/>
  <c r="AS456" i="4"/>
  <c r="AE456" i="4"/>
  <c r="Q456" i="4"/>
  <c r="BO455" i="4"/>
  <c r="BG455" i="4"/>
  <c r="AS455" i="4"/>
  <c r="AE455" i="4"/>
  <c r="Q455" i="4"/>
  <c r="D455" i="4" s="1"/>
  <c r="BO454" i="4"/>
  <c r="BG454" i="4"/>
  <c r="AS454" i="4"/>
  <c r="AE454" i="4"/>
  <c r="D454" i="4" s="1"/>
  <c r="Q454" i="4"/>
  <c r="BO453" i="4"/>
  <c r="BG453" i="4"/>
  <c r="AS453" i="4"/>
  <c r="AE453" i="4"/>
  <c r="Q453" i="4"/>
  <c r="D453" i="4"/>
  <c r="BO452" i="4"/>
  <c r="BG452" i="4"/>
  <c r="D452" i="4" s="1"/>
  <c r="AS452" i="4"/>
  <c r="AE452" i="4"/>
  <c r="Q452" i="4"/>
  <c r="BO451" i="4"/>
  <c r="BG451" i="4"/>
  <c r="AS451" i="4"/>
  <c r="AE451" i="4"/>
  <c r="Q451" i="4"/>
  <c r="D451" i="4" s="1"/>
  <c r="BO450" i="4"/>
  <c r="BG450" i="4"/>
  <c r="AS450" i="4"/>
  <c r="AE450" i="4"/>
  <c r="D450" i="4" s="1"/>
  <c r="Q450" i="4"/>
  <c r="BO449" i="4"/>
  <c r="BG449" i="4"/>
  <c r="AS449" i="4"/>
  <c r="AE449" i="4"/>
  <c r="Q449" i="4"/>
  <c r="D449" i="4"/>
  <c r="BO448" i="4"/>
  <c r="BG448" i="4"/>
  <c r="D448" i="4" s="1"/>
  <c r="AS448" i="4"/>
  <c r="AE448" i="4"/>
  <c r="Q448" i="4"/>
  <c r="BO447" i="4"/>
  <c r="BG447" i="4"/>
  <c r="AS447" i="4"/>
  <c r="AE447" i="4"/>
  <c r="Q447" i="4"/>
  <c r="D447" i="4" s="1"/>
  <c r="BO446" i="4"/>
  <c r="BG446" i="4"/>
  <c r="AS446" i="4"/>
  <c r="AE446" i="4"/>
  <c r="D446" i="4" s="1"/>
  <c r="Q446" i="4"/>
  <c r="BO445" i="4"/>
  <c r="BG445" i="4"/>
  <c r="AS445" i="4"/>
  <c r="AE445" i="4"/>
  <c r="Q445" i="4"/>
  <c r="D445" i="4"/>
  <c r="BO444" i="4"/>
  <c r="BG444" i="4"/>
  <c r="D444" i="4" s="1"/>
  <c r="AS444" i="4"/>
  <c r="AE444" i="4"/>
  <c r="Q444" i="4"/>
  <c r="BO443" i="4"/>
  <c r="BG443" i="4"/>
  <c r="AS443" i="4"/>
  <c r="AE443" i="4"/>
  <c r="Q443" i="4"/>
  <c r="D443" i="4" s="1"/>
  <c r="BO442" i="4"/>
  <c r="BG442" i="4"/>
  <c r="AS442" i="4"/>
  <c r="AE442" i="4"/>
  <c r="D442" i="4" s="1"/>
  <c r="Q442" i="4"/>
  <c r="BO441" i="4"/>
  <c r="BG441" i="4"/>
  <c r="AS441" i="4"/>
  <c r="AE441" i="4"/>
  <c r="Q441" i="4"/>
  <c r="D441" i="4"/>
  <c r="BO440" i="4"/>
  <c r="BG440" i="4"/>
  <c r="D440" i="4" s="1"/>
  <c r="AS440" i="4"/>
  <c r="AE440" i="4"/>
  <c r="Q440" i="4"/>
  <c r="BO439" i="4"/>
  <c r="BG439" i="4"/>
  <c r="AS439" i="4"/>
  <c r="AE439" i="4"/>
  <c r="Q439" i="4"/>
  <c r="D439" i="4" s="1"/>
  <c r="BO438" i="4"/>
  <c r="BG438" i="4"/>
  <c r="AS438" i="4"/>
  <c r="AE438" i="4"/>
  <c r="D438" i="4" s="1"/>
  <c r="Q438" i="4"/>
  <c r="BO437" i="4"/>
  <c r="BG437" i="4"/>
  <c r="AS437" i="4"/>
  <c r="AE437" i="4"/>
  <c r="Q437" i="4"/>
  <c r="D437" i="4"/>
  <c r="BO436" i="4"/>
  <c r="BG436" i="4"/>
  <c r="D436" i="4" s="1"/>
  <c r="AS436" i="4"/>
  <c r="AE436" i="4"/>
  <c r="Q436" i="4"/>
  <c r="BO435" i="4"/>
  <c r="BG435" i="4"/>
  <c r="AS435" i="4"/>
  <c r="AE435" i="4"/>
  <c r="Q435" i="4"/>
  <c r="D435" i="4" s="1"/>
  <c r="BO434" i="4"/>
  <c r="BG434" i="4"/>
  <c r="AS434" i="4"/>
  <c r="AE434" i="4"/>
  <c r="D434" i="4" s="1"/>
  <c r="Q434" i="4"/>
  <c r="BO433" i="4"/>
  <c r="BG433" i="4"/>
  <c r="AS433" i="4"/>
  <c r="AE433" i="4"/>
  <c r="Q433" i="4"/>
  <c r="D433" i="4"/>
  <c r="BO432" i="4"/>
  <c r="BG432" i="4"/>
  <c r="D432" i="4" s="1"/>
  <c r="AS432" i="4"/>
  <c r="AE432" i="4"/>
  <c r="Q432" i="4"/>
  <c r="BO431" i="4"/>
  <c r="BG431" i="4"/>
  <c r="AS431" i="4"/>
  <c r="AE431" i="4"/>
  <c r="Q431" i="4"/>
  <c r="D431" i="4" s="1"/>
  <c r="BO430" i="4"/>
  <c r="BG430" i="4"/>
  <c r="AS430" i="4"/>
  <c r="AE430" i="4"/>
  <c r="D430" i="4" s="1"/>
  <c r="Q430" i="4"/>
  <c r="BO429" i="4"/>
  <c r="BG429" i="4"/>
  <c r="AS429" i="4"/>
  <c r="AE429" i="4"/>
  <c r="Q429" i="4"/>
  <c r="D429" i="4"/>
  <c r="BO428" i="4"/>
  <c r="BG428" i="4"/>
  <c r="D428" i="4" s="1"/>
  <c r="AS428" i="4"/>
  <c r="AE428" i="4"/>
  <c r="Q428" i="4"/>
  <c r="BO427" i="4"/>
  <c r="BG427" i="4"/>
  <c r="AS427" i="4"/>
  <c r="AE427" i="4"/>
  <c r="D427" i="4" s="1"/>
  <c r="Q427" i="4"/>
  <c r="BO426" i="4"/>
  <c r="BG426" i="4"/>
  <c r="AS426" i="4"/>
  <c r="AE426" i="4"/>
  <c r="D426" i="4" s="1"/>
  <c r="Q426" i="4"/>
  <c r="BO425" i="4"/>
  <c r="BG425" i="4"/>
  <c r="AS425" i="4"/>
  <c r="AE425" i="4"/>
  <c r="Q425" i="4"/>
  <c r="D425" i="4"/>
  <c r="BO424" i="4"/>
  <c r="BG424" i="4"/>
  <c r="D424" i="4" s="1"/>
  <c r="AS424" i="4"/>
  <c r="AE424" i="4"/>
  <c r="Q424" i="4"/>
  <c r="BO423" i="4"/>
  <c r="BG423" i="4"/>
  <c r="AS423" i="4"/>
  <c r="AE423" i="4"/>
  <c r="D423" i="4" s="1"/>
  <c r="Q423" i="4"/>
  <c r="BO422" i="4"/>
  <c r="BG422" i="4"/>
  <c r="AS422" i="4"/>
  <c r="AE422" i="4"/>
  <c r="D422" i="4" s="1"/>
  <c r="Q422" i="4"/>
  <c r="BO421" i="4"/>
  <c r="BG421" i="4"/>
  <c r="AS421" i="4"/>
  <c r="AE421" i="4"/>
  <c r="Q421" i="4"/>
  <c r="D421" i="4"/>
  <c r="BO420" i="4"/>
  <c r="BG420" i="4"/>
  <c r="D420" i="4" s="1"/>
  <c r="AS420" i="4"/>
  <c r="AE420" i="4"/>
  <c r="Q420" i="4"/>
  <c r="BO419" i="4"/>
  <c r="BG419" i="4"/>
  <c r="AS419" i="4"/>
  <c r="AE419" i="4"/>
  <c r="D419" i="4" s="1"/>
  <c r="Q419" i="4"/>
  <c r="BO418" i="4"/>
  <c r="BG418" i="4"/>
  <c r="AS418" i="4"/>
  <c r="AE418" i="4"/>
  <c r="D418" i="4" s="1"/>
  <c r="Q418" i="4"/>
  <c r="BO417" i="4"/>
  <c r="BG417" i="4"/>
  <c r="AS417" i="4"/>
  <c r="AE417" i="4"/>
  <c r="Q417" i="4"/>
  <c r="D417" i="4"/>
  <c r="BO416" i="4"/>
  <c r="BG416" i="4"/>
  <c r="D416" i="4" s="1"/>
  <c r="AS416" i="4"/>
  <c r="AE416" i="4"/>
  <c r="Q416" i="4"/>
  <c r="BO415" i="4"/>
  <c r="BG415" i="4"/>
  <c r="AS415" i="4"/>
  <c r="AE415" i="4"/>
  <c r="D415" i="4" s="1"/>
  <c r="Q415" i="4"/>
  <c r="BO414" i="4"/>
  <c r="BG414" i="4"/>
  <c r="AS414" i="4"/>
  <c r="AE414" i="4"/>
  <c r="D414" i="4" s="1"/>
  <c r="Q414" i="4"/>
  <c r="BO413" i="4"/>
  <c r="BG413" i="4"/>
  <c r="AS413" i="4"/>
  <c r="AE413" i="4"/>
  <c r="Q413" i="4"/>
  <c r="D413" i="4"/>
  <c r="BO412" i="4"/>
  <c r="BG412" i="4"/>
  <c r="D412" i="4" s="1"/>
  <c r="AS412" i="4"/>
  <c r="AE412" i="4"/>
  <c r="Q412" i="4"/>
  <c r="BO411" i="4"/>
  <c r="BG411" i="4"/>
  <c r="AS411" i="4"/>
  <c r="AE411" i="4"/>
  <c r="D411" i="4" s="1"/>
  <c r="Q411" i="4"/>
  <c r="BO410" i="4"/>
  <c r="BG410" i="4"/>
  <c r="AS410" i="4"/>
  <c r="AE410" i="4"/>
  <c r="D410" i="4" s="1"/>
  <c r="Q410" i="4"/>
  <c r="BO409" i="4"/>
  <c r="BG409" i="4"/>
  <c r="AS409" i="4"/>
  <c r="AE409" i="4"/>
  <c r="Q409" i="4"/>
  <c r="D409" i="4"/>
  <c r="BO408" i="4"/>
  <c r="BG408" i="4"/>
  <c r="D408" i="4" s="1"/>
  <c r="AS408" i="4"/>
  <c r="AE408" i="4"/>
  <c r="Q408" i="4"/>
  <c r="BO407" i="4"/>
  <c r="BG407" i="4"/>
  <c r="AS407" i="4"/>
  <c r="AE407" i="4"/>
  <c r="D407" i="4" s="1"/>
  <c r="Q407" i="4"/>
  <c r="BO406" i="4"/>
  <c r="BG406" i="4"/>
  <c r="AS406" i="4"/>
  <c r="AE406" i="4"/>
  <c r="D406" i="4" s="1"/>
  <c r="Q406" i="4"/>
  <c r="BO405" i="4"/>
  <c r="BG405" i="4"/>
  <c r="AS405" i="4"/>
  <c r="AE405" i="4"/>
  <c r="Q405" i="4"/>
  <c r="D405" i="4"/>
  <c r="BO404" i="4"/>
  <c r="BG404" i="4"/>
  <c r="D404" i="4" s="1"/>
  <c r="AS404" i="4"/>
  <c r="AE404" i="4"/>
  <c r="Q404" i="4"/>
  <c r="BO403" i="4"/>
  <c r="BG403" i="4"/>
  <c r="AS403" i="4"/>
  <c r="AE403" i="4"/>
  <c r="D403" i="4" s="1"/>
  <c r="Q403" i="4"/>
  <c r="BO402" i="4"/>
  <c r="BG402" i="4"/>
  <c r="AS402" i="4"/>
  <c r="AE402" i="4"/>
  <c r="D402" i="4" s="1"/>
  <c r="Q402" i="4"/>
  <c r="BO401" i="4"/>
  <c r="BG401" i="4"/>
  <c r="AS401" i="4"/>
  <c r="AE401" i="4"/>
  <c r="Q401" i="4"/>
  <c r="D401" i="4"/>
  <c r="BO400" i="4"/>
  <c r="BG400" i="4"/>
  <c r="D400" i="4" s="1"/>
  <c r="AS400" i="4"/>
  <c r="AE400" i="4"/>
  <c r="Q400" i="4"/>
  <c r="BO399" i="4"/>
  <c r="BG399" i="4"/>
  <c r="AS399" i="4"/>
  <c r="AE399" i="4"/>
  <c r="D399" i="4" s="1"/>
  <c r="Q399" i="4"/>
  <c r="BO398" i="4"/>
  <c r="BG398" i="4"/>
  <c r="AS398" i="4"/>
  <c r="AE398" i="4"/>
  <c r="D398" i="4" s="1"/>
  <c r="Q398" i="4"/>
  <c r="BO397" i="4"/>
  <c r="BG397" i="4"/>
  <c r="AS397" i="4"/>
  <c r="AE397" i="4"/>
  <c r="Q397" i="4"/>
  <c r="D397" i="4"/>
  <c r="BO396" i="4"/>
  <c r="BG396" i="4"/>
  <c r="D396" i="4" s="1"/>
  <c r="AS396" i="4"/>
  <c r="AE396" i="4"/>
  <c r="Q396" i="4"/>
  <c r="BO395" i="4"/>
  <c r="BG395" i="4"/>
  <c r="AS395" i="4"/>
  <c r="AE395" i="4"/>
  <c r="D395" i="4" s="1"/>
  <c r="Q395" i="4"/>
  <c r="BO394" i="4"/>
  <c r="BG394" i="4"/>
  <c r="AS394" i="4"/>
  <c r="AE394" i="4"/>
  <c r="D394" i="4" s="1"/>
  <c r="Q394" i="4"/>
  <c r="BO393" i="4"/>
  <c r="BG393" i="4"/>
  <c r="AS393" i="4"/>
  <c r="AE393" i="4"/>
  <c r="Q393" i="4"/>
  <c r="D393" i="4"/>
  <c r="BO392" i="4"/>
  <c r="BG392" i="4"/>
  <c r="AS392" i="4"/>
  <c r="AE392" i="4"/>
  <c r="Q392" i="4"/>
  <c r="D392" i="4"/>
  <c r="BO391" i="4"/>
  <c r="BG391" i="4"/>
  <c r="AS391" i="4"/>
  <c r="AE391" i="4"/>
  <c r="D391" i="4" s="1"/>
  <c r="Q391" i="4"/>
  <c r="BO390" i="4"/>
  <c r="BG390" i="4"/>
  <c r="AS390" i="4"/>
  <c r="AE390" i="4"/>
  <c r="D390" i="4" s="1"/>
  <c r="Q390" i="4"/>
  <c r="BO389" i="4"/>
  <c r="BG389" i="4"/>
  <c r="AS389" i="4"/>
  <c r="AE389" i="4"/>
  <c r="Q389" i="4"/>
  <c r="D389" i="4"/>
  <c r="BO388" i="4"/>
  <c r="BG388" i="4"/>
  <c r="AS388" i="4"/>
  <c r="AE388" i="4"/>
  <c r="Q388" i="4"/>
  <c r="D388" i="4"/>
  <c r="BO387" i="4"/>
  <c r="BG387" i="4"/>
  <c r="AS387" i="4"/>
  <c r="AE387" i="4"/>
  <c r="D387" i="4" s="1"/>
  <c r="Q387" i="4"/>
  <c r="BO386" i="4"/>
  <c r="BG386" i="4"/>
  <c r="AS386" i="4"/>
  <c r="AE386" i="4"/>
  <c r="D386" i="4" s="1"/>
  <c r="Q386" i="4"/>
  <c r="BO385" i="4"/>
  <c r="BG385" i="4"/>
  <c r="AS385" i="4"/>
  <c r="AE385" i="4"/>
  <c r="Q385" i="4"/>
  <c r="D385" i="4"/>
  <c r="BO384" i="4"/>
  <c r="BG384" i="4"/>
  <c r="AS384" i="4"/>
  <c r="AE384" i="4"/>
  <c r="Q384" i="4"/>
  <c r="D384" i="4"/>
  <c r="BO383" i="4"/>
  <c r="BG383" i="4"/>
  <c r="AS383" i="4"/>
  <c r="AE383" i="4"/>
  <c r="D383" i="4" s="1"/>
  <c r="Q383" i="4"/>
  <c r="BO382" i="4"/>
  <c r="BG382" i="4"/>
  <c r="AS382" i="4"/>
  <c r="AE382" i="4"/>
  <c r="D382" i="4" s="1"/>
  <c r="Q382" i="4"/>
  <c r="BO381" i="4"/>
  <c r="BG381" i="4"/>
  <c r="AS381" i="4"/>
  <c r="AE381" i="4"/>
  <c r="Q381" i="4"/>
  <c r="D381" i="4"/>
  <c r="BO380" i="4"/>
  <c r="BG380" i="4"/>
  <c r="AS380" i="4"/>
  <c r="AE380" i="4"/>
  <c r="Q380" i="4"/>
  <c r="D380" i="4"/>
  <c r="BO379" i="4"/>
  <c r="BG379" i="4"/>
  <c r="AS379" i="4"/>
  <c r="AE379" i="4"/>
  <c r="D379" i="4" s="1"/>
  <c r="Q379" i="4"/>
  <c r="BO378" i="4"/>
  <c r="BG378" i="4"/>
  <c r="AS378" i="4"/>
  <c r="AE378" i="4"/>
  <c r="D378" i="4" s="1"/>
  <c r="Q378" i="4"/>
  <c r="BO377" i="4"/>
  <c r="BG377" i="4"/>
  <c r="AS377" i="4"/>
  <c r="AE377" i="4"/>
  <c r="Q377" i="4"/>
  <c r="D377" i="4"/>
  <c r="BO376" i="4"/>
  <c r="BG376" i="4"/>
  <c r="AS376" i="4"/>
  <c r="AE376" i="4"/>
  <c r="Q376" i="4"/>
  <c r="D376" i="4"/>
  <c r="BO375" i="4"/>
  <c r="BG375" i="4"/>
  <c r="AS375" i="4"/>
  <c r="AE375" i="4"/>
  <c r="D375" i="4" s="1"/>
  <c r="Q375" i="4"/>
  <c r="BO374" i="4"/>
  <c r="BG374" i="4"/>
  <c r="AS374" i="4"/>
  <c r="AE374" i="4"/>
  <c r="D374" i="4" s="1"/>
  <c r="Q374" i="4"/>
  <c r="BO373" i="4"/>
  <c r="BG373" i="4"/>
  <c r="AS373" i="4"/>
  <c r="AE373" i="4"/>
  <c r="Q373" i="4"/>
  <c r="D373" i="4"/>
  <c r="BO372" i="4"/>
  <c r="BG372" i="4"/>
  <c r="AS372" i="4"/>
  <c r="AE372" i="4"/>
  <c r="Q372" i="4"/>
  <c r="D372" i="4"/>
  <c r="BO371" i="4"/>
  <c r="BG371" i="4"/>
  <c r="AS371" i="4"/>
  <c r="AE371" i="4"/>
  <c r="D371" i="4" s="1"/>
  <c r="Q371" i="4"/>
  <c r="BO370" i="4"/>
  <c r="BG370" i="4"/>
  <c r="AS370" i="4"/>
  <c r="AE370" i="4"/>
  <c r="D370" i="4" s="1"/>
  <c r="Q370" i="4"/>
  <c r="BO369" i="4"/>
  <c r="BG369" i="4"/>
  <c r="AS369" i="4"/>
  <c r="AE369" i="4"/>
  <c r="Q369" i="4"/>
  <c r="D369" i="4"/>
  <c r="BO368" i="4"/>
  <c r="BG368" i="4"/>
  <c r="AS368" i="4"/>
  <c r="AE368" i="4"/>
  <c r="Q368" i="4"/>
  <c r="D368" i="4"/>
  <c r="BO367" i="4"/>
  <c r="BG367" i="4"/>
  <c r="AS367" i="4"/>
  <c r="AE367" i="4"/>
  <c r="D367" i="4" s="1"/>
  <c r="Q367" i="4"/>
  <c r="BO366" i="4"/>
  <c r="BG366" i="4"/>
  <c r="AS366" i="4"/>
  <c r="AE366" i="4"/>
  <c r="D366" i="4" s="1"/>
  <c r="Q366" i="4"/>
  <c r="BO365" i="4"/>
  <c r="BG365" i="4"/>
  <c r="AS365" i="4"/>
  <c r="AE365" i="4"/>
  <c r="Q365" i="4"/>
  <c r="D365" i="4"/>
  <c r="BO364" i="4"/>
  <c r="BG364" i="4"/>
  <c r="AS364" i="4"/>
  <c r="AE364" i="4"/>
  <c r="Q364" i="4"/>
  <c r="D364" i="4"/>
  <c r="BO363" i="4"/>
  <c r="BG363" i="4"/>
  <c r="AS363" i="4"/>
  <c r="AE363" i="4"/>
  <c r="D363" i="4" s="1"/>
  <c r="Q363" i="4"/>
  <c r="BO362" i="4"/>
  <c r="BG362" i="4"/>
  <c r="AS362" i="4"/>
  <c r="AE362" i="4"/>
  <c r="D362" i="4" s="1"/>
  <c r="Q362" i="4"/>
  <c r="BO361" i="4"/>
  <c r="BG361" i="4"/>
  <c r="AS361" i="4"/>
  <c r="AE361" i="4"/>
  <c r="Q361" i="4"/>
  <c r="D361" i="4"/>
  <c r="BO360" i="4"/>
  <c r="BG360" i="4"/>
  <c r="AS360" i="4"/>
  <c r="AE360" i="4"/>
  <c r="Q360" i="4"/>
  <c r="D360" i="4"/>
  <c r="BO359" i="4"/>
  <c r="BG359" i="4"/>
  <c r="AS359" i="4"/>
  <c r="AE359" i="4"/>
  <c r="D359" i="4" s="1"/>
  <c r="Q359" i="4"/>
  <c r="BO358" i="4"/>
  <c r="BG358" i="4"/>
  <c r="AS358" i="4"/>
  <c r="AE358" i="4"/>
  <c r="D358" i="4" s="1"/>
  <c r="Q358" i="4"/>
  <c r="BO357" i="4"/>
  <c r="BG357" i="4"/>
  <c r="AS357" i="4"/>
  <c r="AE357" i="4"/>
  <c r="Q357" i="4"/>
  <c r="D357" i="4"/>
  <c r="BO356" i="4"/>
  <c r="BG356" i="4"/>
  <c r="AS356" i="4"/>
  <c r="AE356" i="4"/>
  <c r="Q356" i="4"/>
  <c r="D356" i="4"/>
  <c r="BO355" i="4"/>
  <c r="BG355" i="4"/>
  <c r="AS355" i="4"/>
  <c r="AE355" i="4"/>
  <c r="D355" i="4" s="1"/>
  <c r="Q355" i="4"/>
  <c r="BO354" i="4"/>
  <c r="BG354" i="4"/>
  <c r="AS354" i="4"/>
  <c r="AE354" i="4"/>
  <c r="D354" i="4" s="1"/>
  <c r="Q354" i="4"/>
  <c r="BO353" i="4"/>
  <c r="BG353" i="4"/>
  <c r="AS353" i="4"/>
  <c r="AE353" i="4"/>
  <c r="Q353" i="4"/>
  <c r="D353" i="4"/>
  <c r="BO352" i="4"/>
  <c r="BG352" i="4"/>
  <c r="AS352" i="4"/>
  <c r="AE352" i="4"/>
  <c r="Q352" i="4"/>
  <c r="D352" i="4"/>
  <c r="BO351" i="4"/>
  <c r="BG351" i="4"/>
  <c r="AS351" i="4"/>
  <c r="AE351" i="4"/>
  <c r="D351" i="4" s="1"/>
  <c r="Q351" i="4"/>
  <c r="BO350" i="4"/>
  <c r="BG350" i="4"/>
  <c r="AS350" i="4"/>
  <c r="AE350" i="4"/>
  <c r="D350" i="4" s="1"/>
  <c r="Q350" i="4"/>
  <c r="BO349" i="4"/>
  <c r="BG349" i="4"/>
  <c r="AS349" i="4"/>
  <c r="AE349" i="4"/>
  <c r="Q349" i="4"/>
  <c r="D349" i="4"/>
  <c r="BO348" i="4"/>
  <c r="BG348" i="4"/>
  <c r="AS348" i="4"/>
  <c r="AE348" i="4"/>
  <c r="Q348" i="4"/>
  <c r="D348" i="4"/>
  <c r="BO347" i="4"/>
  <c r="BG347" i="4"/>
  <c r="AS347" i="4"/>
  <c r="AE347" i="4"/>
  <c r="D347" i="4" s="1"/>
  <c r="Q347" i="4"/>
  <c r="BO346" i="4"/>
  <c r="BG346" i="4"/>
  <c r="AS346" i="4"/>
  <c r="AE346" i="4"/>
  <c r="D346" i="4" s="1"/>
  <c r="Q346" i="4"/>
  <c r="BO345" i="4"/>
  <c r="BG345" i="4"/>
  <c r="AS345" i="4"/>
  <c r="AE345" i="4"/>
  <c r="Q345" i="4"/>
  <c r="D345" i="4"/>
  <c r="BO344" i="4"/>
  <c r="BG344" i="4"/>
  <c r="AS344" i="4"/>
  <c r="AE344" i="4"/>
  <c r="Q344" i="4"/>
  <c r="D344" i="4"/>
  <c r="BO343" i="4"/>
  <c r="BG343" i="4"/>
  <c r="AS343" i="4"/>
  <c r="AE343" i="4"/>
  <c r="D343" i="4" s="1"/>
  <c r="Q343" i="4"/>
  <c r="BO342" i="4"/>
  <c r="BG342" i="4"/>
  <c r="AS342" i="4"/>
  <c r="AE342" i="4"/>
  <c r="D342" i="4" s="1"/>
  <c r="Q342" i="4"/>
  <c r="BO341" i="4"/>
  <c r="BG341" i="4"/>
  <c r="AS341" i="4"/>
  <c r="AE341" i="4"/>
  <c r="Q341" i="4"/>
  <c r="D341" i="4"/>
  <c r="BO340" i="4"/>
  <c r="BG340" i="4"/>
  <c r="AS340" i="4"/>
  <c r="AE340" i="4"/>
  <c r="Q340" i="4"/>
  <c r="D340" i="4"/>
  <c r="BO339" i="4"/>
  <c r="BG339" i="4"/>
  <c r="AS339" i="4"/>
  <c r="AE339" i="4"/>
  <c r="D339" i="4" s="1"/>
  <c r="Q339" i="4"/>
  <c r="BO338" i="4"/>
  <c r="BG338" i="4"/>
  <c r="AS338" i="4"/>
  <c r="AE338" i="4"/>
  <c r="D338" i="4" s="1"/>
  <c r="Q338" i="4"/>
  <c r="BO337" i="4"/>
  <c r="BG337" i="4"/>
  <c r="AS337" i="4"/>
  <c r="AE337" i="4"/>
  <c r="Q337" i="4"/>
  <c r="D337" i="4"/>
  <c r="BO336" i="4"/>
  <c r="BG336" i="4"/>
  <c r="AS336" i="4"/>
  <c r="AE336" i="4"/>
  <c r="Q336" i="4"/>
  <c r="D336" i="4"/>
  <c r="BO335" i="4"/>
  <c r="BG335" i="4"/>
  <c r="AS335" i="4"/>
  <c r="AE335" i="4"/>
  <c r="D335" i="4" s="1"/>
  <c r="Q335" i="4"/>
  <c r="BO334" i="4"/>
  <c r="BG334" i="4"/>
  <c r="AS334" i="4"/>
  <c r="AE334" i="4"/>
  <c r="D334" i="4" s="1"/>
  <c r="Q334" i="4"/>
  <c r="BO333" i="4"/>
  <c r="BG333" i="4"/>
  <c r="AS333" i="4"/>
  <c r="AE333" i="4"/>
  <c r="Q333" i="4"/>
  <c r="D333" i="4"/>
  <c r="BO332" i="4"/>
  <c r="BG332" i="4"/>
  <c r="AS332" i="4"/>
  <c r="AE332" i="4"/>
  <c r="Q332" i="4"/>
  <c r="D332" i="4"/>
  <c r="BO331" i="4"/>
  <c r="BG331" i="4"/>
  <c r="AS331" i="4"/>
  <c r="AE331" i="4"/>
  <c r="D331" i="4" s="1"/>
  <c r="Q331" i="4"/>
  <c r="BO330" i="4"/>
  <c r="BG330" i="4"/>
  <c r="AS330" i="4"/>
  <c r="AE330" i="4"/>
  <c r="D330" i="4" s="1"/>
  <c r="Q330" i="4"/>
  <c r="BO329" i="4"/>
  <c r="BG329" i="4"/>
  <c r="AS329" i="4"/>
  <c r="AE329" i="4"/>
  <c r="Q329" i="4"/>
  <c r="D329" i="4"/>
  <c r="BO328" i="4"/>
  <c r="BG328" i="4"/>
  <c r="AS328" i="4"/>
  <c r="AE328" i="4"/>
  <c r="Q328" i="4"/>
  <c r="D328" i="4"/>
  <c r="BO327" i="4"/>
  <c r="BG327" i="4"/>
  <c r="AS327" i="4"/>
  <c r="AE327" i="4"/>
  <c r="D327" i="4" s="1"/>
  <c r="Q327" i="4"/>
  <c r="BO326" i="4"/>
  <c r="BG326" i="4"/>
  <c r="AS326" i="4"/>
  <c r="AE326" i="4"/>
  <c r="D326" i="4" s="1"/>
  <c r="Q326" i="4"/>
  <c r="BO325" i="4"/>
  <c r="BG325" i="4"/>
  <c r="AS325" i="4"/>
  <c r="AE325" i="4"/>
  <c r="Q325" i="4"/>
  <c r="D325" i="4"/>
  <c r="BO324" i="4"/>
  <c r="BG324" i="4"/>
  <c r="AS324" i="4"/>
  <c r="AE324" i="4"/>
  <c r="Q324" i="4"/>
  <c r="D324" i="4"/>
  <c r="BO323" i="4"/>
  <c r="BG323" i="4"/>
  <c r="AS323" i="4"/>
  <c r="AE323" i="4"/>
  <c r="D323" i="4" s="1"/>
  <c r="Q323" i="4"/>
  <c r="BO322" i="4"/>
  <c r="BG322" i="4"/>
  <c r="AS322" i="4"/>
  <c r="AE322" i="4"/>
  <c r="D322" i="4" s="1"/>
  <c r="Q322" i="4"/>
  <c r="BO321" i="4"/>
  <c r="BG321" i="4"/>
  <c r="AS321" i="4"/>
  <c r="AE321" i="4"/>
  <c r="Q321" i="4"/>
  <c r="D321" i="4"/>
  <c r="BO320" i="4"/>
  <c r="BG320" i="4"/>
  <c r="AS320" i="4"/>
  <c r="AE320" i="4"/>
  <c r="Q320" i="4"/>
  <c r="D320" i="4"/>
  <c r="BO319" i="4"/>
  <c r="BG319" i="4"/>
  <c r="AS319" i="4"/>
  <c r="AE319" i="4"/>
  <c r="D319" i="4" s="1"/>
  <c r="Q319" i="4"/>
  <c r="BO318" i="4"/>
  <c r="BG318" i="4"/>
  <c r="AS318" i="4"/>
  <c r="AE318" i="4"/>
  <c r="D318" i="4" s="1"/>
  <c r="Q318" i="4"/>
  <c r="BO317" i="4"/>
  <c r="BG317" i="4"/>
  <c r="AS317" i="4"/>
  <c r="AE317" i="4"/>
  <c r="Q317" i="4"/>
  <c r="D317" i="4"/>
  <c r="BO316" i="4"/>
  <c r="BG316" i="4"/>
  <c r="AS316" i="4"/>
  <c r="AE316" i="4"/>
  <c r="Q316" i="4"/>
  <c r="D316" i="4"/>
  <c r="BO315" i="4"/>
  <c r="BG315" i="4"/>
  <c r="AS315" i="4"/>
  <c r="AE315" i="4"/>
  <c r="D315" i="4" s="1"/>
  <c r="Q315" i="4"/>
  <c r="BO314" i="4"/>
  <c r="BG314" i="4"/>
  <c r="AS314" i="4"/>
  <c r="AE314" i="4"/>
  <c r="D314" i="4" s="1"/>
  <c r="Q314" i="4"/>
  <c r="BO313" i="4"/>
  <c r="BG313" i="4"/>
  <c r="AS313" i="4"/>
  <c r="AE313" i="4"/>
  <c r="Q313" i="4"/>
  <c r="D313" i="4"/>
  <c r="BO312" i="4"/>
  <c r="BG312" i="4"/>
  <c r="AS312" i="4"/>
  <c r="AE312" i="4"/>
  <c r="Q312" i="4"/>
  <c r="D312" i="4"/>
  <c r="BO311" i="4"/>
  <c r="BG311" i="4"/>
  <c r="AS311" i="4"/>
  <c r="AE311" i="4"/>
  <c r="D311" i="4" s="1"/>
  <c r="Q311" i="4"/>
  <c r="BO310" i="4"/>
  <c r="BG310" i="4"/>
  <c r="AS310" i="4"/>
  <c r="AE310" i="4"/>
  <c r="D310" i="4" s="1"/>
  <c r="Q310" i="4"/>
  <c r="BO309" i="4"/>
  <c r="BG309" i="4"/>
  <c r="AS309" i="4"/>
  <c r="AE309" i="4"/>
  <c r="Q309" i="4"/>
  <c r="D309" i="4"/>
  <c r="BO308" i="4"/>
  <c r="BG308" i="4"/>
  <c r="AS308" i="4"/>
  <c r="AE308" i="4"/>
  <c r="Q308" i="4"/>
  <c r="D308" i="4"/>
  <c r="BO307" i="4"/>
  <c r="BG307" i="4"/>
  <c r="AS307" i="4"/>
  <c r="AE307" i="4"/>
  <c r="D307" i="4" s="1"/>
  <c r="Q307" i="4"/>
  <c r="BO306" i="4"/>
  <c r="BG306" i="4"/>
  <c r="AS306" i="4"/>
  <c r="AE306" i="4"/>
  <c r="D306" i="4" s="1"/>
  <c r="Q306" i="4"/>
  <c r="BO305" i="4"/>
  <c r="BG305" i="4"/>
  <c r="AS305" i="4"/>
  <c r="AE305" i="4"/>
  <c r="Q305" i="4"/>
  <c r="D305" i="4"/>
  <c r="BO304" i="4"/>
  <c r="BG304" i="4"/>
  <c r="AS304" i="4"/>
  <c r="AE304" i="4"/>
  <c r="Q304" i="4"/>
  <c r="D304" i="4"/>
  <c r="BO303" i="4"/>
  <c r="BG303" i="4"/>
  <c r="AS303" i="4"/>
  <c r="AE303" i="4"/>
  <c r="D303" i="4" s="1"/>
  <c r="Q303" i="4"/>
  <c r="BO302" i="4"/>
  <c r="BG302" i="4"/>
  <c r="AS302" i="4"/>
  <c r="AE302" i="4"/>
  <c r="D302" i="4" s="1"/>
  <c r="Q302" i="4"/>
  <c r="BO301" i="4"/>
  <c r="BG301" i="4"/>
  <c r="AS301" i="4"/>
  <c r="AE301" i="4"/>
  <c r="Q301" i="4"/>
  <c r="D301" i="4"/>
  <c r="BO300" i="4"/>
  <c r="BG300" i="4"/>
  <c r="AS300" i="4"/>
  <c r="AE300" i="4"/>
  <c r="Q300" i="4"/>
  <c r="D300" i="4"/>
  <c r="BO299" i="4"/>
  <c r="BG299" i="4"/>
  <c r="AS299" i="4"/>
  <c r="AE299" i="4"/>
  <c r="D299" i="4" s="1"/>
  <c r="Q299" i="4"/>
  <c r="BO298" i="4"/>
  <c r="BG298" i="4"/>
  <c r="AS298" i="4"/>
  <c r="AE298" i="4"/>
  <c r="D298" i="4" s="1"/>
  <c r="Q298" i="4"/>
  <c r="BO297" i="4"/>
  <c r="BG297" i="4"/>
  <c r="AS297" i="4"/>
  <c r="AE297" i="4"/>
  <c r="Q297" i="4"/>
  <c r="D297" i="4"/>
  <c r="BO296" i="4"/>
  <c r="BG296" i="4"/>
  <c r="AS296" i="4"/>
  <c r="AE296" i="4"/>
  <c r="Q296" i="4"/>
  <c r="D296" i="4"/>
  <c r="BO295" i="4"/>
  <c r="BG295" i="4"/>
  <c r="AS295" i="4"/>
  <c r="AE295" i="4"/>
  <c r="D295" i="4" s="1"/>
  <c r="Q295" i="4"/>
  <c r="BO294" i="4"/>
  <c r="BG294" i="4"/>
  <c r="AS294" i="4"/>
  <c r="AE294" i="4"/>
  <c r="D294" i="4" s="1"/>
  <c r="Q294" i="4"/>
  <c r="BO293" i="4"/>
  <c r="BG293" i="4"/>
  <c r="AS293" i="4"/>
  <c r="AE293" i="4"/>
  <c r="Q293" i="4"/>
  <c r="D293" i="4"/>
  <c r="BO292" i="4"/>
  <c r="BG292" i="4"/>
  <c r="AS292" i="4"/>
  <c r="AE292" i="4"/>
  <c r="Q292" i="4"/>
  <c r="D292" i="4"/>
  <c r="BO291" i="4"/>
  <c r="BG291" i="4"/>
  <c r="AS291" i="4"/>
  <c r="AE291" i="4"/>
  <c r="D291" i="4" s="1"/>
  <c r="Q291" i="4"/>
  <c r="BO290" i="4"/>
  <c r="BG290" i="4"/>
  <c r="AS290" i="4"/>
  <c r="AE290" i="4"/>
  <c r="D290" i="4" s="1"/>
  <c r="Q290" i="4"/>
  <c r="BO289" i="4"/>
  <c r="BG289" i="4"/>
  <c r="AS289" i="4"/>
  <c r="AE289" i="4"/>
  <c r="Q289" i="4"/>
  <c r="D289" i="4"/>
  <c r="BO288" i="4"/>
  <c r="BG288" i="4"/>
  <c r="AS288" i="4"/>
  <c r="AE288" i="4"/>
  <c r="Q288" i="4"/>
  <c r="D288" i="4"/>
  <c r="BO287" i="4"/>
  <c r="BG287" i="4"/>
  <c r="AS287" i="4"/>
  <c r="AE287" i="4"/>
  <c r="D287" i="4" s="1"/>
  <c r="Q287" i="4"/>
  <c r="BO286" i="4"/>
  <c r="BG286" i="4"/>
  <c r="AS286" i="4"/>
  <c r="AE286" i="4"/>
  <c r="D286" i="4" s="1"/>
  <c r="Q286" i="4"/>
  <c r="BO285" i="4"/>
  <c r="BG285" i="4"/>
  <c r="AS285" i="4"/>
  <c r="AE285" i="4"/>
  <c r="Q285" i="4"/>
  <c r="D285" i="4"/>
  <c r="BO284" i="4"/>
  <c r="BG284" i="4"/>
  <c r="AS284" i="4"/>
  <c r="AE284" i="4"/>
  <c r="Q284" i="4"/>
  <c r="D284" i="4"/>
  <c r="BO283" i="4"/>
  <c r="BG283" i="4"/>
  <c r="AS283" i="4"/>
  <c r="AE283" i="4"/>
  <c r="D283" i="4" s="1"/>
  <c r="Q283" i="4"/>
  <c r="BO282" i="4"/>
  <c r="BG282" i="4"/>
  <c r="AS282" i="4"/>
  <c r="AE282" i="4"/>
  <c r="D282" i="4" s="1"/>
  <c r="Q282" i="4"/>
  <c r="BO281" i="4"/>
  <c r="BG281" i="4"/>
  <c r="AS281" i="4"/>
  <c r="AE281" i="4"/>
  <c r="Q281" i="4"/>
  <c r="D281" i="4"/>
  <c r="BO280" i="4"/>
  <c r="BG280" i="4"/>
  <c r="AS280" i="4"/>
  <c r="AE280" i="4"/>
  <c r="Q280" i="4"/>
  <c r="D280" i="4"/>
  <c r="BO279" i="4"/>
  <c r="BG279" i="4"/>
  <c r="AS279" i="4"/>
  <c r="AE279" i="4"/>
  <c r="D279" i="4" s="1"/>
  <c r="Q279" i="4"/>
  <c r="BO278" i="4"/>
  <c r="BG278" i="4"/>
  <c r="AS278" i="4"/>
  <c r="AE278" i="4"/>
  <c r="D278" i="4" s="1"/>
  <c r="Q278" i="4"/>
  <c r="BO277" i="4"/>
  <c r="BG277" i="4"/>
  <c r="AS277" i="4"/>
  <c r="AE277" i="4"/>
  <c r="Q277" i="4"/>
  <c r="D277" i="4"/>
  <c r="BO276" i="4"/>
  <c r="BG276" i="4"/>
  <c r="AS276" i="4"/>
  <c r="AE276" i="4"/>
  <c r="Q276" i="4"/>
  <c r="D276" i="4"/>
  <c r="BO275" i="4"/>
  <c r="BG275" i="4"/>
  <c r="AS275" i="4"/>
  <c r="AE275" i="4"/>
  <c r="D275" i="4" s="1"/>
  <c r="Q275" i="4"/>
  <c r="BO274" i="4"/>
  <c r="BG274" i="4"/>
  <c r="AS274" i="4"/>
  <c r="AE274" i="4"/>
  <c r="D274" i="4" s="1"/>
  <c r="Q274" i="4"/>
  <c r="BO273" i="4"/>
  <c r="BG273" i="4"/>
  <c r="AS273" i="4"/>
  <c r="AE273" i="4"/>
  <c r="Q273" i="4"/>
  <c r="D273" i="4"/>
  <c r="BO272" i="4"/>
  <c r="BG272" i="4"/>
  <c r="AS272" i="4"/>
  <c r="AE272" i="4"/>
  <c r="Q272" i="4"/>
  <c r="D272" i="4"/>
  <c r="BO271" i="4"/>
  <c r="BG271" i="4"/>
  <c r="AS271" i="4"/>
  <c r="AE271" i="4"/>
  <c r="D271" i="4" s="1"/>
  <c r="Q271" i="4"/>
  <c r="BO270" i="4"/>
  <c r="BG270" i="4"/>
  <c r="AS270" i="4"/>
  <c r="AE270" i="4"/>
  <c r="D270" i="4" s="1"/>
  <c r="Q270" i="4"/>
  <c r="BO269" i="4"/>
  <c r="BG269" i="4"/>
  <c r="AS269" i="4"/>
  <c r="AE269" i="4"/>
  <c r="Q269" i="4"/>
  <c r="D269" i="4"/>
  <c r="BO268" i="4"/>
  <c r="BG268" i="4"/>
  <c r="AS268" i="4"/>
  <c r="AE268" i="4"/>
  <c r="Q268" i="4"/>
  <c r="D268" i="4"/>
  <c r="BO267" i="4"/>
  <c r="BG267" i="4"/>
  <c r="AS267" i="4"/>
  <c r="AE267" i="4"/>
  <c r="D267" i="4" s="1"/>
  <c r="Q267" i="4"/>
  <c r="BO266" i="4"/>
  <c r="BG266" i="4"/>
  <c r="AS266" i="4"/>
  <c r="AE266" i="4"/>
  <c r="D266" i="4" s="1"/>
  <c r="Q266" i="4"/>
  <c r="BO265" i="4"/>
  <c r="BG265" i="4"/>
  <c r="AS265" i="4"/>
  <c r="AE265" i="4"/>
  <c r="Q265" i="4"/>
  <c r="D265" i="4"/>
  <c r="BO264" i="4"/>
  <c r="BG264" i="4"/>
  <c r="AS264" i="4"/>
  <c r="AE264" i="4"/>
  <c r="Q264" i="4"/>
  <c r="D264" i="4"/>
  <c r="BO263" i="4"/>
  <c r="BG263" i="4"/>
  <c r="AS263" i="4"/>
  <c r="AE263" i="4"/>
  <c r="D263" i="4" s="1"/>
  <c r="Q263" i="4"/>
  <c r="BO262" i="4"/>
  <c r="BG262" i="4"/>
  <c r="AS262" i="4"/>
  <c r="AE262" i="4"/>
  <c r="D262" i="4" s="1"/>
  <c r="Q262" i="4"/>
  <c r="BO261" i="4"/>
  <c r="BG261" i="4"/>
  <c r="AS261" i="4"/>
  <c r="AE261" i="4"/>
  <c r="Q261" i="4"/>
  <c r="D261" i="4"/>
  <c r="BO260" i="4"/>
  <c r="BG260" i="4"/>
  <c r="AS260" i="4"/>
  <c r="AE260" i="4"/>
  <c r="Q260" i="4"/>
  <c r="D260" i="4"/>
  <c r="BO259" i="4"/>
  <c r="BG259" i="4"/>
  <c r="AS259" i="4"/>
  <c r="AE259" i="4"/>
  <c r="D259" i="4" s="1"/>
  <c r="Q259" i="4"/>
  <c r="BO258" i="4"/>
  <c r="BG258" i="4"/>
  <c r="AS258" i="4"/>
  <c r="AE258" i="4"/>
  <c r="D258" i="4" s="1"/>
  <c r="Q258" i="4"/>
  <c r="BO257" i="4"/>
  <c r="BG257" i="4"/>
  <c r="AS257" i="4"/>
  <c r="AE257" i="4"/>
  <c r="Q257" i="4"/>
  <c r="D257" i="4"/>
  <c r="BO256" i="4"/>
  <c r="BG256" i="4"/>
  <c r="AS256" i="4"/>
  <c r="AE256" i="4"/>
  <c r="Q256" i="4"/>
  <c r="D256" i="4"/>
  <c r="BO255" i="4"/>
  <c r="BG255" i="4"/>
  <c r="AS255" i="4"/>
  <c r="AE255" i="4"/>
  <c r="D255" i="4" s="1"/>
  <c r="Q255" i="4"/>
  <c r="BO254" i="4"/>
  <c r="BG254" i="4"/>
  <c r="AS254" i="4"/>
  <c r="AE254" i="4"/>
  <c r="D254" i="4" s="1"/>
  <c r="Q254" i="4"/>
  <c r="BO253" i="4"/>
  <c r="BG253" i="4"/>
  <c r="AS253" i="4"/>
  <c r="AE253" i="4"/>
  <c r="Q253" i="4"/>
  <c r="D253" i="4"/>
  <c r="BO252" i="4"/>
  <c r="BG252" i="4"/>
  <c r="AS252" i="4"/>
  <c r="AE252" i="4"/>
  <c r="Q252" i="4"/>
  <c r="D252" i="4"/>
  <c r="BO251" i="4"/>
  <c r="BG251" i="4"/>
  <c r="AS251" i="4"/>
  <c r="AE251" i="4"/>
  <c r="D251" i="4" s="1"/>
  <c r="Q251" i="4"/>
  <c r="BO250" i="4"/>
  <c r="BG250" i="4"/>
  <c r="AS250" i="4"/>
  <c r="AE250" i="4"/>
  <c r="D250" i="4" s="1"/>
  <c r="Q250" i="4"/>
  <c r="BO249" i="4"/>
  <c r="BG249" i="4"/>
  <c r="AS249" i="4"/>
  <c r="AE249" i="4"/>
  <c r="Q249" i="4"/>
  <c r="D249" i="4"/>
  <c r="BO248" i="4"/>
  <c r="BG248" i="4"/>
  <c r="AS248" i="4"/>
  <c r="AE248" i="4"/>
  <c r="Q248" i="4"/>
  <c r="D248" i="4"/>
  <c r="BO247" i="4"/>
  <c r="BG247" i="4"/>
  <c r="AS247" i="4"/>
  <c r="AE247" i="4"/>
  <c r="D247" i="4" s="1"/>
  <c r="Q247" i="4"/>
  <c r="BO246" i="4"/>
  <c r="BG246" i="4"/>
  <c r="AS246" i="4"/>
  <c r="AE246" i="4"/>
  <c r="D246" i="4" s="1"/>
  <c r="Q246" i="4"/>
  <c r="BO245" i="4"/>
  <c r="BG245" i="4"/>
  <c r="AS245" i="4"/>
  <c r="AE245" i="4"/>
  <c r="Q245" i="4"/>
  <c r="D245" i="4"/>
  <c r="BO244" i="4"/>
  <c r="BG244" i="4"/>
  <c r="AS244" i="4"/>
  <c r="AE244" i="4"/>
  <c r="Q244" i="4"/>
  <c r="D244" i="4"/>
  <c r="BO243" i="4"/>
  <c r="BG243" i="4"/>
  <c r="D243" i="4" s="1"/>
  <c r="AS243" i="4"/>
  <c r="AE243" i="4"/>
  <c r="Q243" i="4"/>
  <c r="BO242" i="4"/>
  <c r="BG242" i="4"/>
  <c r="AS242" i="4"/>
  <c r="AE242" i="4"/>
  <c r="D242" i="4" s="1"/>
  <c r="Q242" i="4"/>
  <c r="BO241" i="4"/>
  <c r="BG241" i="4"/>
  <c r="AS241" i="4"/>
  <c r="AE241" i="4"/>
  <c r="Q241" i="4"/>
  <c r="D241" i="4"/>
  <c r="BO240" i="4"/>
  <c r="BG240" i="4"/>
  <c r="AS240" i="4"/>
  <c r="AE240" i="4"/>
  <c r="Q240" i="4"/>
  <c r="D240" i="4"/>
  <c r="BO239" i="4"/>
  <c r="BG239" i="4"/>
  <c r="D239" i="4" s="1"/>
  <c r="AS239" i="4"/>
  <c r="AE239" i="4"/>
  <c r="Q239" i="4"/>
  <c r="BO238" i="4"/>
  <c r="BG238" i="4"/>
  <c r="AS238" i="4"/>
  <c r="AE238" i="4"/>
  <c r="D238" i="4" s="1"/>
  <c r="Q238" i="4"/>
  <c r="BO237" i="4"/>
  <c r="BG237" i="4"/>
  <c r="AS237" i="4"/>
  <c r="AE237" i="4"/>
  <c r="Q237" i="4"/>
  <c r="D237" i="4"/>
  <c r="BO236" i="4"/>
  <c r="BG236" i="4"/>
  <c r="AS236" i="4"/>
  <c r="AE236" i="4"/>
  <c r="Q236" i="4"/>
  <c r="D236" i="4"/>
  <c r="BO235" i="4"/>
  <c r="BG235" i="4"/>
  <c r="D235" i="4" s="1"/>
  <c r="AS235" i="4"/>
  <c r="AE235" i="4"/>
  <c r="Q235" i="4"/>
  <c r="BO234" i="4"/>
  <c r="BG234" i="4"/>
  <c r="AS234" i="4"/>
  <c r="AE234" i="4"/>
  <c r="D234" i="4" s="1"/>
  <c r="Q234" i="4"/>
  <c r="BO233" i="4"/>
  <c r="BG233" i="4"/>
  <c r="AS233" i="4"/>
  <c r="AE233" i="4"/>
  <c r="Q233" i="4"/>
  <c r="D233" i="4"/>
  <c r="BO232" i="4"/>
  <c r="BG232" i="4"/>
  <c r="AS232" i="4"/>
  <c r="AE232" i="4"/>
  <c r="Q232" i="4"/>
  <c r="D232" i="4"/>
  <c r="BO231" i="4"/>
  <c r="BG231" i="4"/>
  <c r="D231" i="4" s="1"/>
  <c r="AS231" i="4"/>
  <c r="AE231" i="4"/>
  <c r="Q231" i="4"/>
  <c r="BO230" i="4"/>
  <c r="BG230" i="4"/>
  <c r="AS230" i="4"/>
  <c r="AE230" i="4"/>
  <c r="D230" i="4" s="1"/>
  <c r="Q230" i="4"/>
  <c r="BO229" i="4"/>
  <c r="BG229" i="4"/>
  <c r="AS229" i="4"/>
  <c r="AE229" i="4"/>
  <c r="Q229" i="4"/>
  <c r="D229" i="4"/>
  <c r="BO228" i="4"/>
  <c r="BG228" i="4"/>
  <c r="AS228" i="4"/>
  <c r="AE228" i="4"/>
  <c r="Q228" i="4"/>
  <c r="D228" i="4"/>
  <c r="BO227" i="4"/>
  <c r="BG227" i="4"/>
  <c r="D227" i="4" s="1"/>
  <c r="AS227" i="4"/>
  <c r="AE227" i="4"/>
  <c r="Q227" i="4"/>
  <c r="BO226" i="4"/>
  <c r="BG226" i="4"/>
  <c r="AS226" i="4"/>
  <c r="AE226" i="4"/>
  <c r="D226" i="4" s="1"/>
  <c r="Q226" i="4"/>
  <c r="BO225" i="4"/>
  <c r="BG225" i="4"/>
  <c r="AS225" i="4"/>
  <c r="AE225" i="4"/>
  <c r="Q225" i="4"/>
  <c r="D225" i="4"/>
  <c r="BO224" i="4"/>
  <c r="BG224" i="4"/>
  <c r="AS224" i="4"/>
  <c r="AE224" i="4"/>
  <c r="Q224" i="4"/>
  <c r="D224" i="4"/>
  <c r="BO223" i="4"/>
  <c r="BG223" i="4"/>
  <c r="D223" i="4" s="1"/>
  <c r="AS223" i="4"/>
  <c r="AE223" i="4"/>
  <c r="Q223" i="4"/>
  <c r="BO222" i="4"/>
  <c r="BG222" i="4"/>
  <c r="AS222" i="4"/>
  <c r="AE222" i="4"/>
  <c r="D222" i="4" s="1"/>
  <c r="Q222" i="4"/>
  <c r="BO221" i="4"/>
  <c r="BG221" i="4"/>
  <c r="AS221" i="4"/>
  <c r="AE221" i="4"/>
  <c r="Q221" i="4"/>
  <c r="D221" i="4"/>
  <c r="BO220" i="4"/>
  <c r="BG220" i="4"/>
  <c r="AS220" i="4"/>
  <c r="AE220" i="4"/>
  <c r="Q220" i="4"/>
  <c r="D220" i="4"/>
  <c r="BO219" i="4"/>
  <c r="BG219" i="4"/>
  <c r="D219" i="4" s="1"/>
  <c r="AS219" i="4"/>
  <c r="AE219" i="4"/>
  <c r="Q219" i="4"/>
  <c r="BO218" i="4"/>
  <c r="BG218" i="4"/>
  <c r="AS218" i="4"/>
  <c r="AE218" i="4"/>
  <c r="D218" i="4" s="1"/>
  <c r="Q218" i="4"/>
  <c r="BO217" i="4"/>
  <c r="BG217" i="4"/>
  <c r="AS217" i="4"/>
  <c r="AE217" i="4"/>
  <c r="Q217" i="4"/>
  <c r="D217" i="4"/>
  <c r="BO216" i="4"/>
  <c r="BG216" i="4"/>
  <c r="AS216" i="4"/>
  <c r="AE216" i="4"/>
  <c r="Q216" i="4"/>
  <c r="D216" i="4"/>
  <c r="BO215" i="4"/>
  <c r="BG215" i="4"/>
  <c r="D215" i="4" s="1"/>
  <c r="AS215" i="4"/>
  <c r="AE215" i="4"/>
  <c r="Q215" i="4"/>
  <c r="BO214" i="4"/>
  <c r="BG214" i="4"/>
  <c r="AS214" i="4"/>
  <c r="AE214" i="4"/>
  <c r="D214" i="4" s="1"/>
  <c r="Q214" i="4"/>
  <c r="BO213" i="4"/>
  <c r="BG213" i="4"/>
  <c r="AS213" i="4"/>
  <c r="AE213" i="4"/>
  <c r="Q213" i="4"/>
  <c r="D213" i="4"/>
  <c r="BO212" i="4"/>
  <c r="BG212" i="4"/>
  <c r="AS212" i="4"/>
  <c r="AE212" i="4"/>
  <c r="Q212" i="4"/>
  <c r="D212" i="4"/>
  <c r="BO211" i="4"/>
  <c r="BG211" i="4"/>
  <c r="D211" i="4" s="1"/>
  <c r="AS211" i="4"/>
  <c r="AE211" i="4"/>
  <c r="Q211" i="4"/>
  <c r="BO210" i="4"/>
  <c r="BG210" i="4"/>
  <c r="AS210" i="4"/>
  <c r="AE210" i="4"/>
  <c r="D210" i="4" s="1"/>
  <c r="Q210" i="4"/>
  <c r="BO209" i="4"/>
  <c r="BG209" i="4"/>
  <c r="AS209" i="4"/>
  <c r="AE209" i="4"/>
  <c r="Q209" i="4"/>
  <c r="D209" i="4"/>
  <c r="BO208" i="4"/>
  <c r="BG208" i="4"/>
  <c r="AS208" i="4"/>
  <c r="AE208" i="4"/>
  <c r="D208" i="4" s="1"/>
  <c r="Q208" i="4"/>
  <c r="BO207" i="4"/>
  <c r="BG207" i="4"/>
  <c r="D207" i="4" s="1"/>
  <c r="AS207" i="4"/>
  <c r="AE207" i="4"/>
  <c r="Q207" i="4"/>
  <c r="BO206" i="4"/>
  <c r="BG206" i="4"/>
  <c r="AS206" i="4"/>
  <c r="AE206" i="4"/>
  <c r="D206" i="4" s="1"/>
  <c r="Q206" i="4"/>
  <c r="BO205" i="4"/>
  <c r="BG205" i="4"/>
  <c r="AS205" i="4"/>
  <c r="AE205" i="4"/>
  <c r="Q205" i="4"/>
  <c r="D205" i="4"/>
  <c r="BO204" i="4"/>
  <c r="BG204" i="4"/>
  <c r="AS204" i="4"/>
  <c r="AE204" i="4"/>
  <c r="D204" i="4" s="1"/>
  <c r="Q204" i="4"/>
  <c r="BO203" i="4"/>
  <c r="BG203" i="4"/>
  <c r="D203" i="4" s="1"/>
  <c r="AS203" i="4"/>
  <c r="AE203" i="4"/>
  <c r="Q203" i="4"/>
  <c r="BO202" i="4"/>
  <c r="BG202" i="4"/>
  <c r="AS202" i="4"/>
  <c r="AE202" i="4"/>
  <c r="D202" i="4" s="1"/>
  <c r="Q202" i="4"/>
  <c r="BO201" i="4"/>
  <c r="BG201" i="4"/>
  <c r="AS201" i="4"/>
  <c r="AE201" i="4"/>
  <c r="Q201" i="4"/>
  <c r="D201" i="4"/>
  <c r="BO200" i="4"/>
  <c r="BG200" i="4"/>
  <c r="AS200" i="4"/>
  <c r="AE200" i="4"/>
  <c r="D200" i="4" s="1"/>
  <c r="Q200" i="4"/>
  <c r="BO199" i="4"/>
  <c r="BG199" i="4"/>
  <c r="D199" i="4" s="1"/>
  <c r="AS199" i="4"/>
  <c r="AE199" i="4"/>
  <c r="Q199" i="4"/>
  <c r="BO198" i="4"/>
  <c r="BG198" i="4"/>
  <c r="AS198" i="4"/>
  <c r="AE198" i="4"/>
  <c r="D198" i="4" s="1"/>
  <c r="Q198" i="4"/>
  <c r="BO197" i="4"/>
  <c r="BG197" i="4"/>
  <c r="AS197" i="4"/>
  <c r="AE197" i="4"/>
  <c r="Q197" i="4"/>
  <c r="D197" i="4"/>
  <c r="BO196" i="4"/>
  <c r="BG196" i="4"/>
  <c r="AS196" i="4"/>
  <c r="AE196" i="4"/>
  <c r="D196" i="4" s="1"/>
  <c r="Q196" i="4"/>
  <c r="BO195" i="4"/>
  <c r="BG195" i="4"/>
  <c r="D195" i="4" s="1"/>
  <c r="AS195" i="4"/>
  <c r="AE195" i="4"/>
  <c r="Q195" i="4"/>
  <c r="BO194" i="4"/>
  <c r="BG194" i="4"/>
  <c r="AS194" i="4"/>
  <c r="AE194" i="4"/>
  <c r="D194" i="4" s="1"/>
  <c r="Q194" i="4"/>
  <c r="BO193" i="4"/>
  <c r="BG193" i="4"/>
  <c r="AS193" i="4"/>
  <c r="AE193" i="4"/>
  <c r="Q193" i="4"/>
  <c r="D193" i="4"/>
  <c r="BO192" i="4"/>
  <c r="BG192" i="4"/>
  <c r="AS192" i="4"/>
  <c r="AE192" i="4"/>
  <c r="D192" i="4" s="1"/>
  <c r="Q192" i="4"/>
  <c r="BO191" i="4"/>
  <c r="BG191" i="4"/>
  <c r="D191" i="4" s="1"/>
  <c r="AS191" i="4"/>
  <c r="AE191" i="4"/>
  <c r="Q191" i="4"/>
  <c r="BO190" i="4"/>
  <c r="BG190" i="4"/>
  <c r="AS190" i="4"/>
  <c r="AE190" i="4"/>
  <c r="D190" i="4" s="1"/>
  <c r="Q190" i="4"/>
  <c r="BO189" i="4"/>
  <c r="BG189" i="4"/>
  <c r="AS189" i="4"/>
  <c r="AE189" i="4"/>
  <c r="Q189" i="4"/>
  <c r="D189" i="4"/>
  <c r="BO188" i="4"/>
  <c r="BG188" i="4"/>
  <c r="AS188" i="4"/>
  <c r="AE188" i="4"/>
  <c r="D188" i="4" s="1"/>
  <c r="Q188" i="4"/>
  <c r="BO187" i="4"/>
  <c r="BG187" i="4"/>
  <c r="D187" i="4" s="1"/>
  <c r="AS187" i="4"/>
  <c r="AE187" i="4"/>
  <c r="Q187" i="4"/>
  <c r="BO186" i="4"/>
  <c r="BG186" i="4"/>
  <c r="AS186" i="4"/>
  <c r="AE186" i="4"/>
  <c r="D186" i="4" s="1"/>
  <c r="Q186" i="4"/>
  <c r="BO185" i="4"/>
  <c r="BG185" i="4"/>
  <c r="AS185" i="4"/>
  <c r="AE185" i="4"/>
  <c r="Q185" i="4"/>
  <c r="D185" i="4"/>
  <c r="BO184" i="4"/>
  <c r="BG184" i="4"/>
  <c r="AS184" i="4"/>
  <c r="AE184" i="4"/>
  <c r="D184" i="4" s="1"/>
  <c r="Q184" i="4"/>
  <c r="BO183" i="4"/>
  <c r="BG183" i="4"/>
  <c r="D183" i="4" s="1"/>
  <c r="AS183" i="4"/>
  <c r="AE183" i="4"/>
  <c r="Q183" i="4"/>
  <c r="BO182" i="4"/>
  <c r="BG182" i="4"/>
  <c r="AS182" i="4"/>
  <c r="AE182" i="4"/>
  <c r="D182" i="4" s="1"/>
  <c r="Q182" i="4"/>
  <c r="BO181" i="4"/>
  <c r="BG181" i="4"/>
  <c r="AS181" i="4"/>
  <c r="AE181" i="4"/>
  <c r="Q181" i="4"/>
  <c r="D181" i="4"/>
  <c r="BO180" i="4"/>
  <c r="BG180" i="4"/>
  <c r="AS180" i="4"/>
  <c r="AE180" i="4"/>
  <c r="D180" i="4" s="1"/>
  <c r="Q180" i="4"/>
  <c r="BO179" i="4"/>
  <c r="BG179" i="4"/>
  <c r="D179" i="4" s="1"/>
  <c r="AS179" i="4"/>
  <c r="AE179" i="4"/>
  <c r="Q179" i="4"/>
  <c r="BO178" i="4"/>
  <c r="BG178" i="4"/>
  <c r="AS178" i="4"/>
  <c r="AE178" i="4"/>
  <c r="D178" i="4" s="1"/>
  <c r="Q178" i="4"/>
  <c r="BO177" i="4"/>
  <c r="BG177" i="4"/>
  <c r="AS177" i="4"/>
  <c r="AE177" i="4"/>
  <c r="Q177" i="4"/>
  <c r="D177" i="4"/>
  <c r="BO176" i="4"/>
  <c r="BG176" i="4"/>
  <c r="AS176" i="4"/>
  <c r="AE176" i="4"/>
  <c r="D176" i="4" s="1"/>
  <c r="Q176" i="4"/>
  <c r="BO175" i="4"/>
  <c r="BG175" i="4"/>
  <c r="D175" i="4" s="1"/>
  <c r="AS175" i="4"/>
  <c r="AE175" i="4"/>
  <c r="Q175" i="4"/>
  <c r="BO174" i="4"/>
  <c r="BG174" i="4"/>
  <c r="AS174" i="4"/>
  <c r="AE174" i="4"/>
  <c r="D174" i="4" s="1"/>
  <c r="Q174" i="4"/>
  <c r="BO173" i="4"/>
  <c r="BG173" i="4"/>
  <c r="AS173" i="4"/>
  <c r="AE173" i="4"/>
  <c r="Q173" i="4"/>
  <c r="D173" i="4"/>
  <c r="BO172" i="4"/>
  <c r="BG172" i="4"/>
  <c r="AS172" i="4"/>
  <c r="AE172" i="4"/>
  <c r="D172" i="4" s="1"/>
  <c r="Q172" i="4"/>
  <c r="BO171" i="4"/>
  <c r="BG171" i="4"/>
  <c r="D171" i="4" s="1"/>
  <c r="AS171" i="4"/>
  <c r="AE171" i="4"/>
  <c r="Q171" i="4"/>
  <c r="BO170" i="4"/>
  <c r="BG170" i="4"/>
  <c r="AS170" i="4"/>
  <c r="AE170" i="4"/>
  <c r="D170" i="4" s="1"/>
  <c r="Q170" i="4"/>
  <c r="BO169" i="4"/>
  <c r="BG169" i="4"/>
  <c r="D169" i="4" s="1"/>
  <c r="AS169" i="4"/>
  <c r="AE169" i="4"/>
  <c r="Q169" i="4"/>
  <c r="BO168" i="4"/>
  <c r="BG168" i="4"/>
  <c r="AS168" i="4"/>
  <c r="AE168" i="4"/>
  <c r="D168" i="4" s="1"/>
  <c r="Q168" i="4"/>
  <c r="BO167" i="4"/>
  <c r="BG167" i="4"/>
  <c r="AS167" i="4"/>
  <c r="AE167" i="4"/>
  <c r="Q167" i="4"/>
  <c r="D167" i="4"/>
  <c r="BO166" i="4"/>
  <c r="BG166" i="4"/>
  <c r="AS166" i="4"/>
  <c r="AE166" i="4"/>
  <c r="D166" i="4" s="1"/>
  <c r="Q166" i="4"/>
  <c r="BO165" i="4"/>
  <c r="BG165" i="4"/>
  <c r="D165" i="4" s="1"/>
  <c r="AS165" i="4"/>
  <c r="AE165" i="4"/>
  <c r="Q165" i="4"/>
  <c r="BO164" i="4"/>
  <c r="BG164" i="4"/>
  <c r="AS164" i="4"/>
  <c r="AE164" i="4"/>
  <c r="D164" i="4" s="1"/>
  <c r="Q164" i="4"/>
  <c r="BO163" i="4"/>
  <c r="BG163" i="4"/>
  <c r="AS163" i="4"/>
  <c r="AE163" i="4"/>
  <c r="Q163" i="4"/>
  <c r="D163" i="4"/>
  <c r="BO162" i="4"/>
  <c r="BG162" i="4"/>
  <c r="AS162" i="4"/>
  <c r="AE162" i="4"/>
  <c r="D162" i="4" s="1"/>
  <c r="Q162" i="4"/>
  <c r="BO161" i="4"/>
  <c r="BG161" i="4"/>
  <c r="AS161" i="4"/>
  <c r="AE161" i="4"/>
  <c r="D161" i="4" s="1"/>
  <c r="Q161" i="4"/>
  <c r="BO160" i="4"/>
  <c r="BG160" i="4"/>
  <c r="AS160" i="4"/>
  <c r="AE160" i="4"/>
  <c r="Q160" i="4"/>
  <c r="D160" i="4"/>
  <c r="BO159" i="4"/>
  <c r="BG159" i="4"/>
  <c r="D159" i="4" s="1"/>
  <c r="AS159" i="4"/>
  <c r="AE159" i="4"/>
  <c r="Q159" i="4"/>
  <c r="BO158" i="4"/>
  <c r="BG158" i="4"/>
  <c r="AS158" i="4"/>
  <c r="AE158" i="4"/>
  <c r="D158" i="4" s="1"/>
  <c r="Q158" i="4"/>
  <c r="BO157" i="4"/>
  <c r="BG157" i="4"/>
  <c r="AS157" i="4"/>
  <c r="AE157" i="4"/>
  <c r="D157" i="4" s="1"/>
  <c r="Q157" i="4"/>
  <c r="BO156" i="4"/>
  <c r="BG156" i="4"/>
  <c r="AS156" i="4"/>
  <c r="AE156" i="4"/>
  <c r="Q156" i="4"/>
  <c r="D156" i="4" s="1"/>
  <c r="BO155" i="4"/>
  <c r="BG155" i="4"/>
  <c r="AS155" i="4"/>
  <c r="AE155" i="4"/>
  <c r="Q155" i="4"/>
  <c r="D155" i="4" s="1"/>
  <c r="BO154" i="4"/>
  <c r="BG154" i="4"/>
  <c r="AS154" i="4"/>
  <c r="D154" i="4" s="1"/>
  <c r="AE154" i="4"/>
  <c r="Q154" i="4"/>
  <c r="BO153" i="4"/>
  <c r="BG153" i="4"/>
  <c r="AS153" i="4"/>
  <c r="AE153" i="4"/>
  <c r="Q153" i="4"/>
  <c r="D153" i="4" s="1"/>
  <c r="BO152" i="4"/>
  <c r="BG152" i="4"/>
  <c r="AS152" i="4"/>
  <c r="AE152" i="4"/>
  <c r="Q152" i="4"/>
  <c r="D152" i="4" s="1"/>
  <c r="BO151" i="4"/>
  <c r="BG151" i="4"/>
  <c r="AS151" i="4"/>
  <c r="AE151" i="4"/>
  <c r="Q151" i="4"/>
  <c r="D151" i="4" s="1"/>
  <c r="BO150" i="4"/>
  <c r="BG150" i="4"/>
  <c r="AS150" i="4"/>
  <c r="D150" i="4" s="1"/>
  <c r="AE150" i="4"/>
  <c r="Q150" i="4"/>
  <c r="BO149" i="4"/>
  <c r="BG149" i="4"/>
  <c r="AS149" i="4"/>
  <c r="AE149" i="4"/>
  <c r="Q149" i="4"/>
  <c r="D149" i="4" s="1"/>
  <c r="BO148" i="4"/>
  <c r="BG148" i="4"/>
  <c r="AS148" i="4"/>
  <c r="AE148" i="4"/>
  <c r="Q148" i="4"/>
  <c r="D148" i="4"/>
  <c r="BO147" i="4"/>
  <c r="BG147" i="4"/>
  <c r="AS147" i="4"/>
  <c r="AE147" i="4"/>
  <c r="Q147" i="4"/>
  <c r="D147" i="4" s="1"/>
  <c r="BO146" i="4"/>
  <c r="BG146" i="4"/>
  <c r="AS146" i="4"/>
  <c r="D146" i="4" s="1"/>
  <c r="AE146" i="4"/>
  <c r="Q146" i="4"/>
  <c r="BO145" i="4"/>
  <c r="BG145" i="4"/>
  <c r="AS145" i="4"/>
  <c r="AE145" i="4"/>
  <c r="Q145" i="4"/>
  <c r="D145" i="4" s="1"/>
  <c r="BO144" i="4"/>
  <c r="BG144" i="4"/>
  <c r="AS144" i="4"/>
  <c r="AE144" i="4"/>
  <c r="Q144" i="4"/>
  <c r="D144" i="4"/>
  <c r="BO143" i="4"/>
  <c r="BG143" i="4"/>
  <c r="AS143" i="4"/>
  <c r="AE143" i="4"/>
  <c r="Q143" i="4"/>
  <c r="D143" i="4" s="1"/>
  <c r="BO142" i="4"/>
  <c r="BG142" i="4"/>
  <c r="AS142" i="4"/>
  <c r="D142" i="4" s="1"/>
  <c r="AE142" i="4"/>
  <c r="Q142" i="4"/>
  <c r="BO141" i="4"/>
  <c r="BG141" i="4"/>
  <c r="AS141" i="4"/>
  <c r="AE141" i="4"/>
  <c r="Q141" i="4"/>
  <c r="D141" i="4" s="1"/>
  <c r="BO140" i="4"/>
  <c r="BG140" i="4"/>
  <c r="AS140" i="4"/>
  <c r="AE140" i="4"/>
  <c r="Q140" i="4"/>
  <c r="D140" i="4"/>
  <c r="BO139" i="4"/>
  <c r="BG139" i="4"/>
  <c r="AS139" i="4"/>
  <c r="AE139" i="4"/>
  <c r="Q139" i="4"/>
  <c r="D139" i="4" s="1"/>
  <c r="BO138" i="4"/>
  <c r="BG138" i="4"/>
  <c r="AS138" i="4"/>
  <c r="D138" i="4" s="1"/>
  <c r="AE138" i="4"/>
  <c r="Q138" i="4"/>
  <c r="BO137" i="4"/>
  <c r="BG137" i="4"/>
  <c r="AS137" i="4"/>
  <c r="AE137" i="4"/>
  <c r="Q137" i="4"/>
  <c r="D137" i="4" s="1"/>
  <c r="BO136" i="4"/>
  <c r="BG136" i="4"/>
  <c r="AS136" i="4"/>
  <c r="AE136" i="4"/>
  <c r="Q136" i="4"/>
  <c r="D136" i="4"/>
  <c r="BO135" i="4"/>
  <c r="BG135" i="4"/>
  <c r="AS135" i="4"/>
  <c r="AE135" i="4"/>
  <c r="Q135" i="4"/>
  <c r="D135" i="4" s="1"/>
  <c r="BO134" i="4"/>
  <c r="BG134" i="4"/>
  <c r="AS134" i="4"/>
  <c r="D134" i="4" s="1"/>
  <c r="AE134" i="4"/>
  <c r="Q134" i="4"/>
  <c r="BO133" i="4"/>
  <c r="BG133" i="4"/>
  <c r="AS133" i="4"/>
  <c r="AE133" i="4"/>
  <c r="Q133" i="4"/>
  <c r="D133" i="4" s="1"/>
  <c r="BO132" i="4"/>
  <c r="BG132" i="4"/>
  <c r="AS132" i="4"/>
  <c r="AE132" i="4"/>
  <c r="Q132" i="4"/>
  <c r="D132" i="4"/>
  <c r="BO131" i="4"/>
  <c r="BG131" i="4"/>
  <c r="AS131" i="4"/>
  <c r="AE131" i="4"/>
  <c r="Q131" i="4"/>
  <c r="D131" i="4" s="1"/>
  <c r="BO130" i="4"/>
  <c r="BG130" i="4"/>
  <c r="D130" i="4" s="1"/>
  <c r="AS130" i="4"/>
  <c r="AE130" i="4"/>
  <c r="Q130" i="4"/>
  <c r="BO129" i="4"/>
  <c r="BG129" i="4"/>
  <c r="AS129" i="4"/>
  <c r="AE129" i="4"/>
  <c r="Q129" i="4"/>
  <c r="D129" i="4" s="1"/>
  <c r="BO128" i="4"/>
  <c r="BG128" i="4"/>
  <c r="AS128" i="4"/>
  <c r="AE128" i="4"/>
  <c r="Q128" i="4"/>
  <c r="D128" i="4"/>
  <c r="BO127" i="4"/>
  <c r="BG127" i="4"/>
  <c r="AS127" i="4"/>
  <c r="AE127" i="4"/>
  <c r="Q127" i="4"/>
  <c r="D127" i="4" s="1"/>
  <c r="BO126" i="4"/>
  <c r="BG126" i="4"/>
  <c r="D126" i="4" s="1"/>
  <c r="AS126" i="4"/>
  <c r="AE126" i="4"/>
  <c r="Q126" i="4"/>
  <c r="BO125" i="4"/>
  <c r="BG125" i="4"/>
  <c r="AS125" i="4"/>
  <c r="AE125" i="4"/>
  <c r="Q125" i="4"/>
  <c r="D125" i="4" s="1"/>
  <c r="BO124" i="4"/>
  <c r="BG124" i="4"/>
  <c r="AS124" i="4"/>
  <c r="AE124" i="4"/>
  <c r="Q124" i="4"/>
  <c r="D124" i="4"/>
  <c r="BO123" i="4"/>
  <c r="BG123" i="4"/>
  <c r="AS123" i="4"/>
  <c r="AE123" i="4"/>
  <c r="Q123" i="4"/>
  <c r="D123" i="4" s="1"/>
  <c r="BO122" i="4"/>
  <c r="BG122" i="4"/>
  <c r="D122" i="4" s="1"/>
  <c r="AS122" i="4"/>
  <c r="AE122" i="4"/>
  <c r="Q122" i="4"/>
  <c r="BO121" i="4"/>
  <c r="BG121" i="4"/>
  <c r="AS121" i="4"/>
  <c r="AE121" i="4"/>
  <c r="Q121" i="4"/>
  <c r="D121" i="4" s="1"/>
  <c r="BO120" i="4"/>
  <c r="BG120" i="4"/>
  <c r="AS120" i="4"/>
  <c r="AE120" i="4"/>
  <c r="Q120" i="4"/>
  <c r="D120" i="4"/>
  <c r="BO119" i="4"/>
  <c r="BG119" i="4"/>
  <c r="AS119" i="4"/>
  <c r="AE119" i="4"/>
  <c r="Q119" i="4"/>
  <c r="D119" i="4" s="1"/>
  <c r="BO118" i="4"/>
  <c r="BG118" i="4"/>
  <c r="D118" i="4" s="1"/>
  <c r="AS118" i="4"/>
  <c r="AE118" i="4"/>
  <c r="Q118" i="4"/>
  <c r="BO117" i="4"/>
  <c r="BG117" i="4"/>
  <c r="AS117" i="4"/>
  <c r="AE117" i="4"/>
  <c r="Q117" i="4"/>
  <c r="D117" i="4" s="1"/>
  <c r="BO116" i="4"/>
  <c r="BG116" i="4"/>
  <c r="AS116" i="4"/>
  <c r="AE116" i="4"/>
  <c r="Q116" i="4"/>
  <c r="D116" i="4"/>
  <c r="BO115" i="4"/>
  <c r="BG115" i="4"/>
  <c r="AS115" i="4"/>
  <c r="AE115" i="4"/>
  <c r="Q115" i="4"/>
  <c r="D115" i="4" s="1"/>
  <c r="BO114" i="4"/>
  <c r="BG114" i="4"/>
  <c r="D114" i="4" s="1"/>
  <c r="AS114" i="4"/>
  <c r="AE114" i="4"/>
  <c r="Q114" i="4"/>
  <c r="BO113" i="4"/>
  <c r="BG113" i="4"/>
  <c r="AS113" i="4"/>
  <c r="AE113" i="4"/>
  <c r="Q113" i="4"/>
  <c r="D113" i="4" s="1"/>
  <c r="BO112" i="4"/>
  <c r="BG112" i="4"/>
  <c r="AS112" i="4"/>
  <c r="AE112" i="4"/>
  <c r="Q112" i="4"/>
  <c r="D112" i="4"/>
  <c r="BO111" i="4"/>
  <c r="BG111" i="4"/>
  <c r="AS111" i="4"/>
  <c r="AE111" i="4"/>
  <c r="Q111" i="4"/>
  <c r="D111" i="4" s="1"/>
  <c r="BO110" i="4"/>
  <c r="BG110" i="4"/>
  <c r="D110" i="4" s="1"/>
  <c r="AS110" i="4"/>
  <c r="AE110" i="4"/>
  <c r="Q110" i="4"/>
  <c r="BO109" i="4"/>
  <c r="BG109" i="4"/>
  <c r="AS109" i="4"/>
  <c r="AE109" i="4"/>
  <c r="Q109" i="4"/>
  <c r="D109" i="4" s="1"/>
  <c r="BO108" i="4"/>
  <c r="BG108" i="4"/>
  <c r="AS108" i="4"/>
  <c r="AE108" i="4"/>
  <c r="Q108" i="4"/>
  <c r="D108" i="4"/>
  <c r="BO107" i="4"/>
  <c r="BG107" i="4"/>
  <c r="AS107" i="4"/>
  <c r="AE107" i="4"/>
  <c r="Q107" i="4"/>
  <c r="D107" i="4" s="1"/>
  <c r="BO106" i="4"/>
  <c r="BG106" i="4"/>
  <c r="D106" i="4" s="1"/>
  <c r="AS106" i="4"/>
  <c r="AE106" i="4"/>
  <c r="Q106" i="4"/>
  <c r="BO105" i="4"/>
  <c r="BG105" i="4"/>
  <c r="AS105" i="4"/>
  <c r="AE105" i="4"/>
  <c r="Q105" i="4"/>
  <c r="D105" i="4" s="1"/>
  <c r="BO104" i="4"/>
  <c r="BG104" i="4"/>
  <c r="AS104" i="4"/>
  <c r="AE104" i="4"/>
  <c r="Q104" i="4"/>
  <c r="D104" i="4"/>
  <c r="BO103" i="4"/>
  <c r="BG103" i="4"/>
  <c r="AS103" i="4"/>
  <c r="AE103" i="4"/>
  <c r="Q103" i="4"/>
  <c r="D103" i="4" s="1"/>
  <c r="BO102" i="4"/>
  <c r="BG102" i="4"/>
  <c r="D102" i="4" s="1"/>
  <c r="AS102" i="4"/>
  <c r="AE102" i="4"/>
  <c r="Q102" i="4"/>
  <c r="BO101" i="4"/>
  <c r="BG101" i="4"/>
  <c r="AS101" i="4"/>
  <c r="AE101" i="4"/>
  <c r="Q101" i="4"/>
  <c r="D101" i="4" s="1"/>
  <c r="BO100" i="4"/>
  <c r="BG100" i="4"/>
  <c r="AS100" i="4"/>
  <c r="AE100" i="4"/>
  <c r="Q100" i="4"/>
  <c r="D100" i="4"/>
  <c r="BO99" i="4"/>
  <c r="BG99" i="4"/>
  <c r="AS99" i="4"/>
  <c r="AE99" i="4"/>
  <c r="Q99" i="4"/>
  <c r="D99" i="4" s="1"/>
  <c r="BO98" i="4"/>
  <c r="BG98" i="4"/>
  <c r="D98" i="4" s="1"/>
  <c r="AS98" i="4"/>
  <c r="AE98" i="4"/>
  <c r="Q98" i="4"/>
  <c r="BO97" i="4"/>
  <c r="BG97" i="4"/>
  <c r="AS97" i="4"/>
  <c r="AE97" i="4"/>
  <c r="Q97" i="4"/>
  <c r="D97" i="4" s="1"/>
  <c r="BO96" i="4"/>
  <c r="BG96" i="4"/>
  <c r="AS96" i="4"/>
  <c r="AE96" i="4"/>
  <c r="Q96" i="4"/>
  <c r="D96" i="4"/>
  <c r="BO95" i="4"/>
  <c r="BG95" i="4"/>
  <c r="AS95" i="4"/>
  <c r="AE95" i="4"/>
  <c r="Q95" i="4"/>
  <c r="D95" i="4" s="1"/>
  <c r="BO94" i="4"/>
  <c r="BG94" i="4"/>
  <c r="D94" i="4" s="1"/>
  <c r="AS94" i="4"/>
  <c r="AE94" i="4"/>
  <c r="Q94" i="4"/>
  <c r="BO93" i="4"/>
  <c r="BG93" i="4"/>
  <c r="AS93" i="4"/>
  <c r="AE93" i="4"/>
  <c r="Q93" i="4"/>
  <c r="D93" i="4" s="1"/>
  <c r="BO92" i="4"/>
  <c r="BG92" i="4"/>
  <c r="AS92" i="4"/>
  <c r="AE92" i="4"/>
  <c r="Q92" i="4"/>
  <c r="D92" i="4"/>
  <c r="BO91" i="4"/>
  <c r="BG91" i="4"/>
  <c r="AS91" i="4"/>
  <c r="AE91" i="4"/>
  <c r="Q91" i="4"/>
  <c r="D91" i="4" s="1"/>
  <c r="BO90" i="4"/>
  <c r="BG90" i="4"/>
  <c r="D90" i="4" s="1"/>
  <c r="AS90" i="4"/>
  <c r="AE90" i="4"/>
  <c r="Q90" i="4"/>
  <c r="BO89" i="4"/>
  <c r="BG89" i="4"/>
  <c r="AS89" i="4"/>
  <c r="AE89" i="4"/>
  <c r="Q89" i="4"/>
  <c r="D89" i="4" s="1"/>
  <c r="BO88" i="4"/>
  <c r="BG88" i="4"/>
  <c r="AS88" i="4"/>
  <c r="AE88" i="4"/>
  <c r="Q88" i="4"/>
  <c r="D88" i="4"/>
  <c r="BO87" i="4"/>
  <c r="BG87" i="4"/>
  <c r="AS87" i="4"/>
  <c r="AE87" i="4"/>
  <c r="Q87" i="4"/>
  <c r="D87" i="4" s="1"/>
  <c r="BO86" i="4"/>
  <c r="BG86" i="4"/>
  <c r="D86" i="4" s="1"/>
  <c r="AS86" i="4"/>
  <c r="AE86" i="4"/>
  <c r="Q86" i="4"/>
  <c r="BO85" i="4"/>
  <c r="BG85" i="4"/>
  <c r="AS85" i="4"/>
  <c r="AE85" i="4"/>
  <c r="Q85" i="4"/>
  <c r="D85" i="4" s="1"/>
  <c r="BO84" i="4"/>
  <c r="BG84" i="4"/>
  <c r="AS84" i="4"/>
  <c r="AE84" i="4"/>
  <c r="Q84" i="4"/>
  <c r="D84" i="4"/>
  <c r="BO83" i="4"/>
  <c r="BG83" i="4"/>
  <c r="AS83" i="4"/>
  <c r="AE83" i="4"/>
  <c r="Q83" i="4"/>
  <c r="D83" i="4" s="1"/>
  <c r="BO82" i="4"/>
  <c r="BG82" i="4"/>
  <c r="D82" i="4" s="1"/>
  <c r="AS82" i="4"/>
  <c r="AE82" i="4"/>
  <c r="Q82" i="4"/>
  <c r="BO81" i="4"/>
  <c r="BG81" i="4"/>
  <c r="AS81" i="4"/>
  <c r="AE81" i="4"/>
  <c r="Q81" i="4"/>
  <c r="D81" i="4" s="1"/>
  <c r="BO80" i="4"/>
  <c r="BG80" i="4"/>
  <c r="AS80" i="4"/>
  <c r="AE80" i="4"/>
  <c r="Q80" i="4"/>
  <c r="D80" i="4"/>
  <c r="BO79" i="4"/>
  <c r="BG79" i="4"/>
  <c r="AS79" i="4"/>
  <c r="AE79" i="4"/>
  <c r="Q79" i="4"/>
  <c r="D79" i="4" s="1"/>
  <c r="BO78" i="4"/>
  <c r="BG78" i="4"/>
  <c r="D78" i="4" s="1"/>
  <c r="AS78" i="4"/>
  <c r="AE78" i="4"/>
  <c r="Q78" i="4"/>
  <c r="BO77" i="4"/>
  <c r="BG77" i="4"/>
  <c r="AS77" i="4"/>
  <c r="AE77" i="4"/>
  <c r="Q77" i="4"/>
  <c r="D77" i="4" s="1"/>
  <c r="BO76" i="4"/>
  <c r="BG76" i="4"/>
  <c r="AS76" i="4"/>
  <c r="AE76" i="4"/>
  <c r="Q76" i="4"/>
  <c r="D76" i="4" s="1"/>
  <c r="BO75" i="4"/>
  <c r="BG75" i="4"/>
  <c r="AS75" i="4"/>
  <c r="D75" i="4" s="1"/>
  <c r="AE75" i="4"/>
  <c r="Q75" i="4"/>
  <c r="BO74" i="4"/>
  <c r="BG74" i="4"/>
  <c r="AS74" i="4"/>
  <c r="AE74" i="4"/>
  <c r="Q74" i="4"/>
  <c r="D74" i="4"/>
  <c r="BO73" i="4"/>
  <c r="BG73" i="4"/>
  <c r="AS73" i="4"/>
  <c r="AE73" i="4"/>
  <c r="Q73" i="4"/>
  <c r="D73" i="4" s="1"/>
  <c r="BO72" i="4"/>
  <c r="BG72" i="4"/>
  <c r="AS72" i="4"/>
  <c r="AE72" i="4"/>
  <c r="Q72" i="4"/>
  <c r="D72" i="4" s="1"/>
  <c r="BO71" i="4"/>
  <c r="BG71" i="4"/>
  <c r="AS71" i="4"/>
  <c r="AE71" i="4"/>
  <c r="D71" i="4" s="1"/>
  <c r="Q71" i="4"/>
  <c r="BO70" i="4"/>
  <c r="BG70" i="4"/>
  <c r="D70" i="4" s="1"/>
  <c r="AS70" i="4"/>
  <c r="AE70" i="4"/>
  <c r="Q70" i="4"/>
  <c r="BO69" i="4"/>
  <c r="BG69" i="4"/>
  <c r="AS69" i="4"/>
  <c r="AE69" i="4"/>
  <c r="Q69" i="4"/>
  <c r="D69" i="4" s="1"/>
  <c r="BO68" i="4"/>
  <c r="BG68" i="4"/>
  <c r="AS68" i="4"/>
  <c r="AE68" i="4"/>
  <c r="D68" i="4" s="1"/>
  <c r="Q68" i="4"/>
  <c r="BO67" i="4"/>
  <c r="BG67" i="4"/>
  <c r="AS67" i="4"/>
  <c r="AE67" i="4"/>
  <c r="Q67" i="4"/>
  <c r="D67" i="4" s="1"/>
  <c r="BO66" i="4"/>
  <c r="BG66" i="4"/>
  <c r="AS66" i="4"/>
  <c r="D66" i="4" s="1"/>
  <c r="AE66" i="4"/>
  <c r="Q66" i="4"/>
  <c r="BO65" i="4"/>
  <c r="BG65" i="4"/>
  <c r="AS65" i="4"/>
  <c r="D65" i="4" s="1"/>
  <c r="AE65" i="4"/>
  <c r="Q65" i="4"/>
  <c r="BO64" i="4"/>
  <c r="BG64" i="4"/>
  <c r="AS64" i="4"/>
  <c r="D64" i="4" s="1"/>
  <c r="AE64" i="4"/>
  <c r="Q64" i="4"/>
  <c r="BO63" i="4"/>
  <c r="BG63" i="4"/>
  <c r="AS63" i="4"/>
  <c r="AE63" i="4"/>
  <c r="Q63" i="4"/>
  <c r="D63" i="4"/>
  <c r="BO62" i="4"/>
  <c r="BG62" i="4"/>
  <c r="AS62" i="4"/>
  <c r="AE62" i="4"/>
  <c r="Q62" i="4"/>
  <c r="D62" i="4" s="1"/>
  <c r="BO61" i="4"/>
  <c r="BG61" i="4"/>
  <c r="AS61" i="4"/>
  <c r="AE61" i="4"/>
  <c r="Q61" i="4"/>
  <c r="D61" i="4" s="1"/>
  <c r="BO60" i="4"/>
  <c r="BG60" i="4"/>
  <c r="AS60" i="4"/>
  <c r="AE60" i="4"/>
  <c r="D60" i="4" s="1"/>
  <c r="Q60" i="4"/>
  <c r="BO59" i="4"/>
  <c r="BG59" i="4"/>
  <c r="D59" i="4" s="1"/>
  <c r="AS59" i="4"/>
  <c r="AE59" i="4"/>
  <c r="Q59" i="4"/>
  <c r="BO58" i="4"/>
  <c r="BG58" i="4"/>
  <c r="AS58" i="4"/>
  <c r="AE58" i="4"/>
  <c r="Q58" i="4"/>
  <c r="D58" i="4" s="1"/>
  <c r="BO57" i="4"/>
  <c r="BG57" i="4"/>
  <c r="AS57" i="4"/>
  <c r="AE57" i="4"/>
  <c r="Q57" i="4"/>
  <c r="D57" i="4" s="1"/>
  <c r="BO56" i="4"/>
  <c r="BG56" i="4"/>
  <c r="AS56" i="4"/>
  <c r="D56" i="4" s="1"/>
  <c r="AE56" i="4"/>
  <c r="Q56" i="4"/>
  <c r="BO55" i="4"/>
  <c r="BG55" i="4"/>
  <c r="AS55" i="4"/>
  <c r="AE55" i="4"/>
  <c r="Q55" i="4"/>
  <c r="D55" i="4"/>
  <c r="BO54" i="4"/>
  <c r="BG54" i="4"/>
  <c r="AS54" i="4"/>
  <c r="AE54" i="4"/>
  <c r="Q54" i="4"/>
  <c r="D54" i="4" s="1"/>
  <c r="BO53" i="4"/>
  <c r="BG53" i="4"/>
  <c r="D53" i="4" s="1"/>
  <c r="AS53" i="4"/>
  <c r="AE53" i="4"/>
  <c r="Q53" i="4"/>
  <c r="BO52" i="4"/>
  <c r="BG52" i="4"/>
  <c r="AS52" i="4"/>
  <c r="AE52" i="4"/>
  <c r="Q52" i="4"/>
  <c r="D52" i="4" s="1"/>
  <c r="BO51" i="4"/>
  <c r="BG51" i="4"/>
  <c r="AS51" i="4"/>
  <c r="D51" i="4" s="1"/>
  <c r="AE51" i="4"/>
  <c r="Q51" i="4"/>
  <c r="BO50" i="4"/>
  <c r="BG50" i="4"/>
  <c r="D50" i="4" s="1"/>
  <c r="AS50" i="4"/>
  <c r="AE50" i="4"/>
  <c r="Q50" i="4"/>
  <c r="BO49" i="4"/>
  <c r="BG49" i="4"/>
  <c r="AS49" i="4"/>
  <c r="AE49" i="4"/>
  <c r="Q49" i="4"/>
  <c r="D49" i="4" s="1"/>
  <c r="BO48" i="4"/>
  <c r="BG48" i="4"/>
  <c r="AS48" i="4"/>
  <c r="AE48" i="4"/>
  <c r="Q48" i="4"/>
  <c r="D48" i="4" s="1"/>
  <c r="BO47" i="4"/>
  <c r="BG47" i="4"/>
  <c r="AS47" i="4"/>
  <c r="D47" i="4" s="1"/>
  <c r="AE47" i="4"/>
  <c r="Q47" i="4"/>
  <c r="BO46" i="4"/>
  <c r="BG46" i="4"/>
  <c r="AS46" i="4"/>
  <c r="AE46" i="4"/>
  <c r="Q46" i="4"/>
  <c r="D46" i="4"/>
  <c r="BO45" i="4"/>
  <c r="BG45" i="4"/>
  <c r="AS45" i="4"/>
  <c r="AE45" i="4"/>
  <c r="Q45" i="4"/>
  <c r="D45" i="4" s="1"/>
  <c r="BO44" i="4"/>
  <c r="BG44" i="4"/>
  <c r="AS44" i="4"/>
  <c r="AE44" i="4"/>
  <c r="Q44" i="4"/>
  <c r="D44" i="4" s="1"/>
  <c r="BO43" i="4"/>
  <c r="BG43" i="4"/>
  <c r="AS43" i="4"/>
  <c r="D43" i="4" s="1"/>
  <c r="AE43" i="4"/>
  <c r="Q43" i="4"/>
  <c r="BO42" i="4"/>
  <c r="BG42" i="4"/>
  <c r="AS42" i="4"/>
  <c r="AE42" i="4"/>
  <c r="Q42" i="4"/>
  <c r="D42" i="4"/>
  <c r="BO41" i="4"/>
  <c r="BG41" i="4"/>
  <c r="AS41" i="4"/>
  <c r="AE41" i="4"/>
  <c r="Q41" i="4"/>
  <c r="D41" i="4" s="1"/>
  <c r="BO40" i="4"/>
  <c r="BG40" i="4"/>
  <c r="AS40" i="4"/>
  <c r="D40" i="4" s="1"/>
  <c r="AE40" i="4"/>
  <c r="Q40" i="4"/>
  <c r="BO39" i="4"/>
  <c r="BG39" i="4"/>
  <c r="AS39" i="4"/>
  <c r="AE39" i="4"/>
  <c r="Q39" i="4"/>
  <c r="D39" i="4" s="1"/>
  <c r="BO38" i="4"/>
  <c r="BG38" i="4"/>
  <c r="AS38" i="4"/>
  <c r="D38" i="4" s="1"/>
  <c r="AE38" i="4"/>
  <c r="Q38" i="4"/>
  <c r="BO37" i="4"/>
  <c r="BG37" i="4"/>
  <c r="AS37" i="4"/>
  <c r="D37" i="4" s="1"/>
  <c r="AE37" i="4"/>
  <c r="Q37" i="4"/>
  <c r="BO36" i="4"/>
  <c r="BG36" i="4"/>
  <c r="AS36" i="4"/>
  <c r="D36" i="4" s="1"/>
  <c r="AE36" i="4"/>
  <c r="Q36" i="4"/>
  <c r="BO35" i="4"/>
  <c r="BG35" i="4"/>
  <c r="AS35" i="4"/>
  <c r="AE35" i="4"/>
  <c r="Q35" i="4"/>
  <c r="D35" i="4"/>
  <c r="BO34" i="4"/>
  <c r="BG34" i="4"/>
  <c r="AS34" i="4"/>
  <c r="AE34" i="4"/>
  <c r="Q34" i="4"/>
  <c r="D34" i="4" s="1"/>
  <c r="BO33" i="4"/>
  <c r="BG33" i="4"/>
  <c r="AS33" i="4"/>
  <c r="AE33" i="4"/>
  <c r="Q33" i="4"/>
  <c r="D33" i="4" s="1"/>
  <c r="BO32" i="4"/>
  <c r="BG32" i="4"/>
  <c r="AS32" i="4"/>
  <c r="D32" i="4" s="1"/>
  <c r="AE32" i="4"/>
  <c r="Q32" i="4"/>
  <c r="BO31" i="4"/>
  <c r="BG31" i="4"/>
  <c r="AS31" i="4"/>
  <c r="AE31" i="4"/>
  <c r="Q31" i="4"/>
  <c r="D31" i="4"/>
  <c r="BO30" i="4"/>
  <c r="BG30" i="4"/>
  <c r="AS30" i="4"/>
  <c r="AE30" i="4"/>
  <c r="Q30" i="4"/>
  <c r="D30" i="4" s="1"/>
  <c r="BO29" i="4"/>
  <c r="BG29" i="4"/>
  <c r="AS29" i="4"/>
  <c r="AE29" i="4"/>
  <c r="Q29" i="4"/>
  <c r="D29" i="4" s="1"/>
  <c r="BO28" i="4"/>
  <c r="BG28" i="4"/>
  <c r="AS28" i="4"/>
  <c r="D28" i="4" s="1"/>
  <c r="AE28" i="4"/>
  <c r="Q28" i="4"/>
  <c r="BO27" i="4"/>
  <c r="BG27" i="4"/>
  <c r="AS27" i="4"/>
  <c r="AE27" i="4"/>
  <c r="Q27" i="4"/>
  <c r="D27" i="4"/>
  <c r="BO26" i="4"/>
  <c r="BG26" i="4"/>
  <c r="AS26" i="4"/>
  <c r="AE26" i="4"/>
  <c r="Q26" i="4"/>
  <c r="D26" i="4" s="1"/>
  <c r="BO25" i="4"/>
  <c r="BG25" i="4"/>
  <c r="AS25" i="4"/>
  <c r="AE25" i="4"/>
  <c r="Q25" i="4"/>
  <c r="D25" i="4"/>
  <c r="BO24" i="4"/>
  <c r="BG24" i="4"/>
  <c r="AS24" i="4"/>
  <c r="AE24" i="4"/>
  <c r="Q24" i="4"/>
  <c r="D24" i="4" s="1"/>
  <c r="BO23" i="4"/>
  <c r="BG23" i="4"/>
  <c r="AS23" i="4"/>
  <c r="D23" i="4" s="1"/>
  <c r="AE23" i="4"/>
  <c r="Q23" i="4"/>
  <c r="BO22" i="4"/>
  <c r="BG22" i="4"/>
  <c r="AS22" i="4"/>
  <c r="AE22" i="4"/>
  <c r="Q22" i="4"/>
  <c r="D22" i="4"/>
  <c r="BO21" i="4"/>
  <c r="BG21" i="4"/>
  <c r="AS21" i="4"/>
  <c r="AE21" i="4"/>
  <c r="Q21" i="4"/>
  <c r="D21" i="4" s="1"/>
  <c r="BO20" i="4"/>
  <c r="BG20" i="4"/>
  <c r="AS20" i="4"/>
  <c r="AE20" i="4"/>
  <c r="Q20" i="4"/>
  <c r="D20" i="4" s="1"/>
  <c r="BO19" i="4"/>
  <c r="BG19" i="4"/>
  <c r="AS19" i="4"/>
  <c r="AE19" i="4"/>
  <c r="Q19" i="4"/>
  <c r="D19" i="4" s="1"/>
  <c r="BO18" i="4"/>
  <c r="BG18" i="4"/>
  <c r="AS18" i="4"/>
  <c r="AE18" i="4"/>
  <c r="Q18" i="4"/>
  <c r="D18" i="4"/>
  <c r="BO17" i="4"/>
  <c r="BG17" i="4"/>
  <c r="AS17" i="4"/>
  <c r="AE17" i="4"/>
  <c r="Q17" i="4"/>
  <c r="D17" i="4" s="1"/>
  <c r="BO16" i="4"/>
  <c r="BG16" i="4"/>
  <c r="AS16" i="4"/>
  <c r="AE16" i="4"/>
  <c r="Q16" i="4"/>
  <c r="D16" i="4" s="1"/>
  <c r="BO15" i="4"/>
  <c r="BG15" i="4"/>
  <c r="AS15" i="4"/>
  <c r="AE15" i="4"/>
  <c r="Q15" i="4"/>
  <c r="D15" i="4" s="1"/>
  <c r="BO14" i="4"/>
  <c r="BG14" i="4"/>
  <c r="AS14" i="4"/>
  <c r="AE14" i="4"/>
  <c r="Q14" i="4"/>
  <c r="D14" i="4"/>
  <c r="BO13" i="4"/>
  <c r="BG13" i="4"/>
  <c r="AS13" i="4"/>
  <c r="AE13" i="4"/>
  <c r="Q13" i="4"/>
  <c r="D13" i="4" s="1"/>
  <c r="BO12" i="4"/>
  <c r="BG12" i="4"/>
  <c r="AS12" i="4"/>
  <c r="AE12" i="4"/>
  <c r="Q12" i="4"/>
  <c r="D12" i="4"/>
  <c r="BO11" i="4"/>
  <c r="BG11" i="4"/>
  <c r="AS11" i="4"/>
  <c r="AE11" i="4"/>
  <c r="Q11" i="4"/>
  <c r="D11" i="4" s="1"/>
  <c r="BO10" i="4"/>
  <c r="BG10" i="4"/>
  <c r="D10" i="4" s="1"/>
  <c r="AS10" i="4"/>
  <c r="AE10" i="4"/>
  <c r="Q10" i="4"/>
  <c r="BO9" i="4"/>
  <c r="BG9" i="4"/>
  <c r="AS9" i="4"/>
  <c r="AE9" i="4"/>
  <c r="Q9" i="4"/>
  <c r="D9" i="4" s="1"/>
  <c r="BO8" i="4"/>
  <c r="BG8" i="4"/>
  <c r="AS8" i="4"/>
  <c r="AE8" i="4"/>
  <c r="Q8" i="4"/>
  <c r="D8" i="4"/>
  <c r="BN6" i="4"/>
  <c r="BM6" i="4"/>
  <c r="BL6" i="4"/>
  <c r="BK6" i="4"/>
  <c r="BJ6" i="4"/>
  <c r="BI6" i="4"/>
  <c r="BD6" i="4"/>
  <c r="BC6" i="4"/>
  <c r="BB6" i="4"/>
  <c r="BA6" i="4"/>
  <c r="AZ6" i="4"/>
  <c r="AY6" i="4"/>
  <c r="AX6" i="4"/>
  <c r="AW6" i="4"/>
  <c r="AV6" i="4"/>
  <c r="AU6" i="4"/>
  <c r="AP6" i="4"/>
  <c r="AO6" i="4"/>
  <c r="AN6" i="4"/>
  <c r="AM6" i="4"/>
  <c r="AL6" i="4"/>
  <c r="AK6" i="4"/>
  <c r="AJ6" i="4"/>
  <c r="AI6" i="4"/>
  <c r="AH6" i="4"/>
  <c r="AG6" i="4"/>
  <c r="AB6" i="4"/>
  <c r="AA6" i="4"/>
  <c r="Z6" i="4"/>
  <c r="Y6" i="4"/>
  <c r="X6" i="4"/>
  <c r="W6" i="4"/>
  <c r="V6" i="4"/>
  <c r="U6" i="4"/>
  <c r="T6" i="4"/>
  <c r="S6" i="4"/>
  <c r="N6" i="4"/>
  <c r="M6" i="4"/>
  <c r="L6" i="4"/>
  <c r="K6" i="4"/>
  <c r="J6" i="4"/>
  <c r="I6" i="4"/>
  <c r="H6" i="4"/>
  <c r="G6" i="4"/>
  <c r="F6" i="4"/>
  <c r="E6" i="4"/>
  <c r="BO3" i="4"/>
  <c r="BV7" i="4" s="1"/>
  <c r="BX7" i="4" s="1"/>
  <c r="BY7" i="4" s="1"/>
  <c r="BM3" i="4"/>
  <c r="BK3" i="4"/>
  <c r="BI3" i="4"/>
  <c r="BG3" i="4"/>
  <c r="BE3" i="4"/>
  <c r="BC3" i="4"/>
  <c r="BA3" i="4"/>
  <c r="AY3" i="4"/>
  <c r="AW3" i="4"/>
  <c r="AU3" i="4"/>
  <c r="AS3" i="4"/>
  <c r="BV5" i="4" s="1"/>
  <c r="BX5" i="4" s="1"/>
  <c r="BY5" i="4" s="1"/>
  <c r="AQ3" i="4"/>
  <c r="AO3" i="4"/>
  <c r="AM3" i="4"/>
  <c r="AK3" i="4"/>
  <c r="AI3" i="4"/>
  <c r="AG3" i="4"/>
  <c r="AE3" i="4"/>
  <c r="BV4" i="4" s="1"/>
  <c r="BX4" i="4" s="1"/>
  <c r="BY4" i="4" s="1"/>
  <c r="AC3" i="4"/>
  <c r="AA3" i="4"/>
  <c r="Y3" i="4"/>
  <c r="W3" i="4"/>
  <c r="U3" i="4"/>
  <c r="S3" i="4"/>
  <c r="Q3" i="4"/>
  <c r="O3" i="4"/>
  <c r="BR3" i="4" s="1"/>
  <c r="M3" i="4"/>
  <c r="K3" i="4"/>
  <c r="I3" i="4"/>
  <c r="G3" i="4"/>
  <c r="E3" i="4"/>
  <c r="BY2" i="4"/>
  <c r="BW1" i="4"/>
  <c r="Y465" i="3"/>
  <c r="W465" i="3"/>
  <c r="U465" i="3"/>
  <c r="S465" i="3"/>
  <c r="Q465" i="3"/>
  <c r="L465" i="3"/>
  <c r="K465" i="3"/>
  <c r="I465" i="3"/>
  <c r="Y464" i="3"/>
  <c r="W464" i="3"/>
  <c r="U464" i="3"/>
  <c r="S464" i="3"/>
  <c r="Q464" i="3"/>
  <c r="L464" i="3"/>
  <c r="K464" i="3"/>
  <c r="I464" i="3"/>
  <c r="Y463" i="3"/>
  <c r="W463" i="3"/>
  <c r="U463" i="3"/>
  <c r="S463" i="3"/>
  <c r="Q463" i="3"/>
  <c r="L463" i="3"/>
  <c r="K463" i="3"/>
  <c r="I463" i="3"/>
  <c r="Y462" i="3"/>
  <c r="W462" i="3"/>
  <c r="U462" i="3"/>
  <c r="S462" i="3"/>
  <c r="Q462" i="3"/>
  <c r="L462" i="3"/>
  <c r="K462" i="3"/>
  <c r="I462" i="3"/>
  <c r="Y461" i="3"/>
  <c r="W461" i="3"/>
  <c r="U461" i="3"/>
  <c r="S461" i="3"/>
  <c r="Q461" i="3"/>
  <c r="L461" i="3"/>
  <c r="K461" i="3"/>
  <c r="I461" i="3"/>
  <c r="Y460" i="3"/>
  <c r="W460" i="3"/>
  <c r="U460" i="3"/>
  <c r="S460" i="3"/>
  <c r="Q460" i="3"/>
  <c r="L460" i="3"/>
  <c r="K460" i="3"/>
  <c r="I460" i="3"/>
  <c r="Y459" i="3"/>
  <c r="W459" i="3"/>
  <c r="U459" i="3"/>
  <c r="S459" i="3"/>
  <c r="Q459" i="3"/>
  <c r="L459" i="3"/>
  <c r="K459" i="3"/>
  <c r="I459" i="3"/>
  <c r="Y458" i="3"/>
  <c r="W458" i="3"/>
  <c r="U458" i="3"/>
  <c r="S458" i="3"/>
  <c r="Q458" i="3"/>
  <c r="L458" i="3"/>
  <c r="K458" i="3"/>
  <c r="I458" i="3"/>
  <c r="Y457" i="3"/>
  <c r="W457" i="3"/>
  <c r="U457" i="3"/>
  <c r="S457" i="3"/>
  <c r="Q457" i="3"/>
  <c r="L457" i="3"/>
  <c r="K457" i="3"/>
  <c r="I457" i="3"/>
  <c r="Y456" i="3"/>
  <c r="W456" i="3"/>
  <c r="U456" i="3"/>
  <c r="S456" i="3"/>
  <c r="Q456" i="3"/>
  <c r="L456" i="3"/>
  <c r="K456" i="3"/>
  <c r="I456" i="3"/>
  <c r="Y455" i="3"/>
  <c r="W455" i="3"/>
  <c r="U455" i="3"/>
  <c r="S455" i="3"/>
  <c r="Q455" i="3"/>
  <c r="L455" i="3"/>
  <c r="K455" i="3"/>
  <c r="I455" i="3"/>
  <c r="Y454" i="3"/>
  <c r="W454" i="3"/>
  <c r="U454" i="3"/>
  <c r="S454" i="3"/>
  <c r="Q454" i="3"/>
  <c r="L454" i="3"/>
  <c r="K454" i="3"/>
  <c r="I454" i="3"/>
  <c r="Y453" i="3"/>
  <c r="W453" i="3"/>
  <c r="U453" i="3"/>
  <c r="S453" i="3"/>
  <c r="Q453" i="3"/>
  <c r="L453" i="3"/>
  <c r="K453" i="3"/>
  <c r="I453" i="3"/>
  <c r="Y452" i="3"/>
  <c r="W452" i="3"/>
  <c r="U452" i="3"/>
  <c r="S452" i="3"/>
  <c r="Q452" i="3"/>
  <c r="L452" i="3"/>
  <c r="K452" i="3"/>
  <c r="I452" i="3"/>
  <c r="Y451" i="3"/>
  <c r="W451" i="3"/>
  <c r="U451" i="3"/>
  <c r="S451" i="3"/>
  <c r="Q451" i="3"/>
  <c r="L451" i="3"/>
  <c r="K451" i="3"/>
  <c r="I451" i="3"/>
  <c r="Y450" i="3"/>
  <c r="W450" i="3"/>
  <c r="U450" i="3"/>
  <c r="S450" i="3"/>
  <c r="Q450" i="3"/>
  <c r="L450" i="3"/>
  <c r="K450" i="3"/>
  <c r="I450" i="3"/>
  <c r="Y449" i="3"/>
  <c r="W449" i="3"/>
  <c r="U449" i="3"/>
  <c r="S449" i="3"/>
  <c r="Q449" i="3"/>
  <c r="L449" i="3"/>
  <c r="K449" i="3"/>
  <c r="I449" i="3"/>
  <c r="Y448" i="3"/>
  <c r="W448" i="3"/>
  <c r="U448" i="3"/>
  <c r="S448" i="3"/>
  <c r="Q448" i="3"/>
  <c r="L448" i="3"/>
  <c r="K448" i="3"/>
  <c r="I448" i="3"/>
  <c r="Y447" i="3"/>
  <c r="W447" i="3"/>
  <c r="U447" i="3"/>
  <c r="S447" i="3"/>
  <c r="Q447" i="3"/>
  <c r="L447" i="3"/>
  <c r="K447" i="3"/>
  <c r="I447" i="3"/>
  <c r="Y446" i="3"/>
  <c r="W446" i="3"/>
  <c r="U446" i="3"/>
  <c r="S446" i="3"/>
  <c r="Q446" i="3"/>
  <c r="L446" i="3"/>
  <c r="K446" i="3"/>
  <c r="I446" i="3"/>
  <c r="Y445" i="3"/>
  <c r="W445" i="3"/>
  <c r="U445" i="3"/>
  <c r="S445" i="3"/>
  <c r="Q445" i="3"/>
  <c r="L445" i="3"/>
  <c r="K445" i="3"/>
  <c r="I445" i="3"/>
  <c r="Y444" i="3"/>
  <c r="W444" i="3"/>
  <c r="U444" i="3"/>
  <c r="S444" i="3"/>
  <c r="Q444" i="3"/>
  <c r="L444" i="3"/>
  <c r="K444" i="3"/>
  <c r="I444" i="3"/>
  <c r="Y443" i="3"/>
  <c r="W443" i="3"/>
  <c r="U443" i="3"/>
  <c r="S443" i="3"/>
  <c r="Q443" i="3"/>
  <c r="L443" i="3"/>
  <c r="K443" i="3"/>
  <c r="I443" i="3"/>
  <c r="Y442" i="3"/>
  <c r="W442" i="3"/>
  <c r="U442" i="3"/>
  <c r="S442" i="3"/>
  <c r="Q442" i="3"/>
  <c r="L442" i="3"/>
  <c r="K442" i="3"/>
  <c r="I442" i="3"/>
  <c r="Y441" i="3"/>
  <c r="W441" i="3"/>
  <c r="U441" i="3"/>
  <c r="S441" i="3"/>
  <c r="Q441" i="3"/>
  <c r="L441" i="3"/>
  <c r="K441" i="3"/>
  <c r="I441" i="3"/>
  <c r="Y440" i="3"/>
  <c r="W440" i="3"/>
  <c r="U440" i="3"/>
  <c r="S440" i="3"/>
  <c r="Q440" i="3"/>
  <c r="L440" i="3"/>
  <c r="K440" i="3"/>
  <c r="I440" i="3"/>
  <c r="Y439" i="3"/>
  <c r="W439" i="3"/>
  <c r="U439" i="3"/>
  <c r="S439" i="3"/>
  <c r="Q439" i="3"/>
  <c r="L439" i="3"/>
  <c r="K439" i="3"/>
  <c r="I439" i="3"/>
  <c r="Y438" i="3"/>
  <c r="W438" i="3"/>
  <c r="U438" i="3"/>
  <c r="S438" i="3"/>
  <c r="Q438" i="3"/>
  <c r="L438" i="3"/>
  <c r="K438" i="3"/>
  <c r="I438" i="3"/>
  <c r="Y437" i="3"/>
  <c r="W437" i="3"/>
  <c r="U437" i="3"/>
  <c r="S437" i="3"/>
  <c r="Q437" i="3"/>
  <c r="L437" i="3"/>
  <c r="K437" i="3"/>
  <c r="I437" i="3"/>
  <c r="Y436" i="3"/>
  <c r="W436" i="3"/>
  <c r="U436" i="3"/>
  <c r="S436" i="3"/>
  <c r="Q436" i="3"/>
  <c r="L436" i="3"/>
  <c r="K436" i="3"/>
  <c r="I436" i="3"/>
  <c r="Y435" i="3"/>
  <c r="W435" i="3"/>
  <c r="U435" i="3"/>
  <c r="S435" i="3"/>
  <c r="Q435" i="3"/>
  <c r="L435" i="3"/>
  <c r="K435" i="3"/>
  <c r="I435" i="3"/>
  <c r="Y434" i="3"/>
  <c r="W434" i="3"/>
  <c r="U434" i="3"/>
  <c r="S434" i="3"/>
  <c r="Q434" i="3"/>
  <c r="L434" i="3"/>
  <c r="K434" i="3"/>
  <c r="I434" i="3"/>
  <c r="Y433" i="3"/>
  <c r="W433" i="3"/>
  <c r="U433" i="3"/>
  <c r="S433" i="3"/>
  <c r="Q433" i="3"/>
  <c r="L433" i="3"/>
  <c r="K433" i="3"/>
  <c r="I433" i="3"/>
  <c r="Y432" i="3"/>
  <c r="W432" i="3"/>
  <c r="U432" i="3"/>
  <c r="S432" i="3"/>
  <c r="Q432" i="3"/>
  <c r="L432" i="3"/>
  <c r="K432" i="3"/>
  <c r="I432" i="3"/>
  <c r="Y431" i="3"/>
  <c r="W431" i="3"/>
  <c r="U431" i="3"/>
  <c r="S431" i="3"/>
  <c r="Q431" i="3"/>
  <c r="L431" i="3"/>
  <c r="K431" i="3"/>
  <c r="I431" i="3"/>
  <c r="Y430" i="3"/>
  <c r="W430" i="3"/>
  <c r="U430" i="3"/>
  <c r="S430" i="3"/>
  <c r="Q430" i="3"/>
  <c r="L430" i="3"/>
  <c r="K430" i="3"/>
  <c r="I430" i="3"/>
  <c r="Y429" i="3"/>
  <c r="W429" i="3"/>
  <c r="U429" i="3"/>
  <c r="S429" i="3"/>
  <c r="Q429" i="3"/>
  <c r="L429" i="3"/>
  <c r="K429" i="3"/>
  <c r="I429" i="3"/>
  <c r="Y428" i="3"/>
  <c r="W428" i="3"/>
  <c r="U428" i="3"/>
  <c r="S428" i="3"/>
  <c r="Q428" i="3"/>
  <c r="L428" i="3"/>
  <c r="K428" i="3"/>
  <c r="I428" i="3"/>
  <c r="Y427" i="3"/>
  <c r="W427" i="3"/>
  <c r="U427" i="3"/>
  <c r="S427" i="3"/>
  <c r="Q427" i="3"/>
  <c r="L427" i="3"/>
  <c r="K427" i="3"/>
  <c r="I427" i="3"/>
  <c r="Y426" i="3"/>
  <c r="W426" i="3"/>
  <c r="U426" i="3"/>
  <c r="S426" i="3"/>
  <c r="Q426" i="3"/>
  <c r="L426" i="3"/>
  <c r="K426" i="3"/>
  <c r="I426" i="3"/>
  <c r="Y425" i="3"/>
  <c r="W425" i="3"/>
  <c r="U425" i="3"/>
  <c r="S425" i="3"/>
  <c r="Q425" i="3"/>
  <c r="L425" i="3"/>
  <c r="K425" i="3"/>
  <c r="I425" i="3"/>
  <c r="Y424" i="3"/>
  <c r="W424" i="3"/>
  <c r="U424" i="3"/>
  <c r="S424" i="3"/>
  <c r="Q424" i="3"/>
  <c r="L424" i="3"/>
  <c r="K424" i="3"/>
  <c r="I424" i="3"/>
  <c r="Y423" i="3"/>
  <c r="W423" i="3"/>
  <c r="U423" i="3"/>
  <c r="S423" i="3"/>
  <c r="Q423" i="3"/>
  <c r="L423" i="3"/>
  <c r="K423" i="3"/>
  <c r="I423" i="3"/>
  <c r="Y422" i="3"/>
  <c r="W422" i="3"/>
  <c r="U422" i="3"/>
  <c r="S422" i="3"/>
  <c r="Q422" i="3"/>
  <c r="L422" i="3"/>
  <c r="K422" i="3"/>
  <c r="I422" i="3"/>
  <c r="Y421" i="3"/>
  <c r="W421" i="3"/>
  <c r="U421" i="3"/>
  <c r="S421" i="3"/>
  <c r="Q421" i="3"/>
  <c r="L421" i="3"/>
  <c r="K421" i="3"/>
  <c r="I421" i="3"/>
  <c r="Y420" i="3"/>
  <c r="W420" i="3"/>
  <c r="U420" i="3"/>
  <c r="S420" i="3"/>
  <c r="Q420" i="3"/>
  <c r="L420" i="3"/>
  <c r="K420" i="3"/>
  <c r="I420" i="3"/>
  <c r="Y419" i="3"/>
  <c r="W419" i="3"/>
  <c r="U419" i="3"/>
  <c r="S419" i="3"/>
  <c r="Q419" i="3"/>
  <c r="L419" i="3"/>
  <c r="K419" i="3"/>
  <c r="I419" i="3"/>
  <c r="Y418" i="3"/>
  <c r="W418" i="3"/>
  <c r="U418" i="3"/>
  <c r="S418" i="3"/>
  <c r="Q418" i="3"/>
  <c r="L418" i="3"/>
  <c r="K418" i="3"/>
  <c r="I418" i="3"/>
  <c r="Y417" i="3"/>
  <c r="W417" i="3"/>
  <c r="U417" i="3"/>
  <c r="S417" i="3"/>
  <c r="Q417" i="3"/>
  <c r="L417" i="3"/>
  <c r="K417" i="3"/>
  <c r="I417" i="3"/>
  <c r="Y416" i="3"/>
  <c r="W416" i="3"/>
  <c r="U416" i="3"/>
  <c r="S416" i="3"/>
  <c r="Q416" i="3"/>
  <c r="L416" i="3"/>
  <c r="K416" i="3"/>
  <c r="I416" i="3"/>
  <c r="Y415" i="3"/>
  <c r="W415" i="3"/>
  <c r="U415" i="3"/>
  <c r="S415" i="3"/>
  <c r="Q415" i="3"/>
  <c r="L415" i="3"/>
  <c r="K415" i="3"/>
  <c r="I415" i="3"/>
  <c r="Y414" i="3"/>
  <c r="W414" i="3"/>
  <c r="U414" i="3"/>
  <c r="S414" i="3"/>
  <c r="Q414" i="3"/>
  <c r="L414" i="3"/>
  <c r="K414" i="3"/>
  <c r="I414" i="3"/>
  <c r="Y413" i="3"/>
  <c r="W413" i="3"/>
  <c r="U413" i="3"/>
  <c r="S413" i="3"/>
  <c r="Q413" i="3"/>
  <c r="L413" i="3"/>
  <c r="K413" i="3"/>
  <c r="I413" i="3"/>
  <c r="Y412" i="3"/>
  <c r="W412" i="3"/>
  <c r="U412" i="3"/>
  <c r="S412" i="3"/>
  <c r="Q412" i="3"/>
  <c r="L412" i="3"/>
  <c r="K412" i="3"/>
  <c r="I412" i="3"/>
  <c r="Y411" i="3"/>
  <c r="W411" i="3"/>
  <c r="U411" i="3"/>
  <c r="S411" i="3"/>
  <c r="Q411" i="3"/>
  <c r="L411" i="3"/>
  <c r="K411" i="3"/>
  <c r="I411" i="3"/>
  <c r="Y410" i="3"/>
  <c r="W410" i="3"/>
  <c r="U410" i="3"/>
  <c r="S410" i="3"/>
  <c r="Q410" i="3"/>
  <c r="L410" i="3"/>
  <c r="K410" i="3"/>
  <c r="I410" i="3"/>
  <c r="Y409" i="3"/>
  <c r="W409" i="3"/>
  <c r="U409" i="3"/>
  <c r="S409" i="3"/>
  <c r="Q409" i="3"/>
  <c r="L409" i="3"/>
  <c r="K409" i="3"/>
  <c r="I409" i="3"/>
  <c r="Y408" i="3"/>
  <c r="W408" i="3"/>
  <c r="U408" i="3"/>
  <c r="S408" i="3"/>
  <c r="Q408" i="3"/>
  <c r="L408" i="3"/>
  <c r="K408" i="3"/>
  <c r="I408" i="3"/>
  <c r="Y407" i="3"/>
  <c r="W407" i="3"/>
  <c r="U407" i="3"/>
  <c r="S407" i="3"/>
  <c r="Q407" i="3"/>
  <c r="L407" i="3"/>
  <c r="K407" i="3"/>
  <c r="I407" i="3"/>
  <c r="Y406" i="3"/>
  <c r="W406" i="3"/>
  <c r="U406" i="3"/>
  <c r="S406" i="3"/>
  <c r="Q406" i="3"/>
  <c r="L406" i="3"/>
  <c r="K406" i="3"/>
  <c r="I406" i="3"/>
  <c r="Y405" i="3"/>
  <c r="W405" i="3"/>
  <c r="U405" i="3"/>
  <c r="S405" i="3"/>
  <c r="Q405" i="3"/>
  <c r="L405" i="3"/>
  <c r="K405" i="3"/>
  <c r="I405" i="3"/>
  <c r="Y404" i="3"/>
  <c r="W404" i="3"/>
  <c r="U404" i="3"/>
  <c r="S404" i="3"/>
  <c r="Q404" i="3"/>
  <c r="L404" i="3"/>
  <c r="K404" i="3"/>
  <c r="I404" i="3"/>
  <c r="Y403" i="3"/>
  <c r="W403" i="3"/>
  <c r="U403" i="3"/>
  <c r="S403" i="3"/>
  <c r="Q403" i="3"/>
  <c r="L403" i="3"/>
  <c r="K403" i="3"/>
  <c r="I403" i="3"/>
  <c r="Y402" i="3"/>
  <c r="W402" i="3"/>
  <c r="U402" i="3"/>
  <c r="S402" i="3"/>
  <c r="Q402" i="3"/>
  <c r="L402" i="3"/>
  <c r="K402" i="3"/>
  <c r="I402" i="3"/>
  <c r="Y401" i="3"/>
  <c r="W401" i="3"/>
  <c r="U401" i="3"/>
  <c r="S401" i="3"/>
  <c r="Q401" i="3"/>
  <c r="L401" i="3"/>
  <c r="K401" i="3"/>
  <c r="I401" i="3"/>
  <c r="Y400" i="3"/>
  <c r="W400" i="3"/>
  <c r="U400" i="3"/>
  <c r="S400" i="3"/>
  <c r="Q400" i="3"/>
  <c r="L400" i="3"/>
  <c r="K400" i="3"/>
  <c r="I400" i="3"/>
  <c r="Y399" i="3"/>
  <c r="W399" i="3"/>
  <c r="U399" i="3"/>
  <c r="S399" i="3"/>
  <c r="Q399" i="3"/>
  <c r="L399" i="3"/>
  <c r="K399" i="3"/>
  <c r="I399" i="3"/>
  <c r="Y398" i="3"/>
  <c r="W398" i="3"/>
  <c r="U398" i="3"/>
  <c r="S398" i="3"/>
  <c r="Q398" i="3"/>
  <c r="L398" i="3"/>
  <c r="K398" i="3"/>
  <c r="I398" i="3"/>
  <c r="Y397" i="3"/>
  <c r="W397" i="3"/>
  <c r="U397" i="3"/>
  <c r="S397" i="3"/>
  <c r="Q397" i="3"/>
  <c r="L397" i="3"/>
  <c r="K397" i="3"/>
  <c r="I397" i="3"/>
  <c r="Y396" i="3"/>
  <c r="W396" i="3"/>
  <c r="U396" i="3"/>
  <c r="S396" i="3"/>
  <c r="Q396" i="3"/>
  <c r="L396" i="3"/>
  <c r="K396" i="3"/>
  <c r="I396" i="3"/>
  <c r="Y395" i="3"/>
  <c r="W395" i="3"/>
  <c r="U395" i="3"/>
  <c r="S395" i="3"/>
  <c r="Q395" i="3"/>
  <c r="L395" i="3"/>
  <c r="K395" i="3"/>
  <c r="I395" i="3"/>
  <c r="Y394" i="3"/>
  <c r="W394" i="3"/>
  <c r="U394" i="3"/>
  <c r="S394" i="3"/>
  <c r="Q394" i="3"/>
  <c r="L394" i="3"/>
  <c r="K394" i="3"/>
  <c r="I394" i="3"/>
  <c r="Y393" i="3"/>
  <c r="W393" i="3"/>
  <c r="U393" i="3"/>
  <c r="S393" i="3"/>
  <c r="Q393" i="3"/>
  <c r="L393" i="3"/>
  <c r="K393" i="3"/>
  <c r="I393" i="3"/>
  <c r="Y392" i="3"/>
  <c r="W392" i="3"/>
  <c r="U392" i="3"/>
  <c r="S392" i="3"/>
  <c r="Q392" i="3"/>
  <c r="L392" i="3"/>
  <c r="K392" i="3"/>
  <c r="I392" i="3"/>
  <c r="Y391" i="3"/>
  <c r="W391" i="3"/>
  <c r="U391" i="3"/>
  <c r="S391" i="3"/>
  <c r="Q391" i="3"/>
  <c r="L391" i="3"/>
  <c r="K391" i="3"/>
  <c r="I391" i="3"/>
  <c r="Y390" i="3"/>
  <c r="W390" i="3"/>
  <c r="U390" i="3"/>
  <c r="S390" i="3"/>
  <c r="Q390" i="3"/>
  <c r="L390" i="3"/>
  <c r="K390" i="3"/>
  <c r="I390" i="3"/>
  <c r="Y389" i="3"/>
  <c r="W389" i="3"/>
  <c r="U389" i="3"/>
  <c r="S389" i="3"/>
  <c r="Q389" i="3"/>
  <c r="L389" i="3"/>
  <c r="K389" i="3"/>
  <c r="I389" i="3"/>
  <c r="Y388" i="3"/>
  <c r="W388" i="3"/>
  <c r="U388" i="3"/>
  <c r="S388" i="3"/>
  <c r="Q388" i="3"/>
  <c r="L388" i="3"/>
  <c r="K388" i="3"/>
  <c r="I388" i="3"/>
  <c r="Y387" i="3"/>
  <c r="W387" i="3"/>
  <c r="U387" i="3"/>
  <c r="S387" i="3"/>
  <c r="Q387" i="3"/>
  <c r="L387" i="3"/>
  <c r="K387" i="3"/>
  <c r="I387" i="3"/>
  <c r="Y386" i="3"/>
  <c r="W386" i="3"/>
  <c r="U386" i="3"/>
  <c r="S386" i="3"/>
  <c r="Q386" i="3"/>
  <c r="L386" i="3"/>
  <c r="K386" i="3"/>
  <c r="I386" i="3"/>
  <c r="Y385" i="3"/>
  <c r="W385" i="3"/>
  <c r="U385" i="3"/>
  <c r="S385" i="3"/>
  <c r="Q385" i="3"/>
  <c r="L385" i="3"/>
  <c r="K385" i="3"/>
  <c r="I385" i="3"/>
  <c r="Y384" i="3"/>
  <c r="W384" i="3"/>
  <c r="U384" i="3"/>
  <c r="S384" i="3"/>
  <c r="Q384" i="3"/>
  <c r="L384" i="3"/>
  <c r="K384" i="3"/>
  <c r="I384" i="3"/>
  <c r="Y383" i="3"/>
  <c r="W383" i="3"/>
  <c r="U383" i="3"/>
  <c r="S383" i="3"/>
  <c r="Q383" i="3"/>
  <c r="L383" i="3"/>
  <c r="K383" i="3"/>
  <c r="I383" i="3"/>
  <c r="Y382" i="3"/>
  <c r="W382" i="3"/>
  <c r="U382" i="3"/>
  <c r="S382" i="3"/>
  <c r="Q382" i="3"/>
  <c r="L382" i="3"/>
  <c r="K382" i="3"/>
  <c r="I382" i="3"/>
  <c r="Y381" i="3"/>
  <c r="W381" i="3"/>
  <c r="U381" i="3"/>
  <c r="S381" i="3"/>
  <c r="Q381" i="3"/>
  <c r="L381" i="3"/>
  <c r="K381" i="3"/>
  <c r="I381" i="3"/>
  <c r="Y380" i="3"/>
  <c r="W380" i="3"/>
  <c r="U380" i="3"/>
  <c r="S380" i="3"/>
  <c r="Q380" i="3"/>
  <c r="L380" i="3"/>
  <c r="K380" i="3"/>
  <c r="I380" i="3"/>
  <c r="Y379" i="3"/>
  <c r="W379" i="3"/>
  <c r="U379" i="3"/>
  <c r="S379" i="3"/>
  <c r="Q379" i="3"/>
  <c r="L379" i="3"/>
  <c r="K379" i="3"/>
  <c r="I379" i="3"/>
  <c r="Y378" i="3"/>
  <c r="W378" i="3"/>
  <c r="U378" i="3"/>
  <c r="S378" i="3"/>
  <c r="Q378" i="3"/>
  <c r="L378" i="3"/>
  <c r="K378" i="3"/>
  <c r="I378" i="3"/>
  <c r="Y377" i="3"/>
  <c r="W377" i="3"/>
  <c r="U377" i="3"/>
  <c r="S377" i="3"/>
  <c r="Q377" i="3"/>
  <c r="L377" i="3"/>
  <c r="K377" i="3"/>
  <c r="I377" i="3"/>
  <c r="Y376" i="3"/>
  <c r="W376" i="3"/>
  <c r="U376" i="3"/>
  <c r="S376" i="3"/>
  <c r="Q376" i="3"/>
  <c r="L376" i="3"/>
  <c r="K376" i="3"/>
  <c r="I376" i="3"/>
  <c r="Y375" i="3"/>
  <c r="W375" i="3"/>
  <c r="U375" i="3"/>
  <c r="S375" i="3"/>
  <c r="Q375" i="3"/>
  <c r="L375" i="3"/>
  <c r="K375" i="3"/>
  <c r="I375" i="3"/>
  <c r="Y374" i="3"/>
  <c r="W374" i="3"/>
  <c r="U374" i="3"/>
  <c r="S374" i="3"/>
  <c r="Q374" i="3"/>
  <c r="L374" i="3"/>
  <c r="K374" i="3"/>
  <c r="I374" i="3"/>
  <c r="Y373" i="3"/>
  <c r="W373" i="3"/>
  <c r="U373" i="3"/>
  <c r="S373" i="3"/>
  <c r="Q373" i="3"/>
  <c r="L373" i="3"/>
  <c r="K373" i="3"/>
  <c r="I373" i="3"/>
  <c r="Y372" i="3"/>
  <c r="W372" i="3"/>
  <c r="U372" i="3"/>
  <c r="S372" i="3"/>
  <c r="Q372" i="3"/>
  <c r="L372" i="3"/>
  <c r="K372" i="3"/>
  <c r="I372" i="3"/>
  <c r="Y371" i="3"/>
  <c r="W371" i="3"/>
  <c r="U371" i="3"/>
  <c r="S371" i="3"/>
  <c r="Q371" i="3"/>
  <c r="L371" i="3"/>
  <c r="K371" i="3"/>
  <c r="I371" i="3"/>
  <c r="Y370" i="3"/>
  <c r="W370" i="3"/>
  <c r="U370" i="3"/>
  <c r="S370" i="3"/>
  <c r="Q370" i="3"/>
  <c r="L370" i="3"/>
  <c r="K370" i="3"/>
  <c r="I370" i="3"/>
  <c r="Y369" i="3"/>
  <c r="W369" i="3"/>
  <c r="U369" i="3"/>
  <c r="S369" i="3"/>
  <c r="Q369" i="3"/>
  <c r="L369" i="3"/>
  <c r="K369" i="3"/>
  <c r="I369" i="3"/>
  <c r="Y368" i="3"/>
  <c r="W368" i="3"/>
  <c r="U368" i="3"/>
  <c r="S368" i="3"/>
  <c r="Q368" i="3"/>
  <c r="L368" i="3"/>
  <c r="K368" i="3"/>
  <c r="I368" i="3"/>
  <c r="Y367" i="3"/>
  <c r="W367" i="3"/>
  <c r="U367" i="3"/>
  <c r="S367" i="3"/>
  <c r="Q367" i="3"/>
  <c r="L367" i="3"/>
  <c r="K367" i="3"/>
  <c r="I367" i="3"/>
  <c r="Y366" i="3"/>
  <c r="W366" i="3"/>
  <c r="U366" i="3"/>
  <c r="S366" i="3"/>
  <c r="Q366" i="3"/>
  <c r="L366" i="3"/>
  <c r="K366" i="3"/>
  <c r="I366" i="3"/>
  <c r="Y365" i="3"/>
  <c r="W365" i="3"/>
  <c r="U365" i="3"/>
  <c r="S365" i="3"/>
  <c r="Q365" i="3"/>
  <c r="L365" i="3"/>
  <c r="K365" i="3"/>
  <c r="I365" i="3"/>
  <c r="Y364" i="3"/>
  <c r="W364" i="3"/>
  <c r="U364" i="3"/>
  <c r="S364" i="3"/>
  <c r="Q364" i="3"/>
  <c r="L364" i="3"/>
  <c r="K364" i="3"/>
  <c r="I364" i="3"/>
  <c r="Y363" i="3"/>
  <c r="W363" i="3"/>
  <c r="U363" i="3"/>
  <c r="S363" i="3"/>
  <c r="Q363" i="3"/>
  <c r="L363" i="3"/>
  <c r="K363" i="3"/>
  <c r="I363" i="3"/>
  <c r="Y362" i="3"/>
  <c r="W362" i="3"/>
  <c r="U362" i="3"/>
  <c r="S362" i="3"/>
  <c r="Q362" i="3"/>
  <c r="L362" i="3"/>
  <c r="K362" i="3"/>
  <c r="I362" i="3"/>
  <c r="Y361" i="3"/>
  <c r="W361" i="3"/>
  <c r="U361" i="3"/>
  <c r="S361" i="3"/>
  <c r="Q361" i="3"/>
  <c r="L361" i="3"/>
  <c r="K361" i="3"/>
  <c r="I361" i="3"/>
  <c r="Y360" i="3"/>
  <c r="W360" i="3"/>
  <c r="U360" i="3"/>
  <c r="S360" i="3"/>
  <c r="Q360" i="3"/>
  <c r="L360" i="3"/>
  <c r="K360" i="3"/>
  <c r="I360" i="3"/>
  <c r="Y359" i="3"/>
  <c r="W359" i="3"/>
  <c r="U359" i="3"/>
  <c r="S359" i="3"/>
  <c r="Q359" i="3"/>
  <c r="L359" i="3"/>
  <c r="K359" i="3"/>
  <c r="I359" i="3"/>
  <c r="Y358" i="3"/>
  <c r="W358" i="3"/>
  <c r="U358" i="3"/>
  <c r="S358" i="3"/>
  <c r="Q358" i="3"/>
  <c r="L358" i="3"/>
  <c r="K358" i="3"/>
  <c r="I358" i="3"/>
  <c r="Y357" i="3"/>
  <c r="W357" i="3"/>
  <c r="U357" i="3"/>
  <c r="S357" i="3"/>
  <c r="Q357" i="3"/>
  <c r="L357" i="3"/>
  <c r="K357" i="3"/>
  <c r="I357" i="3"/>
  <c r="Y356" i="3"/>
  <c r="W356" i="3"/>
  <c r="U356" i="3"/>
  <c r="S356" i="3"/>
  <c r="Q356" i="3"/>
  <c r="L356" i="3"/>
  <c r="K356" i="3"/>
  <c r="I356" i="3"/>
  <c r="Y355" i="3"/>
  <c r="W355" i="3"/>
  <c r="U355" i="3"/>
  <c r="S355" i="3"/>
  <c r="Q355" i="3"/>
  <c r="L355" i="3"/>
  <c r="K355" i="3"/>
  <c r="I355" i="3"/>
  <c r="Y354" i="3"/>
  <c r="W354" i="3"/>
  <c r="U354" i="3"/>
  <c r="S354" i="3"/>
  <c r="Q354" i="3"/>
  <c r="L354" i="3"/>
  <c r="K354" i="3"/>
  <c r="I354" i="3"/>
  <c r="Y353" i="3"/>
  <c r="W353" i="3"/>
  <c r="U353" i="3"/>
  <c r="S353" i="3"/>
  <c r="Q353" i="3"/>
  <c r="L353" i="3"/>
  <c r="K353" i="3"/>
  <c r="I353" i="3"/>
  <c r="Y352" i="3"/>
  <c r="W352" i="3"/>
  <c r="U352" i="3"/>
  <c r="S352" i="3"/>
  <c r="Q352" i="3"/>
  <c r="L352" i="3"/>
  <c r="K352" i="3"/>
  <c r="I352" i="3"/>
  <c r="Y351" i="3"/>
  <c r="W351" i="3"/>
  <c r="U351" i="3"/>
  <c r="S351" i="3"/>
  <c r="Q351" i="3"/>
  <c r="L351" i="3"/>
  <c r="K351" i="3"/>
  <c r="I351" i="3"/>
  <c r="Y350" i="3"/>
  <c r="W350" i="3"/>
  <c r="U350" i="3"/>
  <c r="S350" i="3"/>
  <c r="Q350" i="3"/>
  <c r="L350" i="3"/>
  <c r="K350" i="3"/>
  <c r="I350" i="3"/>
  <c r="Y349" i="3"/>
  <c r="W349" i="3"/>
  <c r="U349" i="3"/>
  <c r="S349" i="3"/>
  <c r="Q349" i="3"/>
  <c r="L349" i="3"/>
  <c r="K349" i="3"/>
  <c r="I349" i="3"/>
  <c r="Y348" i="3"/>
  <c r="W348" i="3"/>
  <c r="U348" i="3"/>
  <c r="S348" i="3"/>
  <c r="Q348" i="3"/>
  <c r="L348" i="3"/>
  <c r="K348" i="3"/>
  <c r="I348" i="3"/>
  <c r="Y347" i="3"/>
  <c r="W347" i="3"/>
  <c r="U347" i="3"/>
  <c r="S347" i="3"/>
  <c r="Q347" i="3"/>
  <c r="L347" i="3"/>
  <c r="K347" i="3"/>
  <c r="I347" i="3"/>
  <c r="Y346" i="3"/>
  <c r="W346" i="3"/>
  <c r="U346" i="3"/>
  <c r="S346" i="3"/>
  <c r="Q346" i="3"/>
  <c r="L346" i="3"/>
  <c r="K346" i="3"/>
  <c r="I346" i="3"/>
  <c r="Y345" i="3"/>
  <c r="W345" i="3"/>
  <c r="U345" i="3"/>
  <c r="S345" i="3"/>
  <c r="Q345" i="3"/>
  <c r="L345" i="3"/>
  <c r="K345" i="3"/>
  <c r="I345" i="3"/>
  <c r="Y344" i="3"/>
  <c r="W344" i="3"/>
  <c r="U344" i="3"/>
  <c r="S344" i="3"/>
  <c r="Q344" i="3"/>
  <c r="L344" i="3"/>
  <c r="K344" i="3"/>
  <c r="I344" i="3"/>
  <c r="Y343" i="3"/>
  <c r="W343" i="3"/>
  <c r="U343" i="3"/>
  <c r="S343" i="3"/>
  <c r="Q343" i="3"/>
  <c r="L343" i="3"/>
  <c r="K343" i="3"/>
  <c r="I343" i="3"/>
  <c r="Y342" i="3"/>
  <c r="W342" i="3"/>
  <c r="U342" i="3"/>
  <c r="S342" i="3"/>
  <c r="Q342" i="3"/>
  <c r="L342" i="3"/>
  <c r="K342" i="3"/>
  <c r="I342" i="3"/>
  <c r="Y341" i="3"/>
  <c r="W341" i="3"/>
  <c r="U341" i="3"/>
  <c r="S341" i="3"/>
  <c r="Q341" i="3"/>
  <c r="L341" i="3"/>
  <c r="K341" i="3"/>
  <c r="I341" i="3"/>
  <c r="Y340" i="3"/>
  <c r="W340" i="3"/>
  <c r="U340" i="3"/>
  <c r="S340" i="3"/>
  <c r="Q340" i="3"/>
  <c r="L340" i="3"/>
  <c r="K340" i="3"/>
  <c r="I340" i="3"/>
  <c r="Y339" i="3"/>
  <c r="W339" i="3"/>
  <c r="U339" i="3"/>
  <c r="S339" i="3"/>
  <c r="Q339" i="3"/>
  <c r="L339" i="3"/>
  <c r="K339" i="3"/>
  <c r="I339" i="3"/>
  <c r="Y338" i="3"/>
  <c r="W338" i="3"/>
  <c r="U338" i="3"/>
  <c r="S338" i="3"/>
  <c r="Q338" i="3"/>
  <c r="L338" i="3"/>
  <c r="K338" i="3"/>
  <c r="I338" i="3"/>
  <c r="Y337" i="3"/>
  <c r="W337" i="3"/>
  <c r="U337" i="3"/>
  <c r="S337" i="3"/>
  <c r="Q337" i="3"/>
  <c r="L337" i="3"/>
  <c r="K337" i="3"/>
  <c r="I337" i="3"/>
  <c r="Y336" i="3"/>
  <c r="W336" i="3"/>
  <c r="U336" i="3"/>
  <c r="S336" i="3"/>
  <c r="Q336" i="3"/>
  <c r="L336" i="3"/>
  <c r="K336" i="3"/>
  <c r="I336" i="3"/>
  <c r="Y335" i="3"/>
  <c r="W335" i="3"/>
  <c r="U335" i="3"/>
  <c r="S335" i="3"/>
  <c r="Q335" i="3"/>
  <c r="L335" i="3"/>
  <c r="K335" i="3"/>
  <c r="I335" i="3"/>
  <c r="Y334" i="3"/>
  <c r="W334" i="3"/>
  <c r="U334" i="3"/>
  <c r="S334" i="3"/>
  <c r="Q334" i="3"/>
  <c r="L334" i="3"/>
  <c r="K334" i="3"/>
  <c r="I334" i="3"/>
  <c r="Y333" i="3"/>
  <c r="W333" i="3"/>
  <c r="U333" i="3"/>
  <c r="S333" i="3"/>
  <c r="Q333" i="3"/>
  <c r="L333" i="3"/>
  <c r="K333" i="3"/>
  <c r="I333" i="3"/>
  <c r="Y332" i="3"/>
  <c r="W332" i="3"/>
  <c r="U332" i="3"/>
  <c r="S332" i="3"/>
  <c r="Q332" i="3"/>
  <c r="L332" i="3"/>
  <c r="K332" i="3"/>
  <c r="I332" i="3"/>
  <c r="Y331" i="3"/>
  <c r="W331" i="3"/>
  <c r="U331" i="3"/>
  <c r="S331" i="3"/>
  <c r="Q331" i="3"/>
  <c r="L331" i="3"/>
  <c r="K331" i="3"/>
  <c r="I331" i="3"/>
  <c r="Y330" i="3"/>
  <c r="W330" i="3"/>
  <c r="U330" i="3"/>
  <c r="S330" i="3"/>
  <c r="Q330" i="3"/>
  <c r="L330" i="3"/>
  <c r="K330" i="3"/>
  <c r="I330" i="3"/>
  <c r="Y329" i="3"/>
  <c r="W329" i="3"/>
  <c r="U329" i="3"/>
  <c r="S329" i="3"/>
  <c r="Q329" i="3"/>
  <c r="L329" i="3"/>
  <c r="K329" i="3"/>
  <c r="I329" i="3"/>
  <c r="Y328" i="3"/>
  <c r="W328" i="3"/>
  <c r="U328" i="3"/>
  <c r="S328" i="3"/>
  <c r="Q328" i="3"/>
  <c r="L328" i="3"/>
  <c r="K328" i="3"/>
  <c r="I328" i="3"/>
  <c r="Y327" i="3"/>
  <c r="W327" i="3"/>
  <c r="U327" i="3"/>
  <c r="S327" i="3"/>
  <c r="Q327" i="3"/>
  <c r="L327" i="3"/>
  <c r="K327" i="3"/>
  <c r="I327" i="3"/>
  <c r="Y326" i="3"/>
  <c r="W326" i="3"/>
  <c r="U326" i="3"/>
  <c r="S326" i="3"/>
  <c r="Q326" i="3"/>
  <c r="L326" i="3"/>
  <c r="K326" i="3"/>
  <c r="I326" i="3"/>
  <c r="Y325" i="3"/>
  <c r="W325" i="3"/>
  <c r="U325" i="3"/>
  <c r="S325" i="3"/>
  <c r="Q325" i="3"/>
  <c r="L325" i="3"/>
  <c r="K325" i="3"/>
  <c r="I325" i="3"/>
  <c r="Y324" i="3"/>
  <c r="W324" i="3"/>
  <c r="U324" i="3"/>
  <c r="S324" i="3"/>
  <c r="Q324" i="3"/>
  <c r="L324" i="3"/>
  <c r="K324" i="3"/>
  <c r="I324" i="3"/>
  <c r="Y323" i="3"/>
  <c r="W323" i="3"/>
  <c r="U323" i="3"/>
  <c r="S323" i="3"/>
  <c r="Q323" i="3"/>
  <c r="L323" i="3"/>
  <c r="K323" i="3"/>
  <c r="I323" i="3"/>
  <c r="Y322" i="3"/>
  <c r="W322" i="3"/>
  <c r="U322" i="3"/>
  <c r="S322" i="3"/>
  <c r="Q322" i="3"/>
  <c r="L322" i="3"/>
  <c r="K322" i="3"/>
  <c r="I322" i="3"/>
  <c r="Y321" i="3"/>
  <c r="W321" i="3"/>
  <c r="U321" i="3"/>
  <c r="S321" i="3"/>
  <c r="Q321" i="3"/>
  <c r="L321" i="3"/>
  <c r="K321" i="3"/>
  <c r="I321" i="3"/>
  <c r="Y320" i="3"/>
  <c r="W320" i="3"/>
  <c r="U320" i="3"/>
  <c r="S320" i="3"/>
  <c r="Q320" i="3"/>
  <c r="L320" i="3"/>
  <c r="K320" i="3"/>
  <c r="I320" i="3"/>
  <c r="Y319" i="3"/>
  <c r="W319" i="3"/>
  <c r="U319" i="3"/>
  <c r="S319" i="3"/>
  <c r="Q319" i="3"/>
  <c r="L319" i="3"/>
  <c r="K319" i="3"/>
  <c r="I319" i="3"/>
  <c r="Y318" i="3"/>
  <c r="W318" i="3"/>
  <c r="U318" i="3"/>
  <c r="S318" i="3"/>
  <c r="Q318" i="3"/>
  <c r="L318" i="3"/>
  <c r="K318" i="3"/>
  <c r="I318" i="3"/>
  <c r="Y317" i="3"/>
  <c r="W317" i="3"/>
  <c r="U317" i="3"/>
  <c r="S317" i="3"/>
  <c r="Q317" i="3"/>
  <c r="L317" i="3"/>
  <c r="K317" i="3"/>
  <c r="I317" i="3"/>
  <c r="Y316" i="3"/>
  <c r="W316" i="3"/>
  <c r="U316" i="3"/>
  <c r="S316" i="3"/>
  <c r="Q316" i="3"/>
  <c r="L316" i="3"/>
  <c r="K316" i="3"/>
  <c r="I316" i="3"/>
  <c r="Y315" i="3"/>
  <c r="W315" i="3"/>
  <c r="U315" i="3"/>
  <c r="S315" i="3"/>
  <c r="Q315" i="3"/>
  <c r="L315" i="3"/>
  <c r="K315" i="3"/>
  <c r="I315" i="3"/>
  <c r="Y314" i="3"/>
  <c r="W314" i="3"/>
  <c r="U314" i="3"/>
  <c r="S314" i="3"/>
  <c r="Q314" i="3"/>
  <c r="L314" i="3"/>
  <c r="K314" i="3"/>
  <c r="I314" i="3"/>
  <c r="Y313" i="3"/>
  <c r="W313" i="3"/>
  <c r="U313" i="3"/>
  <c r="S313" i="3"/>
  <c r="Q313" i="3"/>
  <c r="L313" i="3"/>
  <c r="K313" i="3"/>
  <c r="I313" i="3"/>
  <c r="Y312" i="3"/>
  <c r="W312" i="3"/>
  <c r="U312" i="3"/>
  <c r="S312" i="3"/>
  <c r="Q312" i="3"/>
  <c r="L312" i="3"/>
  <c r="K312" i="3"/>
  <c r="I312" i="3"/>
  <c r="Y311" i="3"/>
  <c r="W311" i="3"/>
  <c r="U311" i="3"/>
  <c r="S311" i="3"/>
  <c r="Q311" i="3"/>
  <c r="L311" i="3"/>
  <c r="K311" i="3"/>
  <c r="I311" i="3"/>
  <c r="Y310" i="3"/>
  <c r="W310" i="3"/>
  <c r="U310" i="3"/>
  <c r="S310" i="3"/>
  <c r="Q310" i="3"/>
  <c r="L310" i="3"/>
  <c r="K310" i="3"/>
  <c r="I310" i="3"/>
  <c r="Y309" i="3"/>
  <c r="W309" i="3"/>
  <c r="U309" i="3"/>
  <c r="S309" i="3"/>
  <c r="Q309" i="3"/>
  <c r="L309" i="3"/>
  <c r="K309" i="3"/>
  <c r="I309" i="3"/>
  <c r="Y308" i="3"/>
  <c r="W308" i="3"/>
  <c r="U308" i="3"/>
  <c r="S308" i="3"/>
  <c r="Q308" i="3"/>
  <c r="L308" i="3"/>
  <c r="K308" i="3"/>
  <c r="I308" i="3"/>
  <c r="Y307" i="3"/>
  <c r="W307" i="3"/>
  <c r="U307" i="3"/>
  <c r="S307" i="3"/>
  <c r="Q307" i="3"/>
  <c r="L307" i="3"/>
  <c r="K307" i="3"/>
  <c r="I307" i="3"/>
  <c r="Y306" i="3"/>
  <c r="W306" i="3"/>
  <c r="U306" i="3"/>
  <c r="S306" i="3"/>
  <c r="Q306" i="3"/>
  <c r="L306" i="3"/>
  <c r="K306" i="3"/>
  <c r="I306" i="3"/>
  <c r="Y305" i="3"/>
  <c r="W305" i="3"/>
  <c r="U305" i="3"/>
  <c r="S305" i="3"/>
  <c r="Q305" i="3"/>
  <c r="L305" i="3"/>
  <c r="K305" i="3"/>
  <c r="I305" i="3"/>
  <c r="Y304" i="3"/>
  <c r="W304" i="3"/>
  <c r="U304" i="3"/>
  <c r="S304" i="3"/>
  <c r="Q304" i="3"/>
  <c r="L304" i="3"/>
  <c r="K304" i="3"/>
  <c r="I304" i="3"/>
  <c r="Y303" i="3"/>
  <c r="W303" i="3"/>
  <c r="U303" i="3"/>
  <c r="S303" i="3"/>
  <c r="Q303" i="3"/>
  <c r="L303" i="3"/>
  <c r="K303" i="3"/>
  <c r="I303" i="3"/>
  <c r="Y302" i="3"/>
  <c r="W302" i="3"/>
  <c r="U302" i="3"/>
  <c r="S302" i="3"/>
  <c r="Q302" i="3"/>
  <c r="L302" i="3"/>
  <c r="K302" i="3"/>
  <c r="I302" i="3"/>
  <c r="Y301" i="3"/>
  <c r="W301" i="3"/>
  <c r="U301" i="3"/>
  <c r="S301" i="3"/>
  <c r="Q301" i="3"/>
  <c r="L301" i="3"/>
  <c r="K301" i="3"/>
  <c r="I301" i="3"/>
  <c r="Y300" i="3"/>
  <c r="W300" i="3"/>
  <c r="U300" i="3"/>
  <c r="S300" i="3"/>
  <c r="Q300" i="3"/>
  <c r="L300" i="3"/>
  <c r="K300" i="3"/>
  <c r="I300" i="3"/>
  <c r="Y299" i="3"/>
  <c r="W299" i="3"/>
  <c r="U299" i="3"/>
  <c r="S299" i="3"/>
  <c r="Q299" i="3"/>
  <c r="L299" i="3"/>
  <c r="K299" i="3"/>
  <c r="I299" i="3"/>
  <c r="Y298" i="3"/>
  <c r="W298" i="3"/>
  <c r="U298" i="3"/>
  <c r="S298" i="3"/>
  <c r="Q298" i="3"/>
  <c r="L298" i="3"/>
  <c r="K298" i="3"/>
  <c r="I298" i="3"/>
  <c r="Y297" i="3"/>
  <c r="W297" i="3"/>
  <c r="U297" i="3"/>
  <c r="S297" i="3"/>
  <c r="Q297" i="3"/>
  <c r="L297" i="3"/>
  <c r="K297" i="3"/>
  <c r="I297" i="3"/>
  <c r="Y296" i="3"/>
  <c r="W296" i="3"/>
  <c r="U296" i="3"/>
  <c r="S296" i="3"/>
  <c r="Q296" i="3"/>
  <c r="L296" i="3"/>
  <c r="K296" i="3"/>
  <c r="I296" i="3"/>
  <c r="Y295" i="3"/>
  <c r="W295" i="3"/>
  <c r="U295" i="3"/>
  <c r="S295" i="3"/>
  <c r="Q295" i="3"/>
  <c r="L295" i="3"/>
  <c r="K295" i="3"/>
  <c r="I295" i="3"/>
  <c r="Y294" i="3"/>
  <c r="W294" i="3"/>
  <c r="U294" i="3"/>
  <c r="S294" i="3"/>
  <c r="Q294" i="3"/>
  <c r="L294" i="3"/>
  <c r="K294" i="3"/>
  <c r="I294" i="3"/>
  <c r="Y293" i="3"/>
  <c r="W293" i="3"/>
  <c r="U293" i="3"/>
  <c r="S293" i="3"/>
  <c r="Q293" i="3"/>
  <c r="L293" i="3"/>
  <c r="K293" i="3"/>
  <c r="I293" i="3"/>
  <c r="Y292" i="3"/>
  <c r="W292" i="3"/>
  <c r="U292" i="3"/>
  <c r="S292" i="3"/>
  <c r="Q292" i="3"/>
  <c r="L292" i="3"/>
  <c r="K292" i="3"/>
  <c r="I292" i="3"/>
  <c r="Y291" i="3"/>
  <c r="W291" i="3"/>
  <c r="U291" i="3"/>
  <c r="S291" i="3"/>
  <c r="Q291" i="3"/>
  <c r="L291" i="3"/>
  <c r="K291" i="3"/>
  <c r="I291" i="3"/>
  <c r="Y290" i="3"/>
  <c r="W290" i="3"/>
  <c r="U290" i="3"/>
  <c r="S290" i="3"/>
  <c r="Q290" i="3"/>
  <c r="L290" i="3"/>
  <c r="K290" i="3"/>
  <c r="I290" i="3"/>
  <c r="Y289" i="3"/>
  <c r="W289" i="3"/>
  <c r="U289" i="3"/>
  <c r="S289" i="3"/>
  <c r="Q289" i="3"/>
  <c r="L289" i="3"/>
  <c r="K289" i="3"/>
  <c r="I289" i="3"/>
  <c r="Y288" i="3"/>
  <c r="W288" i="3"/>
  <c r="U288" i="3"/>
  <c r="S288" i="3"/>
  <c r="Q288" i="3"/>
  <c r="L288" i="3"/>
  <c r="K288" i="3"/>
  <c r="I288" i="3"/>
  <c r="Y287" i="3"/>
  <c r="W287" i="3"/>
  <c r="U287" i="3"/>
  <c r="S287" i="3"/>
  <c r="Q287" i="3"/>
  <c r="L287" i="3"/>
  <c r="K287" i="3"/>
  <c r="I287" i="3"/>
  <c r="Y286" i="3"/>
  <c r="W286" i="3"/>
  <c r="U286" i="3"/>
  <c r="S286" i="3"/>
  <c r="Q286" i="3"/>
  <c r="L286" i="3"/>
  <c r="K286" i="3"/>
  <c r="I286" i="3"/>
  <c r="Y285" i="3"/>
  <c r="W285" i="3"/>
  <c r="U285" i="3"/>
  <c r="S285" i="3"/>
  <c r="Q285" i="3"/>
  <c r="L285" i="3"/>
  <c r="K285" i="3"/>
  <c r="I285" i="3"/>
  <c r="Y284" i="3"/>
  <c r="W284" i="3"/>
  <c r="U284" i="3"/>
  <c r="S284" i="3"/>
  <c r="Q284" i="3"/>
  <c r="L284" i="3"/>
  <c r="K284" i="3"/>
  <c r="I284" i="3"/>
  <c r="Y283" i="3"/>
  <c r="W283" i="3"/>
  <c r="U283" i="3"/>
  <c r="S283" i="3"/>
  <c r="Q283" i="3"/>
  <c r="L283" i="3"/>
  <c r="K283" i="3"/>
  <c r="I283" i="3"/>
  <c r="Y282" i="3"/>
  <c r="W282" i="3"/>
  <c r="U282" i="3"/>
  <c r="S282" i="3"/>
  <c r="Q282" i="3"/>
  <c r="L282" i="3"/>
  <c r="K282" i="3"/>
  <c r="I282" i="3"/>
  <c r="Y281" i="3"/>
  <c r="W281" i="3"/>
  <c r="U281" i="3"/>
  <c r="S281" i="3"/>
  <c r="Q281" i="3"/>
  <c r="L281" i="3"/>
  <c r="K281" i="3"/>
  <c r="I281" i="3"/>
  <c r="Y280" i="3"/>
  <c r="W280" i="3"/>
  <c r="U280" i="3"/>
  <c r="S280" i="3"/>
  <c r="Q280" i="3"/>
  <c r="L280" i="3"/>
  <c r="K280" i="3"/>
  <c r="I280" i="3"/>
  <c r="Y279" i="3"/>
  <c r="W279" i="3"/>
  <c r="U279" i="3"/>
  <c r="S279" i="3"/>
  <c r="Q279" i="3"/>
  <c r="L279" i="3"/>
  <c r="K279" i="3"/>
  <c r="I279" i="3"/>
  <c r="Y278" i="3"/>
  <c r="W278" i="3"/>
  <c r="U278" i="3"/>
  <c r="S278" i="3"/>
  <c r="Q278" i="3"/>
  <c r="L278" i="3"/>
  <c r="K278" i="3"/>
  <c r="I278" i="3"/>
  <c r="Y277" i="3"/>
  <c r="W277" i="3"/>
  <c r="U277" i="3"/>
  <c r="S277" i="3"/>
  <c r="Q277" i="3"/>
  <c r="L277" i="3"/>
  <c r="K277" i="3"/>
  <c r="I277" i="3"/>
  <c r="Y276" i="3"/>
  <c r="W276" i="3"/>
  <c r="U276" i="3"/>
  <c r="S276" i="3"/>
  <c r="Q276" i="3"/>
  <c r="L276" i="3"/>
  <c r="K276" i="3"/>
  <c r="I276" i="3"/>
  <c r="Y275" i="3"/>
  <c r="W275" i="3"/>
  <c r="U275" i="3"/>
  <c r="S275" i="3"/>
  <c r="Q275" i="3"/>
  <c r="L275" i="3"/>
  <c r="K275" i="3"/>
  <c r="I275" i="3"/>
  <c r="Y274" i="3"/>
  <c r="W274" i="3"/>
  <c r="U274" i="3"/>
  <c r="S274" i="3"/>
  <c r="Q274" i="3"/>
  <c r="L274" i="3"/>
  <c r="K274" i="3"/>
  <c r="I274" i="3"/>
  <c r="Y273" i="3"/>
  <c r="W273" i="3"/>
  <c r="U273" i="3"/>
  <c r="S273" i="3"/>
  <c r="Q273" i="3"/>
  <c r="L273" i="3"/>
  <c r="K273" i="3"/>
  <c r="I273" i="3"/>
  <c r="Y272" i="3"/>
  <c r="W272" i="3"/>
  <c r="U272" i="3"/>
  <c r="S272" i="3"/>
  <c r="Q272" i="3"/>
  <c r="L272" i="3"/>
  <c r="K272" i="3"/>
  <c r="I272" i="3"/>
  <c r="Y271" i="3"/>
  <c r="W271" i="3"/>
  <c r="U271" i="3"/>
  <c r="S271" i="3"/>
  <c r="Q271" i="3"/>
  <c r="L271" i="3"/>
  <c r="K271" i="3"/>
  <c r="I271" i="3"/>
  <c r="Y270" i="3"/>
  <c r="W270" i="3"/>
  <c r="U270" i="3"/>
  <c r="S270" i="3"/>
  <c r="Q270" i="3"/>
  <c r="L270" i="3"/>
  <c r="K270" i="3"/>
  <c r="I270" i="3"/>
  <c r="Y269" i="3"/>
  <c r="W269" i="3"/>
  <c r="U269" i="3"/>
  <c r="S269" i="3"/>
  <c r="Q269" i="3"/>
  <c r="L269" i="3"/>
  <c r="K269" i="3"/>
  <c r="I269" i="3"/>
  <c r="Y268" i="3"/>
  <c r="W268" i="3"/>
  <c r="U268" i="3"/>
  <c r="S268" i="3"/>
  <c r="Q268" i="3"/>
  <c r="L268" i="3"/>
  <c r="K268" i="3"/>
  <c r="I268" i="3"/>
  <c r="Y267" i="3"/>
  <c r="W267" i="3"/>
  <c r="U267" i="3"/>
  <c r="S267" i="3"/>
  <c r="Q267" i="3"/>
  <c r="L267" i="3"/>
  <c r="K267" i="3"/>
  <c r="I267" i="3"/>
  <c r="Y266" i="3"/>
  <c r="W266" i="3"/>
  <c r="U266" i="3"/>
  <c r="S266" i="3"/>
  <c r="Q266" i="3"/>
  <c r="L266" i="3"/>
  <c r="K266" i="3"/>
  <c r="I266" i="3"/>
  <c r="Y265" i="3"/>
  <c r="W265" i="3"/>
  <c r="U265" i="3"/>
  <c r="S265" i="3"/>
  <c r="Q265" i="3"/>
  <c r="L265" i="3"/>
  <c r="K265" i="3"/>
  <c r="I265" i="3"/>
  <c r="Y264" i="3"/>
  <c r="W264" i="3"/>
  <c r="U264" i="3"/>
  <c r="S264" i="3"/>
  <c r="Q264" i="3"/>
  <c r="L264" i="3"/>
  <c r="K264" i="3"/>
  <c r="I264" i="3"/>
  <c r="Y263" i="3"/>
  <c r="W263" i="3"/>
  <c r="U263" i="3"/>
  <c r="S263" i="3"/>
  <c r="Q263" i="3"/>
  <c r="L263" i="3"/>
  <c r="K263" i="3"/>
  <c r="I263" i="3"/>
  <c r="Y262" i="3"/>
  <c r="W262" i="3"/>
  <c r="U262" i="3"/>
  <c r="S262" i="3"/>
  <c r="Q262" i="3"/>
  <c r="L262" i="3"/>
  <c r="K262" i="3"/>
  <c r="I262" i="3"/>
  <c r="Y261" i="3"/>
  <c r="W261" i="3"/>
  <c r="U261" i="3"/>
  <c r="S261" i="3"/>
  <c r="Q261" i="3"/>
  <c r="L261" i="3"/>
  <c r="K261" i="3"/>
  <c r="I261" i="3"/>
  <c r="Y260" i="3"/>
  <c r="W260" i="3"/>
  <c r="U260" i="3"/>
  <c r="S260" i="3"/>
  <c r="Q260" i="3"/>
  <c r="L260" i="3"/>
  <c r="K260" i="3"/>
  <c r="I260" i="3"/>
  <c r="Y259" i="3"/>
  <c r="W259" i="3"/>
  <c r="U259" i="3"/>
  <c r="S259" i="3"/>
  <c r="Q259" i="3"/>
  <c r="L259" i="3"/>
  <c r="K259" i="3"/>
  <c r="I259" i="3"/>
  <c r="Y258" i="3"/>
  <c r="W258" i="3"/>
  <c r="U258" i="3"/>
  <c r="S258" i="3"/>
  <c r="Q258" i="3"/>
  <c r="L258" i="3"/>
  <c r="K258" i="3"/>
  <c r="I258" i="3"/>
  <c r="Y257" i="3"/>
  <c r="W257" i="3"/>
  <c r="U257" i="3"/>
  <c r="S257" i="3"/>
  <c r="Q257" i="3"/>
  <c r="L257" i="3"/>
  <c r="K257" i="3"/>
  <c r="I257" i="3"/>
  <c r="Y256" i="3"/>
  <c r="W256" i="3"/>
  <c r="U256" i="3"/>
  <c r="S256" i="3"/>
  <c r="Q256" i="3"/>
  <c r="L256" i="3"/>
  <c r="K256" i="3"/>
  <c r="I256" i="3"/>
  <c r="Y255" i="3"/>
  <c r="W255" i="3"/>
  <c r="U255" i="3"/>
  <c r="S255" i="3"/>
  <c r="Q255" i="3"/>
  <c r="L255" i="3"/>
  <c r="K255" i="3"/>
  <c r="I255" i="3"/>
  <c r="Y254" i="3"/>
  <c r="W254" i="3"/>
  <c r="U254" i="3"/>
  <c r="S254" i="3"/>
  <c r="Q254" i="3"/>
  <c r="L254" i="3"/>
  <c r="K254" i="3"/>
  <c r="I254" i="3"/>
  <c r="Y253" i="3"/>
  <c r="W253" i="3"/>
  <c r="U253" i="3"/>
  <c r="S253" i="3"/>
  <c r="Q253" i="3"/>
  <c r="L253" i="3"/>
  <c r="K253" i="3"/>
  <c r="I253" i="3"/>
  <c r="Y252" i="3"/>
  <c r="W252" i="3"/>
  <c r="U252" i="3"/>
  <c r="S252" i="3"/>
  <c r="Q252" i="3"/>
  <c r="L252" i="3"/>
  <c r="K252" i="3"/>
  <c r="I252" i="3"/>
  <c r="Y251" i="3"/>
  <c r="W251" i="3"/>
  <c r="U251" i="3"/>
  <c r="S251" i="3"/>
  <c r="Q251" i="3"/>
  <c r="L251" i="3"/>
  <c r="K251" i="3"/>
  <c r="I251" i="3"/>
  <c r="Y250" i="3"/>
  <c r="W250" i="3"/>
  <c r="U250" i="3"/>
  <c r="S250" i="3"/>
  <c r="Q250" i="3"/>
  <c r="L250" i="3"/>
  <c r="K250" i="3"/>
  <c r="I250" i="3"/>
  <c r="Y249" i="3"/>
  <c r="W249" i="3"/>
  <c r="U249" i="3"/>
  <c r="S249" i="3"/>
  <c r="Q249" i="3"/>
  <c r="L249" i="3"/>
  <c r="K249" i="3"/>
  <c r="I249" i="3"/>
  <c r="Y248" i="3"/>
  <c r="W248" i="3"/>
  <c r="U248" i="3"/>
  <c r="S248" i="3"/>
  <c r="Q248" i="3"/>
  <c r="L248" i="3"/>
  <c r="K248" i="3"/>
  <c r="I248" i="3"/>
  <c r="Y247" i="3"/>
  <c r="W247" i="3"/>
  <c r="U247" i="3"/>
  <c r="S247" i="3"/>
  <c r="Q247" i="3"/>
  <c r="L247" i="3"/>
  <c r="K247" i="3"/>
  <c r="I247" i="3"/>
  <c r="Y246" i="3"/>
  <c r="W246" i="3"/>
  <c r="U246" i="3"/>
  <c r="S246" i="3"/>
  <c r="Q246" i="3"/>
  <c r="L246" i="3"/>
  <c r="K246" i="3"/>
  <c r="I246" i="3"/>
  <c r="Y245" i="3"/>
  <c r="W245" i="3"/>
  <c r="U245" i="3"/>
  <c r="S245" i="3"/>
  <c r="Q245" i="3"/>
  <c r="L245" i="3"/>
  <c r="K245" i="3"/>
  <c r="I245" i="3"/>
  <c r="Y244" i="3"/>
  <c r="W244" i="3"/>
  <c r="U244" i="3"/>
  <c r="S244" i="3"/>
  <c r="Q244" i="3"/>
  <c r="L244" i="3"/>
  <c r="K244" i="3"/>
  <c r="I244" i="3"/>
  <c r="Y243" i="3"/>
  <c r="W243" i="3"/>
  <c r="U243" i="3"/>
  <c r="S243" i="3"/>
  <c r="Q243" i="3"/>
  <c r="L243" i="3"/>
  <c r="K243" i="3"/>
  <c r="I243" i="3"/>
  <c r="Y242" i="3"/>
  <c r="W242" i="3"/>
  <c r="U242" i="3"/>
  <c r="S242" i="3"/>
  <c r="Q242" i="3"/>
  <c r="L242" i="3"/>
  <c r="K242" i="3"/>
  <c r="I242" i="3"/>
  <c r="Y241" i="3"/>
  <c r="W241" i="3"/>
  <c r="U241" i="3"/>
  <c r="S241" i="3"/>
  <c r="Q241" i="3"/>
  <c r="L241" i="3"/>
  <c r="K241" i="3"/>
  <c r="I241" i="3"/>
  <c r="Y240" i="3"/>
  <c r="W240" i="3"/>
  <c r="U240" i="3"/>
  <c r="S240" i="3"/>
  <c r="Q240" i="3"/>
  <c r="L240" i="3"/>
  <c r="K240" i="3"/>
  <c r="I240" i="3"/>
  <c r="Y239" i="3"/>
  <c r="W239" i="3"/>
  <c r="U239" i="3"/>
  <c r="S239" i="3"/>
  <c r="Q239" i="3"/>
  <c r="L239" i="3"/>
  <c r="K239" i="3"/>
  <c r="I239" i="3"/>
  <c r="Y238" i="3"/>
  <c r="W238" i="3"/>
  <c r="U238" i="3"/>
  <c r="S238" i="3"/>
  <c r="Q238" i="3"/>
  <c r="L238" i="3"/>
  <c r="K238" i="3"/>
  <c r="I238" i="3"/>
  <c r="Y237" i="3"/>
  <c r="W237" i="3"/>
  <c r="U237" i="3"/>
  <c r="S237" i="3"/>
  <c r="Q237" i="3"/>
  <c r="L237" i="3"/>
  <c r="K237" i="3"/>
  <c r="I237" i="3"/>
  <c r="Y236" i="3"/>
  <c r="W236" i="3"/>
  <c r="U236" i="3"/>
  <c r="S236" i="3"/>
  <c r="Q236" i="3"/>
  <c r="L236" i="3"/>
  <c r="K236" i="3"/>
  <c r="I236" i="3"/>
  <c r="Y235" i="3"/>
  <c r="W235" i="3"/>
  <c r="U235" i="3"/>
  <c r="S235" i="3"/>
  <c r="Q235" i="3"/>
  <c r="L235" i="3"/>
  <c r="K235" i="3"/>
  <c r="I235" i="3"/>
  <c r="Y234" i="3"/>
  <c r="W234" i="3"/>
  <c r="U234" i="3"/>
  <c r="S234" i="3"/>
  <c r="Q234" i="3"/>
  <c r="L234" i="3"/>
  <c r="K234" i="3"/>
  <c r="I234" i="3"/>
  <c r="Y233" i="3"/>
  <c r="W233" i="3"/>
  <c r="U233" i="3"/>
  <c r="S233" i="3"/>
  <c r="Q233" i="3"/>
  <c r="L233" i="3"/>
  <c r="K233" i="3"/>
  <c r="I233" i="3"/>
  <c r="Y232" i="3"/>
  <c r="W232" i="3"/>
  <c r="U232" i="3"/>
  <c r="S232" i="3"/>
  <c r="Q232" i="3"/>
  <c r="L232" i="3"/>
  <c r="K232" i="3"/>
  <c r="I232" i="3"/>
  <c r="Y231" i="3"/>
  <c r="W231" i="3"/>
  <c r="U231" i="3"/>
  <c r="S231" i="3"/>
  <c r="Q231" i="3"/>
  <c r="L231" i="3"/>
  <c r="K231" i="3"/>
  <c r="I231" i="3"/>
  <c r="Y230" i="3"/>
  <c r="W230" i="3"/>
  <c r="U230" i="3"/>
  <c r="S230" i="3"/>
  <c r="Q230" i="3"/>
  <c r="L230" i="3"/>
  <c r="K230" i="3"/>
  <c r="I230" i="3"/>
  <c r="Y229" i="3"/>
  <c r="W229" i="3"/>
  <c r="U229" i="3"/>
  <c r="S229" i="3"/>
  <c r="Q229" i="3"/>
  <c r="L229" i="3"/>
  <c r="K229" i="3"/>
  <c r="I229" i="3"/>
  <c r="Y228" i="3"/>
  <c r="W228" i="3"/>
  <c r="U228" i="3"/>
  <c r="S228" i="3"/>
  <c r="Q228" i="3"/>
  <c r="L228" i="3"/>
  <c r="K228" i="3"/>
  <c r="I228" i="3"/>
  <c r="Y227" i="3"/>
  <c r="W227" i="3"/>
  <c r="U227" i="3"/>
  <c r="S227" i="3"/>
  <c r="Q227" i="3"/>
  <c r="L227" i="3"/>
  <c r="K227" i="3"/>
  <c r="I227" i="3"/>
  <c r="Y226" i="3"/>
  <c r="W226" i="3"/>
  <c r="U226" i="3"/>
  <c r="S226" i="3"/>
  <c r="Q226" i="3"/>
  <c r="L226" i="3"/>
  <c r="K226" i="3"/>
  <c r="I226" i="3"/>
  <c r="Y225" i="3"/>
  <c r="W225" i="3"/>
  <c r="U225" i="3"/>
  <c r="S225" i="3"/>
  <c r="Q225" i="3"/>
  <c r="L225" i="3"/>
  <c r="K225" i="3"/>
  <c r="I225" i="3"/>
  <c r="Y224" i="3"/>
  <c r="W224" i="3"/>
  <c r="U224" i="3"/>
  <c r="S224" i="3"/>
  <c r="Q224" i="3"/>
  <c r="L224" i="3"/>
  <c r="K224" i="3"/>
  <c r="I224" i="3"/>
  <c r="Y223" i="3"/>
  <c r="W223" i="3"/>
  <c r="U223" i="3"/>
  <c r="S223" i="3"/>
  <c r="Q223" i="3"/>
  <c r="L223" i="3"/>
  <c r="K223" i="3"/>
  <c r="I223" i="3"/>
  <c r="Y222" i="3"/>
  <c r="W222" i="3"/>
  <c r="U222" i="3"/>
  <c r="S222" i="3"/>
  <c r="Q222" i="3"/>
  <c r="L222" i="3"/>
  <c r="K222" i="3"/>
  <c r="I222" i="3"/>
  <c r="Y221" i="3"/>
  <c r="W221" i="3"/>
  <c r="U221" i="3"/>
  <c r="S221" i="3"/>
  <c r="Q221" i="3"/>
  <c r="L221" i="3"/>
  <c r="K221" i="3"/>
  <c r="I221" i="3"/>
  <c r="Y220" i="3"/>
  <c r="W220" i="3"/>
  <c r="U220" i="3"/>
  <c r="S220" i="3"/>
  <c r="Q220" i="3"/>
  <c r="L220" i="3"/>
  <c r="K220" i="3"/>
  <c r="I220" i="3"/>
  <c r="Y219" i="3"/>
  <c r="W219" i="3"/>
  <c r="U219" i="3"/>
  <c r="S219" i="3"/>
  <c r="Q219" i="3"/>
  <c r="L219" i="3"/>
  <c r="K219" i="3"/>
  <c r="I219" i="3"/>
  <c r="Y218" i="3"/>
  <c r="W218" i="3"/>
  <c r="U218" i="3"/>
  <c r="S218" i="3"/>
  <c r="Q218" i="3"/>
  <c r="L218" i="3"/>
  <c r="K218" i="3"/>
  <c r="I218" i="3"/>
  <c r="Y217" i="3"/>
  <c r="W217" i="3"/>
  <c r="U217" i="3"/>
  <c r="S217" i="3"/>
  <c r="Q217" i="3"/>
  <c r="L217" i="3"/>
  <c r="K217" i="3"/>
  <c r="I217" i="3"/>
  <c r="Y216" i="3"/>
  <c r="W216" i="3"/>
  <c r="U216" i="3"/>
  <c r="S216" i="3"/>
  <c r="Q216" i="3"/>
  <c r="L216" i="3"/>
  <c r="K216" i="3"/>
  <c r="I216" i="3"/>
  <c r="Y215" i="3"/>
  <c r="W215" i="3"/>
  <c r="U215" i="3"/>
  <c r="S215" i="3"/>
  <c r="Q215" i="3"/>
  <c r="L215" i="3"/>
  <c r="K215" i="3"/>
  <c r="I215" i="3"/>
  <c r="Y214" i="3"/>
  <c r="W214" i="3"/>
  <c r="U214" i="3"/>
  <c r="S214" i="3"/>
  <c r="Q214" i="3"/>
  <c r="L214" i="3"/>
  <c r="K214" i="3"/>
  <c r="I214" i="3"/>
  <c r="Y213" i="3"/>
  <c r="W213" i="3"/>
  <c r="U213" i="3"/>
  <c r="S213" i="3"/>
  <c r="Q213" i="3"/>
  <c r="L213" i="3"/>
  <c r="K213" i="3"/>
  <c r="I213" i="3"/>
  <c r="Y212" i="3"/>
  <c r="W212" i="3"/>
  <c r="U212" i="3"/>
  <c r="S212" i="3"/>
  <c r="Q212" i="3"/>
  <c r="L212" i="3"/>
  <c r="K212" i="3"/>
  <c r="I212" i="3"/>
  <c r="Y211" i="3"/>
  <c r="W211" i="3"/>
  <c r="U211" i="3"/>
  <c r="S211" i="3"/>
  <c r="Q211" i="3"/>
  <c r="L211" i="3"/>
  <c r="K211" i="3"/>
  <c r="I211" i="3"/>
  <c r="Y210" i="3"/>
  <c r="W210" i="3"/>
  <c r="U210" i="3"/>
  <c r="S210" i="3"/>
  <c r="Q210" i="3"/>
  <c r="L210" i="3"/>
  <c r="K210" i="3"/>
  <c r="I210" i="3"/>
  <c r="Y209" i="3"/>
  <c r="W209" i="3"/>
  <c r="U209" i="3"/>
  <c r="S209" i="3"/>
  <c r="Q209" i="3"/>
  <c r="L209" i="3"/>
  <c r="K209" i="3"/>
  <c r="I209" i="3"/>
  <c r="Y208" i="3"/>
  <c r="W208" i="3"/>
  <c r="U208" i="3"/>
  <c r="S208" i="3"/>
  <c r="Q208" i="3"/>
  <c r="L208" i="3"/>
  <c r="K208" i="3"/>
  <c r="I208" i="3"/>
  <c r="Y207" i="3"/>
  <c r="W207" i="3"/>
  <c r="U207" i="3"/>
  <c r="S207" i="3"/>
  <c r="Q207" i="3"/>
  <c r="L207" i="3"/>
  <c r="K207" i="3"/>
  <c r="I207" i="3"/>
  <c r="Y206" i="3"/>
  <c r="W206" i="3"/>
  <c r="U206" i="3"/>
  <c r="S206" i="3"/>
  <c r="Q206" i="3"/>
  <c r="L206" i="3"/>
  <c r="K206" i="3"/>
  <c r="I206" i="3"/>
  <c r="Y205" i="3"/>
  <c r="W205" i="3"/>
  <c r="U205" i="3"/>
  <c r="S205" i="3"/>
  <c r="Q205" i="3"/>
  <c r="L205" i="3"/>
  <c r="K205" i="3"/>
  <c r="I205" i="3"/>
  <c r="Y204" i="3"/>
  <c r="W204" i="3"/>
  <c r="U204" i="3"/>
  <c r="S204" i="3"/>
  <c r="Q204" i="3"/>
  <c r="L204" i="3"/>
  <c r="K204" i="3"/>
  <c r="I204" i="3"/>
  <c r="Y203" i="3"/>
  <c r="W203" i="3"/>
  <c r="U203" i="3"/>
  <c r="S203" i="3"/>
  <c r="Q203" i="3"/>
  <c r="L203" i="3"/>
  <c r="K203" i="3"/>
  <c r="I203" i="3"/>
  <c r="Y202" i="3"/>
  <c r="W202" i="3"/>
  <c r="U202" i="3"/>
  <c r="S202" i="3"/>
  <c r="Q202" i="3"/>
  <c r="L202" i="3"/>
  <c r="K202" i="3"/>
  <c r="I202" i="3"/>
  <c r="Y201" i="3"/>
  <c r="W201" i="3"/>
  <c r="U201" i="3"/>
  <c r="S201" i="3"/>
  <c r="Q201" i="3"/>
  <c r="L201" i="3"/>
  <c r="K201" i="3"/>
  <c r="I201" i="3"/>
  <c r="Y200" i="3"/>
  <c r="W200" i="3"/>
  <c r="U200" i="3"/>
  <c r="S200" i="3"/>
  <c r="Q200" i="3"/>
  <c r="L200" i="3"/>
  <c r="K200" i="3"/>
  <c r="I200" i="3"/>
  <c r="Y199" i="3"/>
  <c r="W199" i="3"/>
  <c r="U199" i="3"/>
  <c r="S199" i="3"/>
  <c r="Q199" i="3"/>
  <c r="L199" i="3"/>
  <c r="K199" i="3"/>
  <c r="I199" i="3"/>
  <c r="Y198" i="3"/>
  <c r="W198" i="3"/>
  <c r="U198" i="3"/>
  <c r="S198" i="3"/>
  <c r="Q198" i="3"/>
  <c r="L198" i="3"/>
  <c r="K198" i="3"/>
  <c r="I198" i="3"/>
  <c r="Y197" i="3"/>
  <c r="W197" i="3"/>
  <c r="U197" i="3"/>
  <c r="S197" i="3"/>
  <c r="Q197" i="3"/>
  <c r="L197" i="3"/>
  <c r="K197" i="3"/>
  <c r="I197" i="3"/>
  <c r="Y196" i="3"/>
  <c r="W196" i="3"/>
  <c r="U196" i="3"/>
  <c r="S196" i="3"/>
  <c r="Q196" i="3"/>
  <c r="L196" i="3"/>
  <c r="K196" i="3"/>
  <c r="I196" i="3"/>
  <c r="Y195" i="3"/>
  <c r="W195" i="3"/>
  <c r="U195" i="3"/>
  <c r="S195" i="3"/>
  <c r="Q195" i="3"/>
  <c r="L195" i="3"/>
  <c r="K195" i="3"/>
  <c r="I195" i="3"/>
  <c r="Y194" i="3"/>
  <c r="W194" i="3"/>
  <c r="U194" i="3"/>
  <c r="S194" i="3"/>
  <c r="Q194" i="3"/>
  <c r="L194" i="3"/>
  <c r="K194" i="3"/>
  <c r="I194" i="3"/>
  <c r="Y193" i="3"/>
  <c r="W193" i="3"/>
  <c r="U193" i="3"/>
  <c r="S193" i="3"/>
  <c r="Q193" i="3"/>
  <c r="L193" i="3"/>
  <c r="K193" i="3"/>
  <c r="I193" i="3"/>
  <c r="Y192" i="3"/>
  <c r="W192" i="3"/>
  <c r="U192" i="3"/>
  <c r="S192" i="3"/>
  <c r="Q192" i="3"/>
  <c r="L192" i="3"/>
  <c r="K192" i="3"/>
  <c r="I192" i="3"/>
  <c r="Y191" i="3"/>
  <c r="W191" i="3"/>
  <c r="U191" i="3"/>
  <c r="S191" i="3"/>
  <c r="Q191" i="3"/>
  <c r="L191" i="3"/>
  <c r="K191" i="3"/>
  <c r="I191" i="3"/>
  <c r="Y190" i="3"/>
  <c r="W190" i="3"/>
  <c r="U190" i="3"/>
  <c r="S190" i="3"/>
  <c r="Q190" i="3"/>
  <c r="L190" i="3"/>
  <c r="K190" i="3"/>
  <c r="I190" i="3"/>
  <c r="Y189" i="3"/>
  <c r="W189" i="3"/>
  <c r="U189" i="3"/>
  <c r="S189" i="3"/>
  <c r="Q189" i="3"/>
  <c r="L189" i="3"/>
  <c r="K189" i="3"/>
  <c r="I189" i="3"/>
  <c r="Y188" i="3"/>
  <c r="W188" i="3"/>
  <c r="U188" i="3"/>
  <c r="S188" i="3"/>
  <c r="Q188" i="3"/>
  <c r="L188" i="3"/>
  <c r="K188" i="3"/>
  <c r="I188" i="3"/>
  <c r="Y187" i="3"/>
  <c r="W187" i="3"/>
  <c r="U187" i="3"/>
  <c r="S187" i="3"/>
  <c r="Q187" i="3"/>
  <c r="L187" i="3"/>
  <c r="K187" i="3"/>
  <c r="I187" i="3"/>
  <c r="Y186" i="3"/>
  <c r="W186" i="3"/>
  <c r="U186" i="3"/>
  <c r="S186" i="3"/>
  <c r="Q186" i="3"/>
  <c r="L186" i="3"/>
  <c r="K186" i="3"/>
  <c r="I186" i="3"/>
  <c r="Y185" i="3"/>
  <c r="W185" i="3"/>
  <c r="U185" i="3"/>
  <c r="S185" i="3"/>
  <c r="Q185" i="3"/>
  <c r="L185" i="3"/>
  <c r="K185" i="3"/>
  <c r="I185" i="3"/>
  <c r="Y184" i="3"/>
  <c r="W184" i="3"/>
  <c r="U184" i="3"/>
  <c r="S184" i="3"/>
  <c r="Q184" i="3"/>
  <c r="L184" i="3"/>
  <c r="K184" i="3"/>
  <c r="I184" i="3"/>
  <c r="Y183" i="3"/>
  <c r="W183" i="3"/>
  <c r="U183" i="3"/>
  <c r="S183" i="3"/>
  <c r="Q183" i="3"/>
  <c r="L183" i="3"/>
  <c r="K183" i="3"/>
  <c r="I183" i="3"/>
  <c r="Y182" i="3"/>
  <c r="W182" i="3"/>
  <c r="U182" i="3"/>
  <c r="S182" i="3"/>
  <c r="Q182" i="3"/>
  <c r="L182" i="3"/>
  <c r="K182" i="3"/>
  <c r="I182" i="3"/>
  <c r="Y181" i="3"/>
  <c r="W181" i="3"/>
  <c r="U181" i="3"/>
  <c r="S181" i="3"/>
  <c r="Q181" i="3"/>
  <c r="L181" i="3"/>
  <c r="K181" i="3"/>
  <c r="I181" i="3"/>
  <c r="Y180" i="3"/>
  <c r="W180" i="3"/>
  <c r="U180" i="3"/>
  <c r="S180" i="3"/>
  <c r="Q180" i="3"/>
  <c r="L180" i="3"/>
  <c r="K180" i="3"/>
  <c r="I180" i="3"/>
  <c r="Y179" i="3"/>
  <c r="W179" i="3"/>
  <c r="U179" i="3"/>
  <c r="S179" i="3"/>
  <c r="Q179" i="3"/>
  <c r="L179" i="3"/>
  <c r="K179" i="3"/>
  <c r="I179" i="3"/>
  <c r="Y178" i="3"/>
  <c r="W178" i="3"/>
  <c r="U178" i="3"/>
  <c r="S178" i="3"/>
  <c r="Q178" i="3"/>
  <c r="L178" i="3"/>
  <c r="K178" i="3"/>
  <c r="I178" i="3"/>
  <c r="Y177" i="3"/>
  <c r="W177" i="3"/>
  <c r="U177" i="3"/>
  <c r="S177" i="3"/>
  <c r="Q177" i="3"/>
  <c r="L177" i="3"/>
  <c r="K177" i="3"/>
  <c r="I177" i="3"/>
  <c r="Y176" i="3"/>
  <c r="W176" i="3"/>
  <c r="U176" i="3"/>
  <c r="S176" i="3"/>
  <c r="Q176" i="3"/>
  <c r="L176" i="3"/>
  <c r="K176" i="3"/>
  <c r="I176" i="3"/>
  <c r="Y175" i="3"/>
  <c r="W175" i="3"/>
  <c r="U175" i="3"/>
  <c r="S175" i="3"/>
  <c r="Q175" i="3"/>
  <c r="L175" i="3"/>
  <c r="K175" i="3"/>
  <c r="I175" i="3"/>
  <c r="Y174" i="3"/>
  <c r="W174" i="3"/>
  <c r="U174" i="3"/>
  <c r="S174" i="3"/>
  <c r="Q174" i="3"/>
  <c r="L174" i="3"/>
  <c r="K174" i="3"/>
  <c r="I174" i="3"/>
  <c r="Y173" i="3"/>
  <c r="W173" i="3"/>
  <c r="U173" i="3"/>
  <c r="S173" i="3"/>
  <c r="Q173" i="3"/>
  <c r="L173" i="3"/>
  <c r="K173" i="3"/>
  <c r="I173" i="3"/>
  <c r="Y172" i="3"/>
  <c r="W172" i="3"/>
  <c r="U172" i="3"/>
  <c r="S172" i="3"/>
  <c r="Q172" i="3"/>
  <c r="L172" i="3"/>
  <c r="K172" i="3"/>
  <c r="I172" i="3"/>
  <c r="Y171" i="3"/>
  <c r="W171" i="3"/>
  <c r="U171" i="3"/>
  <c r="S171" i="3"/>
  <c r="Q171" i="3"/>
  <c r="L171" i="3"/>
  <c r="K171" i="3"/>
  <c r="I171" i="3"/>
  <c r="Y170" i="3"/>
  <c r="W170" i="3"/>
  <c r="U170" i="3"/>
  <c r="S170" i="3"/>
  <c r="Q170" i="3"/>
  <c r="L170" i="3"/>
  <c r="K170" i="3"/>
  <c r="I170" i="3"/>
  <c r="Y169" i="3"/>
  <c r="W169" i="3"/>
  <c r="U169" i="3"/>
  <c r="S169" i="3"/>
  <c r="Q169" i="3"/>
  <c r="L169" i="3"/>
  <c r="K169" i="3"/>
  <c r="I169" i="3"/>
  <c r="Y168" i="3"/>
  <c r="W168" i="3"/>
  <c r="U168" i="3"/>
  <c r="S168" i="3"/>
  <c r="Q168" i="3"/>
  <c r="L168" i="3"/>
  <c r="K168" i="3"/>
  <c r="I168" i="3"/>
  <c r="Y167" i="3"/>
  <c r="W167" i="3"/>
  <c r="U167" i="3"/>
  <c r="S167" i="3"/>
  <c r="Q167" i="3"/>
  <c r="L167" i="3"/>
  <c r="K167" i="3"/>
  <c r="I167" i="3"/>
  <c r="Y166" i="3"/>
  <c r="W166" i="3"/>
  <c r="U166" i="3"/>
  <c r="S166" i="3"/>
  <c r="Q166" i="3"/>
  <c r="L166" i="3"/>
  <c r="K166" i="3"/>
  <c r="I166" i="3"/>
  <c r="Y165" i="3"/>
  <c r="W165" i="3"/>
  <c r="U165" i="3"/>
  <c r="S165" i="3"/>
  <c r="Q165" i="3"/>
  <c r="L165" i="3"/>
  <c r="K165" i="3"/>
  <c r="I165" i="3"/>
  <c r="Y164" i="3"/>
  <c r="W164" i="3"/>
  <c r="U164" i="3"/>
  <c r="S164" i="3"/>
  <c r="Q164" i="3"/>
  <c r="L164" i="3"/>
  <c r="K164" i="3"/>
  <c r="I164" i="3"/>
  <c r="Y163" i="3"/>
  <c r="W163" i="3"/>
  <c r="U163" i="3"/>
  <c r="S163" i="3"/>
  <c r="Q163" i="3"/>
  <c r="L163" i="3"/>
  <c r="K163" i="3"/>
  <c r="I163" i="3"/>
  <c r="Y162" i="3"/>
  <c r="W162" i="3"/>
  <c r="U162" i="3"/>
  <c r="S162" i="3"/>
  <c r="Q162" i="3"/>
  <c r="L162" i="3"/>
  <c r="K162" i="3"/>
  <c r="I162" i="3"/>
  <c r="Y161" i="3"/>
  <c r="W161" i="3"/>
  <c r="U161" i="3"/>
  <c r="S161" i="3"/>
  <c r="Q161" i="3"/>
  <c r="L161" i="3"/>
  <c r="K161" i="3"/>
  <c r="I161" i="3"/>
  <c r="Y160" i="3"/>
  <c r="W160" i="3"/>
  <c r="U160" i="3"/>
  <c r="S160" i="3"/>
  <c r="Q160" i="3"/>
  <c r="L160" i="3"/>
  <c r="K160" i="3"/>
  <c r="I160" i="3"/>
  <c r="Y159" i="3"/>
  <c r="W159" i="3"/>
  <c r="U159" i="3"/>
  <c r="S159" i="3"/>
  <c r="Q159" i="3"/>
  <c r="L159" i="3"/>
  <c r="K159" i="3"/>
  <c r="I159" i="3"/>
  <c r="Y158" i="3"/>
  <c r="W158" i="3"/>
  <c r="U158" i="3"/>
  <c r="S158" i="3"/>
  <c r="Q158" i="3"/>
  <c r="L158" i="3"/>
  <c r="K158" i="3"/>
  <c r="I158" i="3"/>
  <c r="Y157" i="3"/>
  <c r="W157" i="3"/>
  <c r="U157" i="3"/>
  <c r="S157" i="3"/>
  <c r="Q157" i="3"/>
  <c r="L157" i="3"/>
  <c r="K157" i="3"/>
  <c r="I157" i="3"/>
  <c r="Y156" i="3"/>
  <c r="W156" i="3"/>
  <c r="U156" i="3"/>
  <c r="S156" i="3"/>
  <c r="Q156" i="3"/>
  <c r="L156" i="3"/>
  <c r="K156" i="3"/>
  <c r="I156" i="3"/>
  <c r="Y155" i="3"/>
  <c r="W155" i="3"/>
  <c r="U155" i="3"/>
  <c r="S155" i="3"/>
  <c r="Q155" i="3"/>
  <c r="L155" i="3"/>
  <c r="K155" i="3"/>
  <c r="I155" i="3"/>
  <c r="Y154" i="3"/>
  <c r="W154" i="3"/>
  <c r="U154" i="3"/>
  <c r="S154" i="3"/>
  <c r="Q154" i="3"/>
  <c r="L154" i="3"/>
  <c r="K154" i="3"/>
  <c r="I154" i="3"/>
  <c r="Y153" i="3"/>
  <c r="W153" i="3"/>
  <c r="U153" i="3"/>
  <c r="S153" i="3"/>
  <c r="Q153" i="3"/>
  <c r="L153" i="3"/>
  <c r="K153" i="3"/>
  <c r="I153" i="3"/>
  <c r="Y152" i="3"/>
  <c r="W152" i="3"/>
  <c r="U152" i="3"/>
  <c r="S152" i="3"/>
  <c r="Q152" i="3"/>
  <c r="L152" i="3"/>
  <c r="K152" i="3"/>
  <c r="I152" i="3"/>
  <c r="Y151" i="3"/>
  <c r="W151" i="3"/>
  <c r="U151" i="3"/>
  <c r="S151" i="3"/>
  <c r="Q151" i="3"/>
  <c r="L151" i="3"/>
  <c r="K151" i="3"/>
  <c r="I151" i="3"/>
  <c r="Y150" i="3"/>
  <c r="W150" i="3"/>
  <c r="U150" i="3"/>
  <c r="S150" i="3"/>
  <c r="Q150" i="3"/>
  <c r="L150" i="3"/>
  <c r="K150" i="3"/>
  <c r="I150" i="3"/>
  <c r="Y149" i="3"/>
  <c r="W149" i="3"/>
  <c r="U149" i="3"/>
  <c r="S149" i="3"/>
  <c r="Q149" i="3"/>
  <c r="L149" i="3"/>
  <c r="K149" i="3"/>
  <c r="I149" i="3"/>
  <c r="Y148" i="3"/>
  <c r="W148" i="3"/>
  <c r="U148" i="3"/>
  <c r="S148" i="3"/>
  <c r="Q148" i="3"/>
  <c r="L148" i="3"/>
  <c r="K148" i="3"/>
  <c r="I148" i="3"/>
  <c r="Y147" i="3"/>
  <c r="W147" i="3"/>
  <c r="U147" i="3"/>
  <c r="S147" i="3"/>
  <c r="Q147" i="3"/>
  <c r="L147" i="3"/>
  <c r="K147" i="3"/>
  <c r="I147" i="3"/>
  <c r="Y146" i="3"/>
  <c r="W146" i="3"/>
  <c r="U146" i="3"/>
  <c r="S146" i="3"/>
  <c r="Q146" i="3"/>
  <c r="L146" i="3"/>
  <c r="K146" i="3"/>
  <c r="I146" i="3"/>
  <c r="Y145" i="3"/>
  <c r="W145" i="3"/>
  <c r="U145" i="3"/>
  <c r="S145" i="3"/>
  <c r="Q145" i="3"/>
  <c r="L145" i="3"/>
  <c r="K145" i="3"/>
  <c r="I145" i="3"/>
  <c r="Y144" i="3"/>
  <c r="W144" i="3"/>
  <c r="U144" i="3"/>
  <c r="S144" i="3"/>
  <c r="Q144" i="3"/>
  <c r="L144" i="3"/>
  <c r="K144" i="3"/>
  <c r="I144" i="3"/>
  <c r="Y143" i="3"/>
  <c r="W143" i="3"/>
  <c r="U143" i="3"/>
  <c r="S143" i="3"/>
  <c r="Q143" i="3"/>
  <c r="L143" i="3"/>
  <c r="K143" i="3"/>
  <c r="I143" i="3"/>
  <c r="Y142" i="3"/>
  <c r="W142" i="3"/>
  <c r="U142" i="3"/>
  <c r="S142" i="3"/>
  <c r="Q142" i="3"/>
  <c r="L142" i="3"/>
  <c r="K142" i="3"/>
  <c r="I142" i="3"/>
  <c r="Y141" i="3"/>
  <c r="W141" i="3"/>
  <c r="U141" i="3"/>
  <c r="S141" i="3"/>
  <c r="Q141" i="3"/>
  <c r="L141" i="3"/>
  <c r="K141" i="3"/>
  <c r="I141" i="3"/>
  <c r="Y140" i="3"/>
  <c r="W140" i="3"/>
  <c r="U140" i="3"/>
  <c r="S140" i="3"/>
  <c r="Q140" i="3"/>
  <c r="L140" i="3"/>
  <c r="K140" i="3"/>
  <c r="I140" i="3"/>
  <c r="Y139" i="3"/>
  <c r="W139" i="3"/>
  <c r="U139" i="3"/>
  <c r="S139" i="3"/>
  <c r="Q139" i="3"/>
  <c r="L139" i="3"/>
  <c r="K139" i="3"/>
  <c r="I139" i="3"/>
  <c r="Y138" i="3"/>
  <c r="W138" i="3"/>
  <c r="U138" i="3"/>
  <c r="S138" i="3"/>
  <c r="Q138" i="3"/>
  <c r="L138" i="3"/>
  <c r="K138" i="3"/>
  <c r="I138" i="3"/>
  <c r="Y137" i="3"/>
  <c r="W137" i="3"/>
  <c r="U137" i="3"/>
  <c r="S137" i="3"/>
  <c r="Q137" i="3"/>
  <c r="L137" i="3"/>
  <c r="K137" i="3"/>
  <c r="I137" i="3"/>
  <c r="Y136" i="3"/>
  <c r="W136" i="3"/>
  <c r="U136" i="3"/>
  <c r="S136" i="3"/>
  <c r="Q136" i="3"/>
  <c r="L136" i="3"/>
  <c r="K136" i="3"/>
  <c r="I136" i="3"/>
  <c r="Y135" i="3"/>
  <c r="W135" i="3"/>
  <c r="U135" i="3"/>
  <c r="S135" i="3"/>
  <c r="Q135" i="3"/>
  <c r="L135" i="3"/>
  <c r="K135" i="3"/>
  <c r="I135" i="3"/>
  <c r="Y134" i="3"/>
  <c r="W134" i="3"/>
  <c r="U134" i="3"/>
  <c r="S134" i="3"/>
  <c r="Q134" i="3"/>
  <c r="L134" i="3"/>
  <c r="K134" i="3"/>
  <c r="I134" i="3"/>
  <c r="Y133" i="3"/>
  <c r="W133" i="3"/>
  <c r="U133" i="3"/>
  <c r="S133" i="3"/>
  <c r="Q133" i="3"/>
  <c r="L133" i="3"/>
  <c r="K133" i="3"/>
  <c r="I133" i="3"/>
  <c r="Y132" i="3"/>
  <c r="W132" i="3"/>
  <c r="U132" i="3"/>
  <c r="S132" i="3"/>
  <c r="Q132" i="3"/>
  <c r="L132" i="3"/>
  <c r="K132" i="3"/>
  <c r="I132" i="3"/>
  <c r="Y131" i="3"/>
  <c r="W131" i="3"/>
  <c r="U131" i="3"/>
  <c r="S131" i="3"/>
  <c r="Q131" i="3"/>
  <c r="L131" i="3"/>
  <c r="K131" i="3"/>
  <c r="I131" i="3"/>
  <c r="Y130" i="3"/>
  <c r="W130" i="3"/>
  <c r="U130" i="3"/>
  <c r="S130" i="3"/>
  <c r="Q130" i="3"/>
  <c r="L130" i="3"/>
  <c r="K130" i="3"/>
  <c r="I130" i="3"/>
  <c r="Y129" i="3"/>
  <c r="W129" i="3"/>
  <c r="U129" i="3"/>
  <c r="S129" i="3"/>
  <c r="Q129" i="3"/>
  <c r="L129" i="3"/>
  <c r="K129" i="3"/>
  <c r="I129" i="3"/>
  <c r="Y128" i="3"/>
  <c r="W128" i="3"/>
  <c r="U128" i="3"/>
  <c r="S128" i="3"/>
  <c r="Q128" i="3"/>
  <c r="L128" i="3"/>
  <c r="K128" i="3"/>
  <c r="I128" i="3"/>
  <c r="Y127" i="3"/>
  <c r="W127" i="3"/>
  <c r="U127" i="3"/>
  <c r="S127" i="3"/>
  <c r="Q127" i="3"/>
  <c r="L127" i="3"/>
  <c r="K127" i="3"/>
  <c r="I127" i="3"/>
  <c r="Y126" i="3"/>
  <c r="W126" i="3"/>
  <c r="U126" i="3"/>
  <c r="S126" i="3"/>
  <c r="Q126" i="3"/>
  <c r="L126" i="3"/>
  <c r="K126" i="3"/>
  <c r="I126" i="3"/>
  <c r="Y125" i="3"/>
  <c r="W125" i="3"/>
  <c r="U125" i="3"/>
  <c r="S125" i="3"/>
  <c r="Q125" i="3"/>
  <c r="L125" i="3"/>
  <c r="K125" i="3"/>
  <c r="I125" i="3"/>
  <c r="Y124" i="3"/>
  <c r="W124" i="3"/>
  <c r="U124" i="3"/>
  <c r="S124" i="3"/>
  <c r="Q124" i="3"/>
  <c r="L124" i="3"/>
  <c r="K124" i="3"/>
  <c r="I124" i="3"/>
  <c r="Y123" i="3"/>
  <c r="W123" i="3"/>
  <c r="U123" i="3"/>
  <c r="S123" i="3"/>
  <c r="Q123" i="3"/>
  <c r="L123" i="3"/>
  <c r="K123" i="3"/>
  <c r="I123" i="3"/>
  <c r="Y122" i="3"/>
  <c r="W122" i="3"/>
  <c r="U122" i="3"/>
  <c r="S122" i="3"/>
  <c r="Q122" i="3"/>
  <c r="L122" i="3"/>
  <c r="K122" i="3"/>
  <c r="I122" i="3"/>
  <c r="Y121" i="3"/>
  <c r="W121" i="3"/>
  <c r="U121" i="3"/>
  <c r="S121" i="3"/>
  <c r="Q121" i="3"/>
  <c r="L121" i="3"/>
  <c r="K121" i="3"/>
  <c r="I121" i="3"/>
  <c r="Y120" i="3"/>
  <c r="W120" i="3"/>
  <c r="U120" i="3"/>
  <c r="S120" i="3"/>
  <c r="Q120" i="3"/>
  <c r="L120" i="3"/>
  <c r="K120" i="3"/>
  <c r="I120" i="3"/>
  <c r="Y119" i="3"/>
  <c r="W119" i="3"/>
  <c r="U119" i="3"/>
  <c r="S119" i="3"/>
  <c r="Q119" i="3"/>
  <c r="L119" i="3"/>
  <c r="K119" i="3"/>
  <c r="I119" i="3"/>
  <c r="Y118" i="3"/>
  <c r="W118" i="3"/>
  <c r="U118" i="3"/>
  <c r="S118" i="3"/>
  <c r="Q118" i="3"/>
  <c r="L118" i="3"/>
  <c r="K118" i="3"/>
  <c r="I118" i="3"/>
  <c r="Y117" i="3"/>
  <c r="W117" i="3"/>
  <c r="U117" i="3"/>
  <c r="S117" i="3"/>
  <c r="Q117" i="3"/>
  <c r="L117" i="3"/>
  <c r="K117" i="3"/>
  <c r="I117" i="3"/>
  <c r="Y116" i="3"/>
  <c r="W116" i="3"/>
  <c r="U116" i="3"/>
  <c r="S116" i="3"/>
  <c r="Q116" i="3"/>
  <c r="L116" i="3"/>
  <c r="K116" i="3"/>
  <c r="I116" i="3"/>
  <c r="Y115" i="3"/>
  <c r="W115" i="3"/>
  <c r="U115" i="3"/>
  <c r="S115" i="3"/>
  <c r="Q115" i="3"/>
  <c r="L115" i="3"/>
  <c r="K115" i="3"/>
  <c r="I115" i="3"/>
  <c r="Y114" i="3"/>
  <c r="W114" i="3"/>
  <c r="U114" i="3"/>
  <c r="S114" i="3"/>
  <c r="Q114" i="3"/>
  <c r="L114" i="3"/>
  <c r="K114" i="3"/>
  <c r="I114" i="3"/>
  <c r="Y113" i="3"/>
  <c r="W113" i="3"/>
  <c r="U113" i="3"/>
  <c r="S113" i="3"/>
  <c r="Q113" i="3"/>
  <c r="L113" i="3"/>
  <c r="K113" i="3"/>
  <c r="I113" i="3"/>
  <c r="Y112" i="3"/>
  <c r="W112" i="3"/>
  <c r="U112" i="3"/>
  <c r="S112" i="3"/>
  <c r="Q112" i="3"/>
  <c r="L112" i="3"/>
  <c r="K112" i="3"/>
  <c r="I112" i="3"/>
  <c r="Y111" i="3"/>
  <c r="W111" i="3"/>
  <c r="U111" i="3"/>
  <c r="S111" i="3"/>
  <c r="Q111" i="3"/>
  <c r="L111" i="3"/>
  <c r="K111" i="3"/>
  <c r="I111" i="3"/>
  <c r="Y110" i="3"/>
  <c r="W110" i="3"/>
  <c r="U110" i="3"/>
  <c r="S110" i="3"/>
  <c r="Q110" i="3"/>
  <c r="L110" i="3"/>
  <c r="K110" i="3"/>
  <c r="I110" i="3"/>
  <c r="Y109" i="3"/>
  <c r="W109" i="3"/>
  <c r="U109" i="3"/>
  <c r="S109" i="3"/>
  <c r="Q109" i="3"/>
  <c r="L109" i="3"/>
  <c r="K109" i="3"/>
  <c r="I109" i="3"/>
  <c r="Y108" i="3"/>
  <c r="W108" i="3"/>
  <c r="U108" i="3"/>
  <c r="S108" i="3"/>
  <c r="Q108" i="3"/>
  <c r="L108" i="3"/>
  <c r="K108" i="3"/>
  <c r="I108" i="3"/>
  <c r="Y107" i="3"/>
  <c r="W107" i="3"/>
  <c r="U107" i="3"/>
  <c r="S107" i="3"/>
  <c r="Q107" i="3"/>
  <c r="L107" i="3"/>
  <c r="K107" i="3"/>
  <c r="I107" i="3"/>
  <c r="Y106" i="3"/>
  <c r="W106" i="3"/>
  <c r="U106" i="3"/>
  <c r="S106" i="3"/>
  <c r="Q106" i="3"/>
  <c r="L106" i="3"/>
  <c r="K106" i="3"/>
  <c r="I106" i="3"/>
  <c r="Y105" i="3"/>
  <c r="W105" i="3"/>
  <c r="U105" i="3"/>
  <c r="S105" i="3"/>
  <c r="Q105" i="3"/>
  <c r="L105" i="3"/>
  <c r="K105" i="3"/>
  <c r="I105" i="3"/>
  <c r="Y104" i="3"/>
  <c r="W104" i="3"/>
  <c r="U104" i="3"/>
  <c r="S104" i="3"/>
  <c r="Q104" i="3"/>
  <c r="L104" i="3"/>
  <c r="K104" i="3"/>
  <c r="I104" i="3"/>
  <c r="Y103" i="3"/>
  <c r="W103" i="3"/>
  <c r="U103" i="3"/>
  <c r="S103" i="3"/>
  <c r="Q103" i="3"/>
  <c r="L103" i="3"/>
  <c r="K103" i="3"/>
  <c r="I103" i="3"/>
  <c r="Y102" i="3"/>
  <c r="W102" i="3"/>
  <c r="U102" i="3"/>
  <c r="S102" i="3"/>
  <c r="Q102" i="3"/>
  <c r="L102" i="3"/>
  <c r="K102" i="3"/>
  <c r="I102" i="3"/>
  <c r="Y101" i="3"/>
  <c r="W101" i="3"/>
  <c r="U101" i="3"/>
  <c r="S101" i="3"/>
  <c r="Q101" i="3"/>
  <c r="L101" i="3"/>
  <c r="K101" i="3"/>
  <c r="I101" i="3"/>
  <c r="Y100" i="3"/>
  <c r="W100" i="3"/>
  <c r="U100" i="3"/>
  <c r="S100" i="3"/>
  <c r="Q100" i="3"/>
  <c r="L100" i="3"/>
  <c r="K100" i="3"/>
  <c r="I100" i="3"/>
  <c r="Y99" i="3"/>
  <c r="W99" i="3"/>
  <c r="U99" i="3"/>
  <c r="S99" i="3"/>
  <c r="Q99" i="3"/>
  <c r="L99" i="3"/>
  <c r="K99" i="3"/>
  <c r="I99" i="3"/>
  <c r="Y98" i="3"/>
  <c r="W98" i="3"/>
  <c r="U98" i="3"/>
  <c r="S98" i="3"/>
  <c r="Q98" i="3"/>
  <c r="L98" i="3"/>
  <c r="K98" i="3"/>
  <c r="I98" i="3"/>
  <c r="Y97" i="3"/>
  <c r="W97" i="3"/>
  <c r="U97" i="3"/>
  <c r="S97" i="3"/>
  <c r="Q97" i="3"/>
  <c r="L97" i="3"/>
  <c r="K97" i="3"/>
  <c r="I97" i="3"/>
  <c r="Y96" i="3"/>
  <c r="W96" i="3"/>
  <c r="U96" i="3"/>
  <c r="S96" i="3"/>
  <c r="Q96" i="3"/>
  <c r="L96" i="3"/>
  <c r="K96" i="3"/>
  <c r="I96" i="3"/>
  <c r="Y95" i="3"/>
  <c r="W95" i="3"/>
  <c r="U95" i="3"/>
  <c r="S95" i="3"/>
  <c r="Q95" i="3"/>
  <c r="L95" i="3"/>
  <c r="K95" i="3"/>
  <c r="I95" i="3"/>
  <c r="Y94" i="3"/>
  <c r="W94" i="3"/>
  <c r="U94" i="3"/>
  <c r="S94" i="3"/>
  <c r="Q94" i="3"/>
  <c r="L94" i="3"/>
  <c r="K94" i="3"/>
  <c r="I94" i="3"/>
  <c r="Y93" i="3"/>
  <c r="W93" i="3"/>
  <c r="U93" i="3"/>
  <c r="S93" i="3"/>
  <c r="Q93" i="3"/>
  <c r="L93" i="3"/>
  <c r="K93" i="3"/>
  <c r="I93" i="3"/>
  <c r="Y92" i="3"/>
  <c r="W92" i="3"/>
  <c r="U92" i="3"/>
  <c r="S92" i="3"/>
  <c r="Q92" i="3"/>
  <c r="L92" i="3"/>
  <c r="K92" i="3"/>
  <c r="I92" i="3"/>
  <c r="Y91" i="3"/>
  <c r="W91" i="3"/>
  <c r="U91" i="3"/>
  <c r="S91" i="3"/>
  <c r="Q91" i="3"/>
  <c r="L91" i="3"/>
  <c r="K91" i="3"/>
  <c r="I91" i="3"/>
  <c r="Y90" i="3"/>
  <c r="W90" i="3"/>
  <c r="U90" i="3"/>
  <c r="S90" i="3"/>
  <c r="Q90" i="3"/>
  <c r="L90" i="3"/>
  <c r="K90" i="3"/>
  <c r="I90" i="3"/>
  <c r="Y89" i="3"/>
  <c r="W89" i="3"/>
  <c r="U89" i="3"/>
  <c r="S89" i="3"/>
  <c r="Q89" i="3"/>
  <c r="L89" i="3"/>
  <c r="K89" i="3"/>
  <c r="I89" i="3"/>
  <c r="Y88" i="3"/>
  <c r="W88" i="3"/>
  <c r="U88" i="3"/>
  <c r="S88" i="3"/>
  <c r="Q88" i="3"/>
  <c r="L88" i="3"/>
  <c r="K88" i="3"/>
  <c r="I88" i="3"/>
  <c r="Y87" i="3"/>
  <c r="W87" i="3"/>
  <c r="U87" i="3"/>
  <c r="S87" i="3"/>
  <c r="Q87" i="3"/>
  <c r="L87" i="3"/>
  <c r="K87" i="3"/>
  <c r="I87" i="3"/>
  <c r="Y86" i="3"/>
  <c r="W86" i="3"/>
  <c r="U86" i="3"/>
  <c r="S86" i="3"/>
  <c r="Q86" i="3"/>
  <c r="L86" i="3"/>
  <c r="K86" i="3"/>
  <c r="I86" i="3"/>
  <c r="Y85" i="3"/>
  <c r="W85" i="3"/>
  <c r="U85" i="3"/>
  <c r="S85" i="3"/>
  <c r="Q85" i="3"/>
  <c r="L85" i="3"/>
  <c r="K85" i="3"/>
  <c r="I85" i="3"/>
  <c r="Y84" i="3"/>
  <c r="W84" i="3"/>
  <c r="U84" i="3"/>
  <c r="S84" i="3"/>
  <c r="Q84" i="3"/>
  <c r="L84" i="3"/>
  <c r="K84" i="3"/>
  <c r="I84" i="3"/>
  <c r="Y83" i="3"/>
  <c r="W83" i="3"/>
  <c r="U83" i="3"/>
  <c r="S83" i="3"/>
  <c r="Q83" i="3"/>
  <c r="L83" i="3"/>
  <c r="K83" i="3"/>
  <c r="I83" i="3"/>
  <c r="Y82" i="3"/>
  <c r="W82" i="3"/>
  <c r="U82" i="3"/>
  <c r="S82" i="3"/>
  <c r="Q82" i="3"/>
  <c r="L82" i="3"/>
  <c r="K82" i="3"/>
  <c r="I82" i="3"/>
  <c r="Y81" i="3"/>
  <c r="W81" i="3"/>
  <c r="U81" i="3"/>
  <c r="S81" i="3"/>
  <c r="Q81" i="3"/>
  <c r="L81" i="3"/>
  <c r="K81" i="3"/>
  <c r="I81" i="3"/>
  <c r="Y80" i="3"/>
  <c r="W80" i="3"/>
  <c r="U80" i="3"/>
  <c r="S80" i="3"/>
  <c r="Q80" i="3"/>
  <c r="L80" i="3"/>
  <c r="K80" i="3"/>
  <c r="I80" i="3"/>
  <c r="Y79" i="3"/>
  <c r="W79" i="3"/>
  <c r="U79" i="3"/>
  <c r="S79" i="3"/>
  <c r="Q79" i="3"/>
  <c r="L79" i="3"/>
  <c r="K79" i="3"/>
  <c r="I79" i="3"/>
  <c r="Y78" i="3"/>
  <c r="W78" i="3"/>
  <c r="U78" i="3"/>
  <c r="S78" i="3"/>
  <c r="Q78" i="3"/>
  <c r="L78" i="3"/>
  <c r="K78" i="3"/>
  <c r="I78" i="3"/>
  <c r="Y77" i="3"/>
  <c r="W77" i="3"/>
  <c r="U77" i="3"/>
  <c r="S77" i="3"/>
  <c r="Q77" i="3"/>
  <c r="L77" i="3"/>
  <c r="K77" i="3"/>
  <c r="I77" i="3"/>
  <c r="Y76" i="3"/>
  <c r="W76" i="3"/>
  <c r="U76" i="3"/>
  <c r="S76" i="3"/>
  <c r="Q76" i="3"/>
  <c r="L76" i="3"/>
  <c r="K76" i="3"/>
  <c r="I76" i="3"/>
  <c r="Y75" i="3"/>
  <c r="W75" i="3"/>
  <c r="U75" i="3"/>
  <c r="S75" i="3"/>
  <c r="Q75" i="3"/>
  <c r="L75" i="3"/>
  <c r="K75" i="3"/>
  <c r="I75" i="3"/>
  <c r="Y74" i="3"/>
  <c r="W74" i="3"/>
  <c r="U74" i="3"/>
  <c r="S74" i="3"/>
  <c r="Q74" i="3"/>
  <c r="L74" i="3"/>
  <c r="K74" i="3"/>
  <c r="I74" i="3"/>
  <c r="Y73" i="3"/>
  <c r="W73" i="3"/>
  <c r="U73" i="3"/>
  <c r="S73" i="3"/>
  <c r="Q73" i="3"/>
  <c r="L73" i="3"/>
  <c r="K73" i="3"/>
  <c r="I73" i="3"/>
  <c r="Y72" i="3"/>
  <c r="W72" i="3"/>
  <c r="U72" i="3"/>
  <c r="S72" i="3"/>
  <c r="Q72" i="3"/>
  <c r="L72" i="3"/>
  <c r="K72" i="3"/>
  <c r="I72" i="3"/>
  <c r="Y71" i="3"/>
  <c r="W71" i="3"/>
  <c r="U71" i="3"/>
  <c r="S71" i="3"/>
  <c r="Q71" i="3"/>
  <c r="L71" i="3"/>
  <c r="K71" i="3"/>
  <c r="I71" i="3"/>
  <c r="Y70" i="3"/>
  <c r="W70" i="3"/>
  <c r="U70" i="3"/>
  <c r="S70" i="3"/>
  <c r="Q70" i="3"/>
  <c r="L70" i="3"/>
  <c r="K70" i="3"/>
  <c r="I70" i="3"/>
  <c r="Y69" i="3"/>
  <c r="W69" i="3"/>
  <c r="U69" i="3"/>
  <c r="S69" i="3"/>
  <c r="Q69" i="3"/>
  <c r="L69" i="3"/>
  <c r="K69" i="3"/>
  <c r="I69" i="3"/>
  <c r="Y68" i="3"/>
  <c r="W68" i="3"/>
  <c r="U68" i="3"/>
  <c r="S68" i="3"/>
  <c r="Q68" i="3"/>
  <c r="L68" i="3"/>
  <c r="K68" i="3"/>
  <c r="I68" i="3"/>
  <c r="Y67" i="3"/>
  <c r="W67" i="3"/>
  <c r="U67" i="3"/>
  <c r="S67" i="3"/>
  <c r="Q67" i="3"/>
  <c r="L67" i="3"/>
  <c r="K67" i="3"/>
  <c r="I67" i="3"/>
  <c r="Y66" i="3"/>
  <c r="W66" i="3"/>
  <c r="U66" i="3"/>
  <c r="S66" i="3"/>
  <c r="Q66" i="3"/>
  <c r="L66" i="3"/>
  <c r="K66" i="3"/>
  <c r="I66" i="3"/>
  <c r="Y65" i="3"/>
  <c r="W65" i="3"/>
  <c r="U65" i="3"/>
  <c r="S65" i="3"/>
  <c r="Q65" i="3"/>
  <c r="L65" i="3"/>
  <c r="K65" i="3"/>
  <c r="I65" i="3"/>
  <c r="Y64" i="3"/>
  <c r="W64" i="3"/>
  <c r="U64" i="3"/>
  <c r="S64" i="3"/>
  <c r="Q64" i="3"/>
  <c r="L64" i="3"/>
  <c r="K64" i="3"/>
  <c r="I64" i="3"/>
  <c r="Y63" i="3"/>
  <c r="W63" i="3"/>
  <c r="U63" i="3"/>
  <c r="S63" i="3"/>
  <c r="Q63" i="3"/>
  <c r="L63" i="3"/>
  <c r="K63" i="3"/>
  <c r="I63" i="3"/>
  <c r="Y62" i="3"/>
  <c r="W62" i="3"/>
  <c r="U62" i="3"/>
  <c r="S62" i="3"/>
  <c r="Q62" i="3"/>
  <c r="L62" i="3"/>
  <c r="K62" i="3"/>
  <c r="I62" i="3"/>
  <c r="Y61" i="3"/>
  <c r="W61" i="3"/>
  <c r="U61" i="3"/>
  <c r="S61" i="3"/>
  <c r="Q61" i="3"/>
  <c r="L61" i="3"/>
  <c r="K61" i="3"/>
  <c r="I61" i="3"/>
  <c r="Y60" i="3"/>
  <c r="W60" i="3"/>
  <c r="U60" i="3"/>
  <c r="S60" i="3"/>
  <c r="Q60" i="3"/>
  <c r="L60" i="3"/>
  <c r="K60" i="3"/>
  <c r="I60" i="3"/>
  <c r="Y59" i="3"/>
  <c r="W59" i="3"/>
  <c r="U59" i="3"/>
  <c r="S59" i="3"/>
  <c r="Q59" i="3"/>
  <c r="L59" i="3"/>
  <c r="K59" i="3"/>
  <c r="I59" i="3"/>
  <c r="Y58" i="3"/>
  <c r="W58" i="3"/>
  <c r="U58" i="3"/>
  <c r="S58" i="3"/>
  <c r="Q58" i="3"/>
  <c r="L58" i="3"/>
  <c r="K58" i="3"/>
  <c r="I58" i="3"/>
  <c r="Y57" i="3"/>
  <c r="W57" i="3"/>
  <c r="U57" i="3"/>
  <c r="S57" i="3"/>
  <c r="Q57" i="3"/>
  <c r="L57" i="3"/>
  <c r="K57" i="3"/>
  <c r="I57" i="3"/>
  <c r="Y56" i="3"/>
  <c r="W56" i="3"/>
  <c r="U56" i="3"/>
  <c r="S56" i="3"/>
  <c r="Q56" i="3"/>
  <c r="L56" i="3"/>
  <c r="K56" i="3"/>
  <c r="I56" i="3"/>
  <c r="Y55" i="3"/>
  <c r="W55" i="3"/>
  <c r="U55" i="3"/>
  <c r="S55" i="3"/>
  <c r="Q55" i="3"/>
  <c r="L55" i="3"/>
  <c r="K55" i="3"/>
  <c r="I55" i="3"/>
  <c r="Y54" i="3"/>
  <c r="W54" i="3"/>
  <c r="U54" i="3"/>
  <c r="S54" i="3"/>
  <c r="Q54" i="3"/>
  <c r="L54" i="3"/>
  <c r="K54" i="3"/>
  <c r="I54" i="3"/>
  <c r="Y53" i="3"/>
  <c r="W53" i="3"/>
  <c r="U53" i="3"/>
  <c r="S53" i="3"/>
  <c r="Q53" i="3"/>
  <c r="L53" i="3"/>
  <c r="K53" i="3"/>
  <c r="I53" i="3"/>
  <c r="Y52" i="3"/>
  <c r="W52" i="3"/>
  <c r="U52" i="3"/>
  <c r="S52" i="3"/>
  <c r="Q52" i="3"/>
  <c r="L52" i="3"/>
  <c r="K52" i="3"/>
  <c r="I52" i="3"/>
  <c r="Y51" i="3"/>
  <c r="W51" i="3"/>
  <c r="U51" i="3"/>
  <c r="S51" i="3"/>
  <c r="Q51" i="3"/>
  <c r="L51" i="3"/>
  <c r="K51" i="3"/>
  <c r="I51" i="3"/>
  <c r="Y50" i="3"/>
  <c r="W50" i="3"/>
  <c r="U50" i="3"/>
  <c r="S50" i="3"/>
  <c r="Q50" i="3"/>
  <c r="L50" i="3"/>
  <c r="K50" i="3"/>
  <c r="I50" i="3"/>
  <c r="Y49" i="3"/>
  <c r="W49" i="3"/>
  <c r="U49" i="3"/>
  <c r="S49" i="3"/>
  <c r="Q49" i="3"/>
  <c r="L49" i="3"/>
  <c r="K49" i="3"/>
  <c r="I49" i="3"/>
  <c r="Y48" i="3"/>
  <c r="W48" i="3"/>
  <c r="U48" i="3"/>
  <c r="S48" i="3"/>
  <c r="Q48" i="3"/>
  <c r="L48" i="3"/>
  <c r="K48" i="3"/>
  <c r="I48" i="3"/>
  <c r="Y47" i="3"/>
  <c r="W47" i="3"/>
  <c r="U47" i="3"/>
  <c r="S47" i="3"/>
  <c r="Q47" i="3"/>
  <c r="L47" i="3"/>
  <c r="K47" i="3"/>
  <c r="I47" i="3"/>
  <c r="Y46" i="3"/>
  <c r="W46" i="3"/>
  <c r="U46" i="3"/>
  <c r="S46" i="3"/>
  <c r="Q46" i="3"/>
  <c r="L46" i="3"/>
  <c r="K46" i="3"/>
  <c r="I46" i="3"/>
  <c r="Y45" i="3"/>
  <c r="W45" i="3"/>
  <c r="U45" i="3"/>
  <c r="S45" i="3"/>
  <c r="Q45" i="3"/>
  <c r="L45" i="3"/>
  <c r="K45" i="3"/>
  <c r="I45" i="3"/>
  <c r="Y44" i="3"/>
  <c r="W44" i="3"/>
  <c r="U44" i="3"/>
  <c r="S44" i="3"/>
  <c r="Q44" i="3"/>
  <c r="L44" i="3"/>
  <c r="K44" i="3"/>
  <c r="I44" i="3"/>
  <c r="Y43" i="3"/>
  <c r="W43" i="3"/>
  <c r="U43" i="3"/>
  <c r="S43" i="3"/>
  <c r="Q43" i="3"/>
  <c r="L43" i="3"/>
  <c r="K43" i="3"/>
  <c r="I43" i="3"/>
  <c r="Y42" i="3"/>
  <c r="W42" i="3"/>
  <c r="U42" i="3"/>
  <c r="S42" i="3"/>
  <c r="Q42" i="3"/>
  <c r="L42" i="3"/>
  <c r="K42" i="3"/>
  <c r="I42" i="3"/>
  <c r="Y41" i="3"/>
  <c r="W41" i="3"/>
  <c r="U41" i="3"/>
  <c r="S41" i="3"/>
  <c r="Q41" i="3"/>
  <c r="L41" i="3"/>
  <c r="K41" i="3"/>
  <c r="I41" i="3"/>
  <c r="Y40" i="3"/>
  <c r="W40" i="3"/>
  <c r="U40" i="3"/>
  <c r="S40" i="3"/>
  <c r="Q40" i="3"/>
  <c r="L40" i="3"/>
  <c r="K40" i="3"/>
  <c r="I40" i="3"/>
  <c r="Y39" i="3"/>
  <c r="W39" i="3"/>
  <c r="U39" i="3"/>
  <c r="S39" i="3"/>
  <c r="Q39" i="3"/>
  <c r="L39" i="3"/>
  <c r="K39" i="3"/>
  <c r="I39" i="3"/>
  <c r="Y38" i="3"/>
  <c r="W38" i="3"/>
  <c r="U38" i="3"/>
  <c r="S38" i="3"/>
  <c r="Q38" i="3"/>
  <c r="L38" i="3"/>
  <c r="K38" i="3"/>
  <c r="I38" i="3"/>
  <c r="Y37" i="3"/>
  <c r="W37" i="3"/>
  <c r="U37" i="3"/>
  <c r="S37" i="3"/>
  <c r="Q37" i="3"/>
  <c r="L37" i="3"/>
  <c r="K37" i="3"/>
  <c r="I37" i="3"/>
  <c r="Y36" i="3"/>
  <c r="W36" i="3"/>
  <c r="U36" i="3"/>
  <c r="S36" i="3"/>
  <c r="Q36" i="3"/>
  <c r="L36" i="3"/>
  <c r="K36" i="3"/>
  <c r="I36" i="3"/>
  <c r="Y35" i="3"/>
  <c r="W35" i="3"/>
  <c r="U35" i="3"/>
  <c r="S35" i="3"/>
  <c r="Q35" i="3"/>
  <c r="L35" i="3"/>
  <c r="K35" i="3"/>
  <c r="I35" i="3"/>
  <c r="Y34" i="3"/>
  <c r="W34" i="3"/>
  <c r="U34" i="3"/>
  <c r="S34" i="3"/>
  <c r="Q34" i="3"/>
  <c r="L34" i="3"/>
  <c r="K34" i="3"/>
  <c r="I34" i="3"/>
  <c r="Y33" i="3"/>
  <c r="W33" i="3"/>
  <c r="U33" i="3"/>
  <c r="S33" i="3"/>
  <c r="Q33" i="3"/>
  <c r="L33" i="3"/>
  <c r="K33" i="3"/>
  <c r="I33" i="3"/>
  <c r="Y32" i="3"/>
  <c r="W32" i="3"/>
  <c r="U32" i="3"/>
  <c r="S32" i="3"/>
  <c r="Q32" i="3"/>
  <c r="L32" i="3"/>
  <c r="K32" i="3"/>
  <c r="I32" i="3"/>
  <c r="Y31" i="3"/>
  <c r="W31" i="3"/>
  <c r="U31" i="3"/>
  <c r="S31" i="3"/>
  <c r="Q31" i="3"/>
  <c r="L31" i="3"/>
  <c r="K31" i="3"/>
  <c r="I31" i="3"/>
  <c r="Y30" i="3"/>
  <c r="W30" i="3"/>
  <c r="U30" i="3"/>
  <c r="S30" i="3"/>
  <c r="Q30" i="3"/>
  <c r="L30" i="3"/>
  <c r="K30" i="3"/>
  <c r="I30" i="3"/>
  <c r="Y29" i="3"/>
  <c r="W29" i="3"/>
  <c r="U29" i="3"/>
  <c r="S29" i="3"/>
  <c r="Q29" i="3"/>
  <c r="L29" i="3"/>
  <c r="K29" i="3"/>
  <c r="I29" i="3"/>
  <c r="Y28" i="3"/>
  <c r="W28" i="3"/>
  <c r="U28" i="3"/>
  <c r="S28" i="3"/>
  <c r="Q28" i="3"/>
  <c r="L28" i="3"/>
  <c r="K28" i="3"/>
  <c r="I28" i="3"/>
  <c r="Y27" i="3"/>
  <c r="W27" i="3"/>
  <c r="U27" i="3"/>
  <c r="S27" i="3"/>
  <c r="Q27" i="3"/>
  <c r="L27" i="3"/>
  <c r="K27" i="3"/>
  <c r="I27" i="3"/>
  <c r="Y26" i="3"/>
  <c r="W26" i="3"/>
  <c r="U26" i="3"/>
  <c r="S26" i="3"/>
  <c r="Q26" i="3"/>
  <c r="L26" i="3"/>
  <c r="K26" i="3"/>
  <c r="I26" i="3"/>
  <c r="Y25" i="3"/>
  <c r="W25" i="3"/>
  <c r="U25" i="3"/>
  <c r="S25" i="3"/>
  <c r="Q25" i="3"/>
  <c r="L25" i="3"/>
  <c r="K25" i="3"/>
  <c r="I25" i="3"/>
  <c r="Y24" i="3"/>
  <c r="W24" i="3"/>
  <c r="U24" i="3"/>
  <c r="S24" i="3"/>
  <c r="Q24" i="3"/>
  <c r="L24" i="3"/>
  <c r="K24" i="3"/>
  <c r="I24" i="3"/>
  <c r="Y23" i="3"/>
  <c r="W23" i="3"/>
  <c r="U23" i="3"/>
  <c r="S23" i="3"/>
  <c r="Q23" i="3"/>
  <c r="L23" i="3"/>
  <c r="K23" i="3"/>
  <c r="I23" i="3"/>
  <c r="Y22" i="3"/>
  <c r="W22" i="3"/>
  <c r="U22" i="3"/>
  <c r="S22" i="3"/>
  <c r="Q22" i="3"/>
  <c r="L22" i="3"/>
  <c r="K22" i="3"/>
  <c r="I22" i="3"/>
  <c r="Y21" i="3"/>
  <c r="W21" i="3"/>
  <c r="U21" i="3"/>
  <c r="S21" i="3"/>
  <c r="Q21" i="3"/>
  <c r="L21" i="3"/>
  <c r="K21" i="3"/>
  <c r="I21" i="3"/>
  <c r="Y20" i="3"/>
  <c r="W20" i="3"/>
  <c r="U20" i="3"/>
  <c r="S20" i="3"/>
  <c r="Q20" i="3"/>
  <c r="L20" i="3"/>
  <c r="K20" i="3"/>
  <c r="I20" i="3"/>
  <c r="Y19" i="3"/>
  <c r="W19" i="3"/>
  <c r="U19" i="3"/>
  <c r="S19" i="3"/>
  <c r="Q19" i="3"/>
  <c r="L19" i="3"/>
  <c r="K19" i="3"/>
  <c r="I19" i="3"/>
  <c r="Y18" i="3"/>
  <c r="W18" i="3"/>
  <c r="U18" i="3"/>
  <c r="S18" i="3"/>
  <c r="Q18" i="3"/>
  <c r="L18" i="3"/>
  <c r="K18" i="3"/>
  <c r="I18" i="3"/>
  <c r="Y17" i="3"/>
  <c r="W17" i="3"/>
  <c r="U17" i="3"/>
  <c r="S17" i="3"/>
  <c r="Q17" i="3"/>
  <c r="L17" i="3"/>
  <c r="K17" i="3"/>
  <c r="I17" i="3"/>
  <c r="Y16" i="3"/>
  <c r="W16" i="3"/>
  <c r="U16" i="3"/>
  <c r="S16" i="3"/>
  <c r="Q16" i="3"/>
  <c r="L16" i="3"/>
  <c r="K16" i="3"/>
  <c r="I16" i="3"/>
  <c r="Y15" i="3"/>
  <c r="W15" i="3"/>
  <c r="U15" i="3"/>
  <c r="S15" i="3"/>
  <c r="Q15" i="3"/>
  <c r="L15" i="3"/>
  <c r="K15" i="3"/>
  <c r="I15" i="3"/>
  <c r="Y14" i="3"/>
  <c r="W14" i="3"/>
  <c r="U14" i="3"/>
  <c r="S14" i="3"/>
  <c r="Q14" i="3"/>
  <c r="L14" i="3"/>
  <c r="K14" i="3"/>
  <c r="I14" i="3"/>
  <c r="Y13" i="3"/>
  <c r="W13" i="3"/>
  <c r="U13" i="3"/>
  <c r="S13" i="3"/>
  <c r="Q13" i="3"/>
  <c r="L13" i="3"/>
  <c r="K13" i="3"/>
  <c r="I13" i="3"/>
  <c r="Y12" i="3"/>
  <c r="W12" i="3"/>
  <c r="U12" i="3"/>
  <c r="S12" i="3"/>
  <c r="Q12" i="3"/>
  <c r="L12" i="3"/>
  <c r="K12" i="3"/>
  <c r="I12" i="3"/>
  <c r="Y11" i="3"/>
  <c r="W11" i="3"/>
  <c r="U11" i="3"/>
  <c r="S11" i="3"/>
  <c r="Q11" i="3"/>
  <c r="L11" i="3"/>
  <c r="K11" i="3"/>
  <c r="I11" i="3"/>
  <c r="Y10" i="3"/>
  <c r="W10" i="3"/>
  <c r="U10" i="3"/>
  <c r="S10" i="3"/>
  <c r="Q10" i="3"/>
  <c r="L10" i="3"/>
  <c r="K10" i="3"/>
  <c r="I10" i="3"/>
  <c r="Y9" i="3"/>
  <c r="W9" i="3"/>
  <c r="U9" i="3"/>
  <c r="S9" i="3"/>
  <c r="Q9" i="3"/>
  <c r="L9" i="3"/>
  <c r="K9" i="3"/>
  <c r="I9" i="3"/>
  <c r="Y8" i="3"/>
  <c r="W8" i="3"/>
  <c r="U8" i="3"/>
  <c r="S8" i="3"/>
  <c r="Q8" i="3"/>
  <c r="L8" i="3"/>
  <c r="K8" i="3"/>
  <c r="C3" i="3" s="1"/>
  <c r="I8" i="3"/>
  <c r="Y7" i="3"/>
  <c r="W7" i="3"/>
  <c r="U7" i="3"/>
  <c r="S7" i="3"/>
  <c r="Q7" i="3"/>
  <c r="L7" i="3"/>
  <c r="H3" i="3" s="1"/>
  <c r="K7" i="3"/>
  <c r="I7" i="3"/>
  <c r="Y6" i="3"/>
  <c r="W6" i="3"/>
  <c r="U6" i="3"/>
  <c r="S6" i="3"/>
  <c r="Q6" i="3"/>
  <c r="L6" i="3"/>
  <c r="K6" i="3"/>
  <c r="D3" i="3" s="1"/>
  <c r="I6" i="3"/>
  <c r="F3" i="3"/>
  <c r="E3" i="3"/>
  <c r="BO500" i="2"/>
  <c r="BA500" i="2"/>
  <c r="AM500" i="2"/>
  <c r="Y500" i="2"/>
  <c r="K500" i="2"/>
  <c r="D500" i="2"/>
  <c r="BO499" i="2"/>
  <c r="BA499" i="2"/>
  <c r="AM499" i="2"/>
  <c r="Y499" i="2"/>
  <c r="K499" i="2"/>
  <c r="D499" i="2"/>
  <c r="BO498" i="2"/>
  <c r="D498" i="2" s="1"/>
  <c r="BA498" i="2"/>
  <c r="AM498" i="2"/>
  <c r="Y498" i="2"/>
  <c r="K498" i="2"/>
  <c r="BO497" i="2"/>
  <c r="BA497" i="2"/>
  <c r="AM497" i="2"/>
  <c r="Y497" i="2"/>
  <c r="K497" i="2"/>
  <c r="D497" i="2"/>
  <c r="BO496" i="2"/>
  <c r="BA496" i="2"/>
  <c r="AM496" i="2"/>
  <c r="Y496" i="2"/>
  <c r="K496" i="2"/>
  <c r="D496" i="2"/>
  <c r="BO495" i="2"/>
  <c r="BA495" i="2"/>
  <c r="AM495" i="2"/>
  <c r="Y495" i="2"/>
  <c r="K495" i="2"/>
  <c r="D495" i="2"/>
  <c r="BO494" i="2"/>
  <c r="D494" i="2" s="1"/>
  <c r="BA494" i="2"/>
  <c r="AM494" i="2"/>
  <c r="Y494" i="2"/>
  <c r="K494" i="2"/>
  <c r="BO493" i="2"/>
  <c r="BA493" i="2"/>
  <c r="AM493" i="2"/>
  <c r="Y493" i="2"/>
  <c r="K493" i="2"/>
  <c r="D493" i="2"/>
  <c r="BO492" i="2"/>
  <c r="BA492" i="2"/>
  <c r="AM492" i="2"/>
  <c r="Y492" i="2"/>
  <c r="K492" i="2"/>
  <c r="D492" i="2"/>
  <c r="BO491" i="2"/>
  <c r="BA491" i="2"/>
  <c r="AM491" i="2"/>
  <c r="Y491" i="2"/>
  <c r="K491" i="2"/>
  <c r="D491" i="2"/>
  <c r="BO490" i="2"/>
  <c r="D490" i="2" s="1"/>
  <c r="BA490" i="2"/>
  <c r="AM490" i="2"/>
  <c r="Y490" i="2"/>
  <c r="K490" i="2"/>
  <c r="BO489" i="2"/>
  <c r="BA489" i="2"/>
  <c r="AM489" i="2"/>
  <c r="Y489" i="2"/>
  <c r="K489" i="2"/>
  <c r="D489" i="2"/>
  <c r="BO488" i="2"/>
  <c r="BA488" i="2"/>
  <c r="AM488" i="2"/>
  <c r="Y488" i="2"/>
  <c r="K488" i="2"/>
  <c r="D488" i="2"/>
  <c r="BO487" i="2"/>
  <c r="BA487" i="2"/>
  <c r="AM487" i="2"/>
  <c r="Y487" i="2"/>
  <c r="K487" i="2"/>
  <c r="D487" i="2"/>
  <c r="BO486" i="2"/>
  <c r="D486" i="2" s="1"/>
  <c r="BA486" i="2"/>
  <c r="AM486" i="2"/>
  <c r="Y486" i="2"/>
  <c r="K486" i="2"/>
  <c r="BO485" i="2"/>
  <c r="BA485" i="2"/>
  <c r="AM485" i="2"/>
  <c r="Y485" i="2"/>
  <c r="K485" i="2"/>
  <c r="D485" i="2"/>
  <c r="BO484" i="2"/>
  <c r="BA484" i="2"/>
  <c r="AM484" i="2"/>
  <c r="Y484" i="2"/>
  <c r="K484" i="2"/>
  <c r="D484" i="2"/>
  <c r="BO483" i="2"/>
  <c r="BA483" i="2"/>
  <c r="AM483" i="2"/>
  <c r="Y483" i="2"/>
  <c r="K483" i="2"/>
  <c r="D483" i="2"/>
  <c r="BO482" i="2"/>
  <c r="D482" i="2" s="1"/>
  <c r="BA482" i="2"/>
  <c r="AM482" i="2"/>
  <c r="Y482" i="2"/>
  <c r="K482" i="2"/>
  <c r="BO481" i="2"/>
  <c r="BA481" i="2"/>
  <c r="AM481" i="2"/>
  <c r="Y481" i="2"/>
  <c r="K481" i="2"/>
  <c r="D481" i="2"/>
  <c r="BO480" i="2"/>
  <c r="BA480" i="2"/>
  <c r="AM480" i="2"/>
  <c r="Y480" i="2"/>
  <c r="K480" i="2"/>
  <c r="D480" i="2"/>
  <c r="BO479" i="2"/>
  <c r="BA479" i="2"/>
  <c r="AM479" i="2"/>
  <c r="Y479" i="2"/>
  <c r="K479" i="2"/>
  <c r="D479" i="2"/>
  <c r="BO478" i="2"/>
  <c r="D478" i="2" s="1"/>
  <c r="BA478" i="2"/>
  <c r="AM478" i="2"/>
  <c r="Y478" i="2"/>
  <c r="K478" i="2"/>
  <c r="BO477" i="2"/>
  <c r="BA477" i="2"/>
  <c r="AM477" i="2"/>
  <c r="Y477" i="2"/>
  <c r="K477" i="2"/>
  <c r="D477" i="2"/>
  <c r="BO476" i="2"/>
  <c r="BA476" i="2"/>
  <c r="AM476" i="2"/>
  <c r="Y476" i="2"/>
  <c r="K476" i="2"/>
  <c r="D476" i="2"/>
  <c r="BO475" i="2"/>
  <c r="BA475" i="2"/>
  <c r="AM475" i="2"/>
  <c r="Y475" i="2"/>
  <c r="K475" i="2"/>
  <c r="D475" i="2"/>
  <c r="BO474" i="2"/>
  <c r="BA474" i="2"/>
  <c r="AM474" i="2"/>
  <c r="Y474" i="2"/>
  <c r="K474" i="2"/>
  <c r="D474" i="2"/>
  <c r="BO473" i="2"/>
  <c r="BA473" i="2"/>
  <c r="AM473" i="2"/>
  <c r="Y473" i="2"/>
  <c r="K473" i="2"/>
  <c r="D473" i="2"/>
  <c r="BO472" i="2"/>
  <c r="BA472" i="2"/>
  <c r="AM472" i="2"/>
  <c r="Y472" i="2"/>
  <c r="K472" i="2"/>
  <c r="D472" i="2"/>
  <c r="BO471" i="2"/>
  <c r="BA471" i="2"/>
  <c r="AM471" i="2"/>
  <c r="Y471" i="2"/>
  <c r="K471" i="2"/>
  <c r="D471" i="2"/>
  <c r="BO470" i="2"/>
  <c r="BA470" i="2"/>
  <c r="AM470" i="2"/>
  <c r="Y470" i="2"/>
  <c r="K470" i="2"/>
  <c r="D470" i="2"/>
  <c r="BO469" i="2"/>
  <c r="BA469" i="2"/>
  <c r="AM469" i="2"/>
  <c r="Y469" i="2"/>
  <c r="K469" i="2"/>
  <c r="D469" i="2"/>
  <c r="BO468" i="2"/>
  <c r="BA468" i="2"/>
  <c r="AM468" i="2"/>
  <c r="Y468" i="2"/>
  <c r="K468" i="2"/>
  <c r="D468" i="2"/>
  <c r="BO467" i="2"/>
  <c r="BA467" i="2"/>
  <c r="AM467" i="2"/>
  <c r="Y467" i="2"/>
  <c r="K467" i="2"/>
  <c r="D467" i="2"/>
  <c r="BO466" i="2"/>
  <c r="BA466" i="2"/>
  <c r="AM466" i="2"/>
  <c r="Y466" i="2"/>
  <c r="K466" i="2"/>
  <c r="D466" i="2"/>
  <c r="BO465" i="2"/>
  <c r="BA465" i="2"/>
  <c r="AM465" i="2"/>
  <c r="Y465" i="2"/>
  <c r="K465" i="2"/>
  <c r="D465" i="2"/>
  <c r="BO464" i="2"/>
  <c r="BA464" i="2"/>
  <c r="AM464" i="2"/>
  <c r="Y464" i="2"/>
  <c r="K464" i="2"/>
  <c r="D464" i="2"/>
  <c r="BO463" i="2"/>
  <c r="BA463" i="2"/>
  <c r="AM463" i="2"/>
  <c r="Y463" i="2"/>
  <c r="K463" i="2"/>
  <c r="D463" i="2"/>
  <c r="BO462" i="2"/>
  <c r="BA462" i="2"/>
  <c r="AM462" i="2"/>
  <c r="Y462" i="2"/>
  <c r="K462" i="2"/>
  <c r="D462" i="2"/>
  <c r="BO461" i="2"/>
  <c r="BA461" i="2"/>
  <c r="AM461" i="2"/>
  <c r="Y461" i="2"/>
  <c r="K461" i="2"/>
  <c r="D461" i="2"/>
  <c r="BO460" i="2"/>
  <c r="BA460" i="2"/>
  <c r="AM460" i="2"/>
  <c r="Y460" i="2"/>
  <c r="K460" i="2"/>
  <c r="D460" i="2"/>
  <c r="BO459" i="2"/>
  <c r="BA459" i="2"/>
  <c r="AM459" i="2"/>
  <c r="Y459" i="2"/>
  <c r="K459" i="2"/>
  <c r="D459" i="2"/>
  <c r="BO458" i="2"/>
  <c r="BA458" i="2"/>
  <c r="AM458" i="2"/>
  <c r="Y458" i="2"/>
  <c r="K458" i="2"/>
  <c r="D458" i="2"/>
  <c r="BO457" i="2"/>
  <c r="BA457" i="2"/>
  <c r="AM457" i="2"/>
  <c r="Y457" i="2"/>
  <c r="K457" i="2"/>
  <c r="D457" i="2"/>
  <c r="BO456" i="2"/>
  <c r="BA456" i="2"/>
  <c r="AM456" i="2"/>
  <c r="Y456" i="2"/>
  <c r="K456" i="2"/>
  <c r="D456" i="2"/>
  <c r="BO455" i="2"/>
  <c r="BA455" i="2"/>
  <c r="AM455" i="2"/>
  <c r="Y455" i="2"/>
  <c r="K455" i="2"/>
  <c r="D455" i="2"/>
  <c r="BO454" i="2"/>
  <c r="BA454" i="2"/>
  <c r="AM454" i="2"/>
  <c r="Y454" i="2"/>
  <c r="K454" i="2"/>
  <c r="D454" i="2"/>
  <c r="BO453" i="2"/>
  <c r="BA453" i="2"/>
  <c r="AM453" i="2"/>
  <c r="Y453" i="2"/>
  <c r="K453" i="2"/>
  <c r="D453" i="2"/>
  <c r="BO452" i="2"/>
  <c r="BA452" i="2"/>
  <c r="AM452" i="2"/>
  <c r="Y452" i="2"/>
  <c r="K452" i="2"/>
  <c r="D452" i="2"/>
  <c r="BO451" i="2"/>
  <c r="BA451" i="2"/>
  <c r="AM451" i="2"/>
  <c r="Y451" i="2"/>
  <c r="K451" i="2"/>
  <c r="D451" i="2"/>
  <c r="BO450" i="2"/>
  <c r="BA450" i="2"/>
  <c r="AM450" i="2"/>
  <c r="Y450" i="2"/>
  <c r="K450" i="2"/>
  <c r="D450" i="2"/>
  <c r="BO449" i="2"/>
  <c r="BA449" i="2"/>
  <c r="AM449" i="2"/>
  <c r="Y449" i="2"/>
  <c r="K449" i="2"/>
  <c r="D449" i="2"/>
  <c r="BO448" i="2"/>
  <c r="BA448" i="2"/>
  <c r="AM448" i="2"/>
  <c r="Y448" i="2"/>
  <c r="K448" i="2"/>
  <c r="D448" i="2"/>
  <c r="BO447" i="2"/>
  <c r="BA447" i="2"/>
  <c r="AM447" i="2"/>
  <c r="Y447" i="2"/>
  <c r="K447" i="2"/>
  <c r="D447" i="2"/>
  <c r="BO446" i="2"/>
  <c r="BA446" i="2"/>
  <c r="AM446" i="2"/>
  <c r="Y446" i="2"/>
  <c r="K446" i="2"/>
  <c r="D446" i="2"/>
  <c r="BO445" i="2"/>
  <c r="BA445" i="2"/>
  <c r="AM445" i="2"/>
  <c r="Y445" i="2"/>
  <c r="K445" i="2"/>
  <c r="D445" i="2"/>
  <c r="BO444" i="2"/>
  <c r="BA444" i="2"/>
  <c r="AM444" i="2"/>
  <c r="Y444" i="2"/>
  <c r="K444" i="2"/>
  <c r="D444" i="2"/>
  <c r="BO443" i="2"/>
  <c r="BA443" i="2"/>
  <c r="AM443" i="2"/>
  <c r="Y443" i="2"/>
  <c r="K443" i="2"/>
  <c r="D443" i="2"/>
  <c r="BO442" i="2"/>
  <c r="BA442" i="2"/>
  <c r="AM442" i="2"/>
  <c r="Y442" i="2"/>
  <c r="K442" i="2"/>
  <c r="D442" i="2"/>
  <c r="BO441" i="2"/>
  <c r="BA441" i="2"/>
  <c r="AM441" i="2"/>
  <c r="Y441" i="2"/>
  <c r="K441" i="2"/>
  <c r="D441" i="2"/>
  <c r="BO440" i="2"/>
  <c r="BA440" i="2"/>
  <c r="AM440" i="2"/>
  <c r="Y440" i="2"/>
  <c r="K440" i="2"/>
  <c r="D440" i="2"/>
  <c r="BO439" i="2"/>
  <c r="BA439" i="2"/>
  <c r="AM439" i="2"/>
  <c r="Y439" i="2"/>
  <c r="K439" i="2"/>
  <c r="D439" i="2"/>
  <c r="BO438" i="2"/>
  <c r="BA438" i="2"/>
  <c r="AM438" i="2"/>
  <c r="Y438" i="2"/>
  <c r="K438" i="2"/>
  <c r="D438" i="2"/>
  <c r="BO437" i="2"/>
  <c r="BA437" i="2"/>
  <c r="AM437" i="2"/>
  <c r="Y437" i="2"/>
  <c r="K437" i="2"/>
  <c r="D437" i="2"/>
  <c r="BO436" i="2"/>
  <c r="BA436" i="2"/>
  <c r="AM436" i="2"/>
  <c r="Y436" i="2"/>
  <c r="K436" i="2"/>
  <c r="D436" i="2"/>
  <c r="BO435" i="2"/>
  <c r="BA435" i="2"/>
  <c r="AM435" i="2"/>
  <c r="Y435" i="2"/>
  <c r="K435" i="2"/>
  <c r="D435" i="2"/>
  <c r="BO434" i="2"/>
  <c r="BA434" i="2"/>
  <c r="AM434" i="2"/>
  <c r="Y434" i="2"/>
  <c r="K434" i="2"/>
  <c r="D434" i="2"/>
  <c r="BO433" i="2"/>
  <c r="BA433" i="2"/>
  <c r="AM433" i="2"/>
  <c r="Y433" i="2"/>
  <c r="K433" i="2"/>
  <c r="D433" i="2"/>
  <c r="BO432" i="2"/>
  <c r="BA432" i="2"/>
  <c r="AM432" i="2"/>
  <c r="Y432" i="2"/>
  <c r="K432" i="2"/>
  <c r="D432" i="2"/>
  <c r="BO431" i="2"/>
  <c r="BA431" i="2"/>
  <c r="AM431" i="2"/>
  <c r="Y431" i="2"/>
  <c r="K431" i="2"/>
  <c r="D431" i="2"/>
  <c r="BO430" i="2"/>
  <c r="BA430" i="2"/>
  <c r="AM430" i="2"/>
  <c r="Y430" i="2"/>
  <c r="K430" i="2"/>
  <c r="D430" i="2"/>
  <c r="BO429" i="2"/>
  <c r="BA429" i="2"/>
  <c r="AM429" i="2"/>
  <c r="Y429" i="2"/>
  <c r="K429" i="2"/>
  <c r="D429" i="2"/>
  <c r="BO428" i="2"/>
  <c r="BA428" i="2"/>
  <c r="AM428" i="2"/>
  <c r="Y428" i="2"/>
  <c r="K428" i="2"/>
  <c r="D428" i="2"/>
  <c r="BO427" i="2"/>
  <c r="BA427" i="2"/>
  <c r="AM427" i="2"/>
  <c r="Y427" i="2"/>
  <c r="K427" i="2"/>
  <c r="D427" i="2"/>
  <c r="BO426" i="2"/>
  <c r="BA426" i="2"/>
  <c r="AM426" i="2"/>
  <c r="Y426" i="2"/>
  <c r="K426" i="2"/>
  <c r="D426" i="2"/>
  <c r="BO425" i="2"/>
  <c r="BA425" i="2"/>
  <c r="AM425" i="2"/>
  <c r="Y425" i="2"/>
  <c r="K425" i="2"/>
  <c r="D425" i="2"/>
  <c r="BO424" i="2"/>
  <c r="BA424" i="2"/>
  <c r="AM424" i="2"/>
  <c r="Y424" i="2"/>
  <c r="K424" i="2"/>
  <c r="D424" i="2"/>
  <c r="BO423" i="2"/>
  <c r="BA423" i="2"/>
  <c r="AM423" i="2"/>
  <c r="Y423" i="2"/>
  <c r="K423" i="2"/>
  <c r="D423" i="2"/>
  <c r="BO422" i="2"/>
  <c r="BA422" i="2"/>
  <c r="AM422" i="2"/>
  <c r="Y422" i="2"/>
  <c r="K422" i="2"/>
  <c r="D422" i="2"/>
  <c r="BO421" i="2"/>
  <c r="BA421" i="2"/>
  <c r="AM421" i="2"/>
  <c r="Y421" i="2"/>
  <c r="K421" i="2"/>
  <c r="D421" i="2"/>
  <c r="BO420" i="2"/>
  <c r="BA420" i="2"/>
  <c r="AM420" i="2"/>
  <c r="Y420" i="2"/>
  <c r="K420" i="2"/>
  <c r="D420" i="2"/>
  <c r="BO419" i="2"/>
  <c r="BA419" i="2"/>
  <c r="AM419" i="2"/>
  <c r="Y419" i="2"/>
  <c r="K419" i="2"/>
  <c r="D419" i="2"/>
  <c r="BO418" i="2"/>
  <c r="BA418" i="2"/>
  <c r="AM418" i="2"/>
  <c r="Y418" i="2"/>
  <c r="K418" i="2"/>
  <c r="D418" i="2"/>
  <c r="BO417" i="2"/>
  <c r="BA417" i="2"/>
  <c r="AM417" i="2"/>
  <c r="Y417" i="2"/>
  <c r="K417" i="2"/>
  <c r="D417" i="2"/>
  <c r="BO416" i="2"/>
  <c r="BA416" i="2"/>
  <c r="AM416" i="2"/>
  <c r="Y416" i="2"/>
  <c r="K416" i="2"/>
  <c r="D416" i="2"/>
  <c r="BO415" i="2"/>
  <c r="BA415" i="2"/>
  <c r="AM415" i="2"/>
  <c r="Y415" i="2"/>
  <c r="K415" i="2"/>
  <c r="D415" i="2"/>
  <c r="BO414" i="2"/>
  <c r="BA414" i="2"/>
  <c r="AM414" i="2"/>
  <c r="Y414" i="2"/>
  <c r="K414" i="2"/>
  <c r="D414" i="2"/>
  <c r="BO413" i="2"/>
  <c r="BA413" i="2"/>
  <c r="AM413" i="2"/>
  <c r="Y413" i="2"/>
  <c r="K413" i="2"/>
  <c r="D413" i="2"/>
  <c r="BO412" i="2"/>
  <c r="BA412" i="2"/>
  <c r="AM412" i="2"/>
  <c r="Y412" i="2"/>
  <c r="K412" i="2"/>
  <c r="D412" i="2"/>
  <c r="BO411" i="2"/>
  <c r="BA411" i="2"/>
  <c r="AM411" i="2"/>
  <c r="Y411" i="2"/>
  <c r="K411" i="2"/>
  <c r="D411" i="2"/>
  <c r="BO410" i="2"/>
  <c r="BA410" i="2"/>
  <c r="AM410" i="2"/>
  <c r="Y410" i="2"/>
  <c r="K410" i="2"/>
  <c r="BO409" i="2"/>
  <c r="D409" i="2" s="1"/>
  <c r="BA409" i="2"/>
  <c r="AM409" i="2"/>
  <c r="Y409" i="2"/>
  <c r="K409" i="2"/>
  <c r="BO408" i="2"/>
  <c r="BA408" i="2"/>
  <c r="AM408" i="2"/>
  <c r="Y408" i="2"/>
  <c r="K408" i="2"/>
  <c r="D408" i="2"/>
  <c r="BO407" i="2"/>
  <c r="D407" i="2" s="1"/>
  <c r="BA407" i="2"/>
  <c r="AM407" i="2"/>
  <c r="Y407" i="2"/>
  <c r="K407" i="2"/>
  <c r="BO406" i="2"/>
  <c r="D406" i="2" s="1"/>
  <c r="BA406" i="2"/>
  <c r="AM406" i="2"/>
  <c r="Y406" i="2"/>
  <c r="K406" i="2"/>
  <c r="BO405" i="2"/>
  <c r="D405" i="2" s="1"/>
  <c r="BA405" i="2"/>
  <c r="AM405" i="2"/>
  <c r="Y405" i="2"/>
  <c r="K405" i="2"/>
  <c r="BO404" i="2"/>
  <c r="BA404" i="2"/>
  <c r="AM404" i="2"/>
  <c r="Y404" i="2"/>
  <c r="K404" i="2"/>
  <c r="D404" i="2"/>
  <c r="BO403" i="2"/>
  <c r="D403" i="2" s="1"/>
  <c r="BA403" i="2"/>
  <c r="AM403" i="2"/>
  <c r="Y403" i="2"/>
  <c r="K403" i="2"/>
  <c r="BO402" i="2"/>
  <c r="D402" i="2" s="1"/>
  <c r="BA402" i="2"/>
  <c r="AM402" i="2"/>
  <c r="Y402" i="2"/>
  <c r="K402" i="2"/>
  <c r="BO401" i="2"/>
  <c r="D401" i="2" s="1"/>
  <c r="BA401" i="2"/>
  <c r="AM401" i="2"/>
  <c r="Y401" i="2"/>
  <c r="K401" i="2"/>
  <c r="BO400" i="2"/>
  <c r="BA400" i="2"/>
  <c r="AM400" i="2"/>
  <c r="Y400" i="2"/>
  <c r="K400" i="2"/>
  <c r="D400" i="2"/>
  <c r="BO399" i="2"/>
  <c r="D399" i="2" s="1"/>
  <c r="BA399" i="2"/>
  <c r="AM399" i="2"/>
  <c r="Y399" i="2"/>
  <c r="K399" i="2"/>
  <c r="BO398" i="2"/>
  <c r="D398" i="2" s="1"/>
  <c r="BA398" i="2"/>
  <c r="AM398" i="2"/>
  <c r="Y398" i="2"/>
  <c r="K398" i="2"/>
  <c r="BO397" i="2"/>
  <c r="D397" i="2" s="1"/>
  <c r="BA397" i="2"/>
  <c r="AM397" i="2"/>
  <c r="Y397" i="2"/>
  <c r="K397" i="2"/>
  <c r="BO396" i="2"/>
  <c r="BA396" i="2"/>
  <c r="AM396" i="2"/>
  <c r="Y396" i="2"/>
  <c r="K396" i="2"/>
  <c r="D396" i="2"/>
  <c r="BO395" i="2"/>
  <c r="D395" i="2" s="1"/>
  <c r="BA395" i="2"/>
  <c r="AM395" i="2"/>
  <c r="Y395" i="2"/>
  <c r="K395" i="2"/>
  <c r="BO394" i="2"/>
  <c r="D394" i="2" s="1"/>
  <c r="BA394" i="2"/>
  <c r="AM394" i="2"/>
  <c r="Y394" i="2"/>
  <c r="K394" i="2"/>
  <c r="BO393" i="2"/>
  <c r="D393" i="2" s="1"/>
  <c r="BA393" i="2"/>
  <c r="AM393" i="2"/>
  <c r="Y393" i="2"/>
  <c r="K393" i="2"/>
  <c r="BO392" i="2"/>
  <c r="BA392" i="2"/>
  <c r="AM392" i="2"/>
  <c r="Y392" i="2"/>
  <c r="K392" i="2"/>
  <c r="D392" i="2"/>
  <c r="BO391" i="2"/>
  <c r="D391" i="2" s="1"/>
  <c r="BA391" i="2"/>
  <c r="AM391" i="2"/>
  <c r="Y391" i="2"/>
  <c r="K391" i="2"/>
  <c r="BO390" i="2"/>
  <c r="D390" i="2" s="1"/>
  <c r="BA390" i="2"/>
  <c r="AM390" i="2"/>
  <c r="Y390" i="2"/>
  <c r="K390" i="2"/>
  <c r="BO389" i="2"/>
  <c r="D389" i="2" s="1"/>
  <c r="BA389" i="2"/>
  <c r="AM389" i="2"/>
  <c r="Y389" i="2"/>
  <c r="K389" i="2"/>
  <c r="BO388" i="2"/>
  <c r="BA388" i="2"/>
  <c r="AM388" i="2"/>
  <c r="Y388" i="2"/>
  <c r="K388" i="2"/>
  <c r="D388" i="2"/>
  <c r="BO387" i="2"/>
  <c r="D387" i="2" s="1"/>
  <c r="BA387" i="2"/>
  <c r="AM387" i="2"/>
  <c r="Y387" i="2"/>
  <c r="K387" i="2"/>
  <c r="BO386" i="2"/>
  <c r="D386" i="2" s="1"/>
  <c r="BA386" i="2"/>
  <c r="AM386" i="2"/>
  <c r="Y386" i="2"/>
  <c r="K386" i="2"/>
  <c r="BO385" i="2"/>
  <c r="D385" i="2" s="1"/>
  <c r="BA385" i="2"/>
  <c r="AM385" i="2"/>
  <c r="Y385" i="2"/>
  <c r="K385" i="2"/>
  <c r="BO384" i="2"/>
  <c r="BA384" i="2"/>
  <c r="AM384" i="2"/>
  <c r="Y384" i="2"/>
  <c r="K384" i="2"/>
  <c r="D384" i="2"/>
  <c r="BO383" i="2"/>
  <c r="D383" i="2" s="1"/>
  <c r="BA383" i="2"/>
  <c r="AM383" i="2"/>
  <c r="Y383" i="2"/>
  <c r="K383" i="2"/>
  <c r="BO382" i="2"/>
  <c r="D382" i="2" s="1"/>
  <c r="BA382" i="2"/>
  <c r="AM382" i="2"/>
  <c r="Y382" i="2"/>
  <c r="K382" i="2"/>
  <c r="BO381" i="2"/>
  <c r="BA381" i="2"/>
  <c r="AM381" i="2"/>
  <c r="Y381" i="2"/>
  <c r="K381" i="2"/>
  <c r="BO380" i="2"/>
  <c r="BA380" i="2"/>
  <c r="AM380" i="2"/>
  <c r="Y380" i="2"/>
  <c r="K380" i="2"/>
  <c r="D380" i="2" s="1"/>
  <c r="BO379" i="2"/>
  <c r="BA379" i="2"/>
  <c r="AM379" i="2"/>
  <c r="Y379" i="2"/>
  <c r="K379" i="2"/>
  <c r="D379" i="2" s="1"/>
  <c r="BO378" i="2"/>
  <c r="BA378" i="2"/>
  <c r="AM378" i="2"/>
  <c r="Y378" i="2"/>
  <c r="K378" i="2"/>
  <c r="D378" i="2" s="1"/>
  <c r="BO377" i="2"/>
  <c r="BA377" i="2"/>
  <c r="AM377" i="2"/>
  <c r="Y377" i="2"/>
  <c r="K377" i="2"/>
  <c r="D377" i="2" s="1"/>
  <c r="BO376" i="2"/>
  <c r="BA376" i="2"/>
  <c r="AM376" i="2"/>
  <c r="D376" i="2" s="1"/>
  <c r="Y376" i="2"/>
  <c r="K376" i="2"/>
  <c r="BO375" i="2"/>
  <c r="BA375" i="2"/>
  <c r="AM375" i="2"/>
  <c r="Y375" i="2"/>
  <c r="K375" i="2"/>
  <c r="BO374" i="2"/>
  <c r="BA374" i="2"/>
  <c r="AM374" i="2"/>
  <c r="Y374" i="2"/>
  <c r="K374" i="2"/>
  <c r="BO373" i="2"/>
  <c r="BA373" i="2"/>
  <c r="AM373" i="2"/>
  <c r="Y373" i="2"/>
  <c r="K373" i="2"/>
  <c r="BO372" i="2"/>
  <c r="BA372" i="2"/>
  <c r="AM372" i="2"/>
  <c r="Y372" i="2"/>
  <c r="K372" i="2"/>
  <c r="D372" i="2"/>
  <c r="BO371" i="2"/>
  <c r="BA371" i="2"/>
  <c r="AM371" i="2"/>
  <c r="Y371" i="2"/>
  <c r="K371" i="2"/>
  <c r="BO370" i="2"/>
  <c r="BA370" i="2"/>
  <c r="AM370" i="2"/>
  <c r="Y370" i="2"/>
  <c r="K370" i="2"/>
  <c r="BO369" i="2"/>
  <c r="BA369" i="2"/>
  <c r="AM369" i="2"/>
  <c r="Y369" i="2"/>
  <c r="K369" i="2"/>
  <c r="BO368" i="2"/>
  <c r="BA368" i="2"/>
  <c r="AM368" i="2"/>
  <c r="Y368" i="2"/>
  <c r="K368" i="2"/>
  <c r="D368" i="2" s="1"/>
  <c r="BO367" i="2"/>
  <c r="BA367" i="2"/>
  <c r="AM367" i="2"/>
  <c r="Y367" i="2"/>
  <c r="K367" i="2"/>
  <c r="BO366" i="2"/>
  <c r="BA366" i="2"/>
  <c r="AM366" i="2"/>
  <c r="Y366" i="2"/>
  <c r="K366" i="2"/>
  <c r="BO365" i="2"/>
  <c r="BA365" i="2"/>
  <c r="AM365" i="2"/>
  <c r="Y365" i="2"/>
  <c r="K365" i="2"/>
  <c r="D365" i="2" s="1"/>
  <c r="BO364" i="2"/>
  <c r="BA364" i="2"/>
  <c r="AM364" i="2"/>
  <c r="Y364" i="2"/>
  <c r="K364" i="2"/>
  <c r="D364" i="2" s="1"/>
  <c r="BO363" i="2"/>
  <c r="BA363" i="2"/>
  <c r="AM363" i="2"/>
  <c r="Y363" i="2"/>
  <c r="K363" i="2"/>
  <c r="BO362" i="2"/>
  <c r="BA362" i="2"/>
  <c r="AM362" i="2"/>
  <c r="Y362" i="2"/>
  <c r="K362" i="2"/>
  <c r="D362" i="2" s="1"/>
  <c r="BO361" i="2"/>
  <c r="BA361" i="2"/>
  <c r="AM361" i="2"/>
  <c r="Y361" i="2"/>
  <c r="K361" i="2"/>
  <c r="BO360" i="2"/>
  <c r="BA360" i="2"/>
  <c r="AM360" i="2"/>
  <c r="D360" i="2" s="1"/>
  <c r="Y360" i="2"/>
  <c r="K360" i="2"/>
  <c r="BO359" i="2"/>
  <c r="BA359" i="2"/>
  <c r="AM359" i="2"/>
  <c r="Y359" i="2"/>
  <c r="K359" i="2"/>
  <c r="BO358" i="2"/>
  <c r="BA358" i="2"/>
  <c r="AM358" i="2"/>
  <c r="Y358" i="2"/>
  <c r="K358" i="2"/>
  <c r="BO357" i="2"/>
  <c r="BA357" i="2"/>
  <c r="AM357" i="2"/>
  <c r="Y357" i="2"/>
  <c r="K357" i="2"/>
  <c r="BO356" i="2"/>
  <c r="BA356" i="2"/>
  <c r="AM356" i="2"/>
  <c r="D356" i="2" s="1"/>
  <c r="Y356" i="2"/>
  <c r="K356" i="2"/>
  <c r="BO355" i="2"/>
  <c r="BA355" i="2"/>
  <c r="AM355" i="2"/>
  <c r="Y355" i="2"/>
  <c r="K355" i="2"/>
  <c r="BO354" i="2"/>
  <c r="BA354" i="2"/>
  <c r="AM354" i="2"/>
  <c r="Y354" i="2"/>
  <c r="K354" i="2"/>
  <c r="BO353" i="2"/>
  <c r="BA353" i="2"/>
  <c r="AM353" i="2"/>
  <c r="Y353" i="2"/>
  <c r="K353" i="2"/>
  <c r="BO352" i="2"/>
  <c r="BA352" i="2"/>
  <c r="AM352" i="2"/>
  <c r="Y352" i="2"/>
  <c r="K352" i="2"/>
  <c r="D352" i="2"/>
  <c r="BO351" i="2"/>
  <c r="BA351" i="2"/>
  <c r="AM351" i="2"/>
  <c r="Y351" i="2"/>
  <c r="K351" i="2"/>
  <c r="D351" i="2" s="1"/>
  <c r="BO350" i="2"/>
  <c r="BA350" i="2"/>
  <c r="AM350" i="2"/>
  <c r="Y350" i="2"/>
  <c r="K350" i="2"/>
  <c r="BO349" i="2"/>
  <c r="BA349" i="2"/>
  <c r="AM349" i="2"/>
  <c r="Y349" i="2"/>
  <c r="K349" i="2"/>
  <c r="D349" i="2" s="1"/>
  <c r="BO348" i="2"/>
  <c r="BA348" i="2"/>
  <c r="AM348" i="2"/>
  <c r="Y348" i="2"/>
  <c r="K348" i="2"/>
  <c r="D348" i="2" s="1"/>
  <c r="BO347" i="2"/>
  <c r="BA347" i="2"/>
  <c r="AM347" i="2"/>
  <c r="Y347" i="2"/>
  <c r="K347" i="2"/>
  <c r="D347" i="2" s="1"/>
  <c r="BO346" i="2"/>
  <c r="BA346" i="2"/>
  <c r="AM346" i="2"/>
  <c r="Y346" i="2"/>
  <c r="K346" i="2"/>
  <c r="BO345" i="2"/>
  <c r="BA345" i="2"/>
  <c r="AM345" i="2"/>
  <c r="Y345" i="2"/>
  <c r="K345" i="2"/>
  <c r="BO344" i="2"/>
  <c r="BA344" i="2"/>
  <c r="AM344" i="2"/>
  <c r="D344" i="2" s="1"/>
  <c r="Y344" i="2"/>
  <c r="K344" i="2"/>
  <c r="BO343" i="2"/>
  <c r="BA343" i="2"/>
  <c r="AM343" i="2"/>
  <c r="Y343" i="2"/>
  <c r="K343" i="2"/>
  <c r="D343" i="2" s="1"/>
  <c r="BO342" i="2"/>
  <c r="BA342" i="2"/>
  <c r="AM342" i="2"/>
  <c r="Y342" i="2"/>
  <c r="K342" i="2"/>
  <c r="D342" i="2" s="1"/>
  <c r="BO341" i="2"/>
  <c r="BA341" i="2"/>
  <c r="AM341" i="2"/>
  <c r="Y341" i="2"/>
  <c r="K341" i="2"/>
  <c r="BO340" i="2"/>
  <c r="BA340" i="2"/>
  <c r="AM340" i="2"/>
  <c r="Y340" i="2"/>
  <c r="K340" i="2"/>
  <c r="D340" i="2"/>
  <c r="BO339" i="2"/>
  <c r="BA339" i="2"/>
  <c r="AM339" i="2"/>
  <c r="Y339" i="2"/>
  <c r="K339" i="2"/>
  <c r="D339" i="2" s="1"/>
  <c r="BO338" i="2"/>
  <c r="BA338" i="2"/>
  <c r="AM338" i="2"/>
  <c r="Y338" i="2"/>
  <c r="K338" i="2"/>
  <c r="BO337" i="2"/>
  <c r="BA337" i="2"/>
  <c r="AM337" i="2"/>
  <c r="Y337" i="2"/>
  <c r="K337" i="2"/>
  <c r="BO336" i="2"/>
  <c r="BA336" i="2"/>
  <c r="AM336" i="2"/>
  <c r="Y336" i="2"/>
  <c r="K336" i="2"/>
  <c r="D336" i="2"/>
  <c r="BO335" i="2"/>
  <c r="BA335" i="2"/>
  <c r="AM335" i="2"/>
  <c r="Y335" i="2"/>
  <c r="K335" i="2"/>
  <c r="BO334" i="2"/>
  <c r="BA334" i="2"/>
  <c r="AM334" i="2"/>
  <c r="Y334" i="2"/>
  <c r="K334" i="2"/>
  <c r="BO333" i="2"/>
  <c r="BA333" i="2"/>
  <c r="AM333" i="2"/>
  <c r="Y333" i="2"/>
  <c r="K333" i="2"/>
  <c r="BO332" i="2"/>
  <c r="BA332" i="2"/>
  <c r="AM332" i="2"/>
  <c r="Y332" i="2"/>
  <c r="K332" i="2"/>
  <c r="D332" i="2" s="1"/>
  <c r="BO331" i="2"/>
  <c r="BA331" i="2"/>
  <c r="AM331" i="2"/>
  <c r="Y331" i="2"/>
  <c r="K331" i="2"/>
  <c r="BO330" i="2"/>
  <c r="BA330" i="2"/>
  <c r="AM330" i="2"/>
  <c r="Y330" i="2"/>
  <c r="K330" i="2"/>
  <c r="BO329" i="2"/>
  <c r="BA329" i="2"/>
  <c r="AM329" i="2"/>
  <c r="Y329" i="2"/>
  <c r="K329" i="2"/>
  <c r="D329" i="2" s="1"/>
  <c r="BO328" i="2"/>
  <c r="BA328" i="2"/>
  <c r="AM328" i="2"/>
  <c r="D328" i="2" s="1"/>
  <c r="Y328" i="2"/>
  <c r="K328" i="2"/>
  <c r="BO327" i="2"/>
  <c r="BA327" i="2"/>
  <c r="AM327" i="2"/>
  <c r="Y327" i="2"/>
  <c r="K327" i="2"/>
  <c r="D327" i="2" s="1"/>
  <c r="BO326" i="2"/>
  <c r="BA326" i="2"/>
  <c r="AM326" i="2"/>
  <c r="Y326" i="2"/>
  <c r="K326" i="2"/>
  <c r="D326" i="2" s="1"/>
  <c r="BO325" i="2"/>
  <c r="BA325" i="2"/>
  <c r="AM325" i="2"/>
  <c r="Y325" i="2"/>
  <c r="K325" i="2"/>
  <c r="BO324" i="2"/>
  <c r="BA324" i="2"/>
  <c r="AM324" i="2"/>
  <c r="D324" i="2" s="1"/>
  <c r="Y324" i="2"/>
  <c r="K324" i="2"/>
  <c r="BO323" i="2"/>
  <c r="BA323" i="2"/>
  <c r="AM323" i="2"/>
  <c r="Y323" i="2"/>
  <c r="K323" i="2"/>
  <c r="D323" i="2" s="1"/>
  <c r="BO322" i="2"/>
  <c r="BA322" i="2"/>
  <c r="AM322" i="2"/>
  <c r="Y322" i="2"/>
  <c r="K322" i="2"/>
  <c r="BO321" i="2"/>
  <c r="BA321" i="2"/>
  <c r="AM321" i="2"/>
  <c r="Y321" i="2"/>
  <c r="K321" i="2"/>
  <c r="BO320" i="2"/>
  <c r="BA320" i="2"/>
  <c r="AM320" i="2"/>
  <c r="Y320" i="2"/>
  <c r="K320" i="2"/>
  <c r="D320" i="2"/>
  <c r="BO319" i="2"/>
  <c r="BA319" i="2"/>
  <c r="AM319" i="2"/>
  <c r="Y319" i="2"/>
  <c r="K319" i="2"/>
  <c r="D319" i="2" s="1"/>
  <c r="BO318" i="2"/>
  <c r="BA318" i="2"/>
  <c r="AM318" i="2"/>
  <c r="Y318" i="2"/>
  <c r="K318" i="2"/>
  <c r="BO317" i="2"/>
  <c r="BA317" i="2"/>
  <c r="AM317" i="2"/>
  <c r="Y317" i="2"/>
  <c r="K317" i="2"/>
  <c r="BO316" i="2"/>
  <c r="BA316" i="2"/>
  <c r="AM316" i="2"/>
  <c r="Y316" i="2"/>
  <c r="K316" i="2"/>
  <c r="D316" i="2" s="1"/>
  <c r="BO315" i="2"/>
  <c r="BA315" i="2"/>
  <c r="AM315" i="2"/>
  <c r="Y315" i="2"/>
  <c r="K315" i="2"/>
  <c r="D315" i="2" s="1"/>
  <c r="BO314" i="2"/>
  <c r="BA314" i="2"/>
  <c r="AM314" i="2"/>
  <c r="Y314" i="2"/>
  <c r="K314" i="2"/>
  <c r="D314" i="2" s="1"/>
  <c r="BO313" i="2"/>
  <c r="BA313" i="2"/>
  <c r="AM313" i="2"/>
  <c r="Y313" i="2"/>
  <c r="K313" i="2"/>
  <c r="D313" i="2" s="1"/>
  <c r="BO312" i="2"/>
  <c r="BA312" i="2"/>
  <c r="AM312" i="2"/>
  <c r="D312" i="2" s="1"/>
  <c r="Y312" i="2"/>
  <c r="K312" i="2"/>
  <c r="BO311" i="2"/>
  <c r="BA311" i="2"/>
  <c r="AM311" i="2"/>
  <c r="Y311" i="2"/>
  <c r="K311" i="2"/>
  <c r="BO310" i="2"/>
  <c r="BA310" i="2"/>
  <c r="AM310" i="2"/>
  <c r="Y310" i="2"/>
  <c r="K310" i="2"/>
  <c r="BO309" i="2"/>
  <c r="BA309" i="2"/>
  <c r="AM309" i="2"/>
  <c r="Y309" i="2"/>
  <c r="K309" i="2"/>
  <c r="BO308" i="2"/>
  <c r="BA308" i="2"/>
  <c r="AM308" i="2"/>
  <c r="Y308" i="2"/>
  <c r="K308" i="2"/>
  <c r="D308" i="2"/>
  <c r="BO307" i="2"/>
  <c r="BA307" i="2"/>
  <c r="AM307" i="2"/>
  <c r="Y307" i="2"/>
  <c r="K307" i="2"/>
  <c r="BO306" i="2"/>
  <c r="BA306" i="2"/>
  <c r="AM306" i="2"/>
  <c r="Y306" i="2"/>
  <c r="K306" i="2"/>
  <c r="BO305" i="2"/>
  <c r="BA305" i="2"/>
  <c r="AM305" i="2"/>
  <c r="Y305" i="2"/>
  <c r="K305" i="2"/>
  <c r="BO304" i="2"/>
  <c r="BA304" i="2"/>
  <c r="AM304" i="2"/>
  <c r="Y304" i="2"/>
  <c r="K304" i="2"/>
  <c r="D304" i="2" s="1"/>
  <c r="BO303" i="2"/>
  <c r="BA303" i="2"/>
  <c r="AM303" i="2"/>
  <c r="Y303" i="2"/>
  <c r="K303" i="2"/>
  <c r="BO302" i="2"/>
  <c r="BA302" i="2"/>
  <c r="AM302" i="2"/>
  <c r="Y302" i="2"/>
  <c r="K302" i="2"/>
  <c r="BO301" i="2"/>
  <c r="BA301" i="2"/>
  <c r="AM301" i="2"/>
  <c r="Y301" i="2"/>
  <c r="K301" i="2"/>
  <c r="D301" i="2" s="1"/>
  <c r="BO300" i="2"/>
  <c r="BA300" i="2"/>
  <c r="AM300" i="2"/>
  <c r="Y300" i="2"/>
  <c r="K300" i="2"/>
  <c r="D300" i="2" s="1"/>
  <c r="BO299" i="2"/>
  <c r="BA299" i="2"/>
  <c r="AM299" i="2"/>
  <c r="Y299" i="2"/>
  <c r="K299" i="2"/>
  <c r="BO298" i="2"/>
  <c r="BA298" i="2"/>
  <c r="AM298" i="2"/>
  <c r="Y298" i="2"/>
  <c r="K298" i="2"/>
  <c r="D298" i="2" s="1"/>
  <c r="BO297" i="2"/>
  <c r="BA297" i="2"/>
  <c r="AM297" i="2"/>
  <c r="Y297" i="2"/>
  <c r="K297" i="2"/>
  <c r="BO296" i="2"/>
  <c r="BA296" i="2"/>
  <c r="AM296" i="2"/>
  <c r="D296" i="2" s="1"/>
  <c r="Y296" i="2"/>
  <c r="K296" i="2"/>
  <c r="BO295" i="2"/>
  <c r="BA295" i="2"/>
  <c r="AM295" i="2"/>
  <c r="Y295" i="2"/>
  <c r="K295" i="2"/>
  <c r="BO294" i="2"/>
  <c r="BA294" i="2"/>
  <c r="AM294" i="2"/>
  <c r="Y294" i="2"/>
  <c r="K294" i="2"/>
  <c r="BO293" i="2"/>
  <c r="BA293" i="2"/>
  <c r="AM293" i="2"/>
  <c r="Y293" i="2"/>
  <c r="K293" i="2"/>
  <c r="BO292" i="2"/>
  <c r="BA292" i="2"/>
  <c r="AM292" i="2"/>
  <c r="D292" i="2" s="1"/>
  <c r="Y292" i="2"/>
  <c r="K292" i="2"/>
  <c r="BO291" i="2"/>
  <c r="BA291" i="2"/>
  <c r="AM291" i="2"/>
  <c r="Y291" i="2"/>
  <c r="K291" i="2"/>
  <c r="BO290" i="2"/>
  <c r="BA290" i="2"/>
  <c r="AM290" i="2"/>
  <c r="Y290" i="2"/>
  <c r="K290" i="2"/>
  <c r="BO289" i="2"/>
  <c r="BA289" i="2"/>
  <c r="AM289" i="2"/>
  <c r="Y289" i="2"/>
  <c r="K289" i="2"/>
  <c r="BO288" i="2"/>
  <c r="BA288" i="2"/>
  <c r="AM288" i="2"/>
  <c r="Y288" i="2"/>
  <c r="K288" i="2"/>
  <c r="D288" i="2"/>
  <c r="BO287" i="2"/>
  <c r="BA287" i="2"/>
  <c r="AM287" i="2"/>
  <c r="Y287" i="2"/>
  <c r="K287" i="2"/>
  <c r="BO286" i="2"/>
  <c r="BA286" i="2"/>
  <c r="AM286" i="2"/>
  <c r="Y286" i="2"/>
  <c r="K286" i="2"/>
  <c r="BO285" i="2"/>
  <c r="BA285" i="2"/>
  <c r="AM285" i="2"/>
  <c r="Y285" i="2"/>
  <c r="K285" i="2"/>
  <c r="D285" i="2" s="1"/>
  <c r="BO284" i="2"/>
  <c r="BA284" i="2"/>
  <c r="AM284" i="2"/>
  <c r="Y284" i="2"/>
  <c r="K284" i="2"/>
  <c r="D284" i="2" s="1"/>
  <c r="BO283" i="2"/>
  <c r="BA283" i="2"/>
  <c r="AM283" i="2"/>
  <c r="Y283" i="2"/>
  <c r="K283" i="2"/>
  <c r="BO282" i="2"/>
  <c r="BA282" i="2"/>
  <c r="AM282" i="2"/>
  <c r="Y282" i="2"/>
  <c r="K282" i="2"/>
  <c r="BO281" i="2"/>
  <c r="BA281" i="2"/>
  <c r="AM281" i="2"/>
  <c r="Y281" i="2"/>
  <c r="K281" i="2"/>
  <c r="BO280" i="2"/>
  <c r="BA280" i="2"/>
  <c r="AM280" i="2"/>
  <c r="D280" i="2" s="1"/>
  <c r="Y280" i="2"/>
  <c r="K280" i="2"/>
  <c r="BO279" i="2"/>
  <c r="BA279" i="2"/>
  <c r="AM279" i="2"/>
  <c r="Y279" i="2"/>
  <c r="K279" i="2"/>
  <c r="D279" i="2" s="1"/>
  <c r="BO278" i="2"/>
  <c r="BA278" i="2"/>
  <c r="AM278" i="2"/>
  <c r="Y278" i="2"/>
  <c r="K278" i="2"/>
  <c r="D278" i="2" s="1"/>
  <c r="BO277" i="2"/>
  <c r="BA277" i="2"/>
  <c r="AM277" i="2"/>
  <c r="Y277" i="2"/>
  <c r="K277" i="2"/>
  <c r="BO276" i="2"/>
  <c r="BA276" i="2"/>
  <c r="AM276" i="2"/>
  <c r="Y276" i="2"/>
  <c r="K276" i="2"/>
  <c r="D276" i="2"/>
  <c r="BO275" i="2"/>
  <c r="BA275" i="2"/>
  <c r="AM275" i="2"/>
  <c r="Y275" i="2"/>
  <c r="K275" i="2"/>
  <c r="D275" i="2" s="1"/>
  <c r="BO274" i="2"/>
  <c r="BA274" i="2"/>
  <c r="AM274" i="2"/>
  <c r="Y274" i="2"/>
  <c r="K274" i="2"/>
  <c r="BO273" i="2"/>
  <c r="BA273" i="2"/>
  <c r="AM273" i="2"/>
  <c r="Y273" i="2"/>
  <c r="K273" i="2"/>
  <c r="BO272" i="2"/>
  <c r="D272" i="2" s="1"/>
  <c r="BA272" i="2"/>
  <c r="AM272" i="2"/>
  <c r="Y272" i="2"/>
  <c r="K272" i="2"/>
  <c r="BO271" i="2"/>
  <c r="BA271" i="2"/>
  <c r="AM271" i="2"/>
  <c r="Y271" i="2"/>
  <c r="K271" i="2"/>
  <c r="BO270" i="2"/>
  <c r="BA270" i="2"/>
  <c r="AM270" i="2"/>
  <c r="Y270" i="2"/>
  <c r="K270" i="2"/>
  <c r="BO269" i="2"/>
  <c r="BA269" i="2"/>
  <c r="AM269" i="2"/>
  <c r="Y269" i="2"/>
  <c r="K269" i="2"/>
  <c r="BO268" i="2"/>
  <c r="BA268" i="2"/>
  <c r="AM268" i="2"/>
  <c r="Y268" i="2"/>
  <c r="K268" i="2"/>
  <c r="BO267" i="2"/>
  <c r="BA267" i="2"/>
  <c r="AM267" i="2"/>
  <c r="Y267" i="2"/>
  <c r="K267" i="2"/>
  <c r="BO266" i="2"/>
  <c r="BA266" i="2"/>
  <c r="AM266" i="2"/>
  <c r="Y266" i="2"/>
  <c r="K266" i="2"/>
  <c r="BO265" i="2"/>
  <c r="BA265" i="2"/>
  <c r="AM265" i="2"/>
  <c r="Y265" i="2"/>
  <c r="K265" i="2"/>
  <c r="D265" i="2" s="1"/>
  <c r="BO264" i="2"/>
  <c r="BA264" i="2"/>
  <c r="AM264" i="2"/>
  <c r="D264" i="2" s="1"/>
  <c r="Y264" i="2"/>
  <c r="K264" i="2"/>
  <c r="BO263" i="2"/>
  <c r="BA263" i="2"/>
  <c r="AM263" i="2"/>
  <c r="Y263" i="2"/>
  <c r="K263" i="2"/>
  <c r="D263" i="2" s="1"/>
  <c r="BO262" i="2"/>
  <c r="BA262" i="2"/>
  <c r="AM262" i="2"/>
  <c r="Y262" i="2"/>
  <c r="K262" i="2"/>
  <c r="D262" i="2" s="1"/>
  <c r="BO261" i="2"/>
  <c r="BA261" i="2"/>
  <c r="AM261" i="2"/>
  <c r="Y261" i="2"/>
  <c r="K261" i="2"/>
  <c r="BO260" i="2"/>
  <c r="D260" i="2" s="1"/>
  <c r="BA260" i="2"/>
  <c r="AM260" i="2"/>
  <c r="Y260" i="2"/>
  <c r="K260" i="2"/>
  <c r="BO259" i="2"/>
  <c r="BA259" i="2"/>
  <c r="AM259" i="2"/>
  <c r="Y259" i="2"/>
  <c r="K259" i="2"/>
  <c r="BO258" i="2"/>
  <c r="BA258" i="2"/>
  <c r="AM258" i="2"/>
  <c r="Y258" i="2"/>
  <c r="K258" i="2"/>
  <c r="D258" i="2"/>
  <c r="BO257" i="2"/>
  <c r="BA257" i="2"/>
  <c r="AM257" i="2"/>
  <c r="Y257" i="2"/>
  <c r="K257" i="2"/>
  <c r="D257" i="2" s="1"/>
  <c r="BO256" i="2"/>
  <c r="BA256" i="2"/>
  <c r="AM256" i="2"/>
  <c r="Y256" i="2"/>
  <c r="K256" i="2"/>
  <c r="BO255" i="2"/>
  <c r="D255" i="2" s="1"/>
  <c r="BA255" i="2"/>
  <c r="AM255" i="2"/>
  <c r="Y255" i="2"/>
  <c r="K255" i="2"/>
  <c r="BO254" i="2"/>
  <c r="BA254" i="2"/>
  <c r="AM254" i="2"/>
  <c r="D254" i="2" s="1"/>
  <c r="Y254" i="2"/>
  <c r="K254" i="2"/>
  <c r="BO253" i="2"/>
  <c r="BA253" i="2"/>
  <c r="AM253" i="2"/>
  <c r="Y253" i="2"/>
  <c r="K253" i="2"/>
  <c r="D253" i="2" s="1"/>
  <c r="BO252" i="2"/>
  <c r="BA252" i="2"/>
  <c r="AM252" i="2"/>
  <c r="Y252" i="2"/>
  <c r="K252" i="2"/>
  <c r="BO251" i="2"/>
  <c r="BA251" i="2"/>
  <c r="AM251" i="2"/>
  <c r="D251" i="2" s="1"/>
  <c r="Y251" i="2"/>
  <c r="K251" i="2"/>
  <c r="BO250" i="2"/>
  <c r="BA250" i="2"/>
  <c r="AM250" i="2"/>
  <c r="Y250" i="2"/>
  <c r="K250" i="2"/>
  <c r="D250" i="2" s="1"/>
  <c r="BO249" i="2"/>
  <c r="BA249" i="2"/>
  <c r="AM249" i="2"/>
  <c r="Y249" i="2"/>
  <c r="K249" i="2"/>
  <c r="BO248" i="2"/>
  <c r="D248" i="2" s="1"/>
  <c r="BA248" i="2"/>
  <c r="AM248" i="2"/>
  <c r="Y248" i="2"/>
  <c r="K248" i="2"/>
  <c r="BO247" i="2"/>
  <c r="BA247" i="2"/>
  <c r="AM247" i="2"/>
  <c r="Y247" i="2"/>
  <c r="K247" i="2"/>
  <c r="BO246" i="2"/>
  <c r="D246" i="2" s="1"/>
  <c r="BA246" i="2"/>
  <c r="AM246" i="2"/>
  <c r="Y246" i="2"/>
  <c r="K246" i="2"/>
  <c r="BO245" i="2"/>
  <c r="BA245" i="2"/>
  <c r="AM245" i="2"/>
  <c r="Y245" i="2"/>
  <c r="K245" i="2"/>
  <c r="BO244" i="2"/>
  <c r="BA244" i="2"/>
  <c r="AM244" i="2"/>
  <c r="Y244" i="2"/>
  <c r="K244" i="2"/>
  <c r="D244" i="2"/>
  <c r="BO243" i="2"/>
  <c r="BA243" i="2"/>
  <c r="AM243" i="2"/>
  <c r="Y243" i="2"/>
  <c r="K243" i="2"/>
  <c r="D243" i="2" s="1"/>
  <c r="BO242" i="2"/>
  <c r="BA242" i="2"/>
  <c r="AM242" i="2"/>
  <c r="Y242" i="2"/>
  <c r="K242" i="2"/>
  <c r="BO241" i="2"/>
  <c r="BA241" i="2"/>
  <c r="AM241" i="2"/>
  <c r="Y241" i="2"/>
  <c r="K241" i="2"/>
  <c r="BO240" i="2"/>
  <c r="BA240" i="2"/>
  <c r="AM240" i="2"/>
  <c r="Y240" i="2"/>
  <c r="K240" i="2"/>
  <c r="BO239" i="2"/>
  <c r="BA239" i="2"/>
  <c r="AM239" i="2"/>
  <c r="Y239" i="2"/>
  <c r="K239" i="2"/>
  <c r="D239" i="2"/>
  <c r="BO238" i="2"/>
  <c r="BA238" i="2"/>
  <c r="AM238" i="2"/>
  <c r="D238" i="2" s="1"/>
  <c r="Y238" i="2"/>
  <c r="K238" i="2"/>
  <c r="BO237" i="2"/>
  <c r="BA237" i="2"/>
  <c r="AM237" i="2"/>
  <c r="Y237" i="2"/>
  <c r="K237" i="2"/>
  <c r="D237" i="2" s="1"/>
  <c r="BO236" i="2"/>
  <c r="BA236" i="2"/>
  <c r="AM236" i="2"/>
  <c r="Y236" i="2"/>
  <c r="K236" i="2"/>
  <c r="D236" i="2" s="1"/>
  <c r="BO235" i="2"/>
  <c r="BA235" i="2"/>
  <c r="AM235" i="2"/>
  <c r="Y235" i="2"/>
  <c r="K235" i="2"/>
  <c r="D235" i="2"/>
  <c r="BO234" i="2"/>
  <c r="BA234" i="2"/>
  <c r="AM234" i="2"/>
  <c r="Y234" i="2"/>
  <c r="K234" i="2"/>
  <c r="D234" i="2" s="1"/>
  <c r="BO233" i="2"/>
  <c r="BA233" i="2"/>
  <c r="AM233" i="2"/>
  <c r="Y233" i="2"/>
  <c r="K233" i="2"/>
  <c r="BO232" i="2"/>
  <c r="BA232" i="2"/>
  <c r="AM232" i="2"/>
  <c r="Y232" i="2"/>
  <c r="K232" i="2"/>
  <c r="D232" i="2" s="1"/>
  <c r="BO231" i="2"/>
  <c r="BA231" i="2"/>
  <c r="AM231" i="2"/>
  <c r="Y231" i="2"/>
  <c r="K231" i="2"/>
  <c r="BO230" i="2"/>
  <c r="BA230" i="2"/>
  <c r="D230" i="2" s="1"/>
  <c r="AM230" i="2"/>
  <c r="Y230" i="2"/>
  <c r="K230" i="2"/>
  <c r="BO229" i="2"/>
  <c r="BA229" i="2"/>
  <c r="AM229" i="2"/>
  <c r="Y229" i="2"/>
  <c r="K229" i="2"/>
  <c r="BO228" i="2"/>
  <c r="BA228" i="2"/>
  <c r="AM228" i="2"/>
  <c r="D228" i="2" s="1"/>
  <c r="Y228" i="2"/>
  <c r="K228" i="2"/>
  <c r="BO227" i="2"/>
  <c r="BA227" i="2"/>
  <c r="AM227" i="2"/>
  <c r="Y227" i="2"/>
  <c r="K227" i="2"/>
  <c r="BO226" i="2"/>
  <c r="BA226" i="2"/>
  <c r="AM226" i="2"/>
  <c r="D226" i="2" s="1"/>
  <c r="Y226" i="2"/>
  <c r="K226" i="2"/>
  <c r="BO225" i="2"/>
  <c r="BA225" i="2"/>
  <c r="AM225" i="2"/>
  <c r="Y225" i="2"/>
  <c r="K225" i="2"/>
  <c r="BO224" i="2"/>
  <c r="BA224" i="2"/>
  <c r="AM224" i="2"/>
  <c r="Y224" i="2"/>
  <c r="D224" i="2" s="1"/>
  <c r="K224" i="2"/>
  <c r="BO223" i="2"/>
  <c r="BA223" i="2"/>
  <c r="AM223" i="2"/>
  <c r="Y223" i="2"/>
  <c r="K223" i="2"/>
  <c r="D223" i="2" s="1"/>
  <c r="BO222" i="2"/>
  <c r="BA222" i="2"/>
  <c r="AM222" i="2"/>
  <c r="D222" i="2" s="1"/>
  <c r="Y222" i="2"/>
  <c r="K222" i="2"/>
  <c r="BO221" i="2"/>
  <c r="BA221" i="2"/>
  <c r="AM221" i="2"/>
  <c r="Y221" i="2"/>
  <c r="K221" i="2"/>
  <c r="BO220" i="2"/>
  <c r="BA220" i="2"/>
  <c r="AM220" i="2"/>
  <c r="Y220" i="2"/>
  <c r="K220" i="2"/>
  <c r="BO219" i="2"/>
  <c r="BA219" i="2"/>
  <c r="AM219" i="2"/>
  <c r="D219" i="2" s="1"/>
  <c r="Y219" i="2"/>
  <c r="K219" i="2"/>
  <c r="BO218" i="2"/>
  <c r="BA218" i="2"/>
  <c r="AM218" i="2"/>
  <c r="Y218" i="2"/>
  <c r="K218" i="2"/>
  <c r="BO217" i="2"/>
  <c r="BA217" i="2"/>
  <c r="AM217" i="2"/>
  <c r="Y217" i="2"/>
  <c r="K217" i="2"/>
  <c r="BO216" i="2"/>
  <c r="BA216" i="2"/>
  <c r="AM216" i="2"/>
  <c r="Y216" i="2"/>
  <c r="K216" i="2"/>
  <c r="D216" i="2" s="1"/>
  <c r="BO215" i="2"/>
  <c r="BA215" i="2"/>
  <c r="AM215" i="2"/>
  <c r="Y215" i="2"/>
  <c r="D215" i="2" s="1"/>
  <c r="K215" i="2"/>
  <c r="BO214" i="2"/>
  <c r="BA214" i="2"/>
  <c r="AM214" i="2"/>
  <c r="Y214" i="2"/>
  <c r="K214" i="2"/>
  <c r="D214" i="2" s="1"/>
  <c r="BO213" i="2"/>
  <c r="BA213" i="2"/>
  <c r="AM213" i="2"/>
  <c r="Y213" i="2"/>
  <c r="K213" i="2"/>
  <c r="BO212" i="2"/>
  <c r="BA212" i="2"/>
  <c r="D212" i="2" s="1"/>
  <c r="AM212" i="2"/>
  <c r="Y212" i="2"/>
  <c r="K212" i="2"/>
  <c r="BO211" i="2"/>
  <c r="BA211" i="2"/>
  <c r="AM211" i="2"/>
  <c r="Y211" i="2"/>
  <c r="K211" i="2"/>
  <c r="BO210" i="2"/>
  <c r="BA210" i="2"/>
  <c r="AM210" i="2"/>
  <c r="Y210" i="2"/>
  <c r="K210" i="2"/>
  <c r="D210" i="2"/>
  <c r="BO209" i="2"/>
  <c r="BA209" i="2"/>
  <c r="AM209" i="2"/>
  <c r="Y209" i="2"/>
  <c r="K209" i="2"/>
  <c r="BO208" i="2"/>
  <c r="BA208" i="2"/>
  <c r="AM208" i="2"/>
  <c r="K208" i="2"/>
  <c r="BO207" i="2"/>
  <c r="BA207" i="2"/>
  <c r="D207" i="2" s="1"/>
  <c r="AM207" i="2"/>
  <c r="Y207" i="2"/>
  <c r="K207" i="2"/>
  <c r="BO206" i="2"/>
  <c r="BA206" i="2"/>
  <c r="AM206" i="2"/>
  <c r="Y206" i="2"/>
  <c r="K206" i="2"/>
  <c r="BO205" i="2"/>
  <c r="BA205" i="2"/>
  <c r="AM205" i="2"/>
  <c r="D205" i="2" s="1"/>
  <c r="Y205" i="2"/>
  <c r="K205" i="2"/>
  <c r="BO204" i="2"/>
  <c r="BA204" i="2"/>
  <c r="AM204" i="2"/>
  <c r="Y204" i="2"/>
  <c r="K204" i="2"/>
  <c r="BO203" i="2"/>
  <c r="BA203" i="2"/>
  <c r="D203" i="2" s="1"/>
  <c r="AM203" i="2"/>
  <c r="Y203" i="2"/>
  <c r="K203" i="2"/>
  <c r="BO202" i="2"/>
  <c r="BA202" i="2"/>
  <c r="AM202" i="2"/>
  <c r="Y202" i="2"/>
  <c r="D202" i="2" s="1"/>
  <c r="K202" i="2"/>
  <c r="BO201" i="2"/>
  <c r="BA201" i="2"/>
  <c r="AM201" i="2"/>
  <c r="Y201" i="2"/>
  <c r="K201" i="2"/>
  <c r="D201" i="2"/>
  <c r="BO200" i="2"/>
  <c r="BA200" i="2"/>
  <c r="AM200" i="2"/>
  <c r="Y200" i="2"/>
  <c r="K200" i="2"/>
  <c r="BO199" i="2"/>
  <c r="BA199" i="2"/>
  <c r="AM199" i="2"/>
  <c r="Y199" i="2"/>
  <c r="K199" i="2"/>
  <c r="D199" i="2"/>
  <c r="BO198" i="2"/>
  <c r="BA198" i="2"/>
  <c r="AM198" i="2"/>
  <c r="Y198" i="2"/>
  <c r="K198" i="2"/>
  <c r="BO197" i="2"/>
  <c r="BA197" i="2"/>
  <c r="AM197" i="2"/>
  <c r="Y197" i="2"/>
  <c r="K197" i="2"/>
  <c r="D197" i="2"/>
  <c r="BO196" i="2"/>
  <c r="BA196" i="2"/>
  <c r="AM196" i="2"/>
  <c r="Y196" i="2"/>
  <c r="K196" i="2"/>
  <c r="D196" i="2" s="1"/>
  <c r="BO195" i="2"/>
  <c r="BA195" i="2"/>
  <c r="AM195" i="2"/>
  <c r="Y195" i="2"/>
  <c r="K195" i="2"/>
  <c r="D195" i="2"/>
  <c r="BO194" i="2"/>
  <c r="BA194" i="2"/>
  <c r="AM194" i="2"/>
  <c r="Y194" i="2"/>
  <c r="D194" i="2" s="1"/>
  <c r="K194" i="2"/>
  <c r="BO193" i="2"/>
  <c r="BA193" i="2"/>
  <c r="AM193" i="2"/>
  <c r="Y193" i="2"/>
  <c r="K193" i="2"/>
  <c r="BO192" i="2"/>
  <c r="BA192" i="2"/>
  <c r="AM192" i="2"/>
  <c r="Y192" i="2"/>
  <c r="K192" i="2"/>
  <c r="BO191" i="2"/>
  <c r="BA191" i="2"/>
  <c r="D191" i="2" s="1"/>
  <c r="AM191" i="2"/>
  <c r="Y191" i="2"/>
  <c r="K191" i="2"/>
  <c r="BO190" i="2"/>
  <c r="BA190" i="2"/>
  <c r="AM190" i="2"/>
  <c r="Y190" i="2"/>
  <c r="K190" i="2"/>
  <c r="BO189" i="2"/>
  <c r="BA189" i="2"/>
  <c r="AM189" i="2"/>
  <c r="K189" i="2"/>
  <c r="BO188" i="2"/>
  <c r="D188" i="2" s="1"/>
  <c r="BA188" i="2"/>
  <c r="AM188" i="2"/>
  <c r="Y188" i="2"/>
  <c r="K188" i="2"/>
  <c r="BO187" i="2"/>
  <c r="BA187" i="2"/>
  <c r="AM187" i="2"/>
  <c r="D187" i="2" s="1"/>
  <c r="Y187" i="2"/>
  <c r="K187" i="2"/>
  <c r="BO186" i="2"/>
  <c r="BA186" i="2"/>
  <c r="AM186" i="2"/>
  <c r="Y186" i="2"/>
  <c r="K186" i="2"/>
  <c r="D186" i="2" s="1"/>
  <c r="BO185" i="2"/>
  <c r="BA185" i="2"/>
  <c r="AM185" i="2"/>
  <c r="Y185" i="2"/>
  <c r="K185" i="2"/>
  <c r="BO184" i="2"/>
  <c r="BA184" i="2"/>
  <c r="AM184" i="2"/>
  <c r="D184" i="2" s="1"/>
  <c r="Y184" i="2"/>
  <c r="K184" i="2"/>
  <c r="BO183" i="2"/>
  <c r="BA183" i="2"/>
  <c r="AM183" i="2"/>
  <c r="Y183" i="2"/>
  <c r="K183" i="2"/>
  <c r="D183" i="2" s="1"/>
  <c r="BO182" i="2"/>
  <c r="BA182" i="2"/>
  <c r="AM182" i="2"/>
  <c r="Y182" i="2"/>
  <c r="K182" i="2"/>
  <c r="BO181" i="2"/>
  <c r="D181" i="2" s="1"/>
  <c r="BA181" i="2"/>
  <c r="AM181" i="2"/>
  <c r="Y181" i="2"/>
  <c r="K181" i="2"/>
  <c r="BO180" i="2"/>
  <c r="BA180" i="2"/>
  <c r="AM180" i="2"/>
  <c r="Y180" i="2"/>
  <c r="K180" i="2"/>
  <c r="BO179" i="2"/>
  <c r="D179" i="2" s="1"/>
  <c r="BA179" i="2"/>
  <c r="AM179" i="2"/>
  <c r="Y179" i="2"/>
  <c r="K179" i="2"/>
  <c r="BO178" i="2"/>
  <c r="BA178" i="2"/>
  <c r="AM178" i="2"/>
  <c r="Y178" i="2"/>
  <c r="K178" i="2"/>
  <c r="BO177" i="2"/>
  <c r="BA177" i="2"/>
  <c r="AM177" i="2"/>
  <c r="Y177" i="2"/>
  <c r="K177" i="2"/>
  <c r="D177" i="2"/>
  <c r="BO176" i="2"/>
  <c r="BA176" i="2"/>
  <c r="AM176" i="2"/>
  <c r="Y176" i="2"/>
  <c r="K176" i="2"/>
  <c r="D176" i="2" s="1"/>
  <c r="BO175" i="2"/>
  <c r="BA175" i="2"/>
  <c r="AM175" i="2"/>
  <c r="D175" i="2" s="1"/>
  <c r="Y175" i="2"/>
  <c r="K175" i="2"/>
  <c r="BO174" i="2"/>
  <c r="BA174" i="2"/>
  <c r="AM174" i="2"/>
  <c r="Y174" i="2"/>
  <c r="K174" i="2"/>
  <c r="D174" i="2" s="1"/>
  <c r="BO173" i="2"/>
  <c r="BA173" i="2"/>
  <c r="AM173" i="2"/>
  <c r="D173" i="2" s="1"/>
  <c r="Y173" i="2"/>
  <c r="K173" i="2"/>
  <c r="BO172" i="2"/>
  <c r="BA172" i="2"/>
  <c r="AM172" i="2"/>
  <c r="Y172" i="2"/>
  <c r="K172" i="2"/>
  <c r="BO171" i="2"/>
  <c r="BA171" i="2"/>
  <c r="AM171" i="2"/>
  <c r="D171" i="2" s="1"/>
  <c r="Y171" i="2"/>
  <c r="K171" i="2"/>
  <c r="BO170" i="2"/>
  <c r="BA170" i="2"/>
  <c r="AM170" i="2"/>
  <c r="Y170" i="2"/>
  <c r="K170" i="2"/>
  <c r="BO169" i="2"/>
  <c r="BA169" i="2"/>
  <c r="D169" i="2" s="1"/>
  <c r="AM169" i="2"/>
  <c r="Y169" i="2"/>
  <c r="K169" i="2"/>
  <c r="BO168" i="2"/>
  <c r="BA168" i="2"/>
  <c r="AM168" i="2"/>
  <c r="Y168" i="2"/>
  <c r="K168" i="2"/>
  <c r="BO167" i="2"/>
  <c r="BA167" i="2"/>
  <c r="AM167" i="2"/>
  <c r="Y167" i="2"/>
  <c r="K167" i="2"/>
  <c r="D167" i="2"/>
  <c r="BO166" i="2"/>
  <c r="BA166" i="2"/>
  <c r="AM166" i="2"/>
  <c r="Y166" i="2"/>
  <c r="K166" i="2"/>
  <c r="BO165" i="2"/>
  <c r="BA165" i="2"/>
  <c r="AM165" i="2"/>
  <c r="D165" i="2" s="1"/>
  <c r="Y165" i="2"/>
  <c r="K165" i="2"/>
  <c r="BO164" i="2"/>
  <c r="BA164" i="2"/>
  <c r="AM164" i="2"/>
  <c r="Y164" i="2"/>
  <c r="K164" i="2"/>
  <c r="D164" i="2" s="1"/>
  <c r="BO163" i="2"/>
  <c r="D163" i="2" s="1"/>
  <c r="BA163" i="2"/>
  <c r="AM163" i="2"/>
  <c r="Y163" i="2"/>
  <c r="K163" i="2"/>
  <c r="BO162" i="2"/>
  <c r="BA162" i="2"/>
  <c r="AM162" i="2"/>
  <c r="Y162" i="2"/>
  <c r="K162" i="2"/>
  <c r="BO161" i="2"/>
  <c r="BA161" i="2"/>
  <c r="AM161" i="2"/>
  <c r="Y161" i="2"/>
  <c r="K161" i="2"/>
  <c r="D161" i="2" s="1"/>
  <c r="I159" i="1" s="1"/>
  <c r="BO160" i="2"/>
  <c r="BA160" i="2"/>
  <c r="AM160" i="2"/>
  <c r="Y160" i="2"/>
  <c r="K160" i="2"/>
  <c r="D160" i="2" s="1"/>
  <c r="BO159" i="2"/>
  <c r="BA159" i="2"/>
  <c r="AM159" i="2"/>
  <c r="Y159" i="2"/>
  <c r="K159" i="2"/>
  <c r="BO158" i="2"/>
  <c r="BA158" i="2"/>
  <c r="AM158" i="2"/>
  <c r="Y158" i="2"/>
  <c r="K158" i="2"/>
  <c r="BO157" i="2"/>
  <c r="BA157" i="2"/>
  <c r="AM157" i="2"/>
  <c r="Y157" i="2"/>
  <c r="K157" i="2"/>
  <c r="D157" i="2" s="1"/>
  <c r="BO156" i="2"/>
  <c r="BA156" i="2"/>
  <c r="AM156" i="2"/>
  <c r="Y156" i="2"/>
  <c r="K156" i="2"/>
  <c r="BO155" i="2"/>
  <c r="BA155" i="2"/>
  <c r="AM155" i="2"/>
  <c r="D155" i="2" s="1"/>
  <c r="Y155" i="2"/>
  <c r="K155" i="2"/>
  <c r="BO154" i="2"/>
  <c r="BA154" i="2"/>
  <c r="AM154" i="2"/>
  <c r="Y154" i="2"/>
  <c r="K154" i="2"/>
  <c r="BO153" i="2"/>
  <c r="BA153" i="2"/>
  <c r="AM153" i="2"/>
  <c r="Y153" i="2"/>
  <c r="K153" i="2"/>
  <c r="BO152" i="2"/>
  <c r="BA152" i="2"/>
  <c r="AM152" i="2"/>
  <c r="Y152" i="2"/>
  <c r="K152" i="2"/>
  <c r="BO151" i="2"/>
  <c r="BA151" i="2"/>
  <c r="AM151" i="2"/>
  <c r="Y151" i="2"/>
  <c r="K151" i="2"/>
  <c r="D151" i="2"/>
  <c r="BO150" i="2"/>
  <c r="BA150" i="2"/>
  <c r="AM150" i="2"/>
  <c r="Y150" i="2"/>
  <c r="K150" i="2"/>
  <c r="BO149" i="2"/>
  <c r="BA149" i="2"/>
  <c r="AM149" i="2"/>
  <c r="D149" i="2" s="1"/>
  <c r="Y149" i="2"/>
  <c r="K149" i="2"/>
  <c r="BO148" i="2"/>
  <c r="BA148" i="2"/>
  <c r="AM148" i="2"/>
  <c r="Y148" i="2"/>
  <c r="K148" i="2"/>
  <c r="D148" i="2" s="1"/>
  <c r="BO147" i="2"/>
  <c r="D147" i="2" s="1"/>
  <c r="BA147" i="2"/>
  <c r="AM147" i="2"/>
  <c r="Y147" i="2"/>
  <c r="K147" i="2"/>
  <c r="BO146" i="2"/>
  <c r="BA146" i="2"/>
  <c r="AM146" i="2"/>
  <c r="Y146" i="2"/>
  <c r="K146" i="2"/>
  <c r="BO145" i="2"/>
  <c r="BA145" i="2"/>
  <c r="AM145" i="2"/>
  <c r="Y145" i="2"/>
  <c r="K145" i="2"/>
  <c r="D145" i="2"/>
  <c r="BO144" i="2"/>
  <c r="BA144" i="2"/>
  <c r="AM144" i="2"/>
  <c r="Y144" i="2"/>
  <c r="K144" i="2"/>
  <c r="D144" i="2" s="1"/>
  <c r="BO143" i="2"/>
  <c r="BA143" i="2"/>
  <c r="AM143" i="2"/>
  <c r="D143" i="2" s="1"/>
  <c r="Y143" i="2"/>
  <c r="K143" i="2"/>
  <c r="BO142" i="2"/>
  <c r="BA142" i="2"/>
  <c r="AM142" i="2"/>
  <c r="Y142" i="2"/>
  <c r="K142" i="2"/>
  <c r="D142" i="2" s="1"/>
  <c r="BO141" i="2"/>
  <c r="BA141" i="2"/>
  <c r="AM141" i="2"/>
  <c r="Y141" i="2"/>
  <c r="K141" i="2"/>
  <c r="D141" i="2" s="1"/>
  <c r="BO140" i="2"/>
  <c r="BA140" i="2"/>
  <c r="AM140" i="2"/>
  <c r="Y140" i="2"/>
  <c r="K140" i="2"/>
  <c r="BO139" i="2"/>
  <c r="BA139" i="2"/>
  <c r="AM139" i="2"/>
  <c r="D139" i="2" s="1"/>
  <c r="Y139" i="2"/>
  <c r="K139" i="2"/>
  <c r="BO138" i="2"/>
  <c r="BA138" i="2"/>
  <c r="AM138" i="2"/>
  <c r="Y138" i="2"/>
  <c r="K138" i="2"/>
  <c r="BO137" i="2"/>
  <c r="BA137" i="2"/>
  <c r="AM137" i="2"/>
  <c r="Y137" i="2"/>
  <c r="K137" i="2"/>
  <c r="D137" i="2" s="1"/>
  <c r="BO136" i="2"/>
  <c r="BA136" i="2"/>
  <c r="AM136" i="2"/>
  <c r="Y136" i="2"/>
  <c r="K136" i="2"/>
  <c r="BO135" i="2"/>
  <c r="BA135" i="2"/>
  <c r="AM135" i="2"/>
  <c r="Y135" i="2"/>
  <c r="K135" i="2"/>
  <c r="D135" i="2"/>
  <c r="BO134" i="2"/>
  <c r="BA134" i="2"/>
  <c r="AM134" i="2"/>
  <c r="Y134" i="2"/>
  <c r="K134" i="2"/>
  <c r="BO133" i="2"/>
  <c r="BA133" i="2"/>
  <c r="AM133" i="2"/>
  <c r="D133" i="2" s="1"/>
  <c r="Y133" i="2"/>
  <c r="K133" i="2"/>
  <c r="BO132" i="2"/>
  <c r="BA132" i="2"/>
  <c r="AM132" i="2"/>
  <c r="Y132" i="2"/>
  <c r="K132" i="2"/>
  <c r="D132" i="2" s="1"/>
  <c r="BO131" i="2"/>
  <c r="D131" i="2" s="1"/>
  <c r="BA131" i="2"/>
  <c r="AM131" i="2"/>
  <c r="Y131" i="2"/>
  <c r="K131" i="2"/>
  <c r="BO130" i="2"/>
  <c r="BA130" i="2"/>
  <c r="AM130" i="2"/>
  <c r="Y130" i="2"/>
  <c r="K130" i="2"/>
  <c r="BO129" i="2"/>
  <c r="BA129" i="2"/>
  <c r="AM129" i="2"/>
  <c r="Y129" i="2"/>
  <c r="K129" i="2"/>
  <c r="D129" i="2" s="1"/>
  <c r="I127" i="1" s="1"/>
  <c r="BO128" i="2"/>
  <c r="BA128" i="2"/>
  <c r="AM128" i="2"/>
  <c r="Y128" i="2"/>
  <c r="K128" i="2"/>
  <c r="D128" i="2" s="1"/>
  <c r="BO127" i="2"/>
  <c r="BA127" i="2"/>
  <c r="AM127" i="2"/>
  <c r="Y127" i="2"/>
  <c r="K127" i="2"/>
  <c r="BO126" i="2"/>
  <c r="BA126" i="2"/>
  <c r="AM126" i="2"/>
  <c r="Y126" i="2"/>
  <c r="K126" i="2"/>
  <c r="BO125" i="2"/>
  <c r="BA125" i="2"/>
  <c r="AM125" i="2"/>
  <c r="Y125" i="2"/>
  <c r="K125" i="2"/>
  <c r="D125" i="2" s="1"/>
  <c r="BO124" i="2"/>
  <c r="BA124" i="2"/>
  <c r="AM124" i="2"/>
  <c r="Y124" i="2"/>
  <c r="K124" i="2"/>
  <c r="BO123" i="2"/>
  <c r="BA123" i="2"/>
  <c r="AM123" i="2"/>
  <c r="D123" i="2" s="1"/>
  <c r="Y123" i="2"/>
  <c r="K123" i="2"/>
  <c r="BO122" i="2"/>
  <c r="BA122" i="2"/>
  <c r="AM122" i="2"/>
  <c r="Y122" i="2"/>
  <c r="K122" i="2"/>
  <c r="BO121" i="2"/>
  <c r="BA121" i="2"/>
  <c r="AM121" i="2"/>
  <c r="Y121" i="2"/>
  <c r="K121" i="2"/>
  <c r="BO120" i="2"/>
  <c r="BA120" i="2"/>
  <c r="AM120" i="2"/>
  <c r="Y120" i="2"/>
  <c r="K120" i="2"/>
  <c r="BO119" i="2"/>
  <c r="BA119" i="2"/>
  <c r="AM119" i="2"/>
  <c r="Y119" i="2"/>
  <c r="K119" i="2"/>
  <c r="D119" i="2"/>
  <c r="BO118" i="2"/>
  <c r="BA118" i="2"/>
  <c r="AM118" i="2"/>
  <c r="Y118" i="2"/>
  <c r="K118" i="2"/>
  <c r="BO117" i="2"/>
  <c r="BA117" i="2"/>
  <c r="AM117" i="2"/>
  <c r="D117" i="2" s="1"/>
  <c r="Y117" i="2"/>
  <c r="K117" i="2"/>
  <c r="BO116" i="2"/>
  <c r="BA116" i="2"/>
  <c r="AM116" i="2"/>
  <c r="Y116" i="2"/>
  <c r="K116" i="2"/>
  <c r="D116" i="2" s="1"/>
  <c r="BO115" i="2"/>
  <c r="D115" i="2" s="1"/>
  <c r="BA115" i="2"/>
  <c r="AM115" i="2"/>
  <c r="Y115" i="2"/>
  <c r="K115" i="2"/>
  <c r="BO114" i="2"/>
  <c r="BA114" i="2"/>
  <c r="AM114" i="2"/>
  <c r="Y114" i="2"/>
  <c r="K114" i="2"/>
  <c r="BO113" i="2"/>
  <c r="BA113" i="2"/>
  <c r="AM113" i="2"/>
  <c r="Y113" i="2"/>
  <c r="K113" i="2"/>
  <c r="D113" i="2"/>
  <c r="BO112" i="2"/>
  <c r="BA112" i="2"/>
  <c r="AM112" i="2"/>
  <c r="Y112" i="2"/>
  <c r="K112" i="2"/>
  <c r="D112" i="2" s="1"/>
  <c r="BO111" i="2"/>
  <c r="BA111" i="2"/>
  <c r="AM111" i="2"/>
  <c r="D111" i="2" s="1"/>
  <c r="Y111" i="2"/>
  <c r="K111" i="2"/>
  <c r="BO110" i="2"/>
  <c r="BA110" i="2"/>
  <c r="AM110" i="2"/>
  <c r="Y110" i="2"/>
  <c r="K110" i="2"/>
  <c r="D110" i="2" s="1"/>
  <c r="BO109" i="2"/>
  <c r="BA109" i="2"/>
  <c r="AM109" i="2"/>
  <c r="Y109" i="2"/>
  <c r="K109" i="2"/>
  <c r="D109" i="2" s="1"/>
  <c r="BO108" i="2"/>
  <c r="BA108" i="2"/>
  <c r="AM108" i="2"/>
  <c r="Y108" i="2"/>
  <c r="K108" i="2"/>
  <c r="BO107" i="2"/>
  <c r="BA107" i="2"/>
  <c r="AM107" i="2"/>
  <c r="D107" i="2" s="1"/>
  <c r="Y107" i="2"/>
  <c r="K107" i="2"/>
  <c r="BO106" i="2"/>
  <c r="BA106" i="2"/>
  <c r="AM106" i="2"/>
  <c r="K106" i="2"/>
  <c r="BO105" i="2"/>
  <c r="BA105" i="2"/>
  <c r="AM105" i="2"/>
  <c r="Y105" i="2"/>
  <c r="K105" i="2"/>
  <c r="D105" i="2" s="1"/>
  <c r="BO104" i="2"/>
  <c r="BA104" i="2"/>
  <c r="AM104" i="2"/>
  <c r="Y104" i="2"/>
  <c r="K104" i="2"/>
  <c r="D104" i="2"/>
  <c r="BO103" i="2"/>
  <c r="BA103" i="2"/>
  <c r="AM103" i="2"/>
  <c r="Y103" i="2"/>
  <c r="K103" i="2"/>
  <c r="D103" i="2" s="1"/>
  <c r="BO102" i="2"/>
  <c r="BA102" i="2"/>
  <c r="AM102" i="2"/>
  <c r="Y102" i="2"/>
  <c r="K102" i="2"/>
  <c r="BO101" i="2"/>
  <c r="BA101" i="2"/>
  <c r="AM101" i="2"/>
  <c r="Y101" i="2"/>
  <c r="K101" i="2"/>
  <c r="D101" i="2" s="1"/>
  <c r="BO100" i="2"/>
  <c r="BA100" i="2"/>
  <c r="AM100" i="2"/>
  <c r="D100" i="2" s="1"/>
  <c r="Y100" i="2"/>
  <c r="K100" i="2"/>
  <c r="BO99" i="2"/>
  <c r="BA99" i="2"/>
  <c r="AM99" i="2"/>
  <c r="Y99" i="2"/>
  <c r="K99" i="2"/>
  <c r="BO98" i="2"/>
  <c r="BA98" i="2"/>
  <c r="AM98" i="2"/>
  <c r="Y98" i="2"/>
  <c r="K98" i="2"/>
  <c r="D98" i="2" s="1"/>
  <c r="BO97" i="2"/>
  <c r="BA97" i="2"/>
  <c r="AM97" i="2"/>
  <c r="Y97" i="2"/>
  <c r="K97" i="2"/>
  <c r="BO96" i="2"/>
  <c r="BA96" i="2"/>
  <c r="AM96" i="2"/>
  <c r="Y96" i="2"/>
  <c r="K96" i="2"/>
  <c r="BO95" i="2"/>
  <c r="BA95" i="2"/>
  <c r="AM95" i="2"/>
  <c r="Y95" i="2"/>
  <c r="K95" i="2"/>
  <c r="BO94" i="2"/>
  <c r="BA94" i="2"/>
  <c r="AM94" i="2"/>
  <c r="Y94" i="2"/>
  <c r="K94" i="2"/>
  <c r="D94" i="2"/>
  <c r="BO93" i="2"/>
  <c r="BA93" i="2"/>
  <c r="AM93" i="2"/>
  <c r="Y93" i="2"/>
  <c r="K93" i="2"/>
  <c r="BO92" i="2"/>
  <c r="BA92" i="2"/>
  <c r="AM92" i="2"/>
  <c r="D92" i="2" s="1"/>
  <c r="Y92" i="2"/>
  <c r="K92" i="2"/>
  <c r="BO91" i="2"/>
  <c r="BA91" i="2"/>
  <c r="AM91" i="2"/>
  <c r="Y91" i="2"/>
  <c r="K91" i="2"/>
  <c r="D91" i="2" s="1"/>
  <c r="BO90" i="2"/>
  <c r="BA90" i="2"/>
  <c r="AM90" i="2"/>
  <c r="Y90" i="2"/>
  <c r="K90" i="2"/>
  <c r="D90" i="2"/>
  <c r="BO89" i="2"/>
  <c r="BA89" i="2"/>
  <c r="AM89" i="2"/>
  <c r="Y89" i="2"/>
  <c r="K89" i="2"/>
  <c r="D89" i="2" s="1"/>
  <c r="BO88" i="2"/>
  <c r="BA88" i="2"/>
  <c r="AM88" i="2"/>
  <c r="Y88" i="2"/>
  <c r="K88" i="2"/>
  <c r="D88" i="2"/>
  <c r="BO87" i="2"/>
  <c r="BA87" i="2"/>
  <c r="AM87" i="2"/>
  <c r="Y87" i="2"/>
  <c r="K87" i="2"/>
  <c r="D87" i="2" s="1"/>
  <c r="BO86" i="2"/>
  <c r="BA86" i="2"/>
  <c r="AM86" i="2"/>
  <c r="D86" i="2" s="1"/>
  <c r="Y86" i="2"/>
  <c r="K86" i="2"/>
  <c r="BO85" i="2"/>
  <c r="BA85" i="2"/>
  <c r="AM85" i="2"/>
  <c r="Y85" i="2"/>
  <c r="K85" i="2"/>
  <c r="D85" i="2" s="1"/>
  <c r="BO84" i="2"/>
  <c r="BA84" i="2"/>
  <c r="AM84" i="2"/>
  <c r="D84" i="2" s="1"/>
  <c r="Y84" i="2"/>
  <c r="K84" i="2"/>
  <c r="BO83" i="2"/>
  <c r="BA83" i="2"/>
  <c r="AM83" i="2"/>
  <c r="Y83" i="2"/>
  <c r="K83" i="2"/>
  <c r="BO82" i="2"/>
  <c r="BA82" i="2"/>
  <c r="AM82" i="2"/>
  <c r="Y82" i="2"/>
  <c r="K82" i="2"/>
  <c r="D82" i="2" s="1"/>
  <c r="BO81" i="2"/>
  <c r="BA81" i="2"/>
  <c r="AM81" i="2"/>
  <c r="Y81" i="2"/>
  <c r="K81" i="2"/>
  <c r="BO80" i="2"/>
  <c r="BA80" i="2"/>
  <c r="AM80" i="2"/>
  <c r="Y80" i="2"/>
  <c r="K80" i="2"/>
  <c r="BO79" i="2"/>
  <c r="BA79" i="2"/>
  <c r="AM79" i="2"/>
  <c r="Y79" i="2"/>
  <c r="K79" i="2"/>
  <c r="BO78" i="2"/>
  <c r="BA78" i="2"/>
  <c r="AM78" i="2"/>
  <c r="Y78" i="2"/>
  <c r="K78" i="2"/>
  <c r="D78" i="2"/>
  <c r="BO77" i="2"/>
  <c r="BA77" i="2"/>
  <c r="AM77" i="2"/>
  <c r="Y77" i="2"/>
  <c r="K77" i="2"/>
  <c r="BO76" i="2"/>
  <c r="BA76" i="2"/>
  <c r="AM76" i="2"/>
  <c r="D76" i="2" s="1"/>
  <c r="Y76" i="2"/>
  <c r="K76" i="2"/>
  <c r="BO75" i="2"/>
  <c r="BA75" i="2"/>
  <c r="AM75" i="2"/>
  <c r="Y75" i="2"/>
  <c r="K75" i="2"/>
  <c r="D75" i="2" s="1"/>
  <c r="BO74" i="2"/>
  <c r="BA74" i="2"/>
  <c r="AM74" i="2"/>
  <c r="Y74" i="2"/>
  <c r="K74" i="2"/>
  <c r="D74" i="2"/>
  <c r="BO73" i="2"/>
  <c r="BA73" i="2"/>
  <c r="AM73" i="2"/>
  <c r="Y73" i="2"/>
  <c r="K73" i="2"/>
  <c r="D73" i="2" s="1"/>
  <c r="BO72" i="2"/>
  <c r="BA72" i="2"/>
  <c r="AM72" i="2"/>
  <c r="Y72" i="2"/>
  <c r="K72" i="2"/>
  <c r="D72" i="2"/>
  <c r="BO71" i="2"/>
  <c r="BA71" i="2"/>
  <c r="AM71" i="2"/>
  <c r="Y71" i="2"/>
  <c r="K71" i="2"/>
  <c r="D71" i="2" s="1"/>
  <c r="BO70" i="2"/>
  <c r="BA70" i="2"/>
  <c r="AM70" i="2"/>
  <c r="D70" i="2" s="1"/>
  <c r="Y70" i="2"/>
  <c r="K70" i="2"/>
  <c r="BO69" i="2"/>
  <c r="BA69" i="2"/>
  <c r="AM69" i="2"/>
  <c r="Y69" i="2"/>
  <c r="D69" i="2" s="1"/>
  <c r="K69" i="2"/>
  <c r="BO68" i="2"/>
  <c r="BA68" i="2"/>
  <c r="AM68" i="2"/>
  <c r="Y68" i="2"/>
  <c r="K68" i="2"/>
  <c r="D68" i="2" s="1"/>
  <c r="BO67" i="2"/>
  <c r="BA67" i="2"/>
  <c r="AM67" i="2"/>
  <c r="Y67" i="2"/>
  <c r="K67" i="2"/>
  <c r="BO66" i="2"/>
  <c r="BA66" i="2"/>
  <c r="AM66" i="2"/>
  <c r="Y66" i="2"/>
  <c r="K66" i="2"/>
  <c r="D66" i="2"/>
  <c r="BO65" i="2"/>
  <c r="BA65" i="2"/>
  <c r="AM65" i="2"/>
  <c r="Y65" i="2"/>
  <c r="K65" i="2"/>
  <c r="D65" i="2"/>
  <c r="BO64" i="2"/>
  <c r="BA64" i="2"/>
  <c r="AM64" i="2"/>
  <c r="Y64" i="2"/>
  <c r="K64" i="2"/>
  <c r="BO63" i="2"/>
  <c r="BA63" i="2"/>
  <c r="AM63" i="2"/>
  <c r="Y63" i="2"/>
  <c r="K63" i="2"/>
  <c r="D63" i="2"/>
  <c r="BO62" i="2"/>
  <c r="BA62" i="2"/>
  <c r="AM62" i="2"/>
  <c r="Y62" i="2"/>
  <c r="K62" i="2"/>
  <c r="D62" i="2"/>
  <c r="BO61" i="2"/>
  <c r="BA61" i="2"/>
  <c r="AM61" i="2"/>
  <c r="Y61" i="2"/>
  <c r="K61" i="2"/>
  <c r="D61" i="2" s="1"/>
  <c r="BO60" i="2"/>
  <c r="BA60" i="2"/>
  <c r="AM60" i="2"/>
  <c r="Y60" i="2"/>
  <c r="D60" i="2" s="1"/>
  <c r="K60" i="2"/>
  <c r="BO59" i="2"/>
  <c r="D59" i="2" s="1"/>
  <c r="BA59" i="2"/>
  <c r="AM59" i="2"/>
  <c r="Y59" i="2"/>
  <c r="K59" i="2"/>
  <c r="BO58" i="2"/>
  <c r="BA58" i="2"/>
  <c r="AM58" i="2"/>
  <c r="Y58" i="2"/>
  <c r="K58" i="2"/>
  <c r="BO57" i="2"/>
  <c r="BA57" i="2"/>
  <c r="AM57" i="2"/>
  <c r="Y57" i="2"/>
  <c r="K57" i="2"/>
  <c r="D57" i="2"/>
  <c r="BO56" i="2"/>
  <c r="BA56" i="2"/>
  <c r="AM56" i="2"/>
  <c r="Y56" i="2"/>
  <c r="K56" i="2"/>
  <c r="D56" i="2"/>
  <c r="BO55" i="2"/>
  <c r="BA55" i="2"/>
  <c r="AM55" i="2"/>
  <c r="Y55" i="2"/>
  <c r="K55" i="2"/>
  <c r="BO54" i="2"/>
  <c r="BA54" i="2"/>
  <c r="AM54" i="2"/>
  <c r="Y54" i="2"/>
  <c r="K54" i="2"/>
  <c r="D54" i="2"/>
  <c r="BO53" i="2"/>
  <c r="BA53" i="2"/>
  <c r="AM53" i="2"/>
  <c r="Y53" i="2"/>
  <c r="K53" i="2"/>
  <c r="D53" i="2"/>
  <c r="BO52" i="2"/>
  <c r="BA52" i="2"/>
  <c r="AM52" i="2"/>
  <c r="Y52" i="2"/>
  <c r="K52" i="2"/>
  <c r="D52" i="2" s="1"/>
  <c r="BO51" i="2"/>
  <c r="BA51" i="2"/>
  <c r="AM51" i="2"/>
  <c r="Y51" i="2"/>
  <c r="K51" i="2"/>
  <c r="BO50" i="2"/>
  <c r="BA50" i="2"/>
  <c r="AM50" i="2"/>
  <c r="Y50" i="2"/>
  <c r="K50" i="2"/>
  <c r="BO49" i="2"/>
  <c r="BA49" i="2"/>
  <c r="AM49" i="2"/>
  <c r="D49" i="2" s="1"/>
  <c r="Y49" i="2"/>
  <c r="K49" i="2"/>
  <c r="BO48" i="2"/>
  <c r="BA48" i="2"/>
  <c r="AM48" i="2"/>
  <c r="Y48" i="2"/>
  <c r="K48" i="2"/>
  <c r="BO47" i="2"/>
  <c r="BA47" i="2"/>
  <c r="AM47" i="2"/>
  <c r="Y47" i="2"/>
  <c r="K47" i="2"/>
  <c r="D47" i="2" s="1"/>
  <c r="BO46" i="2"/>
  <c r="BA46" i="2"/>
  <c r="AM46" i="2"/>
  <c r="Y46" i="2"/>
  <c r="K46" i="2"/>
  <c r="BO45" i="2"/>
  <c r="BA45" i="2"/>
  <c r="AM45" i="2"/>
  <c r="Y45" i="2"/>
  <c r="D45" i="2" s="1"/>
  <c r="K45" i="2"/>
  <c r="BO44" i="2"/>
  <c r="BA44" i="2"/>
  <c r="AM44" i="2"/>
  <c r="Y44" i="2"/>
  <c r="K44" i="2"/>
  <c r="BO43" i="2"/>
  <c r="BA43" i="2"/>
  <c r="AM43" i="2"/>
  <c r="Y43" i="2"/>
  <c r="K43" i="2"/>
  <c r="D43" i="2" s="1"/>
  <c r="BO42" i="2"/>
  <c r="BA42" i="2"/>
  <c r="AM42" i="2"/>
  <c r="Y42" i="2"/>
  <c r="K42" i="2"/>
  <c r="BO41" i="2"/>
  <c r="BA41" i="2"/>
  <c r="AM41" i="2"/>
  <c r="Y41" i="2"/>
  <c r="D41" i="2" s="1"/>
  <c r="K41" i="2"/>
  <c r="BO40" i="2"/>
  <c r="BA40" i="2"/>
  <c r="AM40" i="2"/>
  <c r="Y40" i="2"/>
  <c r="K40" i="2"/>
  <c r="D40" i="2"/>
  <c r="BO39" i="2"/>
  <c r="BA39" i="2"/>
  <c r="AM39" i="2"/>
  <c r="Y39" i="2"/>
  <c r="K39" i="2"/>
  <c r="D39" i="2" s="1"/>
  <c r="I37" i="1" s="1"/>
  <c r="BO38" i="2"/>
  <c r="BA38" i="2"/>
  <c r="AM38" i="2"/>
  <c r="Y38" i="2"/>
  <c r="K38" i="2"/>
  <c r="D38" i="2" s="1"/>
  <c r="BO37" i="2"/>
  <c r="BA37" i="2"/>
  <c r="AM37" i="2"/>
  <c r="Y37" i="2"/>
  <c r="K37" i="2"/>
  <c r="D37" i="2"/>
  <c r="BO36" i="2"/>
  <c r="BA36" i="2"/>
  <c r="AM36" i="2"/>
  <c r="Y36" i="2"/>
  <c r="K36" i="2"/>
  <c r="D36" i="2" s="1"/>
  <c r="BO35" i="2"/>
  <c r="BA35" i="2"/>
  <c r="AM35" i="2"/>
  <c r="Y35" i="2"/>
  <c r="K35" i="2"/>
  <c r="BO34" i="2"/>
  <c r="BA34" i="2"/>
  <c r="AM34" i="2"/>
  <c r="Y34" i="2"/>
  <c r="K34" i="2"/>
  <c r="D34" i="2" s="1"/>
  <c r="BO33" i="2"/>
  <c r="BA33" i="2"/>
  <c r="AM33" i="2"/>
  <c r="Y33" i="2"/>
  <c r="K33" i="2"/>
  <c r="D33" i="2" s="1"/>
  <c r="BO32" i="2"/>
  <c r="BA32" i="2"/>
  <c r="AM32" i="2"/>
  <c r="Y32" i="2"/>
  <c r="D32" i="2" s="1"/>
  <c r="K32" i="2"/>
  <c r="BO31" i="2"/>
  <c r="BA31" i="2"/>
  <c r="AM31" i="2"/>
  <c r="D31" i="2" s="1"/>
  <c r="Y31" i="2"/>
  <c r="K31" i="2"/>
  <c r="BO30" i="2"/>
  <c r="BA30" i="2"/>
  <c r="AM30" i="2"/>
  <c r="Y30" i="2"/>
  <c r="K30" i="2"/>
  <c r="D30" i="2" s="1"/>
  <c r="BO29" i="2"/>
  <c r="BA29" i="2"/>
  <c r="AM29" i="2"/>
  <c r="Y29" i="2"/>
  <c r="K29" i="2"/>
  <c r="D29" i="2" s="1"/>
  <c r="BO28" i="2"/>
  <c r="BA28" i="2"/>
  <c r="AM28" i="2"/>
  <c r="D28" i="2" s="1"/>
  <c r="Y28" i="2"/>
  <c r="K28" i="2"/>
  <c r="BO27" i="2"/>
  <c r="BA27" i="2"/>
  <c r="AM27" i="2"/>
  <c r="Y27" i="2"/>
  <c r="K27" i="2"/>
  <c r="D27" i="2" s="1"/>
  <c r="BO26" i="2"/>
  <c r="D26" i="2" s="1"/>
  <c r="BA26" i="2"/>
  <c r="AM26" i="2"/>
  <c r="Y26" i="2"/>
  <c r="K26" i="2"/>
  <c r="BO25" i="2"/>
  <c r="BA25" i="2"/>
  <c r="AM25" i="2"/>
  <c r="Y25" i="2"/>
  <c r="K25" i="2"/>
  <c r="BO24" i="2"/>
  <c r="BA24" i="2"/>
  <c r="AM24" i="2"/>
  <c r="Y24" i="2"/>
  <c r="K24" i="2"/>
  <c r="D24" i="2" s="1"/>
  <c r="BO23" i="2"/>
  <c r="BA23" i="2"/>
  <c r="AM23" i="2"/>
  <c r="Y23" i="2"/>
  <c r="K23" i="2"/>
  <c r="BO22" i="2"/>
  <c r="BA22" i="2"/>
  <c r="AM22" i="2"/>
  <c r="Y22" i="2"/>
  <c r="K22" i="2"/>
  <c r="BO21" i="2"/>
  <c r="BA21" i="2"/>
  <c r="AM21" i="2"/>
  <c r="Y21" i="2"/>
  <c r="K21" i="2"/>
  <c r="BO20" i="2"/>
  <c r="BA20" i="2"/>
  <c r="AM20" i="2"/>
  <c r="Y20" i="2"/>
  <c r="K20" i="2"/>
  <c r="D20" i="2"/>
  <c r="BO19" i="2"/>
  <c r="BA19" i="2"/>
  <c r="AM19" i="2"/>
  <c r="Y19" i="2"/>
  <c r="K19" i="2"/>
  <c r="BO18" i="2"/>
  <c r="BA18" i="2"/>
  <c r="AM18" i="2"/>
  <c r="Y18" i="2"/>
  <c r="K18" i="2"/>
  <c r="BO17" i="2"/>
  <c r="BA17" i="2"/>
  <c r="AM17" i="2"/>
  <c r="Y17" i="2"/>
  <c r="K17" i="2"/>
  <c r="BO16" i="2"/>
  <c r="BA16" i="2"/>
  <c r="AM16" i="2"/>
  <c r="Y16" i="2"/>
  <c r="K16" i="2"/>
  <c r="D16" i="2"/>
  <c r="BO15" i="2"/>
  <c r="BA15" i="2"/>
  <c r="AM15" i="2"/>
  <c r="Y15" i="2"/>
  <c r="K15" i="2"/>
  <c r="BO14" i="2"/>
  <c r="BO3" i="2" s="1"/>
  <c r="BA14" i="2"/>
  <c r="AM14" i="2"/>
  <c r="Y14" i="2"/>
  <c r="K14" i="2"/>
  <c r="BO13" i="2"/>
  <c r="BA13" i="2"/>
  <c r="AM13" i="2"/>
  <c r="Y13" i="2"/>
  <c r="K13" i="2"/>
  <c r="BO12" i="2"/>
  <c r="BA12" i="2"/>
  <c r="AM12" i="2"/>
  <c r="D12" i="2" s="1"/>
  <c r="Y12" i="2"/>
  <c r="K12" i="2"/>
  <c r="BO11" i="2"/>
  <c r="BA11" i="2"/>
  <c r="AM11" i="2"/>
  <c r="Y11" i="2"/>
  <c r="K11" i="2"/>
  <c r="D11" i="2" s="1"/>
  <c r="BO10" i="2"/>
  <c r="D10" i="2" s="1"/>
  <c r="BA10" i="2"/>
  <c r="AM10" i="2"/>
  <c r="Y10" i="2"/>
  <c r="K10" i="2"/>
  <c r="BO9" i="2"/>
  <c r="BA9" i="2"/>
  <c r="AM9" i="2"/>
  <c r="AM3" i="2" s="1"/>
  <c r="Y9" i="2"/>
  <c r="K9" i="2"/>
  <c r="BO8" i="2"/>
  <c r="BA8" i="2"/>
  <c r="AM8" i="2"/>
  <c r="Y8" i="2"/>
  <c r="K8" i="2"/>
  <c r="D8" i="2"/>
  <c r="BN6" i="2"/>
  <c r="BM6" i="2"/>
  <c r="BL6" i="2"/>
  <c r="BJ6" i="2"/>
  <c r="BI6" i="2"/>
  <c r="BH6" i="2"/>
  <c r="BG6" i="2"/>
  <c r="BF6" i="2"/>
  <c r="BE6" i="2"/>
  <c r="BD6" i="2"/>
  <c r="BC6" i="2"/>
  <c r="AZ6" i="2"/>
  <c r="AY6" i="2"/>
  <c r="AX6" i="2"/>
  <c r="AW6" i="2"/>
  <c r="AV6" i="2"/>
  <c r="AU6" i="2"/>
  <c r="AT6" i="2"/>
  <c r="AS6" i="2"/>
  <c r="AR6" i="2"/>
  <c r="AQ6" i="2"/>
  <c r="AP6" i="2"/>
  <c r="BB6" i="2" s="1"/>
  <c r="AO6" i="2"/>
  <c r="BA6" i="2" s="1"/>
  <c r="AL6" i="2"/>
  <c r="AK6" i="2"/>
  <c r="AJ6" i="2"/>
  <c r="AI6" i="2"/>
  <c r="AH6" i="2"/>
  <c r="AG6" i="2"/>
  <c r="AF6" i="2"/>
  <c r="AE6" i="2"/>
  <c r="AD6" i="2"/>
  <c r="AC6" i="2"/>
  <c r="AB6" i="2"/>
  <c r="AA6" i="2"/>
  <c r="X6" i="2"/>
  <c r="W6" i="2"/>
  <c r="V6" i="2"/>
  <c r="U6" i="2"/>
  <c r="T6" i="2"/>
  <c r="S6" i="2"/>
  <c r="R6" i="2"/>
  <c r="Z6" i="2" s="1"/>
  <c r="Q6" i="2"/>
  <c r="Y6" i="2" s="1"/>
  <c r="P6" i="2"/>
  <c r="O6" i="2"/>
  <c r="N6" i="2"/>
  <c r="M6" i="2"/>
  <c r="L6" i="2"/>
  <c r="J6" i="2"/>
  <c r="I6" i="2"/>
  <c r="H6" i="2"/>
  <c r="G6" i="2"/>
  <c r="K6" i="2" s="1"/>
  <c r="F6" i="2"/>
  <c r="E6" i="2"/>
  <c r="BV5" i="2"/>
  <c r="BX5" i="2" s="1"/>
  <c r="BK4" i="2"/>
  <c r="BG4" i="2"/>
  <c r="BE4" i="2"/>
  <c r="AU4" i="2"/>
  <c r="AQ4" i="2"/>
  <c r="AO4" i="2"/>
  <c r="AK4" i="2"/>
  <c r="AE4" i="2"/>
  <c r="AA4" i="2"/>
  <c r="U4" i="2"/>
  <c r="O4" i="2"/>
  <c r="I4" i="2"/>
  <c r="E4" i="2"/>
  <c r="BM3" i="2"/>
  <c r="BM4" i="2" s="1"/>
  <c r="BK3" i="2"/>
  <c r="BI3" i="2"/>
  <c r="BI4" i="2" s="1"/>
  <c r="BG3" i="2"/>
  <c r="BE3" i="2"/>
  <c r="BC3" i="2"/>
  <c r="BC4" i="2" s="1"/>
  <c r="AY3" i="2"/>
  <c r="AY4" i="2" s="1"/>
  <c r="AW3" i="2"/>
  <c r="AW4" i="2" s="1"/>
  <c r="AU3" i="2"/>
  <c r="AS3" i="2"/>
  <c r="AS4" i="2" s="1"/>
  <c r="AQ3" i="2"/>
  <c r="AO3" i="2"/>
  <c r="AK3" i="2"/>
  <c r="AI3" i="2"/>
  <c r="AI4" i="2" s="1"/>
  <c r="AG3" i="2"/>
  <c r="AG4" i="2" s="1"/>
  <c r="AE3" i="2"/>
  <c r="AC3" i="2"/>
  <c r="AC4" i="2" s="1"/>
  <c r="AA3" i="2"/>
  <c r="W3" i="2"/>
  <c r="W4" i="2" s="1"/>
  <c r="U3" i="2"/>
  <c r="S3" i="2"/>
  <c r="S4" i="2" s="1"/>
  <c r="Q3" i="2"/>
  <c r="Q4" i="2" s="1"/>
  <c r="O3" i="2"/>
  <c r="M3" i="2"/>
  <c r="M4" i="2" s="1"/>
  <c r="I3" i="2"/>
  <c r="G3" i="2"/>
  <c r="G4" i="2" s="1"/>
  <c r="E3" i="2"/>
  <c r="BW1" i="2"/>
  <c r="X438" i="1"/>
  <c r="V438" i="1"/>
  <c r="T438" i="1"/>
  <c r="R438" i="1"/>
  <c r="P438" i="1"/>
  <c r="L438" i="1"/>
  <c r="K438" i="1"/>
  <c r="I438" i="1"/>
  <c r="X437" i="1"/>
  <c r="V437" i="1"/>
  <c r="T437" i="1"/>
  <c r="R437" i="1"/>
  <c r="P437" i="1"/>
  <c r="L437" i="1"/>
  <c r="K437" i="1"/>
  <c r="I437" i="1"/>
  <c r="X436" i="1"/>
  <c r="V436" i="1"/>
  <c r="T436" i="1"/>
  <c r="R436" i="1"/>
  <c r="P436" i="1"/>
  <c r="L436" i="1"/>
  <c r="K436" i="1"/>
  <c r="I436" i="1"/>
  <c r="X435" i="1"/>
  <c r="V435" i="1"/>
  <c r="T435" i="1"/>
  <c r="R435" i="1"/>
  <c r="P435" i="1"/>
  <c r="L435" i="1"/>
  <c r="K435" i="1"/>
  <c r="I435" i="1"/>
  <c r="X434" i="1"/>
  <c r="V434" i="1"/>
  <c r="T434" i="1"/>
  <c r="R434" i="1"/>
  <c r="P434" i="1"/>
  <c r="L434" i="1"/>
  <c r="K434" i="1"/>
  <c r="I434" i="1"/>
  <c r="X433" i="1"/>
  <c r="V433" i="1"/>
  <c r="T433" i="1"/>
  <c r="R433" i="1"/>
  <c r="P433" i="1"/>
  <c r="L433" i="1"/>
  <c r="K433" i="1"/>
  <c r="I433" i="1"/>
  <c r="X432" i="1"/>
  <c r="V432" i="1"/>
  <c r="T432" i="1"/>
  <c r="R432" i="1"/>
  <c r="P432" i="1"/>
  <c r="L432" i="1"/>
  <c r="K432" i="1"/>
  <c r="I432" i="1"/>
  <c r="X431" i="1"/>
  <c r="V431" i="1"/>
  <c r="T431" i="1"/>
  <c r="R431" i="1"/>
  <c r="P431" i="1"/>
  <c r="L431" i="1"/>
  <c r="K431" i="1"/>
  <c r="I431" i="1"/>
  <c r="X430" i="1"/>
  <c r="V430" i="1"/>
  <c r="T430" i="1"/>
  <c r="R430" i="1"/>
  <c r="P430" i="1"/>
  <c r="L430" i="1"/>
  <c r="K430" i="1"/>
  <c r="I430" i="1"/>
  <c r="X429" i="1"/>
  <c r="V429" i="1"/>
  <c r="T429" i="1"/>
  <c r="R429" i="1"/>
  <c r="P429" i="1"/>
  <c r="L429" i="1"/>
  <c r="K429" i="1"/>
  <c r="I429" i="1"/>
  <c r="X428" i="1"/>
  <c r="V428" i="1"/>
  <c r="T428" i="1"/>
  <c r="R428" i="1"/>
  <c r="P428" i="1"/>
  <c r="L428" i="1"/>
  <c r="K428" i="1"/>
  <c r="I428" i="1"/>
  <c r="X427" i="1"/>
  <c r="V427" i="1"/>
  <c r="T427" i="1"/>
  <c r="R427" i="1"/>
  <c r="P427" i="1"/>
  <c r="L427" i="1"/>
  <c r="K427" i="1"/>
  <c r="I427" i="1"/>
  <c r="X426" i="1"/>
  <c r="V426" i="1"/>
  <c r="T426" i="1"/>
  <c r="R426" i="1"/>
  <c r="P426" i="1"/>
  <c r="L426" i="1"/>
  <c r="K426" i="1"/>
  <c r="I426" i="1"/>
  <c r="X425" i="1"/>
  <c r="V425" i="1"/>
  <c r="T425" i="1"/>
  <c r="R425" i="1"/>
  <c r="P425" i="1"/>
  <c r="L425" i="1"/>
  <c r="K425" i="1"/>
  <c r="I425" i="1"/>
  <c r="X424" i="1"/>
  <c r="V424" i="1"/>
  <c r="T424" i="1"/>
  <c r="R424" i="1"/>
  <c r="P424" i="1"/>
  <c r="L424" i="1"/>
  <c r="K424" i="1"/>
  <c r="I424" i="1"/>
  <c r="X423" i="1"/>
  <c r="V423" i="1"/>
  <c r="T423" i="1"/>
  <c r="R423" i="1"/>
  <c r="P423" i="1"/>
  <c r="L423" i="1"/>
  <c r="K423" i="1"/>
  <c r="I423" i="1"/>
  <c r="X422" i="1"/>
  <c r="V422" i="1"/>
  <c r="T422" i="1"/>
  <c r="R422" i="1"/>
  <c r="P422" i="1"/>
  <c r="L422" i="1"/>
  <c r="K422" i="1"/>
  <c r="I422" i="1"/>
  <c r="X421" i="1"/>
  <c r="V421" i="1"/>
  <c r="T421" i="1"/>
  <c r="R421" i="1"/>
  <c r="P421" i="1"/>
  <c r="L421" i="1"/>
  <c r="K421" i="1"/>
  <c r="I421" i="1"/>
  <c r="X420" i="1"/>
  <c r="V420" i="1"/>
  <c r="T420" i="1"/>
  <c r="R420" i="1"/>
  <c r="P420" i="1"/>
  <c r="L420" i="1"/>
  <c r="K420" i="1"/>
  <c r="I420" i="1"/>
  <c r="X419" i="1"/>
  <c r="V419" i="1"/>
  <c r="T419" i="1"/>
  <c r="R419" i="1"/>
  <c r="P419" i="1"/>
  <c r="L419" i="1"/>
  <c r="K419" i="1"/>
  <c r="I419" i="1"/>
  <c r="X418" i="1"/>
  <c r="V418" i="1"/>
  <c r="T418" i="1"/>
  <c r="R418" i="1"/>
  <c r="P418" i="1"/>
  <c r="L418" i="1"/>
  <c r="K418" i="1"/>
  <c r="I418" i="1"/>
  <c r="X417" i="1"/>
  <c r="V417" i="1"/>
  <c r="T417" i="1"/>
  <c r="R417" i="1"/>
  <c r="P417" i="1"/>
  <c r="L417" i="1"/>
  <c r="K417" i="1"/>
  <c r="I417" i="1"/>
  <c r="X416" i="1"/>
  <c r="V416" i="1"/>
  <c r="T416" i="1"/>
  <c r="R416" i="1"/>
  <c r="P416" i="1"/>
  <c r="L416" i="1"/>
  <c r="K416" i="1"/>
  <c r="I416" i="1"/>
  <c r="X415" i="1"/>
  <c r="V415" i="1"/>
  <c r="T415" i="1"/>
  <c r="R415" i="1"/>
  <c r="P415" i="1"/>
  <c r="L415" i="1"/>
  <c r="K415" i="1"/>
  <c r="I415" i="1"/>
  <c r="X414" i="1"/>
  <c r="V414" i="1"/>
  <c r="T414" i="1"/>
  <c r="R414" i="1"/>
  <c r="P414" i="1"/>
  <c r="L414" i="1"/>
  <c r="K414" i="1"/>
  <c r="I414" i="1"/>
  <c r="X413" i="1"/>
  <c r="V413" i="1"/>
  <c r="T413" i="1"/>
  <c r="R413" i="1"/>
  <c r="P413" i="1"/>
  <c r="L413" i="1"/>
  <c r="K413" i="1"/>
  <c r="I413" i="1"/>
  <c r="X412" i="1"/>
  <c r="V412" i="1"/>
  <c r="T412" i="1"/>
  <c r="R412" i="1"/>
  <c r="P412" i="1"/>
  <c r="L412" i="1"/>
  <c r="K412" i="1"/>
  <c r="I412" i="1"/>
  <c r="X411" i="1"/>
  <c r="V411" i="1"/>
  <c r="T411" i="1"/>
  <c r="R411" i="1"/>
  <c r="P411" i="1"/>
  <c r="L411" i="1"/>
  <c r="K411" i="1"/>
  <c r="I411" i="1"/>
  <c r="X410" i="1"/>
  <c r="V410" i="1"/>
  <c r="T410" i="1"/>
  <c r="R410" i="1"/>
  <c r="P410" i="1"/>
  <c r="L410" i="1"/>
  <c r="K410" i="1"/>
  <c r="I410" i="1"/>
  <c r="X409" i="1"/>
  <c r="V409" i="1"/>
  <c r="T409" i="1"/>
  <c r="R409" i="1"/>
  <c r="P409" i="1"/>
  <c r="L409" i="1"/>
  <c r="K409" i="1"/>
  <c r="I409" i="1"/>
  <c r="X408" i="1"/>
  <c r="V408" i="1"/>
  <c r="T408" i="1"/>
  <c r="R408" i="1"/>
  <c r="P408" i="1"/>
  <c r="L408" i="1"/>
  <c r="K408" i="1"/>
  <c r="I408" i="1"/>
  <c r="X407" i="1"/>
  <c r="V407" i="1"/>
  <c r="T407" i="1"/>
  <c r="R407" i="1"/>
  <c r="P407" i="1"/>
  <c r="L407" i="1"/>
  <c r="K407" i="1"/>
  <c r="I407" i="1"/>
  <c r="X406" i="1"/>
  <c r="V406" i="1"/>
  <c r="T406" i="1"/>
  <c r="R406" i="1"/>
  <c r="P406" i="1"/>
  <c r="L406" i="1"/>
  <c r="K406" i="1"/>
  <c r="I406" i="1"/>
  <c r="X405" i="1"/>
  <c r="V405" i="1"/>
  <c r="T405" i="1"/>
  <c r="R405" i="1"/>
  <c r="P405" i="1"/>
  <c r="L405" i="1"/>
  <c r="K405" i="1"/>
  <c r="I405" i="1"/>
  <c r="X404" i="1"/>
  <c r="V404" i="1"/>
  <c r="T404" i="1"/>
  <c r="R404" i="1"/>
  <c r="P404" i="1"/>
  <c r="L404" i="1"/>
  <c r="K404" i="1"/>
  <c r="I404" i="1"/>
  <c r="X403" i="1"/>
  <c r="V403" i="1"/>
  <c r="T403" i="1"/>
  <c r="R403" i="1"/>
  <c r="P403" i="1"/>
  <c r="L403" i="1"/>
  <c r="K403" i="1"/>
  <c r="I403" i="1"/>
  <c r="X402" i="1"/>
  <c r="V402" i="1"/>
  <c r="T402" i="1"/>
  <c r="R402" i="1"/>
  <c r="P402" i="1"/>
  <c r="L402" i="1"/>
  <c r="K402" i="1"/>
  <c r="I402" i="1"/>
  <c r="X401" i="1"/>
  <c r="V401" i="1"/>
  <c r="T401" i="1"/>
  <c r="R401" i="1"/>
  <c r="P401" i="1"/>
  <c r="L401" i="1"/>
  <c r="K401" i="1"/>
  <c r="I401" i="1"/>
  <c r="X400" i="1"/>
  <c r="V400" i="1"/>
  <c r="T400" i="1"/>
  <c r="R400" i="1"/>
  <c r="P400" i="1"/>
  <c r="L400" i="1"/>
  <c r="K400" i="1"/>
  <c r="I400" i="1"/>
  <c r="X399" i="1"/>
  <c r="V399" i="1"/>
  <c r="T399" i="1"/>
  <c r="R399" i="1"/>
  <c r="P399" i="1"/>
  <c r="L399" i="1"/>
  <c r="K399" i="1"/>
  <c r="I399" i="1"/>
  <c r="X398" i="1"/>
  <c r="V398" i="1"/>
  <c r="T398" i="1"/>
  <c r="R398" i="1"/>
  <c r="P398" i="1"/>
  <c r="L398" i="1"/>
  <c r="K398" i="1"/>
  <c r="I398" i="1"/>
  <c r="X397" i="1"/>
  <c r="V397" i="1"/>
  <c r="T397" i="1"/>
  <c r="R397" i="1"/>
  <c r="P397" i="1"/>
  <c r="L397" i="1"/>
  <c r="K397" i="1"/>
  <c r="I397" i="1"/>
  <c r="X396" i="1"/>
  <c r="V396" i="1"/>
  <c r="T396" i="1"/>
  <c r="R396" i="1"/>
  <c r="P396" i="1"/>
  <c r="L396" i="1"/>
  <c r="K396" i="1"/>
  <c r="I396" i="1"/>
  <c r="X395" i="1"/>
  <c r="V395" i="1"/>
  <c r="T395" i="1"/>
  <c r="R395" i="1"/>
  <c r="P395" i="1"/>
  <c r="L395" i="1"/>
  <c r="K395" i="1"/>
  <c r="I395" i="1"/>
  <c r="X394" i="1"/>
  <c r="V394" i="1"/>
  <c r="T394" i="1"/>
  <c r="R394" i="1"/>
  <c r="P394" i="1"/>
  <c r="L394" i="1"/>
  <c r="K394" i="1"/>
  <c r="I394" i="1"/>
  <c r="X393" i="1"/>
  <c r="V393" i="1"/>
  <c r="T393" i="1"/>
  <c r="R393" i="1"/>
  <c r="P393" i="1"/>
  <c r="L393" i="1"/>
  <c r="K393" i="1"/>
  <c r="I393" i="1"/>
  <c r="X392" i="1"/>
  <c r="V392" i="1"/>
  <c r="T392" i="1"/>
  <c r="R392" i="1"/>
  <c r="P392" i="1"/>
  <c r="L392" i="1"/>
  <c r="K392" i="1"/>
  <c r="I392" i="1"/>
  <c r="X391" i="1"/>
  <c r="V391" i="1"/>
  <c r="T391" i="1"/>
  <c r="R391" i="1"/>
  <c r="P391" i="1"/>
  <c r="L391" i="1"/>
  <c r="K391" i="1"/>
  <c r="I391" i="1"/>
  <c r="X390" i="1"/>
  <c r="V390" i="1"/>
  <c r="T390" i="1"/>
  <c r="R390" i="1"/>
  <c r="P390" i="1"/>
  <c r="L390" i="1"/>
  <c r="K390" i="1"/>
  <c r="I390" i="1"/>
  <c r="X389" i="1"/>
  <c r="V389" i="1"/>
  <c r="T389" i="1"/>
  <c r="R389" i="1"/>
  <c r="P389" i="1"/>
  <c r="L389" i="1"/>
  <c r="K389" i="1"/>
  <c r="I389" i="1"/>
  <c r="X388" i="1"/>
  <c r="V388" i="1"/>
  <c r="T388" i="1"/>
  <c r="R388" i="1"/>
  <c r="P388" i="1"/>
  <c r="L388" i="1"/>
  <c r="K388" i="1"/>
  <c r="I388" i="1"/>
  <c r="X387" i="1"/>
  <c r="V387" i="1"/>
  <c r="T387" i="1"/>
  <c r="R387" i="1"/>
  <c r="P387" i="1"/>
  <c r="L387" i="1"/>
  <c r="K387" i="1"/>
  <c r="I387" i="1"/>
  <c r="X386" i="1"/>
  <c r="V386" i="1"/>
  <c r="T386" i="1"/>
  <c r="R386" i="1"/>
  <c r="P386" i="1"/>
  <c r="L386" i="1"/>
  <c r="K386" i="1"/>
  <c r="I386" i="1"/>
  <c r="X385" i="1"/>
  <c r="V385" i="1"/>
  <c r="T385" i="1"/>
  <c r="R385" i="1"/>
  <c r="P385" i="1"/>
  <c r="L385" i="1"/>
  <c r="K385" i="1"/>
  <c r="I385" i="1"/>
  <c r="X384" i="1"/>
  <c r="V384" i="1"/>
  <c r="T384" i="1"/>
  <c r="R384" i="1"/>
  <c r="P384" i="1"/>
  <c r="L384" i="1"/>
  <c r="K384" i="1"/>
  <c r="I384" i="1"/>
  <c r="X383" i="1"/>
  <c r="V383" i="1"/>
  <c r="T383" i="1"/>
  <c r="R383" i="1"/>
  <c r="P383" i="1"/>
  <c r="L383" i="1"/>
  <c r="K383" i="1"/>
  <c r="I383" i="1"/>
  <c r="X382" i="1"/>
  <c r="V382" i="1"/>
  <c r="T382" i="1"/>
  <c r="R382" i="1"/>
  <c r="P382" i="1"/>
  <c r="L382" i="1"/>
  <c r="K382" i="1"/>
  <c r="I382" i="1"/>
  <c r="X381" i="1"/>
  <c r="V381" i="1"/>
  <c r="T381" i="1"/>
  <c r="R381" i="1"/>
  <c r="P381" i="1"/>
  <c r="L381" i="1"/>
  <c r="K381" i="1"/>
  <c r="I381" i="1"/>
  <c r="X380" i="1"/>
  <c r="V380" i="1"/>
  <c r="T380" i="1"/>
  <c r="R380" i="1"/>
  <c r="P380" i="1"/>
  <c r="L380" i="1"/>
  <c r="K380" i="1"/>
  <c r="I380" i="1"/>
  <c r="X379" i="1"/>
  <c r="V379" i="1"/>
  <c r="T379" i="1"/>
  <c r="R379" i="1"/>
  <c r="P379" i="1"/>
  <c r="L379" i="1"/>
  <c r="K379" i="1"/>
  <c r="I379" i="1"/>
  <c r="X378" i="1"/>
  <c r="V378" i="1"/>
  <c r="T378" i="1"/>
  <c r="R378" i="1"/>
  <c r="P378" i="1"/>
  <c r="L378" i="1"/>
  <c r="K378" i="1"/>
  <c r="I378" i="1"/>
  <c r="X377" i="1"/>
  <c r="V377" i="1"/>
  <c r="T377" i="1"/>
  <c r="R377" i="1"/>
  <c r="P377" i="1"/>
  <c r="L377" i="1"/>
  <c r="K377" i="1"/>
  <c r="I377" i="1"/>
  <c r="X376" i="1"/>
  <c r="V376" i="1"/>
  <c r="T376" i="1"/>
  <c r="R376" i="1"/>
  <c r="P376" i="1"/>
  <c r="L376" i="1"/>
  <c r="K376" i="1"/>
  <c r="I376" i="1"/>
  <c r="X375" i="1"/>
  <c r="V375" i="1"/>
  <c r="T375" i="1"/>
  <c r="R375" i="1"/>
  <c r="P375" i="1"/>
  <c r="L375" i="1"/>
  <c r="K375" i="1"/>
  <c r="I375" i="1"/>
  <c r="X374" i="1"/>
  <c r="V374" i="1"/>
  <c r="T374" i="1"/>
  <c r="R374" i="1"/>
  <c r="P374" i="1"/>
  <c r="L374" i="1"/>
  <c r="K374" i="1"/>
  <c r="I374" i="1"/>
  <c r="X373" i="1"/>
  <c r="V373" i="1"/>
  <c r="T373" i="1"/>
  <c r="R373" i="1"/>
  <c r="P373" i="1"/>
  <c r="L373" i="1"/>
  <c r="K373" i="1"/>
  <c r="I373" i="1"/>
  <c r="X372" i="1"/>
  <c r="V372" i="1"/>
  <c r="T372" i="1"/>
  <c r="R372" i="1"/>
  <c r="P372" i="1"/>
  <c r="L372" i="1"/>
  <c r="K372" i="1"/>
  <c r="I372" i="1"/>
  <c r="X371" i="1"/>
  <c r="V371" i="1"/>
  <c r="T371" i="1"/>
  <c r="R371" i="1"/>
  <c r="P371" i="1"/>
  <c r="L371" i="1"/>
  <c r="K371" i="1"/>
  <c r="I371" i="1"/>
  <c r="X370" i="1"/>
  <c r="V370" i="1"/>
  <c r="T370" i="1"/>
  <c r="R370" i="1"/>
  <c r="P370" i="1"/>
  <c r="L370" i="1"/>
  <c r="K370" i="1"/>
  <c r="I370" i="1"/>
  <c r="X369" i="1"/>
  <c r="V369" i="1"/>
  <c r="T369" i="1"/>
  <c r="R369" i="1"/>
  <c r="P369" i="1"/>
  <c r="L369" i="1"/>
  <c r="K369" i="1"/>
  <c r="I369" i="1"/>
  <c r="X368" i="1"/>
  <c r="V368" i="1"/>
  <c r="T368" i="1"/>
  <c r="R368" i="1"/>
  <c r="P368" i="1"/>
  <c r="L368" i="1"/>
  <c r="K368" i="1"/>
  <c r="I368" i="1"/>
  <c r="X367" i="1"/>
  <c r="V367" i="1"/>
  <c r="T367" i="1"/>
  <c r="R367" i="1"/>
  <c r="P367" i="1"/>
  <c r="L367" i="1"/>
  <c r="K367" i="1"/>
  <c r="I367" i="1"/>
  <c r="X366" i="1"/>
  <c r="V366" i="1"/>
  <c r="T366" i="1"/>
  <c r="R366" i="1"/>
  <c r="P366" i="1"/>
  <c r="L366" i="1"/>
  <c r="K366" i="1"/>
  <c r="I366" i="1"/>
  <c r="X365" i="1"/>
  <c r="V365" i="1"/>
  <c r="T365" i="1"/>
  <c r="R365" i="1"/>
  <c r="P365" i="1"/>
  <c r="L365" i="1"/>
  <c r="K365" i="1"/>
  <c r="I365" i="1"/>
  <c r="X364" i="1"/>
  <c r="V364" i="1"/>
  <c r="T364" i="1"/>
  <c r="R364" i="1"/>
  <c r="P364" i="1"/>
  <c r="L364" i="1"/>
  <c r="K364" i="1"/>
  <c r="I364" i="1"/>
  <c r="X363" i="1"/>
  <c r="V363" i="1"/>
  <c r="T363" i="1"/>
  <c r="R363" i="1"/>
  <c r="P363" i="1"/>
  <c r="L363" i="1"/>
  <c r="K363" i="1"/>
  <c r="I363" i="1"/>
  <c r="X362" i="1"/>
  <c r="V362" i="1"/>
  <c r="T362" i="1"/>
  <c r="R362" i="1"/>
  <c r="P362" i="1"/>
  <c r="L362" i="1"/>
  <c r="K362" i="1"/>
  <c r="I362" i="1"/>
  <c r="X361" i="1"/>
  <c r="V361" i="1"/>
  <c r="T361" i="1"/>
  <c r="R361" i="1"/>
  <c r="P361" i="1"/>
  <c r="L361" i="1"/>
  <c r="K361" i="1"/>
  <c r="I361" i="1"/>
  <c r="X360" i="1"/>
  <c r="V360" i="1"/>
  <c r="T360" i="1"/>
  <c r="R360" i="1"/>
  <c r="P360" i="1"/>
  <c r="L360" i="1"/>
  <c r="K360" i="1"/>
  <c r="I360" i="1"/>
  <c r="X359" i="1"/>
  <c r="V359" i="1"/>
  <c r="T359" i="1"/>
  <c r="R359" i="1"/>
  <c r="P359" i="1"/>
  <c r="L359" i="1"/>
  <c r="K359" i="1"/>
  <c r="I359" i="1"/>
  <c r="X358" i="1"/>
  <c r="V358" i="1"/>
  <c r="T358" i="1"/>
  <c r="R358" i="1"/>
  <c r="P358" i="1"/>
  <c r="L358" i="1"/>
  <c r="K358" i="1"/>
  <c r="I358" i="1"/>
  <c r="X357" i="1"/>
  <c r="V357" i="1"/>
  <c r="T357" i="1"/>
  <c r="R357" i="1"/>
  <c r="P357" i="1"/>
  <c r="L357" i="1"/>
  <c r="K357" i="1"/>
  <c r="I357" i="1"/>
  <c r="X356" i="1"/>
  <c r="V356" i="1"/>
  <c r="T356" i="1"/>
  <c r="R356" i="1"/>
  <c r="P356" i="1"/>
  <c r="L356" i="1"/>
  <c r="K356" i="1"/>
  <c r="I356" i="1"/>
  <c r="X355" i="1"/>
  <c r="V355" i="1"/>
  <c r="T355" i="1"/>
  <c r="R355" i="1"/>
  <c r="P355" i="1"/>
  <c r="L355" i="1"/>
  <c r="K355" i="1"/>
  <c r="I355" i="1"/>
  <c r="X354" i="1"/>
  <c r="V354" i="1"/>
  <c r="T354" i="1"/>
  <c r="R354" i="1"/>
  <c r="P354" i="1"/>
  <c r="L354" i="1"/>
  <c r="K354" i="1"/>
  <c r="I354" i="1"/>
  <c r="X353" i="1"/>
  <c r="V353" i="1"/>
  <c r="T353" i="1"/>
  <c r="R353" i="1"/>
  <c r="P353" i="1"/>
  <c r="L353" i="1"/>
  <c r="K353" i="1"/>
  <c r="I353" i="1"/>
  <c r="X352" i="1"/>
  <c r="V352" i="1"/>
  <c r="T352" i="1"/>
  <c r="R352" i="1"/>
  <c r="P352" i="1"/>
  <c r="L352" i="1"/>
  <c r="K352" i="1"/>
  <c r="I352" i="1"/>
  <c r="X351" i="1"/>
  <c r="V351" i="1"/>
  <c r="T351" i="1"/>
  <c r="R351" i="1"/>
  <c r="P351" i="1"/>
  <c r="L351" i="1"/>
  <c r="K351" i="1"/>
  <c r="I351" i="1"/>
  <c r="X350" i="1"/>
  <c r="V350" i="1"/>
  <c r="T350" i="1"/>
  <c r="R350" i="1"/>
  <c r="P350" i="1"/>
  <c r="L350" i="1"/>
  <c r="K350" i="1"/>
  <c r="I350" i="1"/>
  <c r="X349" i="1"/>
  <c r="V349" i="1"/>
  <c r="T349" i="1"/>
  <c r="R349" i="1"/>
  <c r="P349" i="1"/>
  <c r="L349" i="1"/>
  <c r="K349" i="1"/>
  <c r="I349" i="1"/>
  <c r="X348" i="1"/>
  <c r="V348" i="1"/>
  <c r="T348" i="1"/>
  <c r="R348" i="1"/>
  <c r="P348" i="1"/>
  <c r="L348" i="1"/>
  <c r="K348" i="1"/>
  <c r="I348" i="1"/>
  <c r="X347" i="1"/>
  <c r="V347" i="1"/>
  <c r="T347" i="1"/>
  <c r="R347" i="1"/>
  <c r="P347" i="1"/>
  <c r="L347" i="1"/>
  <c r="K347" i="1"/>
  <c r="I347" i="1"/>
  <c r="X346" i="1"/>
  <c r="V346" i="1"/>
  <c r="T346" i="1"/>
  <c r="R346" i="1"/>
  <c r="P346" i="1"/>
  <c r="L346" i="1"/>
  <c r="K346" i="1"/>
  <c r="I346" i="1"/>
  <c r="X345" i="1"/>
  <c r="V345" i="1"/>
  <c r="T345" i="1"/>
  <c r="R345" i="1"/>
  <c r="P345" i="1"/>
  <c r="L345" i="1"/>
  <c r="K345" i="1"/>
  <c r="I345" i="1"/>
  <c r="X344" i="1"/>
  <c r="V344" i="1"/>
  <c r="T344" i="1"/>
  <c r="R344" i="1"/>
  <c r="P344" i="1"/>
  <c r="L344" i="1"/>
  <c r="K344" i="1"/>
  <c r="I344" i="1"/>
  <c r="X343" i="1"/>
  <c r="V343" i="1"/>
  <c r="T343" i="1"/>
  <c r="R343" i="1"/>
  <c r="P343" i="1"/>
  <c r="L343" i="1"/>
  <c r="K343" i="1"/>
  <c r="I343" i="1"/>
  <c r="X342" i="1"/>
  <c r="V342" i="1"/>
  <c r="T342" i="1"/>
  <c r="R342" i="1"/>
  <c r="P342" i="1"/>
  <c r="L342" i="1"/>
  <c r="K342" i="1"/>
  <c r="I342" i="1"/>
  <c r="X341" i="1"/>
  <c r="V341" i="1"/>
  <c r="T341" i="1"/>
  <c r="R341" i="1"/>
  <c r="P341" i="1"/>
  <c r="L341" i="1"/>
  <c r="K341" i="1"/>
  <c r="I341" i="1"/>
  <c r="X340" i="1"/>
  <c r="V340" i="1"/>
  <c r="T340" i="1"/>
  <c r="R340" i="1"/>
  <c r="P340" i="1"/>
  <c r="L340" i="1"/>
  <c r="K340" i="1"/>
  <c r="I340" i="1"/>
  <c r="X339" i="1"/>
  <c r="V339" i="1"/>
  <c r="T339" i="1"/>
  <c r="R339" i="1"/>
  <c r="P339" i="1"/>
  <c r="L339" i="1"/>
  <c r="K339" i="1"/>
  <c r="I339" i="1"/>
  <c r="X338" i="1"/>
  <c r="V338" i="1"/>
  <c r="T338" i="1"/>
  <c r="R338" i="1"/>
  <c r="P338" i="1"/>
  <c r="L338" i="1"/>
  <c r="K338" i="1"/>
  <c r="I338" i="1"/>
  <c r="X337" i="1"/>
  <c r="V337" i="1"/>
  <c r="T337" i="1"/>
  <c r="R337" i="1"/>
  <c r="P337" i="1"/>
  <c r="L337" i="1"/>
  <c r="K337" i="1"/>
  <c r="I337" i="1"/>
  <c r="X336" i="1"/>
  <c r="V336" i="1"/>
  <c r="T336" i="1"/>
  <c r="R336" i="1"/>
  <c r="P336" i="1"/>
  <c r="L336" i="1"/>
  <c r="K336" i="1"/>
  <c r="I336" i="1"/>
  <c r="X335" i="1"/>
  <c r="V335" i="1"/>
  <c r="T335" i="1"/>
  <c r="R335" i="1"/>
  <c r="P335" i="1"/>
  <c r="L335" i="1"/>
  <c r="K335" i="1"/>
  <c r="I335" i="1"/>
  <c r="X334" i="1"/>
  <c r="V334" i="1"/>
  <c r="T334" i="1"/>
  <c r="R334" i="1"/>
  <c r="P334" i="1"/>
  <c r="L334" i="1"/>
  <c r="K334" i="1"/>
  <c r="I334" i="1"/>
  <c r="X333" i="1"/>
  <c r="V333" i="1"/>
  <c r="T333" i="1"/>
  <c r="R333" i="1"/>
  <c r="P333" i="1"/>
  <c r="L333" i="1"/>
  <c r="K333" i="1"/>
  <c r="I333" i="1"/>
  <c r="X332" i="1"/>
  <c r="V332" i="1"/>
  <c r="T332" i="1"/>
  <c r="R332" i="1"/>
  <c r="P332" i="1"/>
  <c r="L332" i="1"/>
  <c r="K332" i="1"/>
  <c r="I332" i="1"/>
  <c r="X331" i="1"/>
  <c r="V331" i="1"/>
  <c r="T331" i="1"/>
  <c r="R331" i="1"/>
  <c r="P331" i="1"/>
  <c r="L331" i="1"/>
  <c r="K331" i="1"/>
  <c r="I331" i="1"/>
  <c r="X330" i="1"/>
  <c r="V330" i="1"/>
  <c r="T330" i="1"/>
  <c r="R330" i="1"/>
  <c r="P330" i="1"/>
  <c r="L330" i="1"/>
  <c r="K330" i="1"/>
  <c r="I330" i="1"/>
  <c r="X329" i="1"/>
  <c r="V329" i="1"/>
  <c r="T329" i="1"/>
  <c r="R329" i="1"/>
  <c r="P329" i="1"/>
  <c r="L329" i="1"/>
  <c r="K329" i="1"/>
  <c r="I329" i="1"/>
  <c r="X328" i="1"/>
  <c r="V328" i="1"/>
  <c r="T328" i="1"/>
  <c r="R328" i="1"/>
  <c r="P328" i="1"/>
  <c r="L328" i="1"/>
  <c r="K328" i="1"/>
  <c r="I328" i="1"/>
  <c r="X327" i="1"/>
  <c r="V327" i="1"/>
  <c r="T327" i="1"/>
  <c r="R327" i="1"/>
  <c r="P327" i="1"/>
  <c r="L327" i="1"/>
  <c r="K327" i="1"/>
  <c r="I327" i="1"/>
  <c r="X326" i="1"/>
  <c r="V326" i="1"/>
  <c r="T326" i="1"/>
  <c r="R326" i="1"/>
  <c r="P326" i="1"/>
  <c r="L326" i="1"/>
  <c r="K326" i="1"/>
  <c r="I326" i="1"/>
  <c r="X325" i="1"/>
  <c r="V325" i="1"/>
  <c r="T325" i="1"/>
  <c r="R325" i="1"/>
  <c r="P325" i="1"/>
  <c r="L325" i="1"/>
  <c r="K325" i="1"/>
  <c r="I325" i="1"/>
  <c r="X324" i="1"/>
  <c r="V324" i="1"/>
  <c r="T324" i="1"/>
  <c r="R324" i="1"/>
  <c r="P324" i="1"/>
  <c r="L324" i="1"/>
  <c r="K324" i="1"/>
  <c r="I324" i="1"/>
  <c r="X323" i="1"/>
  <c r="V323" i="1"/>
  <c r="T323" i="1"/>
  <c r="R323" i="1"/>
  <c r="P323" i="1"/>
  <c r="L323" i="1"/>
  <c r="K323" i="1"/>
  <c r="I323" i="1"/>
  <c r="X322" i="1"/>
  <c r="V322" i="1"/>
  <c r="T322" i="1"/>
  <c r="R322" i="1"/>
  <c r="P322" i="1"/>
  <c r="L322" i="1"/>
  <c r="K322" i="1"/>
  <c r="I322" i="1"/>
  <c r="X321" i="1"/>
  <c r="V321" i="1"/>
  <c r="T321" i="1"/>
  <c r="R321" i="1"/>
  <c r="P321" i="1"/>
  <c r="L321" i="1"/>
  <c r="K321" i="1"/>
  <c r="I321" i="1"/>
  <c r="X320" i="1"/>
  <c r="V320" i="1"/>
  <c r="T320" i="1"/>
  <c r="R320" i="1"/>
  <c r="P320" i="1"/>
  <c r="L320" i="1"/>
  <c r="K320" i="1"/>
  <c r="I320" i="1"/>
  <c r="X319" i="1"/>
  <c r="V319" i="1"/>
  <c r="T319" i="1"/>
  <c r="R319" i="1"/>
  <c r="P319" i="1"/>
  <c r="L319" i="1"/>
  <c r="K319" i="1"/>
  <c r="I319" i="1"/>
  <c r="X318" i="1"/>
  <c r="V318" i="1"/>
  <c r="T318" i="1"/>
  <c r="R318" i="1"/>
  <c r="P318" i="1"/>
  <c r="L318" i="1"/>
  <c r="K318" i="1"/>
  <c r="I318" i="1"/>
  <c r="X317" i="1"/>
  <c r="V317" i="1"/>
  <c r="T317" i="1"/>
  <c r="R317" i="1"/>
  <c r="P317" i="1"/>
  <c r="L317" i="1"/>
  <c r="K317" i="1"/>
  <c r="I317" i="1"/>
  <c r="X316" i="1"/>
  <c r="V316" i="1"/>
  <c r="T316" i="1"/>
  <c r="R316" i="1"/>
  <c r="P316" i="1"/>
  <c r="L316" i="1"/>
  <c r="K316" i="1"/>
  <c r="I316" i="1"/>
  <c r="X315" i="1"/>
  <c r="V315" i="1"/>
  <c r="T315" i="1"/>
  <c r="R315" i="1"/>
  <c r="P315" i="1"/>
  <c r="L315" i="1"/>
  <c r="K315" i="1"/>
  <c r="I315" i="1"/>
  <c r="X314" i="1"/>
  <c r="V314" i="1"/>
  <c r="T314" i="1"/>
  <c r="R314" i="1"/>
  <c r="P314" i="1"/>
  <c r="L314" i="1"/>
  <c r="K314" i="1"/>
  <c r="I314" i="1"/>
  <c r="X313" i="1"/>
  <c r="V313" i="1"/>
  <c r="T313" i="1"/>
  <c r="R313" i="1"/>
  <c r="P313" i="1"/>
  <c r="L313" i="1"/>
  <c r="K313" i="1"/>
  <c r="I313" i="1"/>
  <c r="X312" i="1"/>
  <c r="V312" i="1"/>
  <c r="T312" i="1"/>
  <c r="R312" i="1"/>
  <c r="P312" i="1"/>
  <c r="L312" i="1"/>
  <c r="K312" i="1"/>
  <c r="I312" i="1"/>
  <c r="X311" i="1"/>
  <c r="V311" i="1"/>
  <c r="T311" i="1"/>
  <c r="R311" i="1"/>
  <c r="P311" i="1"/>
  <c r="L311" i="1"/>
  <c r="K311" i="1"/>
  <c r="I311" i="1"/>
  <c r="X310" i="1"/>
  <c r="V310" i="1"/>
  <c r="T310" i="1"/>
  <c r="R310" i="1"/>
  <c r="P310" i="1"/>
  <c r="L310" i="1"/>
  <c r="K310" i="1"/>
  <c r="I310" i="1"/>
  <c r="X309" i="1"/>
  <c r="V309" i="1"/>
  <c r="T309" i="1"/>
  <c r="R309" i="1"/>
  <c r="P309" i="1"/>
  <c r="L309" i="1"/>
  <c r="K309" i="1"/>
  <c r="I309" i="1"/>
  <c r="X308" i="1"/>
  <c r="V308" i="1"/>
  <c r="T308" i="1"/>
  <c r="R308" i="1"/>
  <c r="P308" i="1"/>
  <c r="L308" i="1"/>
  <c r="K308" i="1"/>
  <c r="I308" i="1"/>
  <c r="X307" i="1"/>
  <c r="V307" i="1"/>
  <c r="T307" i="1"/>
  <c r="R307" i="1"/>
  <c r="P307" i="1"/>
  <c r="L307" i="1"/>
  <c r="K307" i="1"/>
  <c r="I307" i="1"/>
  <c r="X306" i="1"/>
  <c r="V306" i="1"/>
  <c r="T306" i="1"/>
  <c r="R306" i="1"/>
  <c r="P306" i="1"/>
  <c r="L306" i="1"/>
  <c r="K306" i="1"/>
  <c r="I306" i="1"/>
  <c r="X305" i="1"/>
  <c r="V305" i="1"/>
  <c r="T305" i="1"/>
  <c r="R305" i="1"/>
  <c r="P305" i="1"/>
  <c r="L305" i="1"/>
  <c r="K305" i="1"/>
  <c r="I305" i="1"/>
  <c r="X304" i="1"/>
  <c r="V304" i="1"/>
  <c r="T304" i="1"/>
  <c r="R304" i="1"/>
  <c r="P304" i="1"/>
  <c r="L304" i="1"/>
  <c r="K304" i="1"/>
  <c r="I304" i="1"/>
  <c r="X303" i="1"/>
  <c r="V303" i="1"/>
  <c r="T303" i="1"/>
  <c r="R303" i="1"/>
  <c r="P303" i="1"/>
  <c r="L303" i="1"/>
  <c r="K303" i="1"/>
  <c r="I303" i="1"/>
  <c r="X302" i="1"/>
  <c r="V302" i="1"/>
  <c r="T302" i="1"/>
  <c r="R302" i="1"/>
  <c r="P302" i="1"/>
  <c r="L302" i="1"/>
  <c r="K302" i="1"/>
  <c r="I302" i="1"/>
  <c r="X301" i="1"/>
  <c r="V301" i="1"/>
  <c r="T301" i="1"/>
  <c r="R301" i="1"/>
  <c r="P301" i="1"/>
  <c r="L301" i="1"/>
  <c r="K301" i="1"/>
  <c r="I301" i="1"/>
  <c r="X300" i="1"/>
  <c r="V300" i="1"/>
  <c r="T300" i="1"/>
  <c r="R300" i="1"/>
  <c r="P300" i="1"/>
  <c r="L300" i="1"/>
  <c r="K300" i="1"/>
  <c r="I300" i="1"/>
  <c r="X299" i="1"/>
  <c r="V299" i="1"/>
  <c r="T299" i="1"/>
  <c r="R299" i="1"/>
  <c r="P299" i="1"/>
  <c r="L299" i="1"/>
  <c r="K299" i="1"/>
  <c r="I299" i="1"/>
  <c r="X298" i="1"/>
  <c r="V298" i="1"/>
  <c r="T298" i="1"/>
  <c r="R298" i="1"/>
  <c r="P298" i="1"/>
  <c r="L298" i="1"/>
  <c r="K298" i="1"/>
  <c r="I298" i="1"/>
  <c r="X297" i="1"/>
  <c r="V297" i="1"/>
  <c r="T297" i="1"/>
  <c r="R297" i="1"/>
  <c r="P297" i="1"/>
  <c r="L297" i="1"/>
  <c r="K297" i="1"/>
  <c r="I297" i="1"/>
  <c r="X296" i="1"/>
  <c r="V296" i="1"/>
  <c r="T296" i="1"/>
  <c r="R296" i="1"/>
  <c r="P296" i="1"/>
  <c r="L296" i="1"/>
  <c r="K296" i="1"/>
  <c r="I296" i="1"/>
  <c r="X295" i="1"/>
  <c r="V295" i="1"/>
  <c r="T295" i="1"/>
  <c r="R295" i="1"/>
  <c r="P295" i="1"/>
  <c r="L295" i="1"/>
  <c r="K295" i="1"/>
  <c r="I295" i="1"/>
  <c r="X294" i="1"/>
  <c r="V294" i="1"/>
  <c r="T294" i="1"/>
  <c r="R294" i="1"/>
  <c r="P294" i="1"/>
  <c r="L294" i="1"/>
  <c r="K294" i="1"/>
  <c r="I294" i="1"/>
  <c r="X293" i="1"/>
  <c r="V293" i="1"/>
  <c r="T293" i="1"/>
  <c r="R293" i="1"/>
  <c r="P293" i="1"/>
  <c r="L293" i="1"/>
  <c r="K293" i="1"/>
  <c r="I293" i="1"/>
  <c r="X292" i="1"/>
  <c r="V292" i="1"/>
  <c r="T292" i="1"/>
  <c r="R292" i="1"/>
  <c r="P292" i="1"/>
  <c r="L292" i="1"/>
  <c r="K292" i="1"/>
  <c r="I292" i="1"/>
  <c r="X291" i="1"/>
  <c r="V291" i="1"/>
  <c r="T291" i="1"/>
  <c r="R291" i="1"/>
  <c r="P291" i="1"/>
  <c r="L291" i="1"/>
  <c r="K291" i="1"/>
  <c r="I291" i="1"/>
  <c r="X290" i="1"/>
  <c r="V290" i="1"/>
  <c r="T290" i="1"/>
  <c r="R290" i="1"/>
  <c r="P290" i="1"/>
  <c r="L290" i="1"/>
  <c r="K290" i="1"/>
  <c r="I290" i="1"/>
  <c r="X289" i="1"/>
  <c r="V289" i="1"/>
  <c r="T289" i="1"/>
  <c r="R289" i="1"/>
  <c r="P289" i="1"/>
  <c r="L289" i="1"/>
  <c r="K289" i="1"/>
  <c r="I289" i="1"/>
  <c r="X288" i="1"/>
  <c r="V288" i="1"/>
  <c r="T288" i="1"/>
  <c r="R288" i="1"/>
  <c r="P288" i="1"/>
  <c r="L288" i="1"/>
  <c r="K288" i="1"/>
  <c r="I288" i="1"/>
  <c r="X287" i="1"/>
  <c r="V287" i="1"/>
  <c r="T287" i="1"/>
  <c r="R287" i="1"/>
  <c r="P287" i="1"/>
  <c r="L287" i="1"/>
  <c r="K287" i="1"/>
  <c r="I287" i="1"/>
  <c r="X286" i="1"/>
  <c r="V286" i="1"/>
  <c r="T286" i="1"/>
  <c r="R286" i="1"/>
  <c r="P286" i="1"/>
  <c r="L286" i="1"/>
  <c r="K286" i="1"/>
  <c r="I286" i="1"/>
  <c r="X285" i="1"/>
  <c r="V285" i="1"/>
  <c r="T285" i="1"/>
  <c r="R285" i="1"/>
  <c r="P285" i="1"/>
  <c r="L285" i="1"/>
  <c r="K285" i="1"/>
  <c r="I285" i="1"/>
  <c r="X284" i="1"/>
  <c r="V284" i="1"/>
  <c r="T284" i="1"/>
  <c r="R284" i="1"/>
  <c r="P284" i="1"/>
  <c r="L284" i="1"/>
  <c r="K284" i="1"/>
  <c r="I284" i="1"/>
  <c r="X283" i="1"/>
  <c r="V283" i="1"/>
  <c r="T283" i="1"/>
  <c r="R283" i="1"/>
  <c r="P283" i="1"/>
  <c r="L283" i="1"/>
  <c r="K283" i="1"/>
  <c r="I283" i="1"/>
  <c r="X282" i="1"/>
  <c r="V282" i="1"/>
  <c r="T282" i="1"/>
  <c r="R282" i="1"/>
  <c r="P282" i="1"/>
  <c r="L282" i="1"/>
  <c r="K282" i="1"/>
  <c r="I282" i="1"/>
  <c r="X281" i="1"/>
  <c r="V281" i="1"/>
  <c r="T281" i="1"/>
  <c r="R281" i="1"/>
  <c r="P281" i="1"/>
  <c r="L281" i="1"/>
  <c r="K281" i="1"/>
  <c r="I281" i="1"/>
  <c r="X280" i="1"/>
  <c r="V280" i="1"/>
  <c r="T280" i="1"/>
  <c r="R280" i="1"/>
  <c r="P280" i="1"/>
  <c r="L280" i="1"/>
  <c r="K280" i="1"/>
  <c r="I280" i="1"/>
  <c r="X279" i="1"/>
  <c r="V279" i="1"/>
  <c r="T279" i="1"/>
  <c r="R279" i="1"/>
  <c r="P279" i="1"/>
  <c r="L279" i="1"/>
  <c r="K279" i="1"/>
  <c r="I279" i="1"/>
  <c r="X278" i="1"/>
  <c r="V278" i="1"/>
  <c r="T278" i="1"/>
  <c r="R278" i="1"/>
  <c r="P278" i="1"/>
  <c r="L278" i="1"/>
  <c r="K278" i="1"/>
  <c r="I278" i="1"/>
  <c r="X277" i="1"/>
  <c r="V277" i="1"/>
  <c r="T277" i="1"/>
  <c r="R277" i="1"/>
  <c r="P277" i="1"/>
  <c r="L277" i="1"/>
  <c r="K277" i="1"/>
  <c r="I277" i="1"/>
  <c r="X276" i="1"/>
  <c r="V276" i="1"/>
  <c r="T276" i="1"/>
  <c r="R276" i="1"/>
  <c r="P276" i="1"/>
  <c r="L276" i="1"/>
  <c r="K276" i="1"/>
  <c r="I276" i="1"/>
  <c r="X275" i="1"/>
  <c r="V275" i="1"/>
  <c r="T275" i="1"/>
  <c r="R275" i="1"/>
  <c r="P275" i="1"/>
  <c r="L275" i="1"/>
  <c r="K275" i="1"/>
  <c r="I275" i="1"/>
  <c r="X274" i="1"/>
  <c r="V274" i="1"/>
  <c r="T274" i="1"/>
  <c r="R274" i="1"/>
  <c r="P274" i="1"/>
  <c r="L274" i="1"/>
  <c r="K274" i="1"/>
  <c r="I274" i="1"/>
  <c r="X273" i="1"/>
  <c r="V273" i="1"/>
  <c r="T273" i="1"/>
  <c r="R273" i="1"/>
  <c r="P273" i="1"/>
  <c r="L273" i="1"/>
  <c r="K273" i="1"/>
  <c r="I273" i="1"/>
  <c r="X272" i="1"/>
  <c r="V272" i="1"/>
  <c r="T272" i="1"/>
  <c r="R272" i="1"/>
  <c r="P272" i="1"/>
  <c r="L272" i="1"/>
  <c r="K272" i="1"/>
  <c r="I272" i="1"/>
  <c r="X271" i="1"/>
  <c r="V271" i="1"/>
  <c r="T271" i="1"/>
  <c r="R271" i="1"/>
  <c r="P271" i="1"/>
  <c r="L271" i="1"/>
  <c r="K271" i="1"/>
  <c r="I271" i="1"/>
  <c r="X270" i="1"/>
  <c r="V270" i="1"/>
  <c r="T270" i="1"/>
  <c r="R270" i="1"/>
  <c r="P270" i="1"/>
  <c r="L270" i="1"/>
  <c r="K270" i="1"/>
  <c r="I270" i="1"/>
  <c r="X269" i="1"/>
  <c r="V269" i="1"/>
  <c r="T269" i="1"/>
  <c r="R269" i="1"/>
  <c r="P269" i="1"/>
  <c r="L269" i="1"/>
  <c r="K269" i="1"/>
  <c r="I269" i="1"/>
  <c r="X268" i="1"/>
  <c r="V268" i="1"/>
  <c r="T268" i="1"/>
  <c r="R268" i="1"/>
  <c r="P268" i="1"/>
  <c r="L268" i="1"/>
  <c r="K268" i="1"/>
  <c r="I268" i="1"/>
  <c r="X267" i="1"/>
  <c r="V267" i="1"/>
  <c r="T267" i="1"/>
  <c r="R267" i="1"/>
  <c r="P267" i="1"/>
  <c r="L267" i="1"/>
  <c r="K267" i="1"/>
  <c r="I267" i="1"/>
  <c r="X266" i="1"/>
  <c r="V266" i="1"/>
  <c r="T266" i="1"/>
  <c r="R266" i="1"/>
  <c r="P266" i="1"/>
  <c r="L266" i="1"/>
  <c r="K266" i="1"/>
  <c r="I266" i="1"/>
  <c r="X265" i="1"/>
  <c r="V265" i="1"/>
  <c r="T265" i="1"/>
  <c r="R265" i="1"/>
  <c r="P265" i="1"/>
  <c r="L265" i="1"/>
  <c r="K265" i="1"/>
  <c r="I265" i="1"/>
  <c r="X264" i="1"/>
  <c r="V264" i="1"/>
  <c r="T264" i="1"/>
  <c r="R264" i="1"/>
  <c r="P264" i="1"/>
  <c r="L264" i="1"/>
  <c r="K264" i="1"/>
  <c r="I264" i="1"/>
  <c r="X263" i="1"/>
  <c r="V263" i="1"/>
  <c r="T263" i="1"/>
  <c r="R263" i="1"/>
  <c r="P263" i="1"/>
  <c r="L263" i="1"/>
  <c r="K263" i="1"/>
  <c r="I263" i="1"/>
  <c r="X262" i="1"/>
  <c r="V262" i="1"/>
  <c r="T262" i="1"/>
  <c r="R262" i="1"/>
  <c r="P262" i="1"/>
  <c r="L262" i="1"/>
  <c r="K262" i="1"/>
  <c r="I262" i="1"/>
  <c r="X261" i="1"/>
  <c r="V261" i="1"/>
  <c r="T261" i="1"/>
  <c r="R261" i="1"/>
  <c r="P261" i="1"/>
  <c r="L261" i="1"/>
  <c r="K261" i="1"/>
  <c r="I261" i="1"/>
  <c r="X260" i="1"/>
  <c r="V260" i="1"/>
  <c r="T260" i="1"/>
  <c r="R260" i="1"/>
  <c r="P260" i="1"/>
  <c r="L260" i="1"/>
  <c r="K260" i="1"/>
  <c r="I260" i="1"/>
  <c r="X259" i="1"/>
  <c r="V259" i="1"/>
  <c r="T259" i="1"/>
  <c r="R259" i="1"/>
  <c r="P259" i="1"/>
  <c r="L259" i="1"/>
  <c r="K259" i="1"/>
  <c r="I259" i="1"/>
  <c r="X258" i="1"/>
  <c r="V258" i="1"/>
  <c r="T258" i="1"/>
  <c r="R258" i="1"/>
  <c r="P258" i="1"/>
  <c r="L258" i="1"/>
  <c r="K258" i="1"/>
  <c r="I258" i="1"/>
  <c r="X257" i="1"/>
  <c r="V257" i="1"/>
  <c r="T257" i="1"/>
  <c r="R257" i="1"/>
  <c r="P257" i="1"/>
  <c r="L257" i="1"/>
  <c r="K257" i="1"/>
  <c r="I257" i="1"/>
  <c r="X256" i="1"/>
  <c r="V256" i="1"/>
  <c r="T256" i="1"/>
  <c r="R256" i="1"/>
  <c r="P256" i="1"/>
  <c r="L256" i="1"/>
  <c r="K256" i="1"/>
  <c r="I256" i="1"/>
  <c r="X255" i="1"/>
  <c r="V255" i="1"/>
  <c r="T255" i="1"/>
  <c r="R255" i="1"/>
  <c r="P255" i="1"/>
  <c r="L255" i="1"/>
  <c r="K255" i="1"/>
  <c r="I255" i="1"/>
  <c r="X254" i="1"/>
  <c r="V254" i="1"/>
  <c r="T254" i="1"/>
  <c r="R254" i="1"/>
  <c r="P254" i="1"/>
  <c r="L254" i="1"/>
  <c r="K254" i="1"/>
  <c r="I254" i="1"/>
  <c r="X253" i="1"/>
  <c r="V253" i="1"/>
  <c r="T253" i="1"/>
  <c r="R253" i="1"/>
  <c r="P253" i="1"/>
  <c r="L253" i="1"/>
  <c r="K253" i="1"/>
  <c r="I253" i="1"/>
  <c r="X252" i="1"/>
  <c r="V252" i="1"/>
  <c r="T252" i="1"/>
  <c r="R252" i="1"/>
  <c r="P252" i="1"/>
  <c r="L252" i="1"/>
  <c r="K252" i="1"/>
  <c r="I252" i="1"/>
  <c r="X251" i="1"/>
  <c r="V251" i="1"/>
  <c r="T251" i="1"/>
  <c r="R251" i="1"/>
  <c r="P251" i="1"/>
  <c r="L251" i="1"/>
  <c r="K251" i="1"/>
  <c r="I251" i="1"/>
  <c r="X250" i="1"/>
  <c r="V250" i="1"/>
  <c r="T250" i="1"/>
  <c r="R250" i="1"/>
  <c r="P250" i="1"/>
  <c r="L250" i="1"/>
  <c r="K250" i="1"/>
  <c r="I250" i="1"/>
  <c r="X249" i="1"/>
  <c r="V249" i="1"/>
  <c r="T249" i="1"/>
  <c r="R249" i="1"/>
  <c r="P249" i="1"/>
  <c r="L249" i="1"/>
  <c r="K249" i="1"/>
  <c r="I249" i="1"/>
  <c r="X248" i="1"/>
  <c r="V248" i="1"/>
  <c r="T248" i="1"/>
  <c r="R248" i="1"/>
  <c r="P248" i="1"/>
  <c r="L248" i="1"/>
  <c r="K248" i="1"/>
  <c r="I248" i="1"/>
  <c r="X247" i="1"/>
  <c r="V247" i="1"/>
  <c r="T247" i="1"/>
  <c r="R247" i="1"/>
  <c r="P247" i="1"/>
  <c r="L247" i="1"/>
  <c r="K247" i="1"/>
  <c r="I247" i="1"/>
  <c r="X246" i="1"/>
  <c r="V246" i="1"/>
  <c r="T246" i="1"/>
  <c r="R246" i="1"/>
  <c r="P246" i="1"/>
  <c r="L246" i="1"/>
  <c r="K246" i="1"/>
  <c r="I246" i="1"/>
  <c r="X245" i="1"/>
  <c r="V245" i="1"/>
  <c r="T245" i="1"/>
  <c r="R245" i="1"/>
  <c r="P245" i="1"/>
  <c r="L245" i="1"/>
  <c r="K245" i="1"/>
  <c r="I245" i="1"/>
  <c r="X244" i="1"/>
  <c r="V244" i="1"/>
  <c r="T244" i="1"/>
  <c r="R244" i="1"/>
  <c r="P244" i="1"/>
  <c r="L244" i="1"/>
  <c r="K244" i="1"/>
  <c r="I244" i="1"/>
  <c r="X243" i="1"/>
  <c r="V243" i="1"/>
  <c r="T243" i="1"/>
  <c r="R243" i="1"/>
  <c r="P243" i="1"/>
  <c r="L243" i="1"/>
  <c r="K243" i="1"/>
  <c r="I243" i="1"/>
  <c r="X242" i="1"/>
  <c r="V242" i="1"/>
  <c r="T242" i="1"/>
  <c r="R242" i="1"/>
  <c r="P242" i="1"/>
  <c r="L242" i="1"/>
  <c r="K242" i="1"/>
  <c r="I242" i="1"/>
  <c r="X241" i="1"/>
  <c r="V241" i="1"/>
  <c r="T241" i="1"/>
  <c r="R241" i="1"/>
  <c r="P241" i="1"/>
  <c r="L241" i="1"/>
  <c r="K241" i="1"/>
  <c r="I241" i="1"/>
  <c r="X240" i="1"/>
  <c r="V240" i="1"/>
  <c r="T240" i="1"/>
  <c r="R240" i="1"/>
  <c r="P240" i="1"/>
  <c r="L240" i="1"/>
  <c r="K240" i="1"/>
  <c r="I240" i="1"/>
  <c r="X239" i="1"/>
  <c r="V239" i="1"/>
  <c r="T239" i="1"/>
  <c r="R239" i="1"/>
  <c r="P239" i="1"/>
  <c r="L239" i="1"/>
  <c r="K239" i="1"/>
  <c r="I239" i="1"/>
  <c r="X238" i="1"/>
  <c r="V238" i="1"/>
  <c r="T238" i="1"/>
  <c r="R238" i="1"/>
  <c r="P238" i="1"/>
  <c r="L238" i="1"/>
  <c r="K238" i="1"/>
  <c r="I238" i="1"/>
  <c r="X237" i="1"/>
  <c r="V237" i="1"/>
  <c r="T237" i="1"/>
  <c r="R237" i="1"/>
  <c r="P237" i="1"/>
  <c r="L237" i="1"/>
  <c r="K237" i="1"/>
  <c r="I237" i="1"/>
  <c r="X236" i="1"/>
  <c r="V236" i="1"/>
  <c r="T236" i="1"/>
  <c r="R236" i="1"/>
  <c r="P236" i="1"/>
  <c r="L236" i="1"/>
  <c r="K236" i="1"/>
  <c r="I236" i="1"/>
  <c r="X235" i="1"/>
  <c r="V235" i="1"/>
  <c r="T235" i="1"/>
  <c r="R235" i="1"/>
  <c r="P235" i="1"/>
  <c r="L235" i="1"/>
  <c r="K235" i="1"/>
  <c r="I235" i="1"/>
  <c r="X234" i="1"/>
  <c r="V234" i="1"/>
  <c r="T234" i="1"/>
  <c r="R234" i="1"/>
  <c r="P234" i="1"/>
  <c r="L234" i="1"/>
  <c r="K234" i="1"/>
  <c r="I234" i="1"/>
  <c r="X233" i="1"/>
  <c r="V233" i="1"/>
  <c r="T233" i="1"/>
  <c r="R233" i="1"/>
  <c r="P233" i="1"/>
  <c r="L233" i="1"/>
  <c r="K233" i="1"/>
  <c r="I233" i="1"/>
  <c r="X232" i="1"/>
  <c r="V232" i="1"/>
  <c r="T232" i="1"/>
  <c r="R232" i="1"/>
  <c r="P232" i="1"/>
  <c r="L232" i="1"/>
  <c r="K232" i="1"/>
  <c r="I232" i="1"/>
  <c r="X231" i="1"/>
  <c r="V231" i="1"/>
  <c r="T231" i="1"/>
  <c r="R231" i="1"/>
  <c r="P231" i="1"/>
  <c r="L231" i="1"/>
  <c r="K231" i="1"/>
  <c r="I231" i="1"/>
  <c r="X230" i="1"/>
  <c r="V230" i="1"/>
  <c r="T230" i="1"/>
  <c r="R230" i="1"/>
  <c r="P230" i="1"/>
  <c r="L230" i="1"/>
  <c r="K230" i="1"/>
  <c r="I230" i="1"/>
  <c r="X229" i="1"/>
  <c r="V229" i="1"/>
  <c r="T229" i="1"/>
  <c r="R229" i="1"/>
  <c r="P229" i="1"/>
  <c r="L229" i="1"/>
  <c r="K229" i="1"/>
  <c r="I229" i="1"/>
  <c r="X228" i="1"/>
  <c r="V228" i="1"/>
  <c r="T228" i="1"/>
  <c r="R228" i="1"/>
  <c r="P228" i="1"/>
  <c r="L228" i="1"/>
  <c r="K228" i="1"/>
  <c r="I228" i="1"/>
  <c r="X227" i="1"/>
  <c r="V227" i="1"/>
  <c r="T227" i="1"/>
  <c r="R227" i="1"/>
  <c r="P227" i="1"/>
  <c r="L227" i="1"/>
  <c r="K227" i="1"/>
  <c r="I227" i="1"/>
  <c r="X226" i="1"/>
  <c r="V226" i="1"/>
  <c r="T226" i="1"/>
  <c r="R226" i="1"/>
  <c r="P226" i="1"/>
  <c r="L226" i="1"/>
  <c r="K226" i="1"/>
  <c r="I226" i="1"/>
  <c r="X225" i="1"/>
  <c r="V225" i="1"/>
  <c r="T225" i="1"/>
  <c r="R225" i="1"/>
  <c r="P225" i="1"/>
  <c r="L225" i="1"/>
  <c r="K225" i="1"/>
  <c r="I225" i="1"/>
  <c r="X224" i="1"/>
  <c r="V224" i="1"/>
  <c r="T224" i="1"/>
  <c r="R224" i="1"/>
  <c r="P224" i="1"/>
  <c r="L224" i="1"/>
  <c r="K224" i="1"/>
  <c r="I224" i="1"/>
  <c r="X223" i="1"/>
  <c r="V223" i="1"/>
  <c r="T223" i="1"/>
  <c r="R223" i="1"/>
  <c r="P223" i="1"/>
  <c r="L223" i="1"/>
  <c r="K223" i="1"/>
  <c r="I223" i="1"/>
  <c r="X222" i="1"/>
  <c r="V222" i="1"/>
  <c r="T222" i="1"/>
  <c r="R222" i="1"/>
  <c r="P222" i="1"/>
  <c r="L222" i="1"/>
  <c r="K222" i="1"/>
  <c r="I222" i="1"/>
  <c r="X221" i="1"/>
  <c r="V221" i="1"/>
  <c r="T221" i="1"/>
  <c r="R221" i="1"/>
  <c r="P221" i="1"/>
  <c r="L221" i="1"/>
  <c r="K221" i="1"/>
  <c r="I221" i="1"/>
  <c r="X220" i="1"/>
  <c r="V220" i="1"/>
  <c r="T220" i="1"/>
  <c r="R220" i="1"/>
  <c r="P220" i="1"/>
  <c r="L220" i="1"/>
  <c r="K220" i="1"/>
  <c r="I220" i="1"/>
  <c r="X219" i="1"/>
  <c r="V219" i="1"/>
  <c r="T219" i="1"/>
  <c r="R219" i="1"/>
  <c r="P219" i="1"/>
  <c r="L219" i="1"/>
  <c r="K219" i="1"/>
  <c r="I219" i="1"/>
  <c r="X218" i="1"/>
  <c r="V218" i="1"/>
  <c r="T218" i="1"/>
  <c r="R218" i="1"/>
  <c r="P218" i="1"/>
  <c r="L218" i="1"/>
  <c r="K218" i="1"/>
  <c r="I218" i="1"/>
  <c r="X217" i="1"/>
  <c r="V217" i="1"/>
  <c r="T217" i="1"/>
  <c r="R217" i="1"/>
  <c r="P217" i="1"/>
  <c r="L217" i="1"/>
  <c r="K217" i="1"/>
  <c r="I217" i="1"/>
  <c r="X216" i="1"/>
  <c r="V216" i="1"/>
  <c r="T216" i="1"/>
  <c r="R216" i="1"/>
  <c r="P216" i="1"/>
  <c r="L216" i="1"/>
  <c r="K216" i="1"/>
  <c r="I216" i="1"/>
  <c r="X215" i="1"/>
  <c r="V215" i="1"/>
  <c r="T215" i="1"/>
  <c r="R215" i="1"/>
  <c r="P215" i="1"/>
  <c r="L215" i="1"/>
  <c r="K215" i="1"/>
  <c r="I215" i="1"/>
  <c r="X214" i="1"/>
  <c r="V214" i="1"/>
  <c r="T214" i="1"/>
  <c r="R214" i="1"/>
  <c r="P214" i="1"/>
  <c r="L214" i="1"/>
  <c r="K214" i="1"/>
  <c r="I214" i="1"/>
  <c r="X213" i="1"/>
  <c r="V213" i="1"/>
  <c r="T213" i="1"/>
  <c r="R213" i="1"/>
  <c r="P213" i="1"/>
  <c r="L213" i="1"/>
  <c r="K213" i="1"/>
  <c r="I213" i="1"/>
  <c r="X212" i="1"/>
  <c r="V212" i="1"/>
  <c r="T212" i="1"/>
  <c r="R212" i="1"/>
  <c r="P212" i="1"/>
  <c r="L212" i="1"/>
  <c r="K212" i="1"/>
  <c r="I212" i="1"/>
  <c r="X211" i="1"/>
  <c r="V211" i="1"/>
  <c r="T211" i="1"/>
  <c r="R211" i="1"/>
  <c r="P211" i="1"/>
  <c r="L211" i="1"/>
  <c r="K211" i="1"/>
  <c r="I211" i="1"/>
  <c r="X210" i="1"/>
  <c r="V210" i="1"/>
  <c r="T210" i="1"/>
  <c r="R210" i="1"/>
  <c r="P210" i="1"/>
  <c r="L210" i="1"/>
  <c r="K210" i="1"/>
  <c r="I210" i="1"/>
  <c r="X209" i="1"/>
  <c r="V209" i="1"/>
  <c r="T209" i="1"/>
  <c r="R209" i="1"/>
  <c r="P209" i="1"/>
  <c r="L209" i="1"/>
  <c r="K209" i="1"/>
  <c r="I209" i="1"/>
  <c r="X208" i="1"/>
  <c r="V208" i="1"/>
  <c r="T208" i="1"/>
  <c r="R208" i="1"/>
  <c r="P208" i="1"/>
  <c r="L208" i="1"/>
  <c r="K208" i="1"/>
  <c r="I208" i="1"/>
  <c r="X207" i="1"/>
  <c r="V207" i="1"/>
  <c r="T207" i="1"/>
  <c r="R207" i="1"/>
  <c r="P207" i="1"/>
  <c r="L207" i="1"/>
  <c r="K207" i="1"/>
  <c r="I207" i="1"/>
  <c r="X206" i="1"/>
  <c r="V206" i="1"/>
  <c r="T206" i="1"/>
  <c r="R206" i="1"/>
  <c r="P206" i="1"/>
  <c r="L206" i="1"/>
  <c r="K206" i="1"/>
  <c r="I206" i="1"/>
  <c r="X205" i="1"/>
  <c r="V205" i="1"/>
  <c r="T205" i="1"/>
  <c r="R205" i="1"/>
  <c r="P205" i="1"/>
  <c r="L205" i="1"/>
  <c r="K205" i="1"/>
  <c r="I205" i="1"/>
  <c r="X204" i="1"/>
  <c r="V204" i="1"/>
  <c r="T204" i="1"/>
  <c r="R204" i="1"/>
  <c r="P204" i="1"/>
  <c r="L204" i="1"/>
  <c r="K204" i="1"/>
  <c r="I204" i="1"/>
  <c r="X203" i="1"/>
  <c r="V203" i="1"/>
  <c r="T203" i="1"/>
  <c r="R203" i="1"/>
  <c r="P203" i="1"/>
  <c r="L203" i="1"/>
  <c r="K203" i="1"/>
  <c r="I203" i="1"/>
  <c r="X202" i="1"/>
  <c r="V202" i="1"/>
  <c r="T202" i="1"/>
  <c r="R202" i="1"/>
  <c r="P202" i="1"/>
  <c r="L202" i="1"/>
  <c r="K202" i="1"/>
  <c r="I202" i="1"/>
  <c r="X201" i="1"/>
  <c r="V201" i="1"/>
  <c r="T201" i="1"/>
  <c r="R201" i="1"/>
  <c r="P201" i="1"/>
  <c r="L201" i="1"/>
  <c r="K201" i="1"/>
  <c r="I201" i="1"/>
  <c r="X200" i="1"/>
  <c r="V200" i="1"/>
  <c r="T200" i="1"/>
  <c r="R200" i="1"/>
  <c r="P200" i="1"/>
  <c r="L200" i="1"/>
  <c r="K200" i="1"/>
  <c r="I200" i="1"/>
  <c r="X199" i="1"/>
  <c r="V199" i="1"/>
  <c r="T199" i="1"/>
  <c r="R199" i="1"/>
  <c r="P199" i="1"/>
  <c r="L199" i="1"/>
  <c r="K199" i="1"/>
  <c r="I199" i="1"/>
  <c r="X198" i="1"/>
  <c r="V198" i="1"/>
  <c r="T198" i="1"/>
  <c r="R198" i="1"/>
  <c r="P198" i="1"/>
  <c r="L198" i="1"/>
  <c r="K198" i="1"/>
  <c r="I198" i="1"/>
  <c r="X197" i="1"/>
  <c r="V197" i="1"/>
  <c r="T197" i="1"/>
  <c r="R197" i="1"/>
  <c r="P197" i="1"/>
  <c r="L197" i="1"/>
  <c r="K197" i="1"/>
  <c r="I197" i="1"/>
  <c r="X196" i="1"/>
  <c r="V196" i="1"/>
  <c r="T196" i="1"/>
  <c r="R196" i="1"/>
  <c r="P196" i="1"/>
  <c r="L196" i="1"/>
  <c r="K196" i="1"/>
  <c r="I196" i="1"/>
  <c r="X195" i="1"/>
  <c r="V195" i="1"/>
  <c r="T195" i="1"/>
  <c r="R195" i="1"/>
  <c r="P195" i="1"/>
  <c r="L195" i="1"/>
  <c r="K195" i="1"/>
  <c r="I195" i="1"/>
  <c r="X194" i="1"/>
  <c r="V194" i="1"/>
  <c r="T194" i="1"/>
  <c r="R194" i="1"/>
  <c r="P194" i="1"/>
  <c r="L194" i="1"/>
  <c r="K194" i="1"/>
  <c r="I194" i="1"/>
  <c r="X193" i="1"/>
  <c r="V193" i="1"/>
  <c r="T193" i="1"/>
  <c r="R193" i="1"/>
  <c r="P193" i="1"/>
  <c r="L193" i="1"/>
  <c r="K193" i="1"/>
  <c r="I193" i="1"/>
  <c r="X192" i="1"/>
  <c r="V192" i="1"/>
  <c r="T192" i="1"/>
  <c r="R192" i="1"/>
  <c r="P192" i="1"/>
  <c r="L192" i="1"/>
  <c r="K192" i="1"/>
  <c r="I192" i="1"/>
  <c r="X191" i="1"/>
  <c r="V191" i="1"/>
  <c r="T191" i="1"/>
  <c r="R191" i="1"/>
  <c r="P191" i="1"/>
  <c r="L191" i="1"/>
  <c r="K191" i="1"/>
  <c r="I191" i="1"/>
  <c r="X190" i="1"/>
  <c r="V190" i="1"/>
  <c r="T190" i="1"/>
  <c r="R190" i="1"/>
  <c r="P190" i="1"/>
  <c r="L190" i="1"/>
  <c r="K190" i="1"/>
  <c r="I190" i="1"/>
  <c r="X189" i="1"/>
  <c r="V189" i="1"/>
  <c r="T189" i="1"/>
  <c r="R189" i="1"/>
  <c r="P189" i="1"/>
  <c r="L189" i="1"/>
  <c r="K189" i="1"/>
  <c r="I189" i="1"/>
  <c r="X188" i="1"/>
  <c r="V188" i="1"/>
  <c r="T188" i="1"/>
  <c r="R188" i="1"/>
  <c r="P188" i="1"/>
  <c r="L188" i="1"/>
  <c r="K188" i="1"/>
  <c r="I188" i="1"/>
  <c r="X187" i="1"/>
  <c r="V187" i="1"/>
  <c r="T187" i="1"/>
  <c r="R187" i="1"/>
  <c r="P187" i="1"/>
  <c r="L187" i="1"/>
  <c r="K187" i="1"/>
  <c r="I187" i="1"/>
  <c r="X186" i="1"/>
  <c r="V186" i="1"/>
  <c r="T186" i="1"/>
  <c r="R186" i="1"/>
  <c r="P186" i="1"/>
  <c r="L186" i="1"/>
  <c r="K186" i="1"/>
  <c r="I186" i="1"/>
  <c r="X185" i="1"/>
  <c r="V185" i="1"/>
  <c r="T185" i="1"/>
  <c r="R185" i="1"/>
  <c r="P185" i="1"/>
  <c r="L185" i="1"/>
  <c r="K185" i="1"/>
  <c r="I185" i="1"/>
  <c r="X184" i="1"/>
  <c r="V184" i="1"/>
  <c r="T184" i="1"/>
  <c r="R184" i="1"/>
  <c r="P184" i="1"/>
  <c r="L184" i="1"/>
  <c r="K184" i="1"/>
  <c r="I184" i="1"/>
  <c r="X183" i="1"/>
  <c r="V183" i="1"/>
  <c r="T183" i="1"/>
  <c r="R183" i="1"/>
  <c r="P183" i="1"/>
  <c r="L183" i="1"/>
  <c r="K183" i="1"/>
  <c r="I183" i="1"/>
  <c r="X182" i="1"/>
  <c r="V182" i="1"/>
  <c r="T182" i="1"/>
  <c r="R182" i="1"/>
  <c r="P182" i="1"/>
  <c r="L182" i="1"/>
  <c r="K182" i="1"/>
  <c r="I182" i="1"/>
  <c r="X181" i="1"/>
  <c r="V181" i="1"/>
  <c r="T181" i="1"/>
  <c r="R181" i="1"/>
  <c r="P181" i="1"/>
  <c r="L181" i="1"/>
  <c r="K181" i="1"/>
  <c r="I181" i="1"/>
  <c r="X180" i="1"/>
  <c r="V180" i="1"/>
  <c r="T180" i="1"/>
  <c r="R180" i="1"/>
  <c r="P180" i="1"/>
  <c r="L180" i="1"/>
  <c r="K180" i="1"/>
  <c r="I180" i="1"/>
  <c r="X179" i="1"/>
  <c r="V179" i="1"/>
  <c r="T179" i="1"/>
  <c r="R179" i="1"/>
  <c r="P179" i="1"/>
  <c r="L179" i="1"/>
  <c r="K179" i="1"/>
  <c r="I179" i="1"/>
  <c r="X178" i="1"/>
  <c r="V178" i="1"/>
  <c r="T178" i="1"/>
  <c r="R178" i="1"/>
  <c r="P178" i="1"/>
  <c r="L178" i="1"/>
  <c r="K178" i="1"/>
  <c r="I178" i="1"/>
  <c r="X177" i="1"/>
  <c r="V177" i="1"/>
  <c r="T177" i="1"/>
  <c r="R177" i="1"/>
  <c r="P177" i="1"/>
  <c r="L177" i="1"/>
  <c r="K177" i="1"/>
  <c r="I177" i="1"/>
  <c r="X176" i="1"/>
  <c r="V176" i="1"/>
  <c r="T176" i="1"/>
  <c r="R176" i="1"/>
  <c r="P176" i="1"/>
  <c r="L176" i="1"/>
  <c r="K176" i="1"/>
  <c r="I176" i="1"/>
  <c r="X175" i="1"/>
  <c r="V175" i="1"/>
  <c r="T175" i="1"/>
  <c r="R175" i="1"/>
  <c r="P175" i="1"/>
  <c r="L175" i="1"/>
  <c r="K175" i="1"/>
  <c r="I175" i="1"/>
  <c r="X174" i="1"/>
  <c r="V174" i="1"/>
  <c r="T174" i="1"/>
  <c r="R174" i="1"/>
  <c r="P174" i="1"/>
  <c r="L174" i="1"/>
  <c r="K174" i="1"/>
  <c r="I174" i="1"/>
  <c r="X173" i="1"/>
  <c r="V173" i="1"/>
  <c r="T173" i="1"/>
  <c r="R173" i="1"/>
  <c r="P173" i="1"/>
  <c r="L173" i="1"/>
  <c r="K173" i="1"/>
  <c r="I173" i="1"/>
  <c r="X172" i="1"/>
  <c r="V172" i="1"/>
  <c r="T172" i="1"/>
  <c r="R172" i="1"/>
  <c r="P172" i="1"/>
  <c r="L172" i="1"/>
  <c r="K172" i="1"/>
  <c r="I172" i="1"/>
  <c r="X171" i="1"/>
  <c r="V171" i="1"/>
  <c r="T171" i="1"/>
  <c r="R171" i="1"/>
  <c r="P171" i="1"/>
  <c r="L171" i="1"/>
  <c r="K171" i="1"/>
  <c r="I171" i="1"/>
  <c r="X170" i="1"/>
  <c r="V170" i="1"/>
  <c r="T170" i="1"/>
  <c r="R170" i="1"/>
  <c r="P170" i="1"/>
  <c r="L170" i="1"/>
  <c r="K170" i="1"/>
  <c r="I170" i="1"/>
  <c r="X169" i="1"/>
  <c r="V169" i="1"/>
  <c r="T169" i="1"/>
  <c r="R169" i="1"/>
  <c r="P169" i="1"/>
  <c r="L169" i="1"/>
  <c r="K169" i="1"/>
  <c r="I169" i="1"/>
  <c r="X168" i="1"/>
  <c r="V168" i="1"/>
  <c r="T168" i="1"/>
  <c r="R168" i="1"/>
  <c r="P168" i="1"/>
  <c r="L168" i="1"/>
  <c r="K168" i="1"/>
  <c r="I168" i="1"/>
  <c r="X167" i="1"/>
  <c r="V167" i="1"/>
  <c r="T167" i="1"/>
  <c r="R167" i="1"/>
  <c r="P167" i="1"/>
  <c r="L167" i="1"/>
  <c r="K167" i="1"/>
  <c r="I167" i="1"/>
  <c r="X166" i="1"/>
  <c r="V166" i="1"/>
  <c r="T166" i="1"/>
  <c r="R166" i="1"/>
  <c r="P166" i="1"/>
  <c r="L166" i="1"/>
  <c r="K166" i="1"/>
  <c r="I166" i="1"/>
  <c r="X165" i="1"/>
  <c r="V165" i="1"/>
  <c r="T165" i="1"/>
  <c r="R165" i="1"/>
  <c r="P165" i="1"/>
  <c r="L165" i="1"/>
  <c r="K165" i="1"/>
  <c r="I165" i="1"/>
  <c r="X164" i="1"/>
  <c r="V164" i="1"/>
  <c r="T164" i="1"/>
  <c r="R164" i="1"/>
  <c r="P164" i="1"/>
  <c r="L164" i="1"/>
  <c r="K164" i="1"/>
  <c r="X163" i="1"/>
  <c r="V163" i="1"/>
  <c r="T163" i="1"/>
  <c r="R163" i="1"/>
  <c r="P163" i="1"/>
  <c r="L163" i="1"/>
  <c r="K163" i="1"/>
  <c r="I163" i="1"/>
  <c r="X162" i="1"/>
  <c r="V162" i="1"/>
  <c r="T162" i="1"/>
  <c r="R162" i="1"/>
  <c r="P162" i="1"/>
  <c r="L162" i="1"/>
  <c r="K162" i="1"/>
  <c r="I162" i="1"/>
  <c r="X161" i="1"/>
  <c r="V161" i="1"/>
  <c r="T161" i="1"/>
  <c r="R161" i="1"/>
  <c r="P161" i="1"/>
  <c r="L161" i="1"/>
  <c r="K161" i="1"/>
  <c r="I161" i="1"/>
  <c r="X160" i="1"/>
  <c r="V160" i="1"/>
  <c r="T160" i="1"/>
  <c r="R160" i="1"/>
  <c r="P160" i="1"/>
  <c r="L160" i="1"/>
  <c r="K160" i="1"/>
  <c r="X159" i="1"/>
  <c r="V159" i="1"/>
  <c r="T159" i="1"/>
  <c r="R159" i="1"/>
  <c r="P159" i="1"/>
  <c r="L159" i="1"/>
  <c r="K159" i="1"/>
  <c r="X158" i="1"/>
  <c r="V158" i="1"/>
  <c r="T158" i="1"/>
  <c r="R158" i="1"/>
  <c r="P158" i="1"/>
  <c r="L158" i="1"/>
  <c r="K158" i="1"/>
  <c r="I158" i="1"/>
  <c r="X157" i="1"/>
  <c r="V157" i="1"/>
  <c r="T157" i="1"/>
  <c r="R157" i="1"/>
  <c r="P157" i="1"/>
  <c r="L157" i="1"/>
  <c r="K157" i="1"/>
  <c r="X156" i="1"/>
  <c r="V156" i="1"/>
  <c r="T156" i="1"/>
  <c r="R156" i="1"/>
  <c r="P156" i="1"/>
  <c r="L156" i="1"/>
  <c r="K156" i="1"/>
  <c r="X155" i="1"/>
  <c r="V155" i="1"/>
  <c r="T155" i="1"/>
  <c r="R155" i="1"/>
  <c r="P155" i="1"/>
  <c r="L155" i="1"/>
  <c r="K155" i="1"/>
  <c r="I155" i="1"/>
  <c r="X154" i="1"/>
  <c r="V154" i="1"/>
  <c r="T154" i="1"/>
  <c r="R154" i="1"/>
  <c r="P154" i="1"/>
  <c r="L154" i="1"/>
  <c r="K154" i="1"/>
  <c r="X153" i="1"/>
  <c r="V153" i="1"/>
  <c r="T153" i="1"/>
  <c r="R153" i="1"/>
  <c r="P153" i="1"/>
  <c r="L153" i="1"/>
  <c r="K153" i="1"/>
  <c r="I153" i="1"/>
  <c r="X152" i="1"/>
  <c r="V152" i="1"/>
  <c r="T152" i="1"/>
  <c r="R152" i="1"/>
  <c r="P152" i="1"/>
  <c r="L152" i="1"/>
  <c r="K152" i="1"/>
  <c r="X151" i="1"/>
  <c r="V151" i="1"/>
  <c r="T151" i="1"/>
  <c r="R151" i="1"/>
  <c r="P151" i="1"/>
  <c r="L151" i="1"/>
  <c r="K151" i="1"/>
  <c r="X150" i="1"/>
  <c r="V150" i="1"/>
  <c r="T150" i="1"/>
  <c r="R150" i="1"/>
  <c r="P150" i="1"/>
  <c r="L150" i="1"/>
  <c r="K150" i="1"/>
  <c r="X149" i="1"/>
  <c r="V149" i="1"/>
  <c r="T149" i="1"/>
  <c r="R149" i="1"/>
  <c r="P149" i="1"/>
  <c r="L149" i="1"/>
  <c r="K149" i="1"/>
  <c r="I149" i="1"/>
  <c r="X148" i="1"/>
  <c r="V148" i="1"/>
  <c r="T148" i="1"/>
  <c r="R148" i="1"/>
  <c r="P148" i="1"/>
  <c r="L148" i="1"/>
  <c r="K148" i="1"/>
  <c r="X147" i="1"/>
  <c r="V147" i="1"/>
  <c r="T147" i="1"/>
  <c r="R147" i="1"/>
  <c r="P147" i="1"/>
  <c r="L147" i="1"/>
  <c r="K147" i="1"/>
  <c r="I147" i="1"/>
  <c r="X146" i="1"/>
  <c r="V146" i="1"/>
  <c r="T146" i="1"/>
  <c r="R146" i="1"/>
  <c r="P146" i="1"/>
  <c r="L146" i="1"/>
  <c r="K146" i="1"/>
  <c r="I146" i="1"/>
  <c r="X145" i="1"/>
  <c r="V145" i="1"/>
  <c r="T145" i="1"/>
  <c r="R145" i="1"/>
  <c r="P145" i="1"/>
  <c r="L145" i="1"/>
  <c r="K145" i="1"/>
  <c r="I145" i="1"/>
  <c r="X144" i="1"/>
  <c r="V144" i="1"/>
  <c r="T144" i="1"/>
  <c r="R144" i="1"/>
  <c r="P144" i="1"/>
  <c r="L144" i="1"/>
  <c r="K144" i="1"/>
  <c r="X143" i="1"/>
  <c r="V143" i="1"/>
  <c r="T143" i="1"/>
  <c r="R143" i="1"/>
  <c r="P143" i="1"/>
  <c r="L143" i="1"/>
  <c r="K143" i="1"/>
  <c r="I143" i="1"/>
  <c r="X142" i="1"/>
  <c r="V142" i="1"/>
  <c r="T142" i="1"/>
  <c r="R142" i="1"/>
  <c r="P142" i="1"/>
  <c r="L142" i="1"/>
  <c r="K142" i="1"/>
  <c r="I142" i="1"/>
  <c r="X141" i="1"/>
  <c r="V141" i="1"/>
  <c r="T141" i="1"/>
  <c r="R141" i="1"/>
  <c r="P141" i="1"/>
  <c r="L141" i="1"/>
  <c r="K141" i="1"/>
  <c r="I141" i="1"/>
  <c r="X140" i="1"/>
  <c r="V140" i="1"/>
  <c r="T140" i="1"/>
  <c r="R140" i="1"/>
  <c r="P140" i="1"/>
  <c r="L140" i="1"/>
  <c r="K140" i="1"/>
  <c r="I140" i="1"/>
  <c r="X139" i="1"/>
  <c r="V139" i="1"/>
  <c r="T139" i="1"/>
  <c r="R139" i="1"/>
  <c r="P139" i="1"/>
  <c r="L139" i="1"/>
  <c r="K139" i="1"/>
  <c r="I139" i="1"/>
  <c r="X138" i="1"/>
  <c r="V138" i="1"/>
  <c r="T138" i="1"/>
  <c r="R138" i="1"/>
  <c r="P138" i="1"/>
  <c r="L138" i="1"/>
  <c r="K138" i="1"/>
  <c r="X137" i="1"/>
  <c r="V137" i="1"/>
  <c r="T137" i="1"/>
  <c r="R137" i="1"/>
  <c r="P137" i="1"/>
  <c r="L137" i="1"/>
  <c r="K137" i="1"/>
  <c r="I137" i="1"/>
  <c r="X136" i="1"/>
  <c r="V136" i="1"/>
  <c r="T136" i="1"/>
  <c r="R136" i="1"/>
  <c r="P136" i="1"/>
  <c r="L136" i="1"/>
  <c r="K136" i="1"/>
  <c r="X135" i="1"/>
  <c r="V135" i="1"/>
  <c r="T135" i="1"/>
  <c r="R135" i="1"/>
  <c r="P135" i="1"/>
  <c r="L135" i="1"/>
  <c r="K135" i="1"/>
  <c r="I135" i="1"/>
  <c r="X134" i="1"/>
  <c r="V134" i="1"/>
  <c r="T134" i="1"/>
  <c r="R134" i="1"/>
  <c r="P134" i="1"/>
  <c r="L134" i="1"/>
  <c r="K134" i="1"/>
  <c r="X133" i="1"/>
  <c r="V133" i="1"/>
  <c r="T133" i="1"/>
  <c r="R133" i="1"/>
  <c r="P133" i="1"/>
  <c r="L133" i="1"/>
  <c r="K133" i="1"/>
  <c r="I133" i="1"/>
  <c r="X132" i="1"/>
  <c r="V132" i="1"/>
  <c r="T132" i="1"/>
  <c r="R132" i="1"/>
  <c r="P132" i="1"/>
  <c r="L132" i="1"/>
  <c r="K132" i="1"/>
  <c r="X131" i="1"/>
  <c r="V131" i="1"/>
  <c r="T131" i="1"/>
  <c r="R131" i="1"/>
  <c r="P131" i="1"/>
  <c r="L131" i="1"/>
  <c r="K131" i="1"/>
  <c r="I131" i="1"/>
  <c r="X130" i="1"/>
  <c r="V130" i="1"/>
  <c r="T130" i="1"/>
  <c r="R130" i="1"/>
  <c r="P130" i="1"/>
  <c r="L130" i="1"/>
  <c r="K130" i="1"/>
  <c r="I130" i="1"/>
  <c r="X129" i="1"/>
  <c r="V129" i="1"/>
  <c r="T129" i="1"/>
  <c r="R129" i="1"/>
  <c r="P129" i="1"/>
  <c r="L129" i="1"/>
  <c r="K129" i="1"/>
  <c r="I129" i="1"/>
  <c r="X128" i="1"/>
  <c r="V128" i="1"/>
  <c r="T128" i="1"/>
  <c r="R128" i="1"/>
  <c r="P128" i="1"/>
  <c r="L128" i="1"/>
  <c r="K128" i="1"/>
  <c r="X127" i="1"/>
  <c r="V127" i="1"/>
  <c r="T127" i="1"/>
  <c r="R127" i="1"/>
  <c r="P127" i="1"/>
  <c r="L127" i="1"/>
  <c r="K127" i="1"/>
  <c r="X126" i="1"/>
  <c r="V126" i="1"/>
  <c r="T126" i="1"/>
  <c r="R126" i="1"/>
  <c r="P126" i="1"/>
  <c r="L126" i="1"/>
  <c r="K126" i="1"/>
  <c r="I126" i="1"/>
  <c r="X125" i="1"/>
  <c r="V125" i="1"/>
  <c r="T125" i="1"/>
  <c r="R125" i="1"/>
  <c r="P125" i="1"/>
  <c r="L125" i="1"/>
  <c r="K125" i="1"/>
  <c r="X124" i="1"/>
  <c r="V124" i="1"/>
  <c r="T124" i="1"/>
  <c r="R124" i="1"/>
  <c r="P124" i="1"/>
  <c r="L124" i="1"/>
  <c r="K124" i="1"/>
  <c r="X123" i="1"/>
  <c r="V123" i="1"/>
  <c r="T123" i="1"/>
  <c r="R123" i="1"/>
  <c r="P123" i="1"/>
  <c r="L123" i="1"/>
  <c r="K123" i="1"/>
  <c r="I123" i="1"/>
  <c r="X122" i="1"/>
  <c r="V122" i="1"/>
  <c r="T122" i="1"/>
  <c r="R122" i="1"/>
  <c r="P122" i="1"/>
  <c r="L122" i="1"/>
  <c r="K122" i="1"/>
  <c r="X121" i="1"/>
  <c r="V121" i="1"/>
  <c r="T121" i="1"/>
  <c r="R121" i="1"/>
  <c r="P121" i="1"/>
  <c r="L121" i="1"/>
  <c r="K121" i="1"/>
  <c r="I121" i="1"/>
  <c r="X120" i="1"/>
  <c r="V120" i="1"/>
  <c r="T120" i="1"/>
  <c r="R120" i="1"/>
  <c r="P120" i="1"/>
  <c r="L120" i="1"/>
  <c r="K120" i="1"/>
  <c r="X119" i="1"/>
  <c r="V119" i="1"/>
  <c r="T119" i="1"/>
  <c r="R119" i="1"/>
  <c r="P119" i="1"/>
  <c r="L119" i="1"/>
  <c r="K119" i="1"/>
  <c r="X118" i="1"/>
  <c r="V118" i="1"/>
  <c r="T118" i="1"/>
  <c r="R118" i="1"/>
  <c r="P118" i="1"/>
  <c r="L118" i="1"/>
  <c r="K118" i="1"/>
  <c r="X117" i="1"/>
  <c r="V117" i="1"/>
  <c r="T117" i="1"/>
  <c r="R117" i="1"/>
  <c r="P117" i="1"/>
  <c r="L117" i="1"/>
  <c r="K117" i="1"/>
  <c r="I117" i="1"/>
  <c r="X116" i="1"/>
  <c r="V116" i="1"/>
  <c r="T116" i="1"/>
  <c r="R116" i="1"/>
  <c r="P116" i="1"/>
  <c r="L116" i="1"/>
  <c r="K116" i="1"/>
  <c r="X115" i="1"/>
  <c r="V115" i="1"/>
  <c r="T115" i="1"/>
  <c r="R115" i="1"/>
  <c r="P115" i="1"/>
  <c r="L115" i="1"/>
  <c r="K115" i="1"/>
  <c r="I115" i="1"/>
  <c r="X114" i="1"/>
  <c r="V114" i="1"/>
  <c r="T114" i="1"/>
  <c r="R114" i="1"/>
  <c r="P114" i="1"/>
  <c r="L114" i="1"/>
  <c r="K114" i="1"/>
  <c r="I114" i="1"/>
  <c r="X113" i="1"/>
  <c r="V113" i="1"/>
  <c r="T113" i="1"/>
  <c r="R113" i="1"/>
  <c r="P113" i="1"/>
  <c r="L113" i="1"/>
  <c r="K113" i="1"/>
  <c r="I113" i="1"/>
  <c r="X112" i="1"/>
  <c r="V112" i="1"/>
  <c r="T112" i="1"/>
  <c r="R112" i="1"/>
  <c r="P112" i="1"/>
  <c r="L112" i="1"/>
  <c r="K112" i="1"/>
  <c r="X111" i="1"/>
  <c r="V111" i="1"/>
  <c r="T111" i="1"/>
  <c r="R111" i="1"/>
  <c r="P111" i="1"/>
  <c r="L111" i="1"/>
  <c r="K111" i="1"/>
  <c r="I111" i="1"/>
  <c r="X110" i="1"/>
  <c r="V110" i="1"/>
  <c r="T110" i="1"/>
  <c r="R110" i="1"/>
  <c r="P110" i="1"/>
  <c r="L110" i="1"/>
  <c r="K110" i="1"/>
  <c r="I110" i="1"/>
  <c r="X109" i="1"/>
  <c r="V109" i="1"/>
  <c r="T109" i="1"/>
  <c r="R109" i="1"/>
  <c r="P109" i="1"/>
  <c r="L109" i="1"/>
  <c r="K109" i="1"/>
  <c r="I109" i="1"/>
  <c r="X108" i="1"/>
  <c r="V108" i="1"/>
  <c r="T108" i="1"/>
  <c r="R108" i="1"/>
  <c r="P108" i="1"/>
  <c r="L108" i="1"/>
  <c r="K108" i="1"/>
  <c r="I108" i="1"/>
  <c r="X107" i="1"/>
  <c r="V107" i="1"/>
  <c r="T107" i="1"/>
  <c r="R107" i="1"/>
  <c r="P107" i="1"/>
  <c r="L107" i="1"/>
  <c r="K107" i="1"/>
  <c r="I107" i="1"/>
  <c r="X106" i="1"/>
  <c r="V106" i="1"/>
  <c r="T106" i="1"/>
  <c r="R106" i="1"/>
  <c r="P106" i="1"/>
  <c r="L106" i="1"/>
  <c r="K106" i="1"/>
  <c r="X105" i="1"/>
  <c r="V105" i="1"/>
  <c r="T105" i="1"/>
  <c r="R105" i="1"/>
  <c r="P105" i="1"/>
  <c r="L105" i="1"/>
  <c r="K105" i="1"/>
  <c r="I105" i="1"/>
  <c r="X104" i="1"/>
  <c r="V104" i="1"/>
  <c r="T104" i="1"/>
  <c r="R104" i="1"/>
  <c r="P104" i="1"/>
  <c r="L104" i="1"/>
  <c r="K104" i="1"/>
  <c r="I104" i="1"/>
  <c r="X103" i="1"/>
  <c r="V103" i="1"/>
  <c r="T103" i="1"/>
  <c r="R103" i="1"/>
  <c r="P103" i="1"/>
  <c r="L103" i="1"/>
  <c r="K103" i="1"/>
  <c r="I103" i="1"/>
  <c r="X102" i="1"/>
  <c r="V102" i="1"/>
  <c r="T102" i="1"/>
  <c r="R102" i="1"/>
  <c r="P102" i="1"/>
  <c r="L102" i="1"/>
  <c r="K102" i="1"/>
  <c r="I102" i="1"/>
  <c r="X101" i="1"/>
  <c r="V101" i="1"/>
  <c r="T101" i="1"/>
  <c r="R101" i="1"/>
  <c r="P101" i="1"/>
  <c r="L101" i="1"/>
  <c r="K101" i="1"/>
  <c r="I101" i="1"/>
  <c r="X100" i="1"/>
  <c r="V100" i="1"/>
  <c r="T100" i="1"/>
  <c r="R100" i="1"/>
  <c r="P100" i="1"/>
  <c r="L100" i="1"/>
  <c r="K100" i="1"/>
  <c r="X99" i="1"/>
  <c r="V99" i="1"/>
  <c r="T99" i="1"/>
  <c r="R99" i="1"/>
  <c r="P99" i="1"/>
  <c r="L99" i="1"/>
  <c r="K99" i="1"/>
  <c r="I99" i="1"/>
  <c r="X98" i="1"/>
  <c r="V98" i="1"/>
  <c r="T98" i="1"/>
  <c r="R98" i="1"/>
  <c r="P98" i="1"/>
  <c r="L98" i="1"/>
  <c r="K98" i="1"/>
  <c r="I98" i="1"/>
  <c r="X97" i="1"/>
  <c r="V97" i="1"/>
  <c r="T97" i="1"/>
  <c r="R97" i="1"/>
  <c r="P97" i="1"/>
  <c r="L97" i="1"/>
  <c r="K97" i="1"/>
  <c r="X96" i="1"/>
  <c r="V96" i="1"/>
  <c r="T96" i="1"/>
  <c r="R96" i="1"/>
  <c r="P96" i="1"/>
  <c r="L96" i="1"/>
  <c r="K96" i="1"/>
  <c r="I96" i="1"/>
  <c r="X95" i="1"/>
  <c r="V95" i="1"/>
  <c r="T95" i="1"/>
  <c r="R95" i="1"/>
  <c r="P95" i="1"/>
  <c r="L95" i="1"/>
  <c r="K95" i="1"/>
  <c r="X94" i="1"/>
  <c r="V94" i="1"/>
  <c r="T94" i="1"/>
  <c r="R94" i="1"/>
  <c r="P94" i="1"/>
  <c r="L94" i="1"/>
  <c r="K94" i="1"/>
  <c r="X93" i="1"/>
  <c r="V93" i="1"/>
  <c r="T93" i="1"/>
  <c r="R93" i="1"/>
  <c r="P93" i="1"/>
  <c r="L93" i="1"/>
  <c r="K93" i="1"/>
  <c r="X92" i="1"/>
  <c r="V92" i="1"/>
  <c r="T92" i="1"/>
  <c r="R92" i="1"/>
  <c r="P92" i="1"/>
  <c r="L92" i="1"/>
  <c r="K92" i="1"/>
  <c r="I92" i="1"/>
  <c r="X91" i="1"/>
  <c r="V91" i="1"/>
  <c r="T91" i="1"/>
  <c r="R91" i="1"/>
  <c r="P91" i="1"/>
  <c r="L91" i="1"/>
  <c r="K91" i="1"/>
  <c r="X90" i="1"/>
  <c r="V90" i="1"/>
  <c r="T90" i="1"/>
  <c r="R90" i="1"/>
  <c r="P90" i="1"/>
  <c r="L90" i="1"/>
  <c r="K90" i="1"/>
  <c r="I90" i="1"/>
  <c r="X89" i="1"/>
  <c r="V89" i="1"/>
  <c r="T89" i="1"/>
  <c r="R89" i="1"/>
  <c r="P89" i="1"/>
  <c r="L89" i="1"/>
  <c r="K89" i="1"/>
  <c r="I89" i="1"/>
  <c r="X88" i="1"/>
  <c r="V88" i="1"/>
  <c r="T88" i="1"/>
  <c r="R88" i="1"/>
  <c r="P88" i="1"/>
  <c r="L88" i="1"/>
  <c r="K88" i="1"/>
  <c r="I88" i="1"/>
  <c r="X87" i="1"/>
  <c r="V87" i="1"/>
  <c r="T87" i="1"/>
  <c r="R87" i="1"/>
  <c r="P87" i="1"/>
  <c r="L87" i="1"/>
  <c r="K87" i="1"/>
  <c r="I87" i="1"/>
  <c r="X86" i="1"/>
  <c r="V86" i="1"/>
  <c r="T86" i="1"/>
  <c r="R86" i="1"/>
  <c r="P86" i="1"/>
  <c r="L86" i="1"/>
  <c r="K86" i="1"/>
  <c r="I86" i="1"/>
  <c r="X85" i="1"/>
  <c r="V85" i="1"/>
  <c r="T85" i="1"/>
  <c r="R85" i="1"/>
  <c r="P85" i="1"/>
  <c r="L85" i="1"/>
  <c r="K85" i="1"/>
  <c r="I85" i="1"/>
  <c r="X84" i="1"/>
  <c r="V84" i="1"/>
  <c r="T84" i="1"/>
  <c r="R84" i="1"/>
  <c r="P84" i="1"/>
  <c r="L84" i="1"/>
  <c r="K84" i="1"/>
  <c r="I84" i="1"/>
  <c r="X83" i="1"/>
  <c r="V83" i="1"/>
  <c r="T83" i="1"/>
  <c r="R83" i="1"/>
  <c r="P83" i="1"/>
  <c r="L83" i="1"/>
  <c r="K83" i="1"/>
  <c r="I83" i="1"/>
  <c r="X82" i="1"/>
  <c r="V82" i="1"/>
  <c r="T82" i="1"/>
  <c r="R82" i="1"/>
  <c r="P82" i="1"/>
  <c r="L82" i="1"/>
  <c r="K82" i="1"/>
  <c r="I82" i="1"/>
  <c r="X81" i="1"/>
  <c r="V81" i="1"/>
  <c r="T81" i="1"/>
  <c r="R81" i="1"/>
  <c r="P81" i="1"/>
  <c r="L81" i="1"/>
  <c r="K81" i="1"/>
  <c r="X80" i="1"/>
  <c r="V80" i="1"/>
  <c r="T80" i="1"/>
  <c r="R80" i="1"/>
  <c r="P80" i="1"/>
  <c r="L80" i="1"/>
  <c r="K80" i="1"/>
  <c r="I80" i="1"/>
  <c r="X79" i="1"/>
  <c r="V79" i="1"/>
  <c r="T79" i="1"/>
  <c r="R79" i="1"/>
  <c r="P79" i="1"/>
  <c r="L79" i="1"/>
  <c r="K79" i="1"/>
  <c r="X78" i="1"/>
  <c r="V78" i="1"/>
  <c r="T78" i="1"/>
  <c r="R78" i="1"/>
  <c r="P78" i="1"/>
  <c r="L78" i="1"/>
  <c r="K78" i="1"/>
  <c r="X77" i="1"/>
  <c r="V77" i="1"/>
  <c r="T77" i="1"/>
  <c r="R77" i="1"/>
  <c r="P77" i="1"/>
  <c r="L77" i="1"/>
  <c r="K77" i="1"/>
  <c r="X76" i="1"/>
  <c r="V76" i="1"/>
  <c r="T76" i="1"/>
  <c r="R76" i="1"/>
  <c r="P76" i="1"/>
  <c r="L76" i="1"/>
  <c r="K76" i="1"/>
  <c r="I76" i="1"/>
  <c r="X75" i="1"/>
  <c r="V75" i="1"/>
  <c r="T75" i="1"/>
  <c r="R75" i="1"/>
  <c r="P75" i="1"/>
  <c r="L75" i="1"/>
  <c r="K75" i="1"/>
  <c r="X74" i="1"/>
  <c r="V74" i="1"/>
  <c r="T74" i="1"/>
  <c r="R74" i="1"/>
  <c r="P74" i="1"/>
  <c r="L74" i="1"/>
  <c r="K74" i="1"/>
  <c r="I74" i="1"/>
  <c r="X73" i="1"/>
  <c r="V73" i="1"/>
  <c r="T73" i="1"/>
  <c r="R73" i="1"/>
  <c r="P73" i="1"/>
  <c r="L73" i="1"/>
  <c r="K73" i="1"/>
  <c r="I73" i="1"/>
  <c r="X72" i="1"/>
  <c r="V72" i="1"/>
  <c r="T72" i="1"/>
  <c r="R72" i="1"/>
  <c r="P72" i="1"/>
  <c r="L72" i="1"/>
  <c r="K72" i="1"/>
  <c r="I72" i="1"/>
  <c r="X71" i="1"/>
  <c r="V71" i="1"/>
  <c r="T71" i="1"/>
  <c r="R71" i="1"/>
  <c r="P71" i="1"/>
  <c r="L71" i="1"/>
  <c r="K71" i="1"/>
  <c r="I71" i="1"/>
  <c r="X70" i="1"/>
  <c r="V70" i="1"/>
  <c r="T70" i="1"/>
  <c r="R70" i="1"/>
  <c r="P70" i="1"/>
  <c r="L70" i="1"/>
  <c r="K70" i="1"/>
  <c r="I70" i="1"/>
  <c r="X69" i="1"/>
  <c r="V69" i="1"/>
  <c r="T69" i="1"/>
  <c r="R69" i="1"/>
  <c r="P69" i="1"/>
  <c r="L69" i="1"/>
  <c r="K69" i="1"/>
  <c r="I69" i="1"/>
  <c r="X68" i="1"/>
  <c r="V68" i="1"/>
  <c r="T68" i="1"/>
  <c r="R68" i="1"/>
  <c r="P68" i="1"/>
  <c r="L68" i="1"/>
  <c r="K68" i="1"/>
  <c r="I68" i="1"/>
  <c r="X67" i="1"/>
  <c r="V67" i="1"/>
  <c r="T67" i="1"/>
  <c r="R67" i="1"/>
  <c r="P67" i="1"/>
  <c r="L67" i="1"/>
  <c r="K67" i="1"/>
  <c r="I67" i="1"/>
  <c r="X66" i="1"/>
  <c r="V66" i="1"/>
  <c r="T66" i="1"/>
  <c r="R66" i="1"/>
  <c r="P66" i="1"/>
  <c r="L66" i="1"/>
  <c r="K66" i="1"/>
  <c r="I66" i="1"/>
  <c r="X65" i="1"/>
  <c r="V65" i="1"/>
  <c r="T65" i="1"/>
  <c r="R65" i="1"/>
  <c r="P65" i="1"/>
  <c r="L65" i="1"/>
  <c r="K65" i="1"/>
  <c r="X64" i="1"/>
  <c r="V64" i="1"/>
  <c r="T64" i="1"/>
  <c r="R64" i="1"/>
  <c r="P64" i="1"/>
  <c r="L64" i="1"/>
  <c r="K64" i="1"/>
  <c r="I64" i="1"/>
  <c r="X63" i="1"/>
  <c r="V63" i="1"/>
  <c r="T63" i="1"/>
  <c r="R63" i="1"/>
  <c r="P63" i="1"/>
  <c r="L63" i="1"/>
  <c r="K63" i="1"/>
  <c r="I63" i="1"/>
  <c r="X62" i="1"/>
  <c r="V62" i="1"/>
  <c r="T62" i="1"/>
  <c r="R62" i="1"/>
  <c r="P62" i="1"/>
  <c r="L62" i="1"/>
  <c r="K62" i="1"/>
  <c r="X61" i="1"/>
  <c r="V61" i="1"/>
  <c r="T61" i="1"/>
  <c r="R61" i="1"/>
  <c r="P61" i="1"/>
  <c r="L61" i="1"/>
  <c r="K61" i="1"/>
  <c r="I61" i="1"/>
  <c r="X60" i="1"/>
  <c r="V60" i="1"/>
  <c r="T60" i="1"/>
  <c r="R60" i="1"/>
  <c r="P60" i="1"/>
  <c r="L60" i="1"/>
  <c r="K60" i="1"/>
  <c r="I60" i="1"/>
  <c r="X59" i="1"/>
  <c r="V59" i="1"/>
  <c r="T59" i="1"/>
  <c r="R59" i="1"/>
  <c r="P59" i="1"/>
  <c r="L59" i="1"/>
  <c r="K59" i="1"/>
  <c r="I59" i="1"/>
  <c r="X58" i="1"/>
  <c r="V58" i="1"/>
  <c r="T58" i="1"/>
  <c r="R58" i="1"/>
  <c r="P58" i="1"/>
  <c r="L58" i="1"/>
  <c r="K58" i="1"/>
  <c r="I58" i="1"/>
  <c r="X57" i="1"/>
  <c r="V57" i="1"/>
  <c r="T57" i="1"/>
  <c r="R57" i="1"/>
  <c r="P57" i="1"/>
  <c r="L57" i="1"/>
  <c r="K57" i="1"/>
  <c r="I57" i="1"/>
  <c r="X56" i="1"/>
  <c r="V56" i="1"/>
  <c r="T56" i="1"/>
  <c r="R56" i="1"/>
  <c r="P56" i="1"/>
  <c r="L56" i="1"/>
  <c r="K56" i="1"/>
  <c r="X55" i="1"/>
  <c r="V55" i="1"/>
  <c r="T55" i="1"/>
  <c r="R55" i="1"/>
  <c r="P55" i="1"/>
  <c r="L55" i="1"/>
  <c r="K55" i="1"/>
  <c r="I55" i="1"/>
  <c r="X54" i="1"/>
  <c r="V54" i="1"/>
  <c r="T54" i="1"/>
  <c r="R54" i="1"/>
  <c r="P54" i="1"/>
  <c r="L54" i="1"/>
  <c r="K54" i="1"/>
  <c r="I54" i="1"/>
  <c r="X53" i="1"/>
  <c r="V53" i="1"/>
  <c r="T53" i="1"/>
  <c r="R53" i="1"/>
  <c r="P53" i="1"/>
  <c r="L53" i="1"/>
  <c r="K53" i="1"/>
  <c r="X52" i="1"/>
  <c r="V52" i="1"/>
  <c r="T52" i="1"/>
  <c r="R52" i="1"/>
  <c r="P52" i="1"/>
  <c r="L52" i="1"/>
  <c r="K52" i="1"/>
  <c r="I52" i="1"/>
  <c r="X51" i="1"/>
  <c r="V51" i="1"/>
  <c r="T51" i="1"/>
  <c r="R51" i="1"/>
  <c r="P51" i="1"/>
  <c r="L51" i="1"/>
  <c r="K51" i="1"/>
  <c r="I51" i="1"/>
  <c r="X50" i="1"/>
  <c r="V50" i="1"/>
  <c r="T50" i="1"/>
  <c r="R50" i="1"/>
  <c r="P50" i="1"/>
  <c r="L50" i="1"/>
  <c r="K50" i="1"/>
  <c r="I50" i="1"/>
  <c r="X49" i="1"/>
  <c r="V49" i="1"/>
  <c r="T49" i="1"/>
  <c r="R49" i="1"/>
  <c r="P49" i="1"/>
  <c r="L49" i="1"/>
  <c r="K49" i="1"/>
  <c r="X48" i="1"/>
  <c r="V48" i="1"/>
  <c r="T48" i="1"/>
  <c r="R48" i="1"/>
  <c r="P48" i="1"/>
  <c r="L48" i="1"/>
  <c r="K48" i="1"/>
  <c r="X47" i="1"/>
  <c r="V47" i="1"/>
  <c r="T47" i="1"/>
  <c r="R47" i="1"/>
  <c r="P47" i="1"/>
  <c r="L47" i="1"/>
  <c r="K47" i="1"/>
  <c r="I47" i="1"/>
  <c r="X46" i="1"/>
  <c r="V46" i="1"/>
  <c r="T46" i="1"/>
  <c r="R46" i="1"/>
  <c r="P46" i="1"/>
  <c r="L46" i="1"/>
  <c r="K46" i="1"/>
  <c r="X45" i="1"/>
  <c r="V45" i="1"/>
  <c r="T45" i="1"/>
  <c r="R45" i="1"/>
  <c r="P45" i="1"/>
  <c r="L45" i="1"/>
  <c r="K45" i="1"/>
  <c r="I45" i="1"/>
  <c r="X44" i="1"/>
  <c r="V44" i="1"/>
  <c r="T44" i="1"/>
  <c r="R44" i="1"/>
  <c r="P44" i="1"/>
  <c r="L44" i="1"/>
  <c r="K44" i="1"/>
  <c r="X43" i="1"/>
  <c r="V43" i="1"/>
  <c r="T43" i="1"/>
  <c r="R43" i="1"/>
  <c r="P43" i="1"/>
  <c r="L43" i="1"/>
  <c r="K43" i="1"/>
  <c r="I43" i="1"/>
  <c r="X42" i="1"/>
  <c r="V42" i="1"/>
  <c r="T42" i="1"/>
  <c r="R42" i="1"/>
  <c r="P42" i="1"/>
  <c r="L42" i="1"/>
  <c r="K42" i="1"/>
  <c r="X41" i="1"/>
  <c r="V41" i="1"/>
  <c r="T41" i="1"/>
  <c r="R41" i="1"/>
  <c r="P41" i="1"/>
  <c r="L41" i="1"/>
  <c r="K41" i="1"/>
  <c r="I41" i="1"/>
  <c r="X40" i="1"/>
  <c r="V40" i="1"/>
  <c r="T40" i="1"/>
  <c r="R40" i="1"/>
  <c r="P40" i="1"/>
  <c r="L40" i="1"/>
  <c r="K40" i="1"/>
  <c r="X39" i="1"/>
  <c r="V39" i="1"/>
  <c r="T39" i="1"/>
  <c r="R39" i="1"/>
  <c r="P39" i="1"/>
  <c r="L39" i="1"/>
  <c r="K39" i="1"/>
  <c r="I39" i="1"/>
  <c r="X38" i="1"/>
  <c r="V38" i="1"/>
  <c r="T38" i="1"/>
  <c r="R38" i="1"/>
  <c r="P38" i="1"/>
  <c r="L38" i="1"/>
  <c r="K38" i="1"/>
  <c r="I38" i="1"/>
  <c r="X37" i="1"/>
  <c r="V37" i="1"/>
  <c r="T37" i="1"/>
  <c r="R37" i="1"/>
  <c r="P37" i="1"/>
  <c r="L37" i="1"/>
  <c r="K37" i="1"/>
  <c r="X36" i="1"/>
  <c r="V36" i="1"/>
  <c r="T36" i="1"/>
  <c r="R36" i="1"/>
  <c r="P36" i="1"/>
  <c r="L36" i="1"/>
  <c r="K36" i="1"/>
  <c r="I36" i="1"/>
  <c r="X35" i="1"/>
  <c r="V35" i="1"/>
  <c r="T35" i="1"/>
  <c r="R35" i="1"/>
  <c r="P35" i="1"/>
  <c r="L35" i="1"/>
  <c r="K35" i="1"/>
  <c r="I35" i="1"/>
  <c r="X34" i="1"/>
  <c r="V34" i="1"/>
  <c r="T34" i="1"/>
  <c r="R34" i="1"/>
  <c r="P34" i="1"/>
  <c r="L34" i="1"/>
  <c r="K34" i="1"/>
  <c r="I34" i="1"/>
  <c r="X33" i="1"/>
  <c r="V33" i="1"/>
  <c r="T33" i="1"/>
  <c r="R33" i="1"/>
  <c r="P33" i="1"/>
  <c r="L33" i="1"/>
  <c r="K33" i="1"/>
  <c r="X32" i="1"/>
  <c r="V32" i="1"/>
  <c r="T32" i="1"/>
  <c r="R32" i="1"/>
  <c r="P32" i="1"/>
  <c r="L32" i="1"/>
  <c r="K32" i="1"/>
  <c r="I32" i="1"/>
  <c r="X31" i="1"/>
  <c r="V31" i="1"/>
  <c r="T31" i="1"/>
  <c r="R31" i="1"/>
  <c r="P31" i="1"/>
  <c r="L31" i="1"/>
  <c r="K31" i="1"/>
  <c r="I31" i="1"/>
  <c r="X30" i="1"/>
  <c r="V30" i="1"/>
  <c r="T30" i="1"/>
  <c r="R30" i="1"/>
  <c r="P30" i="1"/>
  <c r="L30" i="1"/>
  <c r="K30" i="1"/>
  <c r="I30" i="1"/>
  <c r="X29" i="1"/>
  <c r="V29" i="1"/>
  <c r="T29" i="1"/>
  <c r="R29" i="1"/>
  <c r="P29" i="1"/>
  <c r="L29" i="1"/>
  <c r="K29" i="1"/>
  <c r="I29" i="1"/>
  <c r="X28" i="1"/>
  <c r="V28" i="1"/>
  <c r="T28" i="1"/>
  <c r="R28" i="1"/>
  <c r="P28" i="1"/>
  <c r="L28" i="1"/>
  <c r="K28" i="1"/>
  <c r="I28" i="1"/>
  <c r="X27" i="1"/>
  <c r="V27" i="1"/>
  <c r="T27" i="1"/>
  <c r="R27" i="1"/>
  <c r="P27" i="1"/>
  <c r="L27" i="1"/>
  <c r="K27" i="1"/>
  <c r="I27" i="1"/>
  <c r="X26" i="1"/>
  <c r="V26" i="1"/>
  <c r="T26" i="1"/>
  <c r="R26" i="1"/>
  <c r="P26" i="1"/>
  <c r="L26" i="1"/>
  <c r="K26" i="1"/>
  <c r="I26" i="1"/>
  <c r="X25" i="1"/>
  <c r="V25" i="1"/>
  <c r="T25" i="1"/>
  <c r="R25" i="1"/>
  <c r="P25" i="1"/>
  <c r="L25" i="1"/>
  <c r="K25" i="1"/>
  <c r="I25" i="1"/>
  <c r="X24" i="1"/>
  <c r="V24" i="1"/>
  <c r="T24" i="1"/>
  <c r="R24" i="1"/>
  <c r="P24" i="1"/>
  <c r="L24" i="1"/>
  <c r="K24" i="1"/>
  <c r="I24" i="1"/>
  <c r="X23" i="1"/>
  <c r="V23" i="1"/>
  <c r="T23" i="1"/>
  <c r="R23" i="1"/>
  <c r="P23" i="1"/>
  <c r="L23" i="1"/>
  <c r="K23" i="1"/>
  <c r="X22" i="1"/>
  <c r="V22" i="1"/>
  <c r="T22" i="1"/>
  <c r="R22" i="1"/>
  <c r="P22" i="1"/>
  <c r="L22" i="1"/>
  <c r="K22" i="1"/>
  <c r="I22" i="1"/>
  <c r="X21" i="1"/>
  <c r="V21" i="1"/>
  <c r="T21" i="1"/>
  <c r="R21" i="1"/>
  <c r="P21" i="1"/>
  <c r="L21" i="1"/>
  <c r="K21" i="1"/>
  <c r="X20" i="1"/>
  <c r="V20" i="1"/>
  <c r="T20" i="1"/>
  <c r="R20" i="1"/>
  <c r="P20" i="1"/>
  <c r="L20" i="1"/>
  <c r="K20" i="1"/>
  <c r="X19" i="1"/>
  <c r="V19" i="1"/>
  <c r="T19" i="1"/>
  <c r="R19" i="1"/>
  <c r="P19" i="1"/>
  <c r="L19" i="1"/>
  <c r="K19" i="1"/>
  <c r="X18" i="1"/>
  <c r="V18" i="1"/>
  <c r="T18" i="1"/>
  <c r="R18" i="1"/>
  <c r="P18" i="1"/>
  <c r="L18" i="1"/>
  <c r="K18" i="1"/>
  <c r="I18" i="1"/>
  <c r="X17" i="1"/>
  <c r="V17" i="1"/>
  <c r="T17" i="1"/>
  <c r="R17" i="1"/>
  <c r="P17" i="1"/>
  <c r="L17" i="1"/>
  <c r="K17" i="1"/>
  <c r="X16" i="1"/>
  <c r="V16" i="1"/>
  <c r="T16" i="1"/>
  <c r="R16" i="1"/>
  <c r="P16" i="1"/>
  <c r="L16" i="1"/>
  <c r="K16" i="1"/>
  <c r="X15" i="1"/>
  <c r="V15" i="1"/>
  <c r="T15" i="1"/>
  <c r="R15" i="1"/>
  <c r="P15" i="1"/>
  <c r="L15" i="1"/>
  <c r="K15" i="1"/>
  <c r="X14" i="1"/>
  <c r="V14" i="1"/>
  <c r="T14" i="1"/>
  <c r="R14" i="1"/>
  <c r="P14" i="1"/>
  <c r="L14" i="1"/>
  <c r="K14" i="1"/>
  <c r="I14" i="1"/>
  <c r="X13" i="1"/>
  <c r="V13" i="1"/>
  <c r="T13" i="1"/>
  <c r="R13" i="1"/>
  <c r="P13" i="1"/>
  <c r="L13" i="1"/>
  <c r="K13" i="1"/>
  <c r="X12" i="1"/>
  <c r="V12" i="1"/>
  <c r="T12" i="1"/>
  <c r="R12" i="1"/>
  <c r="P12" i="1"/>
  <c r="L12" i="1"/>
  <c r="K12" i="1"/>
  <c r="X11" i="1"/>
  <c r="V11" i="1"/>
  <c r="T11" i="1"/>
  <c r="R11" i="1"/>
  <c r="P11" i="1"/>
  <c r="L11" i="1"/>
  <c r="K11" i="1"/>
  <c r="D3" i="1" s="1"/>
  <c r="X10" i="1"/>
  <c r="V10" i="1"/>
  <c r="T10" i="1"/>
  <c r="R10" i="1"/>
  <c r="P10" i="1"/>
  <c r="L10" i="1"/>
  <c r="K10" i="1"/>
  <c r="I10" i="1"/>
  <c r="X9" i="1"/>
  <c r="V9" i="1"/>
  <c r="T9" i="1"/>
  <c r="R9" i="1"/>
  <c r="P9" i="1"/>
  <c r="L9" i="1"/>
  <c r="K9" i="1"/>
  <c r="I9" i="1"/>
  <c r="X8" i="1"/>
  <c r="V8" i="1"/>
  <c r="T8" i="1"/>
  <c r="R8" i="1"/>
  <c r="P8" i="1"/>
  <c r="L8" i="1"/>
  <c r="K8" i="1"/>
  <c r="I8" i="1"/>
  <c r="X7" i="1"/>
  <c r="V7" i="1"/>
  <c r="T7" i="1"/>
  <c r="R7" i="1"/>
  <c r="P7" i="1"/>
  <c r="L7" i="1"/>
  <c r="K7" i="1"/>
  <c r="C3" i="1" s="1"/>
  <c r="BY2" i="2" s="1"/>
  <c r="X6" i="1"/>
  <c r="V6" i="1"/>
  <c r="T6" i="1"/>
  <c r="R6" i="1"/>
  <c r="P6" i="1"/>
  <c r="L6" i="1"/>
  <c r="F3" i="1" s="1"/>
  <c r="K6" i="1"/>
  <c r="E3" i="1" s="1"/>
  <c r="I6" i="1"/>
  <c r="H3" i="1"/>
  <c r="BW73" i="4"/>
  <c r="BW62" i="4"/>
  <c r="BW45" i="4"/>
  <c r="BW34" i="4"/>
  <c r="BW72" i="4"/>
  <c r="BW61" i="4"/>
  <c r="BW44" i="4"/>
  <c r="BW33" i="4"/>
  <c r="BW19" i="4"/>
  <c r="BW15" i="4"/>
  <c r="J461" i="3"/>
  <c r="J453" i="3"/>
  <c r="J445" i="3"/>
  <c r="J437" i="3"/>
  <c r="J429" i="3"/>
  <c r="J421" i="3"/>
  <c r="J413" i="3"/>
  <c r="J405" i="3"/>
  <c r="J397" i="3"/>
  <c r="J389" i="3"/>
  <c r="J381" i="3"/>
  <c r="J373" i="3"/>
  <c r="J365" i="3"/>
  <c r="J357" i="3"/>
  <c r="J349" i="3"/>
  <c r="J341" i="3"/>
  <c r="J333" i="3"/>
  <c r="J325" i="3"/>
  <c r="J317" i="3"/>
  <c r="J309" i="3"/>
  <c r="J301" i="3"/>
  <c r="J293" i="3"/>
  <c r="J285" i="3"/>
  <c r="J277" i="3"/>
  <c r="J269" i="3"/>
  <c r="J261" i="3"/>
  <c r="J253" i="3"/>
  <c r="J245" i="3"/>
  <c r="J237" i="3"/>
  <c r="BW71" i="4"/>
  <c r="BW60" i="4"/>
  <c r="BW51" i="4"/>
  <c r="BW43" i="4"/>
  <c r="BW32" i="4"/>
  <c r="BW23" i="4"/>
  <c r="BW70" i="4"/>
  <c r="BW59" i="4"/>
  <c r="BW50" i="4"/>
  <c r="BW42" i="4"/>
  <c r="BW31" i="4"/>
  <c r="BW22" i="4"/>
  <c r="BW18" i="4"/>
  <c r="BW14" i="4"/>
  <c r="BW77" i="4"/>
  <c r="BW69" i="4"/>
  <c r="BW58" i="4"/>
  <c r="BW49" i="4"/>
  <c r="BW41" i="4"/>
  <c r="BW30" i="4"/>
  <c r="J458" i="3"/>
  <c r="J450" i="3"/>
  <c r="J442" i="3"/>
  <c r="J434" i="3"/>
  <c r="J426" i="3"/>
  <c r="J418" i="3"/>
  <c r="J386" i="3"/>
  <c r="BW76" i="4"/>
  <c r="BW57" i="4"/>
  <c r="BW48" i="4"/>
  <c r="BW29" i="4"/>
  <c r="BW21" i="4"/>
  <c r="BW17" i="4"/>
  <c r="BW13" i="4"/>
  <c r="J305" i="3"/>
  <c r="J297" i="3"/>
  <c r="J289" i="3"/>
  <c r="J281" i="3"/>
  <c r="J265" i="3"/>
  <c r="BW75" i="4"/>
  <c r="BW65" i="4"/>
  <c r="BW64" i="4"/>
  <c r="BW56" i="4"/>
  <c r="BW47" i="4"/>
  <c r="BW37" i="4"/>
  <c r="BW36" i="4"/>
  <c r="BW28" i="4"/>
  <c r="J264" i="3"/>
  <c r="J256" i="3"/>
  <c r="J248" i="3"/>
  <c r="J240" i="3"/>
  <c r="J232" i="3"/>
  <c r="BW74" i="4"/>
  <c r="BW63" i="4"/>
  <c r="BW55" i="4"/>
  <c r="BW46" i="4"/>
  <c r="BW35" i="4"/>
  <c r="BW27" i="4"/>
  <c r="BW20" i="4"/>
  <c r="BW16" i="4"/>
  <c r="J463" i="3"/>
  <c r="J455" i="3"/>
  <c r="J447" i="3"/>
  <c r="J439" i="3"/>
  <c r="J431" i="3"/>
  <c r="J415" i="3"/>
  <c r="J383" i="3"/>
  <c r="J375" i="3"/>
  <c r="J367" i="3"/>
  <c r="J359" i="3"/>
  <c r="J221" i="3"/>
  <c r="J213" i="3"/>
  <c r="J205" i="3"/>
  <c r="J197" i="3"/>
  <c r="J189" i="3"/>
  <c r="J181" i="3"/>
  <c r="J173" i="3"/>
  <c r="J165" i="3"/>
  <c r="J157" i="3"/>
  <c r="J149" i="3"/>
  <c r="J141" i="3"/>
  <c r="J133" i="3"/>
  <c r="J125" i="3"/>
  <c r="J117" i="3"/>
  <c r="J109" i="3"/>
  <c r="J101" i="3"/>
  <c r="J93" i="3"/>
  <c r="J85" i="3"/>
  <c r="J77" i="3"/>
  <c r="J69" i="3"/>
  <c r="J61" i="3"/>
  <c r="J53" i="3"/>
  <c r="J45" i="3"/>
  <c r="J37" i="3"/>
  <c r="J29" i="3"/>
  <c r="J21" i="3"/>
  <c r="J13" i="3"/>
  <c r="J465" i="3"/>
  <c r="J464" i="3"/>
  <c r="J462" i="3"/>
  <c r="J460" i="3"/>
  <c r="J459" i="3"/>
  <c r="J457" i="3"/>
  <c r="J456" i="3"/>
  <c r="J454" i="3"/>
  <c r="J452" i="3"/>
  <c r="J451" i="3"/>
  <c r="J449" i="3"/>
  <c r="J448" i="3"/>
  <c r="J446" i="3"/>
  <c r="J444" i="3"/>
  <c r="J443" i="3"/>
  <c r="J441" i="3"/>
  <c r="J440" i="3"/>
  <c r="J438" i="3"/>
  <c r="J436" i="3"/>
  <c r="J435" i="3"/>
  <c r="J433" i="3"/>
  <c r="J432" i="3"/>
  <c r="J430" i="3"/>
  <c r="J428" i="3"/>
  <c r="J427" i="3"/>
  <c r="J425" i="3"/>
  <c r="J424" i="3"/>
  <c r="J423" i="3"/>
  <c r="J422" i="3"/>
  <c r="J420" i="3"/>
  <c r="J419" i="3"/>
  <c r="J417" i="3"/>
  <c r="J416" i="3"/>
  <c r="J414" i="3"/>
  <c r="J412" i="3"/>
  <c r="J411" i="3"/>
  <c r="J410" i="3"/>
  <c r="J409" i="3"/>
  <c r="J408" i="3"/>
  <c r="J407" i="3"/>
  <c r="J406" i="3"/>
  <c r="J404" i="3"/>
  <c r="J403" i="3"/>
  <c r="J402" i="3"/>
  <c r="J401" i="3"/>
  <c r="J400" i="3"/>
  <c r="J399" i="3"/>
  <c r="J398" i="3"/>
  <c r="J396" i="3"/>
  <c r="J395" i="3"/>
  <c r="J394" i="3"/>
  <c r="J393" i="3"/>
  <c r="J392" i="3"/>
  <c r="J391" i="3"/>
  <c r="J390" i="3"/>
  <c r="J388" i="3"/>
  <c r="J387" i="3"/>
  <c r="J385" i="3"/>
  <c r="J384" i="3"/>
  <c r="J382" i="3"/>
  <c r="J380" i="3"/>
  <c r="J379" i="3"/>
  <c r="J378" i="3"/>
  <c r="J377" i="3"/>
  <c r="J376" i="3"/>
  <c r="J374" i="3"/>
  <c r="J372" i="3"/>
  <c r="J371" i="3"/>
  <c r="J370" i="3"/>
  <c r="J369" i="3"/>
  <c r="J368" i="3"/>
  <c r="J366" i="3"/>
  <c r="J364" i="3"/>
  <c r="J363" i="3"/>
  <c r="J362" i="3"/>
  <c r="J361" i="3"/>
  <c r="J360" i="3"/>
  <c r="J358" i="3"/>
  <c r="J356" i="3"/>
  <c r="J355" i="3"/>
  <c r="J354" i="3"/>
  <c r="J353" i="3"/>
  <c r="J352" i="3"/>
  <c r="J351" i="3"/>
  <c r="J350" i="3"/>
  <c r="J348" i="3"/>
  <c r="J347" i="3"/>
  <c r="J346" i="3"/>
  <c r="J345" i="3"/>
  <c r="J344" i="3"/>
  <c r="J343" i="3"/>
  <c r="J342" i="3"/>
  <c r="J340" i="3"/>
  <c r="J339" i="3"/>
  <c r="J338" i="3"/>
  <c r="J337" i="3"/>
  <c r="J336" i="3"/>
  <c r="J335" i="3"/>
  <c r="J334" i="3"/>
  <c r="J332" i="3"/>
  <c r="J331" i="3"/>
  <c r="J330" i="3"/>
  <c r="J329" i="3"/>
  <c r="J328" i="3"/>
  <c r="J327" i="3"/>
  <c r="J326" i="3"/>
  <c r="J324" i="3"/>
  <c r="J323" i="3"/>
  <c r="J322" i="3"/>
  <c r="J321" i="3"/>
  <c r="J320" i="3"/>
  <c r="J319" i="3"/>
  <c r="J318" i="3"/>
  <c r="J316" i="3"/>
  <c r="J315" i="3"/>
  <c r="J314" i="3"/>
  <c r="J313" i="3"/>
  <c r="J312" i="3"/>
  <c r="J311" i="3"/>
  <c r="J310" i="3"/>
  <c r="J308" i="3"/>
  <c r="J307" i="3"/>
  <c r="J306" i="3"/>
  <c r="J304" i="3"/>
  <c r="J303" i="3"/>
  <c r="J302" i="3"/>
  <c r="J300" i="3"/>
  <c r="J299" i="3"/>
  <c r="J298" i="3"/>
  <c r="J296" i="3"/>
  <c r="J295" i="3"/>
  <c r="J294" i="3"/>
  <c r="J292" i="3"/>
  <c r="J291" i="3"/>
  <c r="J290" i="3"/>
  <c r="J288" i="3"/>
  <c r="J287" i="3"/>
  <c r="J286" i="3"/>
  <c r="J284" i="3"/>
  <c r="J283" i="3"/>
  <c r="J282" i="3"/>
  <c r="J280" i="3"/>
  <c r="J279" i="3"/>
  <c r="J278" i="3"/>
  <c r="J276" i="3"/>
  <c r="J275" i="3"/>
  <c r="J274" i="3"/>
  <c r="J273" i="3"/>
  <c r="J272" i="3"/>
  <c r="J271" i="3"/>
  <c r="J270" i="3"/>
  <c r="J268" i="3"/>
  <c r="J267" i="3"/>
  <c r="J266" i="3"/>
  <c r="J263" i="3"/>
  <c r="J262" i="3"/>
  <c r="J260" i="3"/>
  <c r="J259" i="3"/>
  <c r="J258" i="3"/>
  <c r="J257" i="3"/>
  <c r="J255" i="3"/>
  <c r="J254" i="3"/>
  <c r="J252" i="3"/>
  <c r="J251" i="3"/>
  <c r="J250" i="3"/>
  <c r="J249" i="3"/>
  <c r="J247" i="3"/>
  <c r="J246" i="3"/>
  <c r="J244" i="3"/>
  <c r="J243" i="3"/>
  <c r="J242" i="3"/>
  <c r="J241" i="3"/>
  <c r="J239" i="3"/>
  <c r="J238" i="3"/>
  <c r="J236" i="3"/>
  <c r="J235" i="3"/>
  <c r="J234" i="3"/>
  <c r="J233" i="3"/>
  <c r="J231" i="3"/>
  <c r="J230" i="3"/>
  <c r="J229" i="3"/>
  <c r="J228" i="3"/>
  <c r="J227" i="3"/>
  <c r="J225" i="3"/>
  <c r="J217" i="3"/>
  <c r="J209" i="3"/>
  <c r="J201" i="3"/>
  <c r="J193" i="3"/>
  <c r="J185" i="3"/>
  <c r="J177" i="3"/>
  <c r="J169" i="3"/>
  <c r="J161" i="3"/>
  <c r="J153" i="3"/>
  <c r="J145" i="3"/>
  <c r="J137" i="3"/>
  <c r="J129" i="3"/>
  <c r="J121" i="3"/>
  <c r="J113" i="3"/>
  <c r="J105" i="3"/>
  <c r="J97" i="3"/>
  <c r="J89" i="3"/>
  <c r="J81" i="3"/>
  <c r="J73" i="3"/>
  <c r="J65" i="3"/>
  <c r="J57" i="3"/>
  <c r="J49" i="3"/>
  <c r="J41" i="3"/>
  <c r="J33" i="3"/>
  <c r="J224" i="3"/>
  <c r="J216" i="3"/>
  <c r="J208" i="3"/>
  <c r="J200" i="3"/>
  <c r="J192" i="3"/>
  <c r="J184" i="3"/>
  <c r="J10" i="3"/>
  <c r="J9" i="3"/>
  <c r="J8" i="3"/>
  <c r="J7" i="3"/>
  <c r="J6" i="3"/>
  <c r="BW66" i="2"/>
  <c r="BW57" i="2"/>
  <c r="BW49" i="2"/>
  <c r="BW40" i="2"/>
  <c r="BW31" i="2"/>
  <c r="BW18" i="2"/>
  <c r="BW14" i="2"/>
  <c r="J226" i="3"/>
  <c r="J223" i="3"/>
  <c r="J222" i="3"/>
  <c r="J220" i="3"/>
  <c r="J219" i="3"/>
  <c r="J218" i="3"/>
  <c r="J215" i="3"/>
  <c r="J214" i="3"/>
  <c r="J212" i="3"/>
  <c r="J211" i="3"/>
  <c r="J210" i="3"/>
  <c r="J207" i="3"/>
  <c r="J206" i="3"/>
  <c r="J204" i="3"/>
  <c r="J203" i="3"/>
  <c r="J202" i="3"/>
  <c r="J199" i="3"/>
  <c r="J198" i="3"/>
  <c r="J196" i="3"/>
  <c r="J195" i="3"/>
  <c r="J194" i="3"/>
  <c r="J191" i="3"/>
  <c r="J190" i="3"/>
  <c r="J188" i="3"/>
  <c r="J187" i="3"/>
  <c r="J186" i="3"/>
  <c r="J183" i="3"/>
  <c r="J182" i="3"/>
  <c r="J180" i="3"/>
  <c r="J179" i="3"/>
  <c r="J178" i="3"/>
  <c r="J176" i="3"/>
  <c r="J175" i="3"/>
  <c r="J174" i="3"/>
  <c r="J172" i="3"/>
  <c r="J171" i="3"/>
  <c r="J170" i="3"/>
  <c r="J168" i="3"/>
  <c r="J167" i="3"/>
  <c r="J166" i="3"/>
  <c r="J164" i="3"/>
  <c r="J163" i="3"/>
  <c r="J162" i="3"/>
  <c r="J160" i="3"/>
  <c r="J159" i="3"/>
  <c r="J158" i="3"/>
  <c r="J156" i="3"/>
  <c r="J155" i="3"/>
  <c r="J154" i="3"/>
  <c r="J152" i="3"/>
  <c r="J151" i="3"/>
  <c r="J150" i="3"/>
  <c r="J148" i="3"/>
  <c r="J147" i="3"/>
  <c r="J146" i="3"/>
  <c r="J144" i="3"/>
  <c r="J143" i="3"/>
  <c r="J142" i="3"/>
  <c r="J140" i="3"/>
  <c r="J139" i="3"/>
  <c r="J138" i="3"/>
  <c r="J136" i="3"/>
  <c r="J135" i="3"/>
  <c r="J134" i="3"/>
  <c r="J132" i="3"/>
  <c r="J131" i="3"/>
  <c r="J130" i="3"/>
  <c r="J128" i="3"/>
  <c r="J127" i="3"/>
  <c r="J126" i="3"/>
  <c r="J124" i="3"/>
  <c r="J123" i="3"/>
  <c r="J122" i="3"/>
  <c r="J120" i="3"/>
  <c r="J119" i="3"/>
  <c r="J118" i="3"/>
  <c r="J116" i="3"/>
  <c r="J115" i="3"/>
  <c r="J114" i="3"/>
  <c r="J112" i="3"/>
  <c r="J111" i="3"/>
  <c r="J110" i="3"/>
  <c r="J108" i="3"/>
  <c r="J107" i="3"/>
  <c r="J106" i="3"/>
  <c r="J104" i="3"/>
  <c r="J103" i="3"/>
  <c r="J102" i="3"/>
  <c r="J100" i="3"/>
  <c r="J99" i="3"/>
  <c r="J98" i="3"/>
  <c r="J96" i="3"/>
  <c r="J95" i="3"/>
  <c r="J94" i="3"/>
  <c r="J92" i="3"/>
  <c r="J91" i="3"/>
  <c r="J90" i="3"/>
  <c r="J88" i="3"/>
  <c r="J87" i="3"/>
  <c r="J86" i="3"/>
  <c r="J84" i="3"/>
  <c r="J83" i="3"/>
  <c r="J82" i="3"/>
  <c r="J80" i="3"/>
  <c r="J79" i="3"/>
  <c r="J78" i="3"/>
  <c r="J76" i="3"/>
  <c r="J75" i="3"/>
  <c r="J74" i="3"/>
  <c r="J72" i="3"/>
  <c r="J71" i="3"/>
  <c r="J70" i="3"/>
  <c r="J68" i="3"/>
  <c r="J67" i="3"/>
  <c r="J66" i="3"/>
  <c r="J64" i="3"/>
  <c r="J63" i="3"/>
  <c r="J62" i="3"/>
  <c r="J60" i="3"/>
  <c r="J59" i="3"/>
  <c r="J58" i="3"/>
  <c r="J56" i="3"/>
  <c r="J55" i="3"/>
  <c r="J54" i="3"/>
  <c r="J52" i="3"/>
  <c r="J51" i="3"/>
  <c r="J50" i="3"/>
  <c r="J48" i="3"/>
  <c r="J47" i="3"/>
  <c r="J46" i="3"/>
  <c r="J44" i="3"/>
  <c r="J43" i="3"/>
  <c r="J42" i="3"/>
  <c r="J40" i="3"/>
  <c r="J39" i="3"/>
  <c r="J38" i="3"/>
  <c r="J36" i="3"/>
  <c r="J35" i="3"/>
  <c r="J34" i="3"/>
  <c r="J32" i="3"/>
  <c r="J31" i="3"/>
  <c r="J30" i="3"/>
  <c r="J28" i="3"/>
  <c r="J27" i="3"/>
  <c r="J25" i="3"/>
  <c r="J24" i="3"/>
  <c r="J23" i="3"/>
  <c r="J22" i="3"/>
  <c r="J20" i="3"/>
  <c r="J19" i="3"/>
  <c r="J18" i="3"/>
  <c r="J17" i="3"/>
  <c r="BW62" i="2"/>
  <c r="BW53" i="2"/>
  <c r="BW44" i="2"/>
  <c r="BW27" i="2"/>
  <c r="BW20" i="2"/>
  <c r="BW16" i="2"/>
  <c r="J16" i="3"/>
  <c r="J15" i="3"/>
  <c r="J14" i="3"/>
  <c r="J12" i="3"/>
  <c r="BW69" i="2"/>
  <c r="BW61" i="2"/>
  <c r="BW52" i="2"/>
  <c r="BW43" i="2"/>
  <c r="BW26" i="2"/>
  <c r="BW50" i="2"/>
  <c r="BW45" i="2"/>
  <c r="BW25" i="2"/>
  <c r="J26" i="3"/>
  <c r="J11" i="3"/>
  <c r="BW65" i="2"/>
  <c r="BW64" i="2"/>
  <c r="BW63" i="2"/>
  <c r="BW56" i="2"/>
  <c r="BW55" i="2"/>
  <c r="BW54" i="2"/>
  <c r="BW32" i="2"/>
  <c r="BW67" i="2"/>
  <c r="BW39" i="2"/>
  <c r="BW38" i="2"/>
  <c r="BW37" i="2"/>
  <c r="BW33" i="2"/>
  <c r="J431" i="1"/>
  <c r="J423" i="1"/>
  <c r="J415" i="1"/>
  <c r="J407" i="1"/>
  <c r="J399" i="1"/>
  <c r="J391" i="1"/>
  <c r="J383" i="1"/>
  <c r="J375" i="1"/>
  <c r="J367" i="1"/>
  <c r="J359" i="1"/>
  <c r="J351" i="1"/>
  <c r="J343" i="1"/>
  <c r="J335" i="1"/>
  <c r="J327" i="1"/>
  <c r="J319" i="1"/>
  <c r="BW68" i="2"/>
  <c r="BW41" i="2"/>
  <c r="BW42" i="2"/>
  <c r="J413" i="1"/>
  <c r="J405" i="1"/>
  <c r="J397" i="1"/>
  <c r="J389" i="1"/>
  <c r="J381" i="1"/>
  <c r="J373" i="1"/>
  <c r="J365" i="1"/>
  <c r="J357" i="1"/>
  <c r="J349" i="1"/>
  <c r="J333" i="1"/>
  <c r="J325" i="1"/>
  <c r="J436" i="1"/>
  <c r="J428" i="1"/>
  <c r="J420" i="1"/>
  <c r="J412" i="1"/>
  <c r="J404" i="1"/>
  <c r="J396" i="1"/>
  <c r="J388" i="1"/>
  <c r="J380" i="1"/>
  <c r="J372" i="1"/>
  <c r="J364" i="1"/>
  <c r="J356" i="1"/>
  <c r="J348" i="1"/>
  <c r="J340" i="1"/>
  <c r="J332" i="1"/>
  <c r="J324" i="1"/>
  <c r="J316" i="1"/>
  <c r="J416" i="1"/>
  <c r="J414" i="1"/>
  <c r="J411" i="1"/>
  <c r="J384" i="1"/>
  <c r="J382" i="1"/>
  <c r="J379" i="1"/>
  <c r="J352" i="1"/>
  <c r="J350" i="1"/>
  <c r="J347" i="1"/>
  <c r="J320" i="1"/>
  <c r="J318" i="1"/>
  <c r="J317" i="1"/>
  <c r="J315" i="1"/>
  <c r="J302" i="1"/>
  <c r="J32" i="1"/>
  <c r="J68" i="1"/>
  <c r="J60" i="1"/>
  <c r="J409" i="1"/>
  <c r="J377" i="1"/>
  <c r="J345" i="1"/>
  <c r="J313" i="1"/>
  <c r="J300" i="1"/>
  <c r="J291" i="1"/>
  <c r="J282" i="1"/>
  <c r="J273" i="1"/>
  <c r="J265" i="1"/>
  <c r="J257" i="1"/>
  <c r="J249" i="1"/>
  <c r="J241" i="1"/>
  <c r="J233" i="1"/>
  <c r="J225" i="1"/>
  <c r="J217" i="1"/>
  <c r="J209" i="1"/>
  <c r="J201" i="1"/>
  <c r="J193" i="1"/>
  <c r="J185" i="1"/>
  <c r="J177" i="1"/>
  <c r="J169" i="1"/>
  <c r="J161" i="1"/>
  <c r="J153" i="1"/>
  <c r="J145" i="1"/>
  <c r="J137" i="1"/>
  <c r="J129" i="1"/>
  <c r="J121" i="1"/>
  <c r="J113" i="1"/>
  <c r="J105" i="1"/>
  <c r="J89" i="1"/>
  <c r="BW21" i="2"/>
  <c r="BW17" i="2"/>
  <c r="BW13" i="2"/>
  <c r="J438" i="1"/>
  <c r="J437" i="1"/>
  <c r="J435" i="1"/>
  <c r="J434" i="1"/>
  <c r="J408" i="1"/>
  <c r="J406" i="1"/>
  <c r="J403" i="1"/>
  <c r="J376" i="1"/>
  <c r="J374" i="1"/>
  <c r="J371" i="1"/>
  <c r="J344" i="1"/>
  <c r="J342" i="1"/>
  <c r="J341" i="1"/>
  <c r="J339" i="1"/>
  <c r="J312" i="1"/>
  <c r="J311" i="1"/>
  <c r="J281" i="1"/>
  <c r="J72" i="1"/>
  <c r="J64" i="1"/>
  <c r="J24" i="1"/>
  <c r="J52" i="1"/>
  <c r="BW51" i="2"/>
  <c r="BW28" i="2"/>
  <c r="J433" i="1"/>
  <c r="J401" i="1"/>
  <c r="J369" i="1"/>
  <c r="J337" i="1"/>
  <c r="J310" i="1"/>
  <c r="J309" i="1"/>
  <c r="J298" i="1"/>
  <c r="J289" i="1"/>
  <c r="J280" i="1"/>
  <c r="J279" i="1"/>
  <c r="J271" i="1"/>
  <c r="J263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43" i="1"/>
  <c r="J135" i="1"/>
  <c r="J111" i="1"/>
  <c r="J103" i="1"/>
  <c r="J87" i="1"/>
  <c r="BW29" i="2"/>
  <c r="J432" i="1"/>
  <c r="J430" i="1"/>
  <c r="J429" i="1"/>
  <c r="J427" i="1"/>
  <c r="J400" i="1"/>
  <c r="J398" i="1"/>
  <c r="J395" i="1"/>
  <c r="J368" i="1"/>
  <c r="J366" i="1"/>
  <c r="J363" i="1"/>
  <c r="J336" i="1"/>
  <c r="J334" i="1"/>
  <c r="J331" i="1"/>
  <c r="J308" i="1"/>
  <c r="J297" i="1"/>
  <c r="J288" i="1"/>
  <c r="J70" i="1"/>
  <c r="J54" i="1"/>
  <c r="J38" i="1"/>
  <c r="BW30" i="2"/>
  <c r="J425" i="1"/>
  <c r="J393" i="1"/>
  <c r="J361" i="1"/>
  <c r="J329" i="1"/>
  <c r="J307" i="1"/>
  <c r="J296" i="1"/>
  <c r="J76" i="1"/>
  <c r="J424" i="1"/>
  <c r="J422" i="1"/>
  <c r="J421" i="1"/>
  <c r="J419" i="1"/>
  <c r="J418" i="1"/>
  <c r="J392" i="1"/>
  <c r="J390" i="1"/>
  <c r="J387" i="1"/>
  <c r="J386" i="1"/>
  <c r="J360" i="1"/>
  <c r="J358" i="1"/>
  <c r="J355" i="1"/>
  <c r="J354" i="1"/>
  <c r="J328" i="1"/>
  <c r="J326" i="1"/>
  <c r="J323" i="1"/>
  <c r="J322" i="1"/>
  <c r="J305" i="1"/>
  <c r="J294" i="1"/>
  <c r="J285" i="1"/>
  <c r="J276" i="1"/>
  <c r="J268" i="1"/>
  <c r="J260" i="1"/>
  <c r="J252" i="1"/>
  <c r="J244" i="1"/>
  <c r="J236" i="1"/>
  <c r="J228" i="1"/>
  <c r="J220" i="1"/>
  <c r="J212" i="1"/>
  <c r="J204" i="1"/>
  <c r="J196" i="1"/>
  <c r="J188" i="1"/>
  <c r="J180" i="1"/>
  <c r="J172" i="1"/>
  <c r="J108" i="1"/>
  <c r="J92" i="1"/>
  <c r="J84" i="1"/>
  <c r="BW19" i="2"/>
  <c r="BW15" i="2"/>
  <c r="J417" i="1"/>
  <c r="J385" i="1"/>
  <c r="J353" i="1"/>
  <c r="J321" i="1"/>
  <c r="J304" i="1"/>
  <c r="J303" i="1"/>
  <c r="J67" i="1"/>
  <c r="J59" i="1"/>
  <c r="J51" i="1"/>
  <c r="J43" i="1"/>
  <c r="J35" i="1"/>
  <c r="J27" i="1"/>
  <c r="J8" i="1"/>
  <c r="J30" i="1"/>
  <c r="J22" i="1"/>
  <c r="J14" i="1"/>
  <c r="J6" i="1"/>
  <c r="J36" i="1"/>
  <c r="J28" i="1"/>
  <c r="J127" i="1"/>
  <c r="J147" i="1"/>
  <c r="J146" i="1"/>
  <c r="J104" i="1"/>
  <c r="J102" i="1"/>
  <c r="J101" i="1"/>
  <c r="J163" i="1"/>
  <c r="J162" i="1"/>
  <c r="J149" i="1"/>
  <c r="J126" i="1"/>
  <c r="J110" i="1"/>
  <c r="J109" i="1"/>
  <c r="J107" i="1"/>
  <c r="J80" i="1"/>
  <c r="J50" i="1"/>
  <c r="J31" i="1"/>
  <c r="J29" i="1"/>
  <c r="J26" i="1"/>
  <c r="J25" i="1"/>
  <c r="J179" i="1"/>
  <c r="J174" i="1"/>
  <c r="J170" i="1"/>
  <c r="J166" i="1"/>
  <c r="J114" i="1"/>
  <c r="J90" i="1"/>
  <c r="J88" i="1"/>
  <c r="J85" i="1"/>
  <c r="J83" i="1"/>
  <c r="J34" i="1"/>
  <c r="J426" i="1"/>
  <c r="J410" i="1"/>
  <c r="J402" i="1"/>
  <c r="J394" i="1"/>
  <c r="J378" i="1"/>
  <c r="J370" i="1"/>
  <c r="J362" i="1"/>
  <c r="J346" i="1"/>
  <c r="J338" i="1"/>
  <c r="J330" i="1"/>
  <c r="J314" i="1"/>
  <c r="J306" i="1"/>
  <c r="J301" i="1"/>
  <c r="J299" i="1"/>
  <c r="J295" i="1"/>
  <c r="J293" i="1"/>
  <c r="J292" i="1"/>
  <c r="J290" i="1"/>
  <c r="J287" i="1"/>
  <c r="J286" i="1"/>
  <c r="J284" i="1"/>
  <c r="J283" i="1"/>
  <c r="J278" i="1"/>
  <c r="J277" i="1"/>
  <c r="J275" i="1"/>
  <c r="J274" i="1"/>
  <c r="J272" i="1"/>
  <c r="J270" i="1"/>
  <c r="J269" i="1"/>
  <c r="J267" i="1"/>
  <c r="J266" i="1"/>
  <c r="J264" i="1"/>
  <c r="J262" i="1"/>
  <c r="J261" i="1"/>
  <c r="J259" i="1"/>
  <c r="J258" i="1"/>
  <c r="J256" i="1"/>
  <c r="J254" i="1"/>
  <c r="J253" i="1"/>
  <c r="J251" i="1"/>
  <c r="J250" i="1"/>
  <c r="J248" i="1"/>
  <c r="J246" i="1"/>
  <c r="J245" i="1"/>
  <c r="J243" i="1"/>
  <c r="J242" i="1"/>
  <c r="J240" i="1"/>
  <c r="J238" i="1"/>
  <c r="J237" i="1"/>
  <c r="J235" i="1"/>
  <c r="J234" i="1"/>
  <c r="J232" i="1"/>
  <c r="J230" i="1"/>
  <c r="J229" i="1"/>
  <c r="J227" i="1"/>
  <c r="J226" i="1"/>
  <c r="J224" i="1"/>
  <c r="J222" i="1"/>
  <c r="J221" i="1"/>
  <c r="J219" i="1"/>
  <c r="J218" i="1"/>
  <c r="J216" i="1"/>
  <c r="J214" i="1"/>
  <c r="J213" i="1"/>
  <c r="J211" i="1"/>
  <c r="J210" i="1"/>
  <c r="J208" i="1"/>
  <c r="J206" i="1"/>
  <c r="J205" i="1"/>
  <c r="J203" i="1"/>
  <c r="J202" i="1"/>
  <c r="J200" i="1"/>
  <c r="J198" i="1"/>
  <c r="J197" i="1"/>
  <c r="J195" i="1"/>
  <c r="J194" i="1"/>
  <c r="J192" i="1"/>
  <c r="J190" i="1"/>
  <c r="J189" i="1"/>
  <c r="J187" i="1"/>
  <c r="J186" i="1"/>
  <c r="J184" i="1"/>
  <c r="J182" i="1"/>
  <c r="J181" i="1"/>
  <c r="J178" i="1"/>
  <c r="J176" i="1"/>
  <c r="J173" i="1"/>
  <c r="J171" i="1"/>
  <c r="J168" i="1"/>
  <c r="J165" i="1"/>
  <c r="J115" i="1"/>
  <c r="J86" i="1"/>
  <c r="J82" i="1"/>
  <c r="J55" i="1"/>
  <c r="J37" i="1"/>
  <c r="J131" i="1"/>
  <c r="J130" i="1"/>
  <c r="J117" i="1"/>
  <c r="J61" i="1"/>
  <c r="J58" i="1"/>
  <c r="J57" i="1"/>
  <c r="J39" i="1"/>
  <c r="J133" i="1"/>
  <c r="J63" i="1"/>
  <c r="J41" i="1"/>
  <c r="J10" i="1"/>
  <c r="J159" i="1"/>
  <c r="J155" i="1"/>
  <c r="J74" i="1"/>
  <c r="J73" i="1"/>
  <c r="J71" i="1"/>
  <c r="J69" i="1"/>
  <c r="J66" i="1"/>
  <c r="J18" i="1"/>
  <c r="J9" i="1"/>
  <c r="J96" i="1"/>
  <c r="J45" i="1"/>
  <c r="J158" i="1"/>
  <c r="J142" i="1"/>
  <c r="J141" i="1"/>
  <c r="J140" i="1"/>
  <c r="J139" i="1"/>
  <c r="J123" i="1"/>
  <c r="J99" i="1"/>
  <c r="J98" i="1"/>
  <c r="J47" i="1"/>
  <c r="BY15" i="2" l="1"/>
  <c r="BX15" i="2"/>
  <c r="BY19" i="2"/>
  <c r="BX19" i="2"/>
  <c r="BX30" i="2"/>
  <c r="BY30" i="2"/>
  <c r="BY29" i="2"/>
  <c r="BX29" i="2"/>
  <c r="BY28" i="2"/>
  <c r="BX28" i="2"/>
  <c r="BY51" i="2"/>
  <c r="BX51" i="2"/>
  <c r="BX63" i="2"/>
  <c r="BY13" i="2"/>
  <c r="BX13" i="2"/>
  <c r="BY17" i="2"/>
  <c r="BX17" i="2"/>
  <c r="BY21" i="2"/>
  <c r="BX21" i="2"/>
  <c r="BY42" i="2"/>
  <c r="BX42" i="2"/>
  <c r="BY41" i="2"/>
  <c r="BX41" i="2"/>
  <c r="BY68" i="2"/>
  <c r="BY33" i="2"/>
  <c r="BX33" i="2"/>
  <c r="BX37" i="2"/>
  <c r="BY37" i="2"/>
  <c r="BY38" i="2"/>
  <c r="BX38" i="2"/>
  <c r="BX39" i="2"/>
  <c r="BY39" i="2"/>
  <c r="BY67" i="2"/>
  <c r="BY32" i="2"/>
  <c r="BX32" i="2"/>
  <c r="BX66" i="2"/>
  <c r="BY54" i="2"/>
  <c r="BX54" i="2"/>
  <c r="BY55" i="2"/>
  <c r="BX67" i="2"/>
  <c r="BX55" i="2"/>
  <c r="BX56" i="2"/>
  <c r="BX68" i="2"/>
  <c r="BY56" i="2"/>
  <c r="BY63" i="2"/>
  <c r="BY64" i="2"/>
  <c r="BY65" i="2"/>
  <c r="BY25" i="2"/>
  <c r="BX25" i="2"/>
  <c r="BY45" i="2"/>
  <c r="BX45" i="2"/>
  <c r="BY50" i="2"/>
  <c r="BX62" i="2"/>
  <c r="BX50" i="2"/>
  <c r="BX26" i="2"/>
  <c r="BY26" i="2"/>
  <c r="BX43" i="2"/>
  <c r="BY43" i="2"/>
  <c r="BX52" i="2"/>
  <c r="BX64" i="2"/>
  <c r="BY52" i="2"/>
  <c r="BY61" i="2"/>
  <c r="BY69" i="2"/>
  <c r="BY16" i="2"/>
  <c r="BX16" i="2"/>
  <c r="BY20" i="2"/>
  <c r="BX20" i="2"/>
  <c r="BY27" i="2"/>
  <c r="BX27" i="2"/>
  <c r="BX44" i="2"/>
  <c r="BY44" i="2"/>
  <c r="BX65" i="2"/>
  <c r="BX53" i="2"/>
  <c r="BY53" i="2"/>
  <c r="BY62" i="2"/>
  <c r="BX14" i="2"/>
  <c r="BY14" i="2"/>
  <c r="BX18" i="2"/>
  <c r="BY18" i="2"/>
  <c r="BY31" i="2"/>
  <c r="BX31" i="2"/>
  <c r="BY40" i="2"/>
  <c r="BX40" i="2"/>
  <c r="BX61" i="2"/>
  <c r="BY49" i="2"/>
  <c r="BX49" i="2"/>
  <c r="BX69" i="2"/>
  <c r="BX57" i="2"/>
  <c r="BY57" i="2"/>
  <c r="BY66" i="2"/>
  <c r="CC16" i="4"/>
  <c r="BY16" i="4"/>
  <c r="BX16" i="4"/>
  <c r="CC20" i="4"/>
  <c r="BY20" i="4"/>
  <c r="BX20" i="4"/>
  <c r="BY27" i="4"/>
  <c r="BX27" i="4"/>
  <c r="BY35" i="4"/>
  <c r="BX35" i="4"/>
  <c r="BY46" i="4"/>
  <c r="BX46" i="4"/>
  <c r="BX69" i="4"/>
  <c r="BY55" i="4"/>
  <c r="BX55" i="4"/>
  <c r="BX77" i="4"/>
  <c r="BY63" i="4"/>
  <c r="BX63" i="4"/>
  <c r="BY74" i="4"/>
  <c r="BY28" i="4"/>
  <c r="BX28" i="4"/>
  <c r="BY36" i="4"/>
  <c r="BY37" i="4"/>
  <c r="BY47" i="4"/>
  <c r="BX47" i="4"/>
  <c r="BX70" i="4"/>
  <c r="BY56" i="4"/>
  <c r="BX56" i="4"/>
  <c r="BY64" i="4"/>
  <c r="BY65" i="4"/>
  <c r="BY75" i="4"/>
  <c r="CC13" i="4"/>
  <c r="BY13" i="4"/>
  <c r="BX13" i="4"/>
  <c r="CC17" i="4"/>
  <c r="BY17" i="4"/>
  <c r="BX17" i="4"/>
  <c r="CC21" i="4"/>
  <c r="BY21" i="4"/>
  <c r="BX21" i="4"/>
  <c r="BY29" i="4"/>
  <c r="BX29" i="4"/>
  <c r="BY48" i="4"/>
  <c r="BX48" i="4"/>
  <c r="BX71" i="4"/>
  <c r="BY57" i="4"/>
  <c r="BX57" i="4"/>
  <c r="BY76" i="4"/>
  <c r="BY30" i="4"/>
  <c r="BX30" i="4"/>
  <c r="BY41" i="4"/>
  <c r="BX41" i="4"/>
  <c r="BY49" i="4"/>
  <c r="BX49" i="4"/>
  <c r="BX72" i="4"/>
  <c r="BY58" i="4"/>
  <c r="BX58" i="4"/>
  <c r="BY69" i="4"/>
  <c r="BY77" i="4"/>
  <c r="CC14" i="4"/>
  <c r="BY14" i="4"/>
  <c r="BX14" i="4"/>
  <c r="CC18" i="4"/>
  <c r="BY18" i="4"/>
  <c r="BX18" i="4"/>
  <c r="CC22" i="4"/>
  <c r="BY22" i="4"/>
  <c r="BY31" i="4"/>
  <c r="BX31" i="4"/>
  <c r="BY42" i="4"/>
  <c r="BX42" i="4"/>
  <c r="BY50" i="4"/>
  <c r="BX50" i="4"/>
  <c r="BY59" i="4"/>
  <c r="BX59" i="4"/>
  <c r="BX73" i="4"/>
  <c r="BY70" i="4"/>
  <c r="CC23" i="4"/>
  <c r="BY23" i="4"/>
  <c r="BY32" i="4"/>
  <c r="BX32" i="4"/>
  <c r="BY43" i="4"/>
  <c r="BX43" i="4"/>
  <c r="BY51" i="4"/>
  <c r="BX51" i="4"/>
  <c r="BY60" i="4"/>
  <c r="BX60" i="4"/>
  <c r="BX74" i="4"/>
  <c r="BY71" i="4"/>
  <c r="BX15" i="4"/>
  <c r="CC15" i="4"/>
  <c r="BY15" i="4"/>
  <c r="BX19" i="4"/>
  <c r="CC19" i="4"/>
  <c r="BY19" i="4"/>
  <c r="BX33" i="4"/>
  <c r="BY33" i="4"/>
  <c r="BX44" i="4"/>
  <c r="BY44" i="4"/>
  <c r="BX61" i="4"/>
  <c r="BX75" i="4"/>
  <c r="BY61" i="4"/>
  <c r="BY72" i="4"/>
  <c r="BY34" i="4"/>
  <c r="BX34" i="4"/>
  <c r="BY45" i="4"/>
  <c r="BX45" i="4"/>
  <c r="BX76" i="4"/>
  <c r="BY62" i="4"/>
  <c r="BX62" i="4"/>
  <c r="BY73" i="4"/>
  <c r="BV7" i="2"/>
  <c r="BX7" i="2" s="1"/>
  <c r="BY7" i="2" s="1"/>
  <c r="BO4" i="2"/>
  <c r="G3" i="1"/>
  <c r="D48" i="2"/>
  <c r="I46" i="1" s="1"/>
  <c r="D96" i="2"/>
  <c r="I94" i="1" s="1"/>
  <c r="D153" i="2"/>
  <c r="I151" i="1" s="1"/>
  <c r="D159" i="2"/>
  <c r="I157" i="1" s="1"/>
  <c r="D242" i="2"/>
  <c r="BA3" i="2"/>
  <c r="D14" i="2"/>
  <c r="I12" i="1" s="1"/>
  <c r="D18" i="2"/>
  <c r="I16" i="1" s="1"/>
  <c r="D22" i="2"/>
  <c r="I20" i="1" s="1"/>
  <c r="D158" i="2"/>
  <c r="I156" i="1" s="1"/>
  <c r="D208" i="2"/>
  <c r="D241" i="2"/>
  <c r="AM6" i="2"/>
  <c r="BO6" i="2" s="1"/>
  <c r="BP6" i="2"/>
  <c r="AN6" i="2"/>
  <c r="BY5" i="2"/>
  <c r="D44" i="2"/>
  <c r="I42" i="1" s="1"/>
  <c r="D121" i="2"/>
  <c r="I119" i="1" s="1"/>
  <c r="D127" i="2"/>
  <c r="I125" i="1" s="1"/>
  <c r="D193" i="2"/>
  <c r="CC21" i="2"/>
  <c r="D80" i="2"/>
  <c r="I78" i="1" s="1"/>
  <c r="D102" i="2"/>
  <c r="I100" i="1" s="1"/>
  <c r="D126" i="2"/>
  <c r="I124" i="1" s="1"/>
  <c r="D192" i="2"/>
  <c r="D220" i="2"/>
  <c r="AM4" i="2"/>
  <c r="K3" i="2"/>
  <c r="Y3" i="2"/>
  <c r="CC13" i="2"/>
  <c r="CC16" i="2"/>
  <c r="CC17" i="2"/>
  <c r="CC20" i="2"/>
  <c r="D13" i="2"/>
  <c r="I11" i="1" s="1"/>
  <c r="D15" i="2"/>
  <c r="I13" i="1" s="1"/>
  <c r="D17" i="2"/>
  <c r="I15" i="1" s="1"/>
  <c r="D19" i="2"/>
  <c r="I17" i="1" s="1"/>
  <c r="D21" i="2"/>
  <c r="I19" i="1" s="1"/>
  <c r="D51" i="2"/>
  <c r="I49" i="1" s="1"/>
  <c r="D77" i="2"/>
  <c r="I75" i="1" s="1"/>
  <c r="D93" i="2"/>
  <c r="I91" i="1" s="1"/>
  <c r="D118" i="2"/>
  <c r="I116" i="1" s="1"/>
  <c r="D134" i="2"/>
  <c r="I132" i="1" s="1"/>
  <c r="D150" i="2"/>
  <c r="I148" i="1" s="1"/>
  <c r="D166" i="2"/>
  <c r="I164" i="1" s="1"/>
  <c r="D185" i="2"/>
  <c r="D200" i="2"/>
  <c r="D209" i="2"/>
  <c r="D231" i="2"/>
  <c r="D240" i="2"/>
  <c r="D252" i="2"/>
  <c r="D269" i="2"/>
  <c r="D297" i="2"/>
  <c r="D311" i="2"/>
  <c r="D333" i="2"/>
  <c r="D361" i="2"/>
  <c r="D375" i="2"/>
  <c r="D25" i="2"/>
  <c r="I23" i="1" s="1"/>
  <c r="D46" i="2"/>
  <c r="I44" i="1" s="1"/>
  <c r="D83" i="2"/>
  <c r="I81" i="1" s="1"/>
  <c r="D99" i="2"/>
  <c r="I97" i="1" s="1"/>
  <c r="D108" i="2"/>
  <c r="I106" i="1" s="1"/>
  <c r="D124" i="2"/>
  <c r="I122" i="1" s="1"/>
  <c r="D140" i="2"/>
  <c r="I138" i="1" s="1"/>
  <c r="D156" i="2"/>
  <c r="I154" i="1" s="1"/>
  <c r="D172" i="2"/>
  <c r="D218" i="2"/>
  <c r="D221" i="2"/>
  <c r="D227" i="2"/>
  <c r="D266" i="2"/>
  <c r="D291" i="2"/>
  <c r="D294" i="2"/>
  <c r="D330" i="2"/>
  <c r="D355" i="2"/>
  <c r="D358" i="2"/>
  <c r="CC18" i="2"/>
  <c r="CC14" i="2"/>
  <c r="D9" i="2"/>
  <c r="I7" i="1" s="1"/>
  <c r="D35" i="2"/>
  <c r="I33" i="1" s="1"/>
  <c r="D50" i="2"/>
  <c r="I48" i="1" s="1"/>
  <c r="D114" i="2"/>
  <c r="I112" i="1" s="1"/>
  <c r="D130" i="2"/>
  <c r="I128" i="1" s="1"/>
  <c r="D146" i="2"/>
  <c r="I144" i="1" s="1"/>
  <c r="D162" i="2"/>
  <c r="I160" i="1" s="1"/>
  <c r="D190" i="2"/>
  <c r="D206" i="2"/>
  <c r="D42" i="2"/>
  <c r="I40" i="1" s="1"/>
  <c r="D79" i="2"/>
  <c r="I77" i="1" s="1"/>
  <c r="D95" i="2"/>
  <c r="I93" i="1" s="1"/>
  <c r="D120" i="2"/>
  <c r="I118" i="1" s="1"/>
  <c r="D136" i="2"/>
  <c r="I134" i="1" s="1"/>
  <c r="D152" i="2"/>
  <c r="I150" i="1" s="1"/>
  <c r="D168" i="2"/>
  <c r="D211" i="2"/>
  <c r="D268" i="2"/>
  <c r="D282" i="2"/>
  <c r="D307" i="2"/>
  <c r="D310" i="2"/>
  <c r="D346" i="2"/>
  <c r="D371" i="2"/>
  <c r="D374" i="2"/>
  <c r="CC15" i="2"/>
  <c r="CC19" i="2"/>
  <c r="D23" i="2"/>
  <c r="I21" i="1" s="1"/>
  <c r="D55" i="2"/>
  <c r="I53" i="1" s="1"/>
  <c r="D58" i="2"/>
  <c r="I56" i="1" s="1"/>
  <c r="D64" i="2"/>
  <c r="I62" i="1" s="1"/>
  <c r="D67" i="2"/>
  <c r="I65" i="1" s="1"/>
  <c r="D81" i="2"/>
  <c r="I79" i="1" s="1"/>
  <c r="D97" i="2"/>
  <c r="I95" i="1" s="1"/>
  <c r="D122" i="2"/>
  <c r="I120" i="1" s="1"/>
  <c r="D138" i="2"/>
  <c r="I136" i="1" s="1"/>
  <c r="D154" i="2"/>
  <c r="I152" i="1" s="1"/>
  <c r="D170" i="2"/>
  <c r="D180" i="2"/>
  <c r="D189" i="2"/>
  <c r="D198" i="2"/>
  <c r="D204" i="2"/>
  <c r="D225" i="2"/>
  <c r="D247" i="2"/>
  <c r="D256" i="2"/>
  <c r="D281" i="2"/>
  <c r="D295" i="2"/>
  <c r="D317" i="2"/>
  <c r="D345" i="2"/>
  <c r="D359" i="2"/>
  <c r="D381" i="2"/>
  <c r="D182" i="2"/>
  <c r="D233" i="2"/>
  <c r="D261" i="2"/>
  <c r="D267" i="2"/>
  <c r="D270" i="2"/>
  <c r="D273" i="2"/>
  <c r="D299" i="2"/>
  <c r="D302" i="2"/>
  <c r="D305" i="2"/>
  <c r="D331" i="2"/>
  <c r="D334" i="2"/>
  <c r="D337" i="2"/>
  <c r="D363" i="2"/>
  <c r="D366" i="2"/>
  <c r="D369" i="2"/>
  <c r="D178" i="2"/>
  <c r="D229" i="2"/>
  <c r="D287" i="2"/>
  <c r="D290" i="2"/>
  <c r="D293" i="2"/>
  <c r="D322" i="2"/>
  <c r="D325" i="2"/>
  <c r="D354" i="2"/>
  <c r="D357" i="2"/>
  <c r="D217" i="2"/>
  <c r="D249" i="2"/>
  <c r="D283" i="2"/>
  <c r="D286" i="2"/>
  <c r="D289" i="2"/>
  <c r="D318" i="2"/>
  <c r="D321" i="2"/>
  <c r="D350" i="2"/>
  <c r="D353" i="2"/>
  <c r="G3" i="3"/>
  <c r="D213" i="2"/>
  <c r="D245" i="2"/>
  <c r="D259" i="2"/>
  <c r="D271" i="2"/>
  <c r="D274" i="2"/>
  <c r="D277" i="2"/>
  <c r="D303" i="2"/>
  <c r="D306" i="2"/>
  <c r="D309" i="2"/>
  <c r="D335" i="2"/>
  <c r="D338" i="2"/>
  <c r="D341" i="2"/>
  <c r="D367" i="2"/>
  <c r="D370" i="2"/>
  <c r="D373" i="2"/>
  <c r="BE4" i="4"/>
  <c r="AO4" i="4"/>
  <c r="Y4" i="4"/>
  <c r="I4" i="4"/>
  <c r="BC4" i="4"/>
  <c r="AM4" i="4"/>
  <c r="W4" i="4"/>
  <c r="G4" i="4"/>
  <c r="BA4" i="4"/>
  <c r="AK4" i="4"/>
  <c r="U4" i="4"/>
  <c r="E4" i="4"/>
  <c r="K4" i="4"/>
  <c r="AA4" i="4"/>
  <c r="AQ4" i="4"/>
  <c r="BG4" i="4"/>
  <c r="M4" i="4"/>
  <c r="AC4" i="4"/>
  <c r="BI4" i="4"/>
  <c r="AU4" i="4"/>
  <c r="BK4" i="4"/>
  <c r="Q4" i="4"/>
  <c r="AG4" i="4"/>
  <c r="AW4" i="4"/>
  <c r="BM4" i="4"/>
  <c r="S4" i="4"/>
  <c r="AI4" i="4"/>
  <c r="AY4" i="4"/>
  <c r="BV3" i="4"/>
  <c r="O4" i="4"/>
  <c r="AE4" i="4"/>
  <c r="BV6" i="4"/>
  <c r="BX6" i="4" s="1"/>
  <c r="BY6" i="4" s="1"/>
  <c r="BO4" i="4"/>
  <c r="AS4" i="4"/>
  <c r="J157" i="1"/>
  <c r="J15" i="1"/>
  <c r="J148" i="1"/>
  <c r="J81" i="1"/>
  <c r="J160" i="1"/>
  <c r="J150" i="1"/>
  <c r="J17" i="1"/>
  <c r="J164" i="1"/>
  <c r="J97" i="1"/>
  <c r="J79" i="1"/>
  <c r="J138" i="1"/>
  <c r="J136" i="1"/>
  <c r="J78" i="1"/>
  <c r="J19" i="1"/>
  <c r="J106" i="1"/>
  <c r="J7" i="1"/>
  <c r="J95" i="1"/>
  <c r="J48" i="1"/>
  <c r="J21" i="1"/>
  <c r="J56" i="1"/>
  <c r="J12" i="1"/>
  <c r="J100" i="1"/>
  <c r="J49" i="1"/>
  <c r="J122" i="1"/>
  <c r="J33" i="1"/>
  <c r="J40" i="1"/>
  <c r="J120" i="1"/>
  <c r="J16" i="1"/>
  <c r="J124" i="1"/>
  <c r="J75" i="1"/>
  <c r="J77" i="1"/>
  <c r="J46" i="1"/>
  <c r="J20" i="1"/>
  <c r="J42" i="1"/>
  <c r="J91" i="1"/>
  <c r="J154" i="1"/>
  <c r="J112" i="1"/>
  <c r="J93" i="1"/>
  <c r="J53" i="1"/>
  <c r="J152" i="1"/>
  <c r="J94" i="1"/>
  <c r="J156" i="1"/>
  <c r="J119" i="1"/>
  <c r="J11" i="1"/>
  <c r="J116" i="1"/>
  <c r="J23" i="1"/>
  <c r="J128" i="1"/>
  <c r="J118" i="1"/>
  <c r="J151" i="1"/>
  <c r="J125" i="1"/>
  <c r="J13" i="1"/>
  <c r="J132" i="1"/>
  <c r="J44" i="1"/>
  <c r="J144" i="1"/>
  <c r="J134" i="1"/>
  <c r="J62" i="1"/>
  <c r="J65" i="1"/>
  <c r="BR4" i="4" l="1"/>
  <c r="BV6" i="2"/>
  <c r="BX6" i="2" s="1"/>
  <c r="BY6" i="2" s="1"/>
  <c r="BA4" i="2"/>
  <c r="BV1" i="4"/>
  <c r="BX1" i="4" s="1"/>
  <c r="BY1" i="4" s="1"/>
  <c r="BX3" i="4"/>
  <c r="BY3" i="4" s="1"/>
  <c r="BV4" i="2"/>
  <c r="BX4" i="2" s="1"/>
  <c r="BY4" i="2" s="1"/>
  <c r="Y4" i="2"/>
  <c r="BR3" i="2"/>
  <c r="BV3" i="2"/>
  <c r="K4" i="2"/>
  <c r="BV1" i="2" l="1"/>
  <c r="BX1" i="2" s="1"/>
  <c r="BY1" i="2" s="1"/>
  <c r="BX3" i="2"/>
  <c r="BY3" i="2" s="1"/>
</calcChain>
</file>

<file path=xl/sharedStrings.xml><?xml version="1.0" encoding="utf-8"?>
<sst xmlns="http://schemas.openxmlformats.org/spreadsheetml/2006/main" count="2461" uniqueCount="448">
  <si>
    <t>.</t>
  </si>
  <si>
    <t>1월</t>
  </si>
  <si>
    <t>유효회원</t>
  </si>
  <si>
    <t>남</t>
  </si>
  <si>
    <t>여</t>
  </si>
  <si>
    <t>만료회원</t>
  </si>
  <si>
    <t>이름</t>
  </si>
  <si>
    <t>성별</t>
  </si>
  <si>
    <t>전화번호</t>
  </si>
  <si>
    <t>등록 개월</t>
  </si>
  <si>
    <t>접수일</t>
  </si>
  <si>
    <t>시작일</t>
  </si>
  <si>
    <t>종료일</t>
  </si>
  <si>
    <t>출석수</t>
  </si>
  <si>
    <t>출석률</t>
  </si>
  <si>
    <t>배정선생님</t>
  </si>
  <si>
    <t>피트릭스</t>
  </si>
  <si>
    <t>인바디</t>
  </si>
  <si>
    <t>1주차</t>
  </si>
  <si>
    <t>2주차</t>
  </si>
  <si>
    <t>3주차</t>
  </si>
  <si>
    <t>4주차</t>
  </si>
  <si>
    <t>5주차</t>
  </si>
  <si>
    <t xml:space="preserve"> </t>
  </si>
  <si>
    <t>김정숙</t>
  </si>
  <si>
    <t>010-7197-6510</t>
  </si>
  <si>
    <t>FPT 6개월</t>
  </si>
  <si>
    <t>신하영</t>
  </si>
  <si>
    <t>010-7406-1778</t>
  </si>
  <si>
    <t>정지우</t>
  </si>
  <si>
    <t>010-4703-7598</t>
  </si>
  <si>
    <t>FPT 9개월</t>
  </si>
  <si>
    <t>곽상희</t>
  </si>
  <si>
    <t>010-8751-6220</t>
  </si>
  <si>
    <t>FPT 12개월</t>
  </si>
  <si>
    <t>임성빈</t>
  </si>
  <si>
    <t>010-5238-4621</t>
  </si>
  <si>
    <t>이난영</t>
  </si>
  <si>
    <t>010-5673-8991</t>
  </si>
  <si>
    <t>이지현</t>
  </si>
  <si>
    <t>010-9077-6644</t>
  </si>
  <si>
    <t>정유찬</t>
  </si>
  <si>
    <t>010-5923-3791</t>
  </si>
  <si>
    <t>전용순</t>
  </si>
  <si>
    <t>010-8983-3271</t>
  </si>
  <si>
    <t>김용희</t>
  </si>
  <si>
    <t>010-2950-3381</t>
  </si>
  <si>
    <t>황서영</t>
  </si>
  <si>
    <t>010-5457-5827</t>
  </si>
  <si>
    <t>박유나</t>
  </si>
  <si>
    <t>010-2949-9347</t>
  </si>
  <si>
    <t>김지윤</t>
  </si>
  <si>
    <t>010-4032-8075</t>
  </si>
  <si>
    <t>오현옥</t>
  </si>
  <si>
    <t>010-9199-6535</t>
  </si>
  <si>
    <t>정현주</t>
  </si>
  <si>
    <t>010-3496-8366</t>
  </si>
  <si>
    <t>FPT 3개월</t>
  </si>
  <si>
    <t>박형선</t>
  </si>
  <si>
    <t>010-4526-8854</t>
  </si>
  <si>
    <t>이자경</t>
  </si>
  <si>
    <t>010-7522-7881</t>
  </si>
  <si>
    <t>박현미</t>
  </si>
  <si>
    <t>010-2924-8656</t>
  </si>
  <si>
    <t>김수현</t>
  </si>
  <si>
    <t>010-3382-9804</t>
  </si>
  <si>
    <t>고경민</t>
  </si>
  <si>
    <t>010-2859-6109</t>
  </si>
  <si>
    <t>강세철</t>
  </si>
  <si>
    <t>010-6392-9545</t>
  </si>
  <si>
    <t>양정원</t>
  </si>
  <si>
    <t>010-3731-0495</t>
  </si>
  <si>
    <t>전다희</t>
  </si>
  <si>
    <t>010-8703-3178</t>
  </si>
  <si>
    <t>김혜원</t>
  </si>
  <si>
    <t>010-4878-8699</t>
  </si>
  <si>
    <t>김혜민</t>
  </si>
  <si>
    <t>010-4154-0253</t>
  </si>
  <si>
    <t>권현진</t>
  </si>
  <si>
    <t>010-3498-3337</t>
  </si>
  <si>
    <t>권항주</t>
  </si>
  <si>
    <t>010-2367-6300</t>
  </si>
  <si>
    <t>구영주</t>
  </si>
  <si>
    <t>010-8954-5281</t>
  </si>
  <si>
    <t>최윤정</t>
  </si>
  <si>
    <t>010-9267-3349</t>
  </si>
  <si>
    <t>김승주</t>
  </si>
  <si>
    <t>010-2716-5155</t>
  </si>
  <si>
    <t>신지영</t>
  </si>
  <si>
    <t>010-9447-7147</t>
  </si>
  <si>
    <t>FPT 1개월</t>
  </si>
  <si>
    <t>신미화</t>
  </si>
  <si>
    <t>010-9983-0276</t>
  </si>
  <si>
    <t>박성수</t>
  </si>
  <si>
    <t>010-3376-2305</t>
  </si>
  <si>
    <t>박성화</t>
  </si>
  <si>
    <t>010-4710-0170</t>
  </si>
  <si>
    <t>장은재</t>
  </si>
  <si>
    <t>010-9795-3566</t>
  </si>
  <si>
    <t>임채연</t>
  </si>
  <si>
    <t>010-2871-3163</t>
  </si>
  <si>
    <t>FPT 5개월</t>
  </si>
  <si>
    <t>이라임</t>
  </si>
  <si>
    <t>010-5191-3188</t>
  </si>
  <si>
    <t>김민경</t>
  </si>
  <si>
    <t>010-5639-5675</t>
  </si>
  <si>
    <t>이영호</t>
  </si>
  <si>
    <t>010-4102-8795</t>
  </si>
  <si>
    <t>이현정</t>
  </si>
  <si>
    <t>010-8543-2299</t>
  </si>
  <si>
    <t>문미옥</t>
  </si>
  <si>
    <t>010-2402-9513</t>
  </si>
  <si>
    <t>김도희</t>
  </si>
  <si>
    <t>010-4075-3680</t>
  </si>
  <si>
    <t>안정민</t>
  </si>
  <si>
    <t>010-7656-9006</t>
  </si>
  <si>
    <t>박선정</t>
  </si>
  <si>
    <t>010-5155-5011</t>
  </si>
  <si>
    <t>노홍주</t>
  </si>
  <si>
    <t>010-5315-7675</t>
  </si>
  <si>
    <t>이범수</t>
  </si>
  <si>
    <t>010-8390-5109</t>
  </si>
  <si>
    <t>박슬기</t>
  </si>
  <si>
    <t>010-2675-0052</t>
  </si>
  <si>
    <t>김형석</t>
  </si>
  <si>
    <t>010-3634-1723</t>
  </si>
  <si>
    <t>배소영</t>
  </si>
  <si>
    <t>010-4105-8714</t>
  </si>
  <si>
    <t>김현화</t>
  </si>
  <si>
    <t>010-8270-0687</t>
  </si>
  <si>
    <t>이정순</t>
  </si>
  <si>
    <t>010-8956-9278</t>
  </si>
  <si>
    <t>이춘순</t>
  </si>
  <si>
    <t>010-3237-4797</t>
  </si>
  <si>
    <t>정보경</t>
  </si>
  <si>
    <t>010-9565-2410</t>
  </si>
  <si>
    <t>윤영옥</t>
  </si>
  <si>
    <t>010-5195-0378</t>
  </si>
  <si>
    <t>정지영</t>
  </si>
  <si>
    <t>010-3120-5859</t>
  </si>
  <si>
    <t>구은아</t>
  </si>
  <si>
    <t>010-2995-6995</t>
  </si>
  <si>
    <t>진세현</t>
  </si>
  <si>
    <t>010-5180-4345</t>
  </si>
  <si>
    <t>김혜순</t>
  </si>
  <si>
    <t>010-4261-6509</t>
  </si>
  <si>
    <t>최인애</t>
  </si>
  <si>
    <t>010-3616-0624</t>
  </si>
  <si>
    <t>황병욱</t>
  </si>
  <si>
    <t>010-2098-2668</t>
  </si>
  <si>
    <t>김도하</t>
  </si>
  <si>
    <t>010-8344-2161</t>
  </si>
  <si>
    <t>김혜민B</t>
  </si>
  <si>
    <t>010-9165-3108</t>
  </si>
  <si>
    <t>박태근</t>
  </si>
  <si>
    <t>010-7599-9855</t>
  </si>
  <si>
    <t>조현아</t>
  </si>
  <si>
    <t>010-6644-2549</t>
  </si>
  <si>
    <t>김희준</t>
  </si>
  <si>
    <t>010-3873-4197</t>
  </si>
  <si>
    <t>이윤하</t>
  </si>
  <si>
    <t>010-2364-0083</t>
  </si>
  <si>
    <t>김도연</t>
  </si>
  <si>
    <t>010-5042-4420</t>
  </si>
  <si>
    <t>이선화</t>
  </si>
  <si>
    <t>010-8731-2156</t>
  </si>
  <si>
    <t>이지영</t>
  </si>
  <si>
    <t>010-3609-4706</t>
  </si>
  <si>
    <t>조순녕</t>
  </si>
  <si>
    <t>010-5886-9031</t>
  </si>
  <si>
    <t>이우재</t>
  </si>
  <si>
    <t>010-8869-7523</t>
  </si>
  <si>
    <t>김미숙</t>
  </si>
  <si>
    <t>010-9398-0731</t>
  </si>
  <si>
    <t>이원섭</t>
  </si>
  <si>
    <t>010-3705-7602</t>
  </si>
  <si>
    <t>이상희</t>
  </si>
  <si>
    <t>010-2128-7602</t>
  </si>
  <si>
    <t>조귀윤</t>
  </si>
  <si>
    <t>010-9291-7413</t>
  </si>
  <si>
    <t>최라인</t>
  </si>
  <si>
    <t>010-5104-7266</t>
  </si>
  <si>
    <t>박지은</t>
  </si>
  <si>
    <t>010-2209-8994</t>
  </si>
  <si>
    <t>진성훈,우정원</t>
  </si>
  <si>
    <t>010-5092-5399</t>
  </si>
  <si>
    <t>FPT 14개월</t>
  </si>
  <si>
    <t>김수진</t>
  </si>
  <si>
    <t>010-2563-1076</t>
  </si>
  <si>
    <t>장진영</t>
  </si>
  <si>
    <t>010-8930-7966</t>
  </si>
  <si>
    <t>권은주</t>
  </si>
  <si>
    <t>010-5226-3575</t>
  </si>
  <si>
    <t>이유빈</t>
  </si>
  <si>
    <t>010-2706-3001</t>
  </si>
  <si>
    <t>권기훈</t>
  </si>
  <si>
    <t>010-2112-5879</t>
  </si>
  <si>
    <t>FPT 8개월</t>
  </si>
  <si>
    <t>박혜진</t>
  </si>
  <si>
    <t>010-3342-9343</t>
  </si>
  <si>
    <t>윤태종</t>
  </si>
  <si>
    <t>010-2542-9131</t>
  </si>
  <si>
    <t>김설리</t>
  </si>
  <si>
    <t>010-2498-9516</t>
  </si>
  <si>
    <t>윤예림</t>
  </si>
  <si>
    <t>010-2008-5418</t>
  </si>
  <si>
    <t>이채연</t>
  </si>
  <si>
    <t>010-8927-9104</t>
  </si>
  <si>
    <t>김서현</t>
  </si>
  <si>
    <t>010-4803-1301</t>
  </si>
  <si>
    <t>이지연</t>
  </si>
  <si>
    <t>010-9700-5719</t>
  </si>
  <si>
    <t>김은혜</t>
  </si>
  <si>
    <t>010-3081-0985</t>
  </si>
  <si>
    <t>최지영</t>
  </si>
  <si>
    <t>010-6216-9638</t>
  </si>
  <si>
    <t>신건향</t>
  </si>
  <si>
    <t>010-2705-6660</t>
  </si>
  <si>
    <t>구미현</t>
  </si>
  <si>
    <t>010-2380-9638</t>
  </si>
  <si>
    <t>공유진</t>
  </si>
  <si>
    <t>010-9941-1202</t>
  </si>
  <si>
    <t>박선하</t>
  </si>
  <si>
    <t>010-6473-9549</t>
  </si>
  <si>
    <t>구경향</t>
  </si>
  <si>
    <t>010-2252-3336</t>
  </si>
  <si>
    <t>김유정,김충열</t>
  </si>
  <si>
    <t>010-8741-7458</t>
  </si>
  <si>
    <t>오명은</t>
  </si>
  <si>
    <t>010-2528-8613</t>
  </si>
  <si>
    <t>김균해</t>
  </si>
  <si>
    <t>010-4900-5598</t>
  </si>
  <si>
    <t>이지은</t>
  </si>
  <si>
    <t>010-4488-8232</t>
  </si>
  <si>
    <t>이은주</t>
  </si>
  <si>
    <t>010-3381-4705</t>
  </si>
  <si>
    <t>강한빛/김소정</t>
  </si>
  <si>
    <t>010-5290-0857</t>
  </si>
  <si>
    <t>박영자</t>
  </si>
  <si>
    <t>010-9410-6092</t>
  </si>
  <si>
    <t>김시현</t>
  </si>
  <si>
    <t>010-4065-8159</t>
  </si>
  <si>
    <t>양창규</t>
  </si>
  <si>
    <t>010-3764-3721</t>
  </si>
  <si>
    <t>윤미숙</t>
  </si>
  <si>
    <t>010-8745-5324</t>
  </si>
  <si>
    <t>배명숙</t>
  </si>
  <si>
    <t>010-7487-7482</t>
  </si>
  <si>
    <t>안혜자</t>
  </si>
  <si>
    <t>010-7674-8770</t>
  </si>
  <si>
    <t>이은숙</t>
  </si>
  <si>
    <t>010-5235-4813</t>
  </si>
  <si>
    <t>김용희b</t>
  </si>
  <si>
    <t>010-9955-6668</t>
  </si>
  <si>
    <t>박윤영</t>
  </si>
  <si>
    <t>010-2234-5608</t>
  </si>
  <si>
    <t>박지현</t>
  </si>
  <si>
    <t>010-6285-0901</t>
  </si>
  <si>
    <t>권경옥</t>
  </si>
  <si>
    <t>010-5261-1460</t>
  </si>
  <si>
    <t>선경순</t>
  </si>
  <si>
    <t>010-7106-5665</t>
  </si>
  <si>
    <t>문지환</t>
  </si>
  <si>
    <t>010-9321-5894</t>
  </si>
  <si>
    <t>허일화</t>
  </si>
  <si>
    <t>010-8488-0504</t>
  </si>
  <si>
    <t>강성희</t>
  </si>
  <si>
    <t>010-3895-0140</t>
  </si>
  <si>
    <t>홍지원</t>
  </si>
  <si>
    <t>010-7187-6459</t>
  </si>
  <si>
    <t>오미정</t>
  </si>
  <si>
    <t>010-9490-0991</t>
  </si>
  <si>
    <t>황지윤</t>
  </si>
  <si>
    <t>010-2902-6375</t>
  </si>
  <si>
    <t>김형원</t>
  </si>
  <si>
    <t>010-5627-6609</t>
  </si>
  <si>
    <t>이예원</t>
  </si>
  <si>
    <t>010-7932-3573</t>
  </si>
  <si>
    <t>김형정</t>
  </si>
  <si>
    <t>010-9040-5193</t>
  </si>
  <si>
    <t>이세희</t>
  </si>
  <si>
    <t>010-9790-5233</t>
  </si>
  <si>
    <t>김한별</t>
  </si>
  <si>
    <t>010-6204-7332</t>
  </si>
  <si>
    <t>이혜승</t>
  </si>
  <si>
    <t>010-8714-0526</t>
  </si>
  <si>
    <t>박강민</t>
  </si>
  <si>
    <t>010-9096-9452</t>
  </si>
  <si>
    <t>이동건</t>
  </si>
  <si>
    <t>010-2001-0078</t>
  </si>
  <si>
    <t>조범기</t>
  </si>
  <si>
    <t>010-6246-8119</t>
  </si>
  <si>
    <t>한동은</t>
  </si>
  <si>
    <t>010-4002-3111</t>
  </si>
  <si>
    <t>김보미</t>
  </si>
  <si>
    <t>010-4006-9251</t>
  </si>
  <si>
    <t>이은영</t>
  </si>
  <si>
    <t>010-2299-5862</t>
  </si>
  <si>
    <t>강승연</t>
  </si>
  <si>
    <t>010-6352-6922</t>
  </si>
  <si>
    <t>박미화</t>
  </si>
  <si>
    <t>010-2410-2811</t>
  </si>
  <si>
    <t>이지민</t>
  </si>
  <si>
    <t>010-2171-5037</t>
  </si>
  <si>
    <t>윤채림</t>
  </si>
  <si>
    <t>010-7920-4857</t>
  </si>
  <si>
    <t>심정아</t>
  </si>
  <si>
    <t>010-3237-4645</t>
  </si>
  <si>
    <t>박상욱</t>
  </si>
  <si>
    <t>010-3156-6693</t>
  </si>
  <si>
    <t>박화은</t>
  </si>
  <si>
    <t>010-6333-4775</t>
  </si>
  <si>
    <t>유선민</t>
  </si>
  <si>
    <t>010-3531-4265</t>
  </si>
  <si>
    <t>황인준</t>
  </si>
  <si>
    <t>010-3062-4112</t>
  </si>
  <si>
    <t>신윤진</t>
  </si>
  <si>
    <t>010-4754-4751</t>
  </si>
  <si>
    <t>김혜경</t>
  </si>
  <si>
    <t>010-4706-6876</t>
  </si>
  <si>
    <t>이소윤</t>
  </si>
  <si>
    <t>010-2627-9028</t>
  </si>
  <si>
    <t>FPT 횟수권</t>
  </si>
  <si>
    <t>-</t>
  </si>
  <si>
    <t>배진선</t>
  </si>
  <si>
    <t>010-5172-8628</t>
  </si>
  <si>
    <t>문아인</t>
  </si>
  <si>
    <t>010-4615-6586</t>
  </si>
  <si>
    <t>FPT 2개월</t>
  </si>
  <si>
    <t>김은혜B</t>
  </si>
  <si>
    <t>010-8102-7406</t>
  </si>
  <si>
    <t>인소영</t>
  </si>
  <si>
    <t>010-4015-0992</t>
  </si>
  <si>
    <t>김진서</t>
  </si>
  <si>
    <t>010-7673-4824</t>
  </si>
  <si>
    <t>원정선</t>
  </si>
  <si>
    <t>010-3880-9701</t>
  </si>
  <si>
    <t>이민우</t>
  </si>
  <si>
    <t>010-7339-6724</t>
  </si>
  <si>
    <t>김민희</t>
  </si>
  <si>
    <t>010-3553-7685</t>
  </si>
  <si>
    <t>김은희</t>
  </si>
  <si>
    <t>010-2477-5347</t>
  </si>
  <si>
    <t>장규순</t>
  </si>
  <si>
    <t>010-4001-4691</t>
  </si>
  <si>
    <t>김영춘</t>
  </si>
  <si>
    <t>010-2707-2110</t>
  </si>
  <si>
    <t>안도담</t>
  </si>
  <si>
    <t>010-4715-4511</t>
  </si>
  <si>
    <t>안중원</t>
  </si>
  <si>
    <t>010-5007-2357</t>
  </si>
  <si>
    <t>차민경</t>
  </si>
  <si>
    <t>010-6438-3708</t>
  </si>
  <si>
    <t>ㄹ</t>
  </si>
  <si>
    <t>누적</t>
  </si>
  <si>
    <t>26.1월</t>
  </si>
  <si>
    <t>평균</t>
  </si>
  <si>
    <t>주차</t>
  </si>
  <si>
    <t>일수</t>
  </si>
  <si>
    <t>홍은</t>
  </si>
  <si>
    <t>수</t>
  </si>
  <si>
    <t>율</t>
  </si>
  <si>
    <t>s . 신규</t>
  </si>
  <si>
    <t>r 기존.</t>
  </si>
  <si>
    <t>mr 살몬</t>
  </si>
  <si>
    <t>시간대별 출석인원 및 비율</t>
  </si>
  <si>
    <t>수업료 계산 평균 인원</t>
  </si>
  <si>
    <t>시간</t>
  </si>
  <si>
    <t>출석인원</t>
  </si>
  <si>
    <t>%</t>
  </si>
  <si>
    <t>인원</t>
  </si>
  <si>
    <t>12월</t>
  </si>
  <si>
    <t>회원관리</t>
  </si>
  <si>
    <t>6개월</t>
  </si>
  <si>
    <t>김효빈</t>
  </si>
  <si>
    <t>서준석</t>
  </si>
  <si>
    <t>9개월</t>
  </si>
  <si>
    <t>12개월</t>
  </si>
  <si>
    <t>김건</t>
  </si>
  <si>
    <t>24개월</t>
  </si>
  <si>
    <t>임순란</t>
  </si>
  <si>
    <t>010-2204-0253</t>
  </si>
  <si>
    <t>김혜민A</t>
  </si>
  <si>
    <t>3개월</t>
  </si>
  <si>
    <t>정일녀</t>
  </si>
  <si>
    <t>010-5303-9375</t>
  </si>
  <si>
    <t>1개월</t>
  </si>
  <si>
    <t>진성훈</t>
  </si>
  <si>
    <t>7개월</t>
  </si>
  <si>
    <t>우정원</t>
  </si>
  <si>
    <t>010-0000-0000</t>
  </si>
  <si>
    <t>8개월</t>
  </si>
  <si>
    <t>박성국</t>
  </si>
  <si>
    <t>010-9102-7607</t>
  </si>
  <si>
    <t>황희정</t>
  </si>
  <si>
    <t>010-7296-9796</t>
  </si>
  <si>
    <t>김충열</t>
  </si>
  <si>
    <t>김유정</t>
  </si>
  <si>
    <t>21개월</t>
  </si>
  <si>
    <t>임하은</t>
  </si>
  <si>
    <t>010-6747-5674</t>
  </si>
  <si>
    <t>김윤아</t>
  </si>
  <si>
    <t>010-5962-2711</t>
  </si>
  <si>
    <t>5개월</t>
  </si>
  <si>
    <t>황수영</t>
  </si>
  <si>
    <t>010-1111-1111</t>
  </si>
  <si>
    <t>강지영</t>
  </si>
  <si>
    <t>010-1111-1112</t>
  </si>
  <si>
    <t>한주환</t>
  </si>
  <si>
    <t>010-1234-1234</t>
  </si>
  <si>
    <t>2개월</t>
  </si>
  <si>
    <t>홍정아</t>
  </si>
  <si>
    <t>010-6310-9068</t>
  </si>
  <si>
    <t>가계약</t>
  </si>
  <si>
    <t>김건,김효빈</t>
  </si>
  <si>
    <t>이수연</t>
  </si>
  <si>
    <t>010-8965-7260</t>
  </si>
  <si>
    <t>010-6333-7775</t>
  </si>
  <si>
    <t>황익준</t>
  </si>
  <si>
    <t>7회</t>
  </si>
  <si>
    <t>서준석석</t>
  </si>
  <si>
    <t>2025.07.12</t>
  </si>
  <si>
    <t>2025.07.28</t>
  </si>
  <si>
    <t>2026.02.27</t>
  </si>
  <si>
    <t>이태은</t>
  </si>
  <si>
    <t>010-5855-4154</t>
  </si>
  <si>
    <t>2025.08.14</t>
  </si>
  <si>
    <t>2026.05.29</t>
  </si>
  <si>
    <t>이환희</t>
  </si>
  <si>
    <t>010-2133-4154</t>
  </si>
  <si>
    <t>2025.12.30</t>
  </si>
  <si>
    <t>2026.01.01</t>
  </si>
  <si>
    <t>2026.12.31</t>
  </si>
  <si>
    <t>2026.03.01</t>
  </si>
  <si>
    <t>2025.12.31</t>
  </si>
  <si>
    <t>2026.10.30</t>
  </si>
  <si>
    <t>2026.02.28</t>
  </si>
  <si>
    <t>2026.01.06</t>
  </si>
  <si>
    <t>2027.02.05</t>
  </si>
  <si>
    <t>2026.01.02</t>
  </si>
  <si>
    <t>2026.01.12</t>
  </si>
  <si>
    <t>2027.01.11</t>
  </si>
  <si>
    <t>횟수권</t>
  </si>
  <si>
    <t>2026.01.03</t>
  </si>
  <si>
    <t>2026.01.05</t>
  </si>
  <si>
    <t>25.12월</t>
  </si>
  <si>
    <t/>
  </si>
  <si>
    <t>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</si>
</sst>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\-mm\-dd"/>
    <numFmt numFmtId="177" formatCode="yyyy&quot;.&quot;mm&quot;.&quot;dd"/>
    <numFmt numFmtId="178" formatCode="yyyy&quot;-&quot;mm&quot;-&quot;dd"/>
    <numFmt numFmtId="179" formatCode="yyyy&quot;-&quot;m&quot;-&quot;d"/>
    <numFmt numFmtId="180" formatCode="0.0"/>
  </numFmts>
  <fonts count="32"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Verdana"/>
    </font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FF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&quot;맑은 고딕&quot;"/>
      <family val="3"/>
      <charset val="129"/>
    </font>
    <font>
      <sz val="11"/>
      <color theme="1"/>
      <name val="Arial"/>
      <family val="2"/>
    </font>
    <font>
      <sz val="11"/>
      <color theme="1"/>
      <name val="Malgun Gothic"/>
    </font>
    <font>
      <sz val="11"/>
      <color rgb="FF4A86E8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&quot;맑은 고딕&quot;"/>
      <family val="3"/>
      <charset val="129"/>
    </font>
    <font>
      <b/>
      <sz val="10"/>
      <color rgb="FF000000"/>
      <name val="&quot;맑은 고딕&quot;"/>
      <family val="3"/>
      <charset val="129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  <font>
      <sz val="10"/>
      <color rgb="FF000000"/>
      <name val="&quot;맑은 고딕&quot;"/>
      <family val="3"/>
      <charset val="129"/>
    </font>
    <font>
      <sz val="10"/>
      <color rgb="FFFFFFFF"/>
      <name val="Arial"/>
      <family val="2"/>
      <scheme val="minor"/>
    </font>
    <font>
      <sz val="10"/>
      <color theme="0"/>
      <name val="Arial"/>
      <family val="2"/>
    </font>
    <font>
      <sz val="10"/>
      <color theme="1"/>
      <name val="Inconsolata"/>
    </font>
    <font>
      <b/>
      <sz val="10"/>
      <color theme="1"/>
      <name val="Inconsolata"/>
    </font>
    <font>
      <sz val="10"/>
      <color theme="0"/>
      <name val="Inconsolata"/>
    </font>
    <font>
      <sz val="10"/>
      <color theme="1"/>
      <name val="&quot;맑은 고딕&quot;"/>
      <family val="3"/>
      <charset val="129"/>
    </font>
    <font>
      <sz val="10"/>
      <color theme="0"/>
      <name val="&quot;맑은 고딕&quot;"/>
      <family val="3"/>
      <charset val="129"/>
    </font>
    <font>
      <b/>
      <sz val="10"/>
      <color theme="1"/>
      <name val="Arial"/>
      <family val="2"/>
    </font>
    <font>
      <sz val="10"/>
      <color theme="1"/>
      <name val="Inconsolata"/>
    </font>
    <font>
      <b/>
      <sz val="10"/>
      <color theme="1"/>
      <name val="Inconsolata"/>
    </font>
    <font>
      <sz val="8"/>
      <name val="Arial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0CECE"/>
        <bgColor rgb="FFD0CECE"/>
      </patternFill>
    </fill>
    <fill>
      <patternFill patternType="solid">
        <fgColor rgb="FFFBBC04"/>
        <bgColor rgb="FFFBBC04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1FFEB"/>
        <bgColor rgb="FFF1FFEB"/>
      </patternFill>
    </fill>
    <fill>
      <patternFill patternType="solid">
        <fgColor rgb="FFFF0000"/>
        <bgColor rgb="FFFF0000"/>
      </patternFill>
    </fill>
  </fills>
  <borders count="23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 style="dotted">
        <color rgb="FF000000"/>
      </left>
      <right style="dotted">
        <color rgb="FF000000"/>
      </right>
      <top style="medium">
        <color rgb="FF666666"/>
      </top>
      <bottom style="dotted">
        <color rgb="FF000000"/>
      </bottom>
      <diagonal/>
    </border>
    <border>
      <left style="dotted">
        <color rgb="FF000000"/>
      </left>
      <right style="medium">
        <color rgb="FF666666"/>
      </right>
      <top style="medium">
        <color rgb="FF666666"/>
      </top>
      <bottom style="dotted">
        <color rgb="FF000000"/>
      </bottom>
      <diagonal/>
    </border>
    <border>
      <left style="medium">
        <color rgb="FF666666"/>
      </left>
      <right style="dotted">
        <color rgb="FF000000"/>
      </right>
      <top style="medium">
        <color rgb="FF666666"/>
      </top>
      <bottom style="dotted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666666"/>
      </bottom>
      <diagonal/>
    </border>
    <border>
      <left style="dotted">
        <color rgb="FF000000"/>
      </left>
      <right style="medium">
        <color rgb="FF666666"/>
      </right>
      <top style="dotted">
        <color rgb="FF000000"/>
      </top>
      <bottom style="medium">
        <color rgb="FF666666"/>
      </bottom>
      <diagonal/>
    </border>
    <border>
      <left style="medium">
        <color rgb="FF666666"/>
      </left>
      <right style="dotted">
        <color rgb="FF000000"/>
      </right>
      <top style="dotted">
        <color rgb="FF000000"/>
      </top>
      <bottom style="medium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99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FF99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F99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77" fontId="2" fillId="8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1" fontId="11" fillId="0" borderId="9" xfId="0" applyNumberFormat="1" applyFont="1" applyBorder="1" applyAlignment="1">
      <alignment horizontal="center" vertical="center"/>
    </xf>
    <xf numFmtId="3" fontId="11" fillId="0" borderId="9" xfId="0" applyNumberFormat="1" applyFont="1" applyBorder="1" applyAlignment="1">
      <alignment horizontal="center" vertical="center"/>
    </xf>
    <xf numFmtId="178" fontId="11" fillId="0" borderId="9" xfId="0" applyNumberFormat="1" applyFont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9" fontId="10" fillId="14" borderId="10" xfId="0" applyNumberFormat="1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9" fontId="13" fillId="0" borderId="9" xfId="0" applyNumberFormat="1" applyFont="1" applyBorder="1" applyAlignment="1">
      <alignment horizontal="center" vertical="center"/>
    </xf>
    <xf numFmtId="9" fontId="14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9" fontId="14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11" fontId="11" fillId="9" borderId="9" xfId="0" applyNumberFormat="1" applyFont="1" applyFill="1" applyBorder="1" applyAlignment="1">
      <alignment horizontal="center" vertical="center"/>
    </xf>
    <xf numFmtId="3" fontId="11" fillId="9" borderId="9" xfId="0" applyNumberFormat="1" applyFont="1" applyFill="1" applyBorder="1" applyAlignment="1">
      <alignment horizontal="center" vertical="center"/>
    </xf>
    <xf numFmtId="178" fontId="11" fillId="9" borderId="9" xfId="0" applyNumberFormat="1" applyFont="1" applyFill="1" applyBorder="1" applyAlignment="1">
      <alignment horizontal="center" vertical="center"/>
    </xf>
    <xf numFmtId="178" fontId="11" fillId="0" borderId="9" xfId="0" applyNumberFormat="1" applyFont="1" applyBorder="1" applyAlignment="1">
      <alignment horizontal="center" vertical="center"/>
    </xf>
    <xf numFmtId="0" fontId="2" fillId="0" borderId="9" xfId="0" applyFont="1" applyBorder="1"/>
    <xf numFmtId="0" fontId="15" fillId="0" borderId="9" xfId="0" applyFont="1" applyBorder="1" applyAlignment="1">
      <alignment horizontal="center" vertical="center"/>
    </xf>
    <xf numFmtId="11" fontId="15" fillId="0" borderId="9" xfId="0" applyNumberFormat="1" applyFont="1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/>
    </xf>
    <xf numFmtId="176" fontId="15" fillId="0" borderId="9" xfId="0" applyNumberFormat="1" applyFont="1" applyBorder="1" applyAlignment="1">
      <alignment horizontal="center" vertical="center"/>
    </xf>
    <xf numFmtId="179" fontId="15" fillId="0" borderId="9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1" fontId="15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9" fontId="10" fillId="14" borderId="0" xfId="0" applyNumberFormat="1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3" fontId="18" fillId="9" borderId="9" xfId="0" applyNumberFormat="1" applyFont="1" applyFill="1" applyBorder="1" applyAlignment="1">
      <alignment horizontal="center" vertical="center"/>
    </xf>
    <xf numFmtId="9" fontId="18" fillId="9" borderId="9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0" fillId="15" borderId="9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16" borderId="14" xfId="0" applyFont="1" applyFill="1" applyBorder="1" applyAlignment="1">
      <alignment horizontal="center" vertical="center"/>
    </xf>
    <xf numFmtId="0" fontId="18" fillId="16" borderId="11" xfId="0" applyFont="1" applyFill="1" applyBorder="1" applyAlignment="1">
      <alignment horizontal="center" vertical="center"/>
    </xf>
    <xf numFmtId="3" fontId="18" fillId="16" borderId="15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8" fillId="17" borderId="17" xfId="0" applyFont="1" applyFill="1" applyBorder="1" applyAlignment="1">
      <alignment horizontal="center" vertical="center"/>
    </xf>
    <xf numFmtId="49" fontId="18" fillId="17" borderId="9" xfId="0" applyNumberFormat="1" applyFont="1" applyFill="1" applyBorder="1" applyAlignment="1">
      <alignment horizontal="center" vertical="center"/>
    </xf>
    <xf numFmtId="10" fontId="18" fillId="9" borderId="9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9" borderId="1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8" fillId="17" borderId="17" xfId="0" applyFont="1" applyFill="1" applyBorder="1" applyAlignment="1">
      <alignment horizontal="center" vertical="center"/>
    </xf>
    <xf numFmtId="10" fontId="18" fillId="9" borderId="12" xfId="0" applyNumberFormat="1" applyFont="1" applyFill="1" applyBorder="1" applyAlignment="1">
      <alignment horizontal="center" vertical="center"/>
    </xf>
    <xf numFmtId="10" fontId="18" fillId="9" borderId="19" xfId="0" applyNumberFormat="1" applyFont="1" applyFill="1" applyBorder="1" applyAlignment="1">
      <alignment horizontal="center" vertical="center"/>
    </xf>
    <xf numFmtId="3" fontId="18" fillId="9" borderId="16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3" fontId="18" fillId="20" borderId="11" xfId="0" applyNumberFormat="1" applyFont="1" applyFill="1" applyBorder="1" applyAlignment="1">
      <alignment horizontal="center" vertical="center"/>
    </xf>
    <xf numFmtId="0" fontId="8" fillId="18" borderId="9" xfId="0" applyFont="1" applyFill="1" applyBorder="1" applyAlignment="1">
      <alignment horizontal="center" vertical="center"/>
    </xf>
    <xf numFmtId="0" fontId="8" fillId="20" borderId="9" xfId="0" applyFont="1" applyFill="1" applyBorder="1" applyAlignment="1">
      <alignment horizontal="center" vertical="center"/>
    </xf>
    <xf numFmtId="0" fontId="17" fillId="18" borderId="9" xfId="0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18" fillId="17" borderId="17" xfId="0" applyNumberFormat="1" applyFont="1" applyFill="1" applyBorder="1" applyAlignment="1">
      <alignment horizontal="center" vertical="center"/>
    </xf>
    <xf numFmtId="3" fontId="18" fillId="17" borderId="9" xfId="0" applyNumberFormat="1" applyFont="1" applyFill="1" applyBorder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0" fontId="18" fillId="9" borderId="16" xfId="0" applyFont="1" applyFill="1" applyBorder="1" applyAlignment="1">
      <alignment horizontal="center" vertical="center"/>
    </xf>
    <xf numFmtId="10" fontId="20" fillId="15" borderId="9" xfId="0" applyNumberFormat="1" applyFont="1" applyFill="1" applyBorder="1" applyAlignment="1">
      <alignment horizontal="center" vertical="center"/>
    </xf>
    <xf numFmtId="0" fontId="18" fillId="21" borderId="9" xfId="0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0" fontId="23" fillId="18" borderId="9" xfId="0" applyFont="1" applyFill="1" applyBorder="1" applyAlignment="1">
      <alignment horizontal="center" vertical="center"/>
    </xf>
    <xf numFmtId="0" fontId="23" fillId="20" borderId="9" xfId="0" applyFont="1" applyFill="1" applyBorder="1" applyAlignment="1">
      <alignment horizontal="center" vertical="center"/>
    </xf>
    <xf numFmtId="0" fontId="23" fillId="18" borderId="9" xfId="0" applyFont="1" applyFill="1" applyBorder="1" applyAlignment="1">
      <alignment horizontal="center" vertical="center"/>
    </xf>
    <xf numFmtId="0" fontId="23" fillId="20" borderId="9" xfId="0" applyFont="1" applyFill="1" applyBorder="1" applyAlignment="1">
      <alignment horizontal="center" vertical="center"/>
    </xf>
    <xf numFmtId="0" fontId="24" fillId="18" borderId="10" xfId="0" applyFont="1" applyFill="1" applyBorder="1" applyAlignment="1">
      <alignment horizontal="center" vertical="center"/>
    </xf>
    <xf numFmtId="10" fontId="23" fillId="18" borderId="9" xfId="0" applyNumberFormat="1" applyFont="1" applyFill="1" applyBorder="1" applyAlignment="1">
      <alignment horizontal="center" vertical="center"/>
    </xf>
    <xf numFmtId="10" fontId="23" fillId="2" borderId="0" xfId="0" applyNumberFormat="1" applyFont="1" applyFill="1" applyAlignment="1">
      <alignment horizontal="center" vertical="center"/>
    </xf>
    <xf numFmtId="3" fontId="18" fillId="17" borderId="9" xfId="0" applyNumberFormat="1" applyFont="1" applyFill="1" applyBorder="1" applyAlignment="1">
      <alignment horizontal="center" vertical="center"/>
    </xf>
    <xf numFmtId="10" fontId="25" fillId="2" borderId="0" xfId="0" applyNumberFormat="1" applyFont="1" applyFill="1" applyAlignment="1">
      <alignment horizontal="center" vertical="center"/>
    </xf>
    <xf numFmtId="10" fontId="25" fillId="2" borderId="0" xfId="0" applyNumberFormat="1" applyFont="1" applyFill="1" applyAlignment="1">
      <alignment horizontal="center" vertical="center"/>
    </xf>
    <xf numFmtId="10" fontId="18" fillId="9" borderId="16" xfId="0" applyNumberFormat="1" applyFont="1" applyFill="1" applyBorder="1" applyAlignment="1">
      <alignment horizontal="center" vertical="center"/>
    </xf>
    <xf numFmtId="0" fontId="20" fillId="15" borderId="20" xfId="0" applyFont="1" applyFill="1" applyBorder="1" applyAlignment="1">
      <alignment horizontal="center" vertical="center"/>
    </xf>
    <xf numFmtId="0" fontId="18" fillId="15" borderId="20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3" fontId="18" fillId="17" borderId="21" xfId="0" applyNumberFormat="1" applyFont="1" applyFill="1" applyBorder="1" applyAlignment="1">
      <alignment horizontal="center" vertical="center"/>
    </xf>
    <xf numFmtId="3" fontId="18" fillId="17" borderId="20" xfId="0" applyNumberFormat="1" applyFont="1" applyFill="1" applyBorder="1" applyAlignment="1">
      <alignment horizontal="center" vertical="center"/>
    </xf>
    <xf numFmtId="3" fontId="18" fillId="17" borderId="20" xfId="0" applyNumberFormat="1" applyFont="1" applyFill="1" applyBorder="1" applyAlignment="1">
      <alignment horizontal="center" vertical="center"/>
    </xf>
    <xf numFmtId="49" fontId="18" fillId="17" borderId="22" xfId="0" applyNumberFormat="1" applyFont="1" applyFill="1" applyBorder="1" applyAlignment="1">
      <alignment horizontal="center" vertical="center"/>
    </xf>
    <xf numFmtId="10" fontId="18" fillId="9" borderId="20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18" fillId="18" borderId="13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3" fontId="18" fillId="9" borderId="0" xfId="0" applyNumberFormat="1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vertical="center"/>
    </xf>
    <xf numFmtId="0" fontId="6" fillId="9" borderId="9" xfId="0" applyFont="1" applyFill="1" applyBorder="1" applyAlignment="1">
      <alignment horizontal="center" vertical="center"/>
    </xf>
    <xf numFmtId="3" fontId="6" fillId="9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6" fillId="9" borderId="0" xfId="0" applyNumberFormat="1" applyFont="1" applyFill="1" applyAlignment="1">
      <alignment vertical="center"/>
    </xf>
    <xf numFmtId="0" fontId="26" fillId="9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11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176" fontId="2" fillId="8" borderId="0" xfId="0" applyNumberFormat="1" applyFont="1" applyFill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0" fontId="11" fillId="22" borderId="9" xfId="0" applyFont="1" applyFill="1" applyBorder="1" applyAlignment="1">
      <alignment horizontal="center" vertical="center"/>
    </xf>
    <xf numFmtId="11" fontId="11" fillId="22" borderId="9" xfId="0" applyNumberFormat="1" applyFont="1" applyFill="1" applyBorder="1" applyAlignment="1">
      <alignment horizontal="center" vertical="center"/>
    </xf>
    <xf numFmtId="3" fontId="11" fillId="22" borderId="9" xfId="0" applyNumberFormat="1" applyFont="1" applyFill="1" applyBorder="1" applyAlignment="1">
      <alignment horizontal="center" vertical="center"/>
    </xf>
    <xf numFmtId="178" fontId="11" fillId="22" borderId="9" xfId="0" applyNumberFormat="1" applyFont="1" applyFill="1" applyBorder="1" applyAlignment="1">
      <alignment horizontal="center" vertical="center"/>
    </xf>
    <xf numFmtId="178" fontId="11" fillId="22" borderId="9" xfId="0" applyNumberFormat="1" applyFont="1" applyFill="1" applyBorder="1" applyAlignment="1">
      <alignment horizontal="center" vertical="center"/>
    </xf>
    <xf numFmtId="0" fontId="11" fillId="22" borderId="10" xfId="0" applyFont="1" applyFill="1" applyBorder="1" applyAlignment="1">
      <alignment horizontal="center" vertical="center"/>
    </xf>
    <xf numFmtId="9" fontId="10" fillId="22" borderId="10" xfId="0" applyNumberFormat="1" applyFont="1" applyFill="1" applyBorder="1" applyAlignment="1">
      <alignment horizontal="center" vertical="center"/>
    </xf>
    <xf numFmtId="0" fontId="12" fillId="22" borderId="9" xfId="0" applyFont="1" applyFill="1" applyBorder="1" applyAlignment="1">
      <alignment horizontal="center" vertical="center"/>
    </xf>
    <xf numFmtId="0" fontId="12" fillId="22" borderId="9" xfId="0" applyFont="1" applyFill="1" applyBorder="1" applyAlignment="1">
      <alignment horizontal="center" vertical="center"/>
    </xf>
    <xf numFmtId="11" fontId="11" fillId="0" borderId="9" xfId="0" applyNumberFormat="1" applyFont="1" applyBorder="1" applyAlignment="1">
      <alignment horizontal="center" vertical="center"/>
    </xf>
    <xf numFmtId="3" fontId="11" fillId="0" borderId="9" xfId="0" applyNumberFormat="1" applyFont="1" applyBorder="1" applyAlignment="1">
      <alignment horizontal="center" vertical="center"/>
    </xf>
    <xf numFmtId="178" fontId="11" fillId="0" borderId="9" xfId="0" applyNumberFormat="1" applyFont="1" applyBorder="1" applyAlignment="1">
      <alignment horizontal="center" vertical="center"/>
    </xf>
    <xf numFmtId="178" fontId="11" fillId="0" borderId="9" xfId="0" applyNumberFormat="1" applyFont="1" applyBorder="1" applyAlignment="1">
      <alignment horizontal="center" vertical="center"/>
    </xf>
    <xf numFmtId="9" fontId="18" fillId="18" borderId="9" xfId="0" applyNumberFormat="1" applyFont="1" applyFill="1" applyBorder="1" applyAlignment="1">
      <alignment horizontal="center" vertical="center"/>
    </xf>
    <xf numFmtId="49" fontId="18" fillId="17" borderId="11" xfId="0" applyNumberFormat="1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horizontal="center" vertical="center"/>
    </xf>
    <xf numFmtId="0" fontId="6" fillId="18" borderId="9" xfId="0" applyFont="1" applyFill="1" applyBorder="1" applyAlignment="1">
      <alignment horizontal="center" vertical="center"/>
    </xf>
    <xf numFmtId="0" fontId="28" fillId="18" borderId="9" xfId="0" applyFont="1" applyFill="1" applyBorder="1" applyAlignment="1">
      <alignment horizontal="center" vertical="center"/>
    </xf>
    <xf numFmtId="3" fontId="18" fillId="18" borderId="9" xfId="0" applyNumberFormat="1" applyFont="1" applyFill="1" applyBorder="1" applyAlignment="1">
      <alignment horizontal="center" vertical="center"/>
    </xf>
    <xf numFmtId="0" fontId="23" fillId="18" borderId="10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30" fillId="18" borderId="10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80" fontId="6" fillId="0" borderId="9" xfId="0" applyNumberFormat="1" applyFont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3" fontId="6" fillId="12" borderId="9" xfId="0" applyNumberFormat="1" applyFont="1" applyFill="1" applyBorder="1" applyAlignment="1">
      <alignment horizontal="center" vertical="center"/>
    </xf>
    <xf numFmtId="180" fontId="6" fillId="12" borderId="9" xfId="0" applyNumberFormat="1" applyFont="1" applyFill="1" applyBorder="1" applyAlignment="1">
      <alignment horizontal="center" vertical="center"/>
    </xf>
    <xf numFmtId="3" fontId="6" fillId="12" borderId="9" xfId="0" applyNumberFormat="1" applyFont="1" applyFill="1" applyBorder="1" applyAlignment="1">
      <alignment horizontal="center" vertical="center"/>
    </xf>
    <xf numFmtId="180" fontId="6" fillId="12" borderId="9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18" fillId="18" borderId="18" xfId="0" applyFont="1" applyFill="1" applyBorder="1" applyAlignment="1">
      <alignment horizontal="center" vertical="center"/>
    </xf>
    <xf numFmtId="0" fontId="5" fillId="0" borderId="13" xfId="0" applyFont="1" applyBorder="1"/>
    <xf numFmtId="0" fontId="28" fillId="15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18" borderId="18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28" fillId="18" borderId="18" xfId="0" applyFont="1" applyFill="1" applyBorder="1" applyAlignment="1">
      <alignment horizontal="center" vertical="center"/>
    </xf>
    <xf numFmtId="0" fontId="18" fillId="18" borderId="12" xfId="0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0" fillId="0" borderId="0" xfId="0" applyFont="1" applyAlignment="1"/>
    <xf numFmtId="0" fontId="22" fillId="2" borderId="0" xfId="0" applyFont="1" applyFill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7" fillId="18" borderId="12" xfId="0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center" vertical="center"/>
    </xf>
    <xf numFmtId="9" fontId="18" fillId="18" borderId="12" xfId="0" applyNumberFormat="1" applyFont="1" applyFill="1" applyBorder="1" applyAlignment="1">
      <alignment horizontal="center" vertical="center"/>
    </xf>
    <xf numFmtId="9" fontId="18" fillId="17" borderId="12" xfId="0" applyNumberFormat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horizontal="center" vertical="center"/>
    </xf>
    <xf numFmtId="0" fontId="5" fillId="0" borderId="18" xfId="0" applyFont="1" applyBorder="1"/>
    <xf numFmtId="0" fontId="6" fillId="0" borderId="12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18" borderId="12" xfId="0" applyFont="1" applyFill="1" applyBorder="1" applyAlignment="1">
      <alignment horizontal="center" vertical="center"/>
    </xf>
    <xf numFmtId="0" fontId="28" fillId="15" borderId="12" xfId="0" applyFont="1" applyFill="1" applyBorder="1" applyAlignment="1">
      <alignment horizontal="center" vertical="center"/>
    </xf>
    <xf numFmtId="9" fontId="17" fillId="18" borderId="12" xfId="0" applyNumberFormat="1" applyFont="1" applyFill="1" applyBorder="1" applyAlignment="1">
      <alignment horizontal="center" vertical="center"/>
    </xf>
    <xf numFmtId="9" fontId="18" fillId="3" borderId="12" xfId="0" applyNumberFormat="1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1" fontId="6" fillId="12" borderId="12" xfId="0" applyNumberFormat="1" applyFont="1" applyFill="1" applyBorder="1" applyAlignment="1">
      <alignment horizontal="center" vertical="center"/>
    </xf>
    <xf numFmtId="0" fontId="18" fillId="9" borderId="18" xfId="0" quotePrefix="1" applyFont="1" applyFill="1" applyBorder="1" applyAlignment="1">
      <alignment horizontal="center" vertical="center"/>
    </xf>
    <xf numFmtId="0" fontId="6" fillId="18" borderId="18" xfId="0" quotePrefix="1" applyFont="1" applyFill="1" applyBorder="1" applyAlignment="1">
      <alignment horizontal="center" vertical="center"/>
    </xf>
    <xf numFmtId="0" fontId="6" fillId="9" borderId="18" xfId="0" quotePrefix="1" applyFont="1" applyFill="1" applyBorder="1" applyAlignment="1">
      <alignment horizontal="center" vertical="center"/>
    </xf>
  </cellXfs>
  <cellStyles count="1">
    <cellStyle name="표준" xfId="0" builtinId="0"/>
  </cellStyles>
  <dxfs count="1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&#45380;%2010&#50900;%20&#50976;&#54952;&#54924;&#5089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년 10월 유효회원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  <pageSetUpPr fitToPage="1"/>
  </sheetPr>
  <dimension ref="A1:Y457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5703125" defaultRowHeight="15.75" customHeight="1"/>
  <cols>
    <col min="1" max="1" width="5.140625" customWidth="1"/>
    <col min="2" max="2" width="9.140625" customWidth="1"/>
    <col min="3" max="3" width="7.5703125" customWidth="1"/>
    <col min="4" max="4" width="14.42578125" customWidth="1"/>
    <col min="5" max="5" width="17" customWidth="1"/>
    <col min="9" max="10" width="8.140625" customWidth="1"/>
    <col min="11" max="11" width="10.28515625" customWidth="1"/>
    <col min="12" max="12" width="10" customWidth="1"/>
    <col min="13" max="13" width="11.140625" customWidth="1"/>
    <col min="14" max="16" width="9.7109375" customWidth="1"/>
    <col min="17" max="17" width="3.85546875" customWidth="1"/>
    <col min="18" max="18" width="9.7109375" customWidth="1"/>
    <col min="19" max="19" width="3.85546875" customWidth="1"/>
    <col min="20" max="20" width="9.7109375" customWidth="1"/>
    <col min="21" max="21" width="3.85546875" customWidth="1"/>
    <col min="22" max="22" width="9.7109375" customWidth="1"/>
    <col min="23" max="23" width="3.85546875" customWidth="1"/>
    <col min="24" max="24" width="9.7109375" customWidth="1"/>
    <col min="25" max="25" width="87.5703125" customWidth="1"/>
  </cols>
  <sheetData>
    <row r="1" spans="1:25" ht="12.7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4"/>
      <c r="L1" s="4"/>
      <c r="M1" s="3"/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</row>
    <row r="2" spans="1:25" ht="12.75">
      <c r="A2" s="1"/>
      <c r="B2" s="199" t="s">
        <v>1</v>
      </c>
      <c r="C2" s="7" t="s">
        <v>2</v>
      </c>
      <c r="D2" s="7" t="s">
        <v>3</v>
      </c>
      <c r="E2" s="8" t="s">
        <v>4</v>
      </c>
      <c r="F2" s="9" t="s">
        <v>5</v>
      </c>
      <c r="G2" s="10" t="s">
        <v>3</v>
      </c>
      <c r="H2" s="11" t="s">
        <v>4</v>
      </c>
      <c r="I2" s="3"/>
      <c r="J2" s="3"/>
      <c r="K2" s="4"/>
      <c r="L2" s="6"/>
      <c r="M2" s="6"/>
      <c r="N2" s="2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2.75">
      <c r="A3" s="12"/>
      <c r="B3" s="200"/>
      <c r="C3" s="13">
        <f>COUNTIF($K:$K,"유효")</f>
        <v>159</v>
      </c>
      <c r="D3" s="13">
        <f>COUNTIFS($K:$K,"유효",$C:$C,"남")</f>
        <v>33</v>
      </c>
      <c r="E3" s="14">
        <f>COUNTIFS($K:$K,"유효",$C:$C,"여")</f>
        <v>126</v>
      </c>
      <c r="F3" s="15">
        <f>COUNTIF($L:$L,"만료")</f>
        <v>5</v>
      </c>
      <c r="G3" s="16">
        <f>COUNTIFS($L:$L,"만료",$C:$C,"남")</f>
        <v>1</v>
      </c>
      <c r="H3" s="17">
        <f>COUNTIFS($L:$L,"만료",$C:$C,"여")</f>
        <v>4</v>
      </c>
      <c r="I3" s="3"/>
      <c r="J3" s="3"/>
      <c r="K3" s="4"/>
      <c r="L3" s="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2.75">
      <c r="A4" s="1"/>
      <c r="B4" s="2"/>
      <c r="C4" s="2"/>
      <c r="D4" s="2"/>
      <c r="E4" s="2"/>
      <c r="F4" s="2"/>
      <c r="G4" s="2"/>
      <c r="H4" s="2"/>
      <c r="I4" s="2"/>
      <c r="J4" s="2"/>
      <c r="K4" s="18">
        <v>46023</v>
      </c>
      <c r="L4" s="18">
        <v>46053</v>
      </c>
      <c r="M4" s="2"/>
      <c r="N4" s="19"/>
      <c r="O4" s="19"/>
      <c r="P4" s="19"/>
      <c r="Q4" s="20"/>
      <c r="R4" s="6"/>
      <c r="S4" s="6"/>
      <c r="T4" s="6"/>
      <c r="U4" s="6"/>
      <c r="V4" s="6"/>
      <c r="W4" s="6"/>
      <c r="X4" s="6"/>
      <c r="Y4" s="6"/>
    </row>
    <row r="5" spans="1:25" ht="12.75">
      <c r="A5" s="21"/>
      <c r="B5" s="22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2</v>
      </c>
      <c r="L5" s="23" t="s">
        <v>5</v>
      </c>
      <c r="M5" s="24" t="s">
        <v>15</v>
      </c>
      <c r="N5" s="25" t="s">
        <v>16</v>
      </c>
      <c r="O5" s="25" t="s">
        <v>17</v>
      </c>
      <c r="P5" s="26" t="s">
        <v>18</v>
      </c>
      <c r="Q5" s="27"/>
      <c r="R5" s="26" t="s">
        <v>19</v>
      </c>
      <c r="S5" s="27"/>
      <c r="T5" s="26" t="s">
        <v>20</v>
      </c>
      <c r="U5" s="27"/>
      <c r="V5" s="26" t="s">
        <v>21</v>
      </c>
      <c r="W5" s="27"/>
      <c r="X5" s="26" t="s">
        <v>22</v>
      </c>
      <c r="Y5" s="28" t="s">
        <v>23</v>
      </c>
    </row>
    <row r="6" spans="1:25" ht="16.5">
      <c r="A6" s="29"/>
      <c r="B6" s="30" t="s">
        <v>24</v>
      </c>
      <c r="C6" s="30" t="s">
        <v>4</v>
      </c>
      <c r="D6" s="31" t="s">
        <v>25</v>
      </c>
      <c r="E6" s="32" t="s">
        <v>26</v>
      </c>
      <c r="F6" s="33">
        <v>45834</v>
      </c>
      <c r="G6" s="33">
        <v>45859</v>
      </c>
      <c r="H6" s="33">
        <v>46112</v>
      </c>
      <c r="I6" s="34">
        <f>VLOOKUP(B6,'26년 1월 출석표'!$B$7:$D$500,3,0)</f>
        <v>2</v>
      </c>
      <c r="J6" s="35" t="e">
        <f t="shared" ref="J6:J438" ca="1" si="0">ifna(I6/21,0)</f>
        <v>#NAME?</v>
      </c>
      <c r="K6" s="36" t="str">
        <f t="shared" ref="K6:K438" si="1">IF(AND(G6&lt;=$L$4,H6&gt;=$K$4),"유효","")</f>
        <v>유효</v>
      </c>
      <c r="L6" s="37" t="str">
        <f t="shared" ref="L6:L438" si="2">IF(AND(H6&gt;=$K$4,H6&lt;=$L$4),"만료","")</f>
        <v/>
      </c>
      <c r="M6" s="30"/>
      <c r="N6" s="38" t="b">
        <v>0</v>
      </c>
      <c r="O6" s="38" t="b">
        <v>0</v>
      </c>
      <c r="P6" s="39">
        <f>VLOOKUP($B6,'26년 1월 출석표'!$B$2:$BQ$497,10,0)/1</f>
        <v>0</v>
      </c>
      <c r="Q6" s="40"/>
      <c r="R6" s="41">
        <f>VLOOKUP($B6,'26년 1월 출석표'!$B$2:$BQ$497,24,0)/5</f>
        <v>0.4</v>
      </c>
      <c r="S6" s="40"/>
      <c r="T6" s="41">
        <f>VLOOKUP($B6,'26년 1월 출석표'!$B$2:$BQ$497,38,0)/5</f>
        <v>0</v>
      </c>
      <c r="U6" s="40"/>
      <c r="V6" s="41">
        <f>VLOOKUP($B6,'26년 1월 출석표'!$B$2:$BQ$497,52,0)/5</f>
        <v>0</v>
      </c>
      <c r="W6" s="42"/>
      <c r="X6" s="41">
        <f>VLOOKUP($B6,'26년 1월 출석표'!$B$2:$BQ$503,66,0)/5</f>
        <v>0</v>
      </c>
      <c r="Y6" s="43"/>
    </row>
    <row r="7" spans="1:25" ht="16.5">
      <c r="A7" s="29"/>
      <c r="B7" s="30" t="s">
        <v>27</v>
      </c>
      <c r="C7" s="30" t="s">
        <v>4</v>
      </c>
      <c r="D7" s="31" t="s">
        <v>28</v>
      </c>
      <c r="E7" s="32" t="s">
        <v>26</v>
      </c>
      <c r="F7" s="33">
        <v>45834</v>
      </c>
      <c r="G7" s="33">
        <v>45951</v>
      </c>
      <c r="H7" s="33">
        <v>46192</v>
      </c>
      <c r="I7" s="34">
        <f>VLOOKUP(B7,'26년 1월 출석표'!$B$7:$D$500,3,0)</f>
        <v>0</v>
      </c>
      <c r="J7" s="35" t="e">
        <f t="shared" ca="1" si="0"/>
        <v>#NAME?</v>
      </c>
      <c r="K7" s="36" t="str">
        <f t="shared" si="1"/>
        <v>유효</v>
      </c>
      <c r="L7" s="37" t="str">
        <f t="shared" si="2"/>
        <v/>
      </c>
      <c r="M7" s="30"/>
      <c r="N7" s="38" t="b">
        <v>0</v>
      </c>
      <c r="O7" s="38" t="b">
        <v>0</v>
      </c>
      <c r="P7" s="39">
        <f>VLOOKUP($B7,'26년 1월 출석표'!$B$2:$BQ$497,10,0)/1</f>
        <v>0</v>
      </c>
      <c r="Q7" s="40"/>
      <c r="R7" s="41">
        <f>VLOOKUP($B7,'26년 1월 출석표'!$B$2:$BQ$497,24,0)/5</f>
        <v>0</v>
      </c>
      <c r="S7" s="40"/>
      <c r="T7" s="41">
        <f>VLOOKUP($B7,'26년 1월 출석표'!$B$2:$BQ$497,38,0)/5</f>
        <v>0</v>
      </c>
      <c r="U7" s="40"/>
      <c r="V7" s="41">
        <f>VLOOKUP($B7,'26년 1월 출석표'!$B$2:$BQ$497,52,0)/5</f>
        <v>0</v>
      </c>
      <c r="W7" s="42"/>
      <c r="X7" s="41">
        <f>VLOOKUP($B7,'26년 1월 출석표'!$B$2:$BQ$503,66,0)/5</f>
        <v>0</v>
      </c>
      <c r="Y7" s="43"/>
    </row>
    <row r="8" spans="1:25" ht="16.5">
      <c r="A8" s="29"/>
      <c r="B8" s="30" t="s">
        <v>29</v>
      </c>
      <c r="C8" s="30" t="s">
        <v>4</v>
      </c>
      <c r="D8" s="31" t="s">
        <v>30</v>
      </c>
      <c r="E8" s="32" t="s">
        <v>31</v>
      </c>
      <c r="F8" s="33">
        <v>45834</v>
      </c>
      <c r="G8" s="33">
        <v>45962</v>
      </c>
      <c r="H8" s="33">
        <v>46249</v>
      </c>
      <c r="I8" s="34">
        <f>VLOOKUP(B8,'26년 1월 출석표'!$B$7:$D$500,3,0)</f>
        <v>3</v>
      </c>
      <c r="J8" s="35" t="e">
        <f t="shared" ca="1" si="0"/>
        <v>#NAME?</v>
      </c>
      <c r="K8" s="36" t="str">
        <f t="shared" si="1"/>
        <v>유효</v>
      </c>
      <c r="L8" s="37" t="str">
        <f t="shared" si="2"/>
        <v/>
      </c>
      <c r="M8" s="30"/>
      <c r="N8" s="44" t="b">
        <v>1</v>
      </c>
      <c r="O8" s="44" t="b">
        <v>1</v>
      </c>
      <c r="P8" s="39">
        <f>VLOOKUP($B8,'26년 1월 출석표'!$B$2:$BQ$497,10,0)/1</f>
        <v>0</v>
      </c>
      <c r="Q8" s="40"/>
      <c r="R8" s="41">
        <f>VLOOKUP($B8,'26년 1월 출석표'!$B$2:$BQ$497,24,0)/5</f>
        <v>0.6</v>
      </c>
      <c r="S8" s="40"/>
      <c r="T8" s="41">
        <f>VLOOKUP($B8,'26년 1월 출석표'!$B$2:$BQ$497,38,0)/5</f>
        <v>0</v>
      </c>
      <c r="U8" s="40"/>
      <c r="V8" s="41">
        <f>VLOOKUP($B8,'26년 1월 출석표'!$B$2:$BQ$497,52,0)/5</f>
        <v>0</v>
      </c>
      <c r="W8" s="42"/>
      <c r="X8" s="41">
        <f>VLOOKUP($B8,'26년 1월 출석표'!$B$2:$BQ$503,66,0)/5</f>
        <v>0</v>
      </c>
      <c r="Y8" s="43"/>
    </row>
    <row r="9" spans="1:25" ht="16.5">
      <c r="A9" s="29"/>
      <c r="B9" s="30" t="s">
        <v>32</v>
      </c>
      <c r="C9" s="30" t="s">
        <v>4</v>
      </c>
      <c r="D9" s="31" t="s">
        <v>33</v>
      </c>
      <c r="E9" s="32" t="s">
        <v>34</v>
      </c>
      <c r="F9" s="33">
        <v>45835</v>
      </c>
      <c r="G9" s="33">
        <v>45859</v>
      </c>
      <c r="H9" s="45">
        <v>46223</v>
      </c>
      <c r="I9" s="34">
        <f>VLOOKUP(B9,'26년 1월 출석표'!$B$7:$D$500,3,0)</f>
        <v>0</v>
      </c>
      <c r="J9" s="35" t="e">
        <f t="shared" ca="1" si="0"/>
        <v>#NAME?</v>
      </c>
      <c r="K9" s="36" t="str">
        <f t="shared" si="1"/>
        <v>유효</v>
      </c>
      <c r="L9" s="37" t="str">
        <f t="shared" si="2"/>
        <v/>
      </c>
      <c r="M9" s="30"/>
      <c r="N9" s="38" t="b">
        <v>0</v>
      </c>
      <c r="O9" s="38" t="b">
        <v>0</v>
      </c>
      <c r="P9" s="39">
        <f>VLOOKUP($B9,'26년 1월 출석표'!$B$2:$BQ$497,10,0)/1</f>
        <v>0</v>
      </c>
      <c r="Q9" s="40"/>
      <c r="R9" s="41">
        <f>VLOOKUP($B9,'26년 1월 출석표'!$B$2:$BQ$497,24,0)/5</f>
        <v>0</v>
      </c>
      <c r="S9" s="40"/>
      <c r="T9" s="41">
        <f>VLOOKUP($B9,'26년 1월 출석표'!$B$2:$BQ$497,38,0)/5</f>
        <v>0</v>
      </c>
      <c r="U9" s="40"/>
      <c r="V9" s="41">
        <f>VLOOKUP($B9,'26년 1월 출석표'!$B$2:$BQ$497,52,0)/5</f>
        <v>0</v>
      </c>
      <c r="W9" s="42"/>
      <c r="X9" s="41">
        <f>VLOOKUP($B9,'26년 1월 출석표'!$B$2:$BQ$503,66,0)/5</f>
        <v>0</v>
      </c>
      <c r="Y9" s="43"/>
    </row>
    <row r="10" spans="1:25" ht="16.5">
      <c r="A10" s="29"/>
      <c r="B10" s="30" t="s">
        <v>35</v>
      </c>
      <c r="C10" s="30" t="s">
        <v>3</v>
      </c>
      <c r="D10" s="31" t="s">
        <v>36</v>
      </c>
      <c r="E10" s="32" t="s">
        <v>34</v>
      </c>
      <c r="F10" s="33">
        <v>45835</v>
      </c>
      <c r="G10" s="33">
        <v>45859</v>
      </c>
      <c r="H10" s="33">
        <v>46223</v>
      </c>
      <c r="I10" s="34">
        <f>VLOOKUP(B10,'26년 1월 출석표'!$B$7:$D$500,3,0)</f>
        <v>0</v>
      </c>
      <c r="J10" s="35" t="e">
        <f t="shared" ca="1" si="0"/>
        <v>#NAME?</v>
      </c>
      <c r="K10" s="36" t="str">
        <f t="shared" si="1"/>
        <v>유효</v>
      </c>
      <c r="L10" s="37" t="str">
        <f t="shared" si="2"/>
        <v/>
      </c>
      <c r="M10" s="30"/>
      <c r="N10" s="38" t="b">
        <v>0</v>
      </c>
      <c r="O10" s="38" t="b">
        <v>0</v>
      </c>
      <c r="P10" s="39">
        <f>VLOOKUP($B10,'26년 1월 출석표'!$B$2:$BQ$497,10,0)/1</f>
        <v>0</v>
      </c>
      <c r="Q10" s="40"/>
      <c r="R10" s="41">
        <f>VLOOKUP($B10,'26년 1월 출석표'!$B$2:$BQ$497,24,0)/5</f>
        <v>0</v>
      </c>
      <c r="S10" s="40"/>
      <c r="T10" s="41">
        <f>VLOOKUP($B10,'26년 1월 출석표'!$B$2:$BQ$497,38,0)/5</f>
        <v>0</v>
      </c>
      <c r="U10" s="40"/>
      <c r="V10" s="41">
        <f>VLOOKUP($B10,'26년 1월 출석표'!$B$2:$BQ$497,52,0)/5</f>
        <v>0</v>
      </c>
      <c r="W10" s="42"/>
      <c r="X10" s="41">
        <f>VLOOKUP($B10,'26년 1월 출석표'!$B$2:$BQ$503,66,0)/5</f>
        <v>0</v>
      </c>
      <c r="Y10" s="43"/>
    </row>
    <row r="11" spans="1:25" ht="16.5">
      <c r="A11" s="29"/>
      <c r="B11" s="30" t="s">
        <v>37</v>
      </c>
      <c r="C11" s="30" t="s">
        <v>4</v>
      </c>
      <c r="D11" s="31" t="s">
        <v>38</v>
      </c>
      <c r="E11" s="32" t="s">
        <v>26</v>
      </c>
      <c r="F11" s="33">
        <v>45838</v>
      </c>
      <c r="G11" s="33">
        <v>45859</v>
      </c>
      <c r="H11" s="33">
        <v>46132</v>
      </c>
      <c r="I11" s="34">
        <f>VLOOKUP(B11,'26년 1월 출석표'!$B$7:$D$500,3,0)</f>
        <v>0</v>
      </c>
      <c r="J11" s="35" t="e">
        <f t="shared" ca="1" si="0"/>
        <v>#NAME?</v>
      </c>
      <c r="K11" s="36" t="str">
        <f t="shared" si="1"/>
        <v>유효</v>
      </c>
      <c r="L11" s="37" t="str">
        <f t="shared" si="2"/>
        <v/>
      </c>
      <c r="M11" s="30"/>
      <c r="N11" s="38" t="b">
        <v>0</v>
      </c>
      <c r="O11" s="38" t="b">
        <v>0</v>
      </c>
      <c r="P11" s="39">
        <f>VLOOKUP($B11,'26년 1월 출석표'!$B$2:$BQ$497,10,0)/1</f>
        <v>0</v>
      </c>
      <c r="Q11" s="40"/>
      <c r="R11" s="41">
        <f>VLOOKUP($B11,'26년 1월 출석표'!$B$2:$BQ$497,24,0)/5</f>
        <v>0</v>
      </c>
      <c r="S11" s="40"/>
      <c r="T11" s="41">
        <f>VLOOKUP($B11,'26년 1월 출석표'!$B$2:$BQ$497,38,0)/5</f>
        <v>0</v>
      </c>
      <c r="U11" s="40"/>
      <c r="V11" s="41">
        <f>VLOOKUP($B11,'26년 1월 출석표'!$B$2:$BQ$497,52,0)/5</f>
        <v>0</v>
      </c>
      <c r="W11" s="42"/>
      <c r="X11" s="41">
        <f>VLOOKUP($B11,'26년 1월 출석표'!$B$2:$BQ$503,66,0)/5</f>
        <v>0</v>
      </c>
      <c r="Y11" s="43"/>
    </row>
    <row r="12" spans="1:25" ht="16.5">
      <c r="A12" s="29"/>
      <c r="B12" s="30" t="s">
        <v>39</v>
      </c>
      <c r="C12" s="30" t="s">
        <v>4</v>
      </c>
      <c r="D12" s="31" t="s">
        <v>40</v>
      </c>
      <c r="E12" s="32" t="s">
        <v>34</v>
      </c>
      <c r="F12" s="33">
        <v>45838</v>
      </c>
      <c r="G12" s="33">
        <v>45859</v>
      </c>
      <c r="H12" s="33">
        <v>46268</v>
      </c>
      <c r="I12" s="34">
        <f>VLOOKUP(B12,'26년 1월 출석표'!$B$7:$D$500,3,0)</f>
        <v>2</v>
      </c>
      <c r="J12" s="35" t="e">
        <f t="shared" ca="1" si="0"/>
        <v>#NAME?</v>
      </c>
      <c r="K12" s="36" t="str">
        <f t="shared" si="1"/>
        <v>유효</v>
      </c>
      <c r="L12" s="37" t="str">
        <f t="shared" si="2"/>
        <v/>
      </c>
      <c r="M12" s="30"/>
      <c r="N12" s="38" t="b">
        <v>0</v>
      </c>
      <c r="O12" s="38" t="b">
        <v>0</v>
      </c>
      <c r="P12" s="39">
        <f>VLOOKUP($B12,'26년 1월 출석표'!$B$2:$BQ$497,10,0)/1</f>
        <v>0</v>
      </c>
      <c r="Q12" s="40"/>
      <c r="R12" s="41">
        <f>VLOOKUP($B12,'26년 1월 출석표'!$B$2:$BQ$497,24,0)/5</f>
        <v>0.4</v>
      </c>
      <c r="S12" s="40"/>
      <c r="T12" s="41">
        <f>VLOOKUP($B12,'26년 1월 출석표'!$B$2:$BQ$497,38,0)/5</f>
        <v>0</v>
      </c>
      <c r="U12" s="40"/>
      <c r="V12" s="41">
        <f>VLOOKUP($B12,'26년 1월 출석표'!$B$2:$BQ$497,52,0)/5</f>
        <v>0</v>
      </c>
      <c r="W12" s="42"/>
      <c r="X12" s="41">
        <f>VLOOKUP($B12,'26년 1월 출석표'!$B$2:$BQ$503,66,0)/5</f>
        <v>0</v>
      </c>
      <c r="Y12" s="43"/>
    </row>
    <row r="13" spans="1:25" ht="16.5">
      <c r="A13" s="29"/>
      <c r="B13" s="30" t="s">
        <v>41</v>
      </c>
      <c r="C13" s="30" t="s">
        <v>3</v>
      </c>
      <c r="D13" s="31" t="s">
        <v>42</v>
      </c>
      <c r="E13" s="32" t="s">
        <v>26</v>
      </c>
      <c r="F13" s="33">
        <v>45839</v>
      </c>
      <c r="G13" s="33">
        <v>45859</v>
      </c>
      <c r="H13" s="33">
        <v>46057</v>
      </c>
      <c r="I13" s="34">
        <f>VLOOKUP(B13,'26년 1월 출석표'!$B$7:$D$500,3,0)</f>
        <v>4</v>
      </c>
      <c r="J13" s="35" t="e">
        <f t="shared" ca="1" si="0"/>
        <v>#NAME?</v>
      </c>
      <c r="K13" s="36" t="str">
        <f t="shared" si="1"/>
        <v>유효</v>
      </c>
      <c r="L13" s="37" t="str">
        <f t="shared" si="2"/>
        <v/>
      </c>
      <c r="M13" s="30"/>
      <c r="N13" s="38" t="b">
        <v>0</v>
      </c>
      <c r="O13" s="38" t="b">
        <v>0</v>
      </c>
      <c r="P13" s="39">
        <f>VLOOKUP($B13,'26년 1월 출석표'!$B$2:$BQ$497,10,0)/1</f>
        <v>0</v>
      </c>
      <c r="Q13" s="40"/>
      <c r="R13" s="41">
        <f>VLOOKUP($B13,'26년 1월 출석표'!$B$2:$BQ$497,24,0)/5</f>
        <v>0.6</v>
      </c>
      <c r="S13" s="40"/>
      <c r="T13" s="41">
        <f>VLOOKUP($B13,'26년 1월 출석표'!$B$2:$BQ$497,38,0)/5</f>
        <v>0.2</v>
      </c>
      <c r="U13" s="40"/>
      <c r="V13" s="41">
        <f>VLOOKUP($B13,'26년 1월 출석표'!$B$2:$BQ$497,52,0)/5</f>
        <v>0</v>
      </c>
      <c r="W13" s="42"/>
      <c r="X13" s="41">
        <f>VLOOKUP($B13,'26년 1월 출석표'!$B$2:$BQ$503,66,0)/5</f>
        <v>0</v>
      </c>
      <c r="Y13" s="43"/>
    </row>
    <row r="14" spans="1:25" ht="16.5">
      <c r="A14" s="29"/>
      <c r="B14" s="30" t="s">
        <v>43</v>
      </c>
      <c r="C14" s="30" t="s">
        <v>4</v>
      </c>
      <c r="D14" s="31" t="s">
        <v>44</v>
      </c>
      <c r="E14" s="32" t="s">
        <v>34</v>
      </c>
      <c r="F14" s="33">
        <v>45839</v>
      </c>
      <c r="G14" s="33">
        <v>45859</v>
      </c>
      <c r="H14" s="33">
        <v>46223</v>
      </c>
      <c r="I14" s="34">
        <f>VLOOKUP(B14,'26년 1월 출석표'!$B$7:$D$500,3,0)</f>
        <v>6</v>
      </c>
      <c r="J14" s="35" t="e">
        <f t="shared" ca="1" si="0"/>
        <v>#NAME?</v>
      </c>
      <c r="K14" s="36" t="str">
        <f t="shared" si="1"/>
        <v>유효</v>
      </c>
      <c r="L14" s="37" t="str">
        <f t="shared" si="2"/>
        <v/>
      </c>
      <c r="M14" s="30"/>
      <c r="N14" s="38" t="b">
        <v>0</v>
      </c>
      <c r="O14" s="38" t="b">
        <v>0</v>
      </c>
      <c r="P14" s="39">
        <f>VLOOKUP($B14,'26년 1월 출석표'!$B$2:$BQ$497,10,0)/1</f>
        <v>1</v>
      </c>
      <c r="Q14" s="40"/>
      <c r="R14" s="41">
        <f>VLOOKUP($B14,'26년 1월 출석표'!$B$2:$BQ$497,24,0)/5</f>
        <v>0.8</v>
      </c>
      <c r="S14" s="40"/>
      <c r="T14" s="41">
        <f>VLOOKUP($B14,'26년 1월 출석표'!$B$2:$BQ$497,38,0)/5</f>
        <v>0.2</v>
      </c>
      <c r="U14" s="40"/>
      <c r="V14" s="41">
        <f>VLOOKUP($B14,'26년 1월 출석표'!$B$2:$BQ$497,52,0)/5</f>
        <v>0</v>
      </c>
      <c r="W14" s="42"/>
      <c r="X14" s="41">
        <f>VLOOKUP($B14,'26년 1월 출석표'!$B$2:$BQ$503,66,0)/5</f>
        <v>0</v>
      </c>
      <c r="Y14" s="43"/>
    </row>
    <row r="15" spans="1:25" ht="16.5">
      <c r="A15" s="29"/>
      <c r="B15" s="30" t="s">
        <v>45</v>
      </c>
      <c r="C15" s="30" t="s">
        <v>3</v>
      </c>
      <c r="D15" s="31" t="s">
        <v>46</v>
      </c>
      <c r="E15" s="32" t="s">
        <v>26</v>
      </c>
      <c r="F15" s="33">
        <v>45839</v>
      </c>
      <c r="G15" s="33">
        <v>45875</v>
      </c>
      <c r="H15" s="33">
        <v>46239</v>
      </c>
      <c r="I15" s="34">
        <f>VLOOKUP(B15,'26년 1월 출석표'!$B$7:$D$500,3,0)</f>
        <v>1</v>
      </c>
      <c r="J15" s="35" t="e">
        <f t="shared" ca="1" si="0"/>
        <v>#NAME?</v>
      </c>
      <c r="K15" s="36" t="str">
        <f t="shared" si="1"/>
        <v>유효</v>
      </c>
      <c r="L15" s="37" t="str">
        <f t="shared" si="2"/>
        <v/>
      </c>
      <c r="M15" s="30"/>
      <c r="N15" s="38" t="b">
        <v>0</v>
      </c>
      <c r="O15" s="38" t="b">
        <v>0</v>
      </c>
      <c r="P15" s="39">
        <f>VLOOKUP($B15,'26년 1월 출석표'!$B$2:$BQ$497,10,0)/1</f>
        <v>0</v>
      </c>
      <c r="Q15" s="40"/>
      <c r="R15" s="41">
        <f>VLOOKUP($B15,'26년 1월 출석표'!$B$2:$BQ$497,24,0)/5</f>
        <v>0.2</v>
      </c>
      <c r="S15" s="40"/>
      <c r="T15" s="41">
        <f>VLOOKUP($B15,'26년 1월 출석표'!$B$2:$BQ$497,38,0)/5</f>
        <v>0</v>
      </c>
      <c r="U15" s="40"/>
      <c r="V15" s="41">
        <f>VLOOKUP($B15,'26년 1월 출석표'!$B$2:$BQ$497,52,0)/5</f>
        <v>0</v>
      </c>
      <c r="W15" s="42"/>
      <c r="X15" s="41">
        <f>VLOOKUP($B15,'26년 1월 출석표'!$B$2:$BQ$503,66,0)/5</f>
        <v>0</v>
      </c>
      <c r="Y15" s="43"/>
    </row>
    <row r="16" spans="1:25" ht="16.5">
      <c r="A16" s="29"/>
      <c r="B16" s="30" t="s">
        <v>47</v>
      </c>
      <c r="C16" s="30" t="s">
        <v>4</v>
      </c>
      <c r="D16" s="31" t="s">
        <v>48</v>
      </c>
      <c r="E16" s="32" t="s">
        <v>34</v>
      </c>
      <c r="F16" s="33">
        <v>45839</v>
      </c>
      <c r="G16" s="33">
        <v>45859</v>
      </c>
      <c r="H16" s="33">
        <v>46240</v>
      </c>
      <c r="I16" s="34">
        <f>VLOOKUP(B16,'26년 1월 출석표'!$B$7:$D$500,3,0)</f>
        <v>6</v>
      </c>
      <c r="J16" s="35" t="e">
        <f t="shared" ca="1" si="0"/>
        <v>#NAME?</v>
      </c>
      <c r="K16" s="36" t="str">
        <f t="shared" si="1"/>
        <v>유효</v>
      </c>
      <c r="L16" s="37" t="str">
        <f t="shared" si="2"/>
        <v/>
      </c>
      <c r="M16" s="30"/>
      <c r="N16" s="38" t="b">
        <v>0</v>
      </c>
      <c r="O16" s="38" t="b">
        <v>0</v>
      </c>
      <c r="P16" s="39">
        <f>VLOOKUP($B16,'26년 1월 출석표'!$B$2:$BQ$497,10,0)/1</f>
        <v>1</v>
      </c>
      <c r="Q16" s="40"/>
      <c r="R16" s="41">
        <f>VLOOKUP($B16,'26년 1월 출석표'!$B$2:$BQ$497,24,0)/5</f>
        <v>0.8</v>
      </c>
      <c r="S16" s="40"/>
      <c r="T16" s="41">
        <f>VLOOKUP($B16,'26년 1월 출석표'!$B$2:$BQ$497,38,0)/5</f>
        <v>0.2</v>
      </c>
      <c r="U16" s="40"/>
      <c r="V16" s="41">
        <f>VLOOKUP($B16,'26년 1월 출석표'!$B$2:$BQ$497,52,0)/5</f>
        <v>0</v>
      </c>
      <c r="W16" s="42"/>
      <c r="X16" s="41">
        <f>VLOOKUP($B16,'26년 1월 출석표'!$B$2:$BQ$503,66,0)/5</f>
        <v>0</v>
      </c>
      <c r="Y16" s="43"/>
    </row>
    <row r="17" spans="1:25" ht="16.5">
      <c r="A17" s="29"/>
      <c r="B17" s="30" t="s">
        <v>49</v>
      </c>
      <c r="C17" s="30" t="s">
        <v>4</v>
      </c>
      <c r="D17" s="31" t="s">
        <v>50</v>
      </c>
      <c r="E17" s="32" t="s">
        <v>31</v>
      </c>
      <c r="F17" s="33">
        <v>45839</v>
      </c>
      <c r="G17" s="33">
        <v>45859</v>
      </c>
      <c r="H17" s="33">
        <v>46300</v>
      </c>
      <c r="I17" s="34">
        <f>VLOOKUP(B17,'26년 1월 출석표'!$B$7:$D$500,3,0)</f>
        <v>1</v>
      </c>
      <c r="J17" s="35" t="e">
        <f t="shared" ca="1" si="0"/>
        <v>#NAME?</v>
      </c>
      <c r="K17" s="36" t="str">
        <f t="shared" si="1"/>
        <v>유효</v>
      </c>
      <c r="L17" s="37" t="str">
        <f t="shared" si="2"/>
        <v/>
      </c>
      <c r="M17" s="30"/>
      <c r="N17" s="38" t="b">
        <v>0</v>
      </c>
      <c r="O17" s="38" t="b">
        <v>0</v>
      </c>
      <c r="P17" s="39">
        <f>VLOOKUP($B17,'26년 1월 출석표'!$B$2:$BQ$497,10,0)/1</f>
        <v>0</v>
      </c>
      <c r="Q17" s="40"/>
      <c r="R17" s="41">
        <f>VLOOKUP($B17,'26년 1월 출석표'!$B$2:$BQ$497,24,0)/5</f>
        <v>0</v>
      </c>
      <c r="S17" s="40"/>
      <c r="T17" s="41">
        <f>VLOOKUP($B17,'26년 1월 출석표'!$B$2:$BQ$497,38,0)/5</f>
        <v>0.2</v>
      </c>
      <c r="U17" s="40"/>
      <c r="V17" s="41">
        <f>VLOOKUP($B17,'26년 1월 출석표'!$B$2:$BQ$497,52,0)/5</f>
        <v>0</v>
      </c>
      <c r="W17" s="42"/>
      <c r="X17" s="41">
        <f>VLOOKUP($B17,'26년 1월 출석표'!$B$2:$BQ$503,66,0)/5</f>
        <v>0</v>
      </c>
      <c r="Y17" s="43"/>
    </row>
    <row r="18" spans="1:25" ht="16.5">
      <c r="A18" s="29"/>
      <c r="B18" s="30" t="s">
        <v>51</v>
      </c>
      <c r="C18" s="30" t="s">
        <v>4</v>
      </c>
      <c r="D18" s="31" t="s">
        <v>52</v>
      </c>
      <c r="E18" s="32" t="s">
        <v>34</v>
      </c>
      <c r="F18" s="33">
        <v>45839</v>
      </c>
      <c r="G18" s="33">
        <v>45859</v>
      </c>
      <c r="H18" s="33">
        <v>46325</v>
      </c>
      <c r="I18" s="34">
        <f>VLOOKUP(B18,'26년 1월 출석표'!$B$7:$D$500,3,0)</f>
        <v>6</v>
      </c>
      <c r="J18" s="35" t="e">
        <f t="shared" ca="1" si="0"/>
        <v>#NAME?</v>
      </c>
      <c r="K18" s="36" t="str">
        <f t="shared" si="1"/>
        <v>유효</v>
      </c>
      <c r="L18" s="37" t="str">
        <f t="shared" si="2"/>
        <v/>
      </c>
      <c r="M18" s="30"/>
      <c r="N18" s="38" t="b">
        <v>0</v>
      </c>
      <c r="O18" s="38" t="b">
        <v>0</v>
      </c>
      <c r="P18" s="39">
        <f>VLOOKUP($B18,'26년 1월 출석표'!$B$2:$BQ$497,10,0)/1</f>
        <v>1</v>
      </c>
      <c r="Q18" s="40"/>
      <c r="R18" s="41">
        <f>VLOOKUP($B18,'26년 1월 출석표'!$B$2:$BQ$497,24,0)/5</f>
        <v>0.8</v>
      </c>
      <c r="S18" s="40"/>
      <c r="T18" s="41">
        <f>VLOOKUP($B18,'26년 1월 출석표'!$B$2:$BQ$497,38,0)/5</f>
        <v>0.2</v>
      </c>
      <c r="U18" s="40"/>
      <c r="V18" s="41">
        <f>VLOOKUP($B18,'26년 1월 출석표'!$B$2:$BQ$497,52,0)/5</f>
        <v>0</v>
      </c>
      <c r="W18" s="42"/>
      <c r="X18" s="41">
        <f>VLOOKUP($B18,'26년 1월 출석표'!$B$2:$BQ$503,66,0)/5</f>
        <v>0</v>
      </c>
      <c r="Y18" s="43"/>
    </row>
    <row r="19" spans="1:25" ht="16.5">
      <c r="A19" s="29"/>
      <c r="B19" s="30" t="s">
        <v>53</v>
      </c>
      <c r="C19" s="30" t="s">
        <v>4</v>
      </c>
      <c r="D19" s="31" t="s">
        <v>54</v>
      </c>
      <c r="E19" s="32" t="s">
        <v>26</v>
      </c>
      <c r="F19" s="33">
        <v>45842</v>
      </c>
      <c r="G19" s="33">
        <v>45859</v>
      </c>
      <c r="H19" s="33">
        <v>46042</v>
      </c>
      <c r="I19" s="34">
        <f>VLOOKUP(B19,'26년 1월 출석표'!$B$7:$D$500,3,0)</f>
        <v>0</v>
      </c>
      <c r="J19" s="35" t="e">
        <f t="shared" ca="1" si="0"/>
        <v>#NAME?</v>
      </c>
      <c r="K19" s="36" t="str">
        <f t="shared" si="1"/>
        <v>유효</v>
      </c>
      <c r="L19" s="37" t="str">
        <f t="shared" si="2"/>
        <v>만료</v>
      </c>
      <c r="M19" s="30"/>
      <c r="N19" s="38" t="b">
        <v>0</v>
      </c>
      <c r="O19" s="38" t="b">
        <v>0</v>
      </c>
      <c r="P19" s="39">
        <f>VLOOKUP($B19,'26년 1월 출석표'!$B$2:$BQ$497,10,0)/1</f>
        <v>0</v>
      </c>
      <c r="Q19" s="40"/>
      <c r="R19" s="41">
        <f>VLOOKUP($B19,'26년 1월 출석표'!$B$2:$BQ$497,24,0)/5</f>
        <v>0</v>
      </c>
      <c r="S19" s="40"/>
      <c r="T19" s="41">
        <f>VLOOKUP($B19,'26년 1월 출석표'!$B$2:$BQ$497,38,0)/5</f>
        <v>0</v>
      </c>
      <c r="U19" s="40"/>
      <c r="V19" s="41">
        <f>VLOOKUP($B19,'26년 1월 출석표'!$B$2:$BQ$497,52,0)/5</f>
        <v>0</v>
      </c>
      <c r="W19" s="42"/>
      <c r="X19" s="41">
        <f>VLOOKUP($B19,'26년 1월 출석표'!$B$2:$BQ$503,66,0)/5</f>
        <v>0</v>
      </c>
      <c r="Y19" s="43"/>
    </row>
    <row r="20" spans="1:25" ht="16.5">
      <c r="A20" s="29"/>
      <c r="B20" s="30" t="s">
        <v>55</v>
      </c>
      <c r="C20" s="30" t="s">
        <v>4</v>
      </c>
      <c r="D20" s="31" t="s">
        <v>56</v>
      </c>
      <c r="E20" s="32" t="s">
        <v>57</v>
      </c>
      <c r="F20" s="33">
        <v>45842</v>
      </c>
      <c r="G20" s="33">
        <v>45859</v>
      </c>
      <c r="H20" s="33">
        <v>46053</v>
      </c>
      <c r="I20" s="34">
        <f>VLOOKUP(B20,'26년 1월 출석표'!$B$7:$D$500,3,0)</f>
        <v>0</v>
      </c>
      <c r="J20" s="35" t="e">
        <f t="shared" ca="1" si="0"/>
        <v>#NAME?</v>
      </c>
      <c r="K20" s="36" t="str">
        <f t="shared" si="1"/>
        <v>유효</v>
      </c>
      <c r="L20" s="37" t="str">
        <f t="shared" si="2"/>
        <v>만료</v>
      </c>
      <c r="M20" s="30"/>
      <c r="N20" s="38" t="b">
        <v>0</v>
      </c>
      <c r="O20" s="38" t="b">
        <v>0</v>
      </c>
      <c r="P20" s="39">
        <f>VLOOKUP($B20,'26년 1월 출석표'!$B$2:$BQ$497,10,0)/1</f>
        <v>0</v>
      </c>
      <c r="Q20" s="40"/>
      <c r="R20" s="41">
        <f>VLOOKUP($B20,'26년 1월 출석표'!$B$2:$BQ$497,24,0)/5</f>
        <v>0</v>
      </c>
      <c r="S20" s="40"/>
      <c r="T20" s="41">
        <f>VLOOKUP($B20,'26년 1월 출석표'!$B$2:$BQ$497,38,0)/5</f>
        <v>0</v>
      </c>
      <c r="U20" s="40"/>
      <c r="V20" s="41">
        <f>VLOOKUP($B20,'26년 1월 출석표'!$B$2:$BQ$497,52,0)/5</f>
        <v>0</v>
      </c>
      <c r="W20" s="42"/>
      <c r="X20" s="41">
        <f>VLOOKUP($B20,'26년 1월 출석표'!$B$2:$BQ$503,66,0)/5</f>
        <v>0</v>
      </c>
      <c r="Y20" s="43"/>
    </row>
    <row r="21" spans="1:25" ht="16.5">
      <c r="A21" s="29"/>
      <c r="B21" s="30" t="s">
        <v>58</v>
      </c>
      <c r="C21" s="30" t="s">
        <v>4</v>
      </c>
      <c r="D21" s="31" t="s">
        <v>59</v>
      </c>
      <c r="E21" s="32" t="s">
        <v>26</v>
      </c>
      <c r="F21" s="33">
        <v>45842</v>
      </c>
      <c r="G21" s="33">
        <v>45969</v>
      </c>
      <c r="H21" s="33">
        <v>46149</v>
      </c>
      <c r="I21" s="34">
        <f>VLOOKUP(B21,'26년 1월 출석표'!$B$7:$D$500,3,0)</f>
        <v>0</v>
      </c>
      <c r="J21" s="35" t="e">
        <f t="shared" ca="1" si="0"/>
        <v>#NAME?</v>
      </c>
      <c r="K21" s="36" t="str">
        <f t="shared" si="1"/>
        <v>유효</v>
      </c>
      <c r="L21" s="37" t="str">
        <f t="shared" si="2"/>
        <v/>
      </c>
      <c r="M21" s="30"/>
      <c r="N21" s="38" t="b">
        <v>0</v>
      </c>
      <c r="O21" s="38" t="b">
        <v>0</v>
      </c>
      <c r="P21" s="39">
        <f>VLOOKUP($B21,'26년 1월 출석표'!$B$2:$BQ$497,10,0)/1</f>
        <v>0</v>
      </c>
      <c r="Q21" s="40"/>
      <c r="R21" s="41">
        <f>VLOOKUP($B21,'26년 1월 출석표'!$B$2:$BQ$497,24,0)/5</f>
        <v>0</v>
      </c>
      <c r="S21" s="40"/>
      <c r="T21" s="41">
        <f>VLOOKUP($B21,'26년 1월 출석표'!$B$2:$BQ$497,38,0)/5</f>
        <v>0</v>
      </c>
      <c r="U21" s="40"/>
      <c r="V21" s="41">
        <f>VLOOKUP($B21,'26년 1월 출석표'!$B$2:$BQ$497,52,0)/5</f>
        <v>0</v>
      </c>
      <c r="W21" s="42"/>
      <c r="X21" s="41">
        <f>VLOOKUP($B21,'26년 1월 출석표'!$B$2:$BQ$503,66,0)/5</f>
        <v>0</v>
      </c>
      <c r="Y21" s="43"/>
    </row>
    <row r="22" spans="1:25" ht="16.5">
      <c r="A22" s="29"/>
      <c r="B22" s="30" t="s">
        <v>60</v>
      </c>
      <c r="C22" s="30" t="s">
        <v>4</v>
      </c>
      <c r="D22" s="31" t="s">
        <v>61</v>
      </c>
      <c r="E22" s="32" t="s">
        <v>31</v>
      </c>
      <c r="F22" s="33">
        <v>45843</v>
      </c>
      <c r="G22" s="33">
        <v>45859</v>
      </c>
      <c r="H22" s="33">
        <v>46261</v>
      </c>
      <c r="I22" s="34">
        <f>VLOOKUP(B22,'26년 1월 출석표'!$B$7:$D$500,3,0)</f>
        <v>1</v>
      </c>
      <c r="J22" s="35" t="e">
        <f t="shared" ca="1" si="0"/>
        <v>#NAME?</v>
      </c>
      <c r="K22" s="36" t="str">
        <f t="shared" si="1"/>
        <v>유효</v>
      </c>
      <c r="L22" s="37" t="str">
        <f t="shared" si="2"/>
        <v/>
      </c>
      <c r="M22" s="30"/>
      <c r="N22" s="38" t="b">
        <v>0</v>
      </c>
      <c r="O22" s="38" t="b">
        <v>0</v>
      </c>
      <c r="P22" s="39">
        <f>VLOOKUP($B22,'26년 1월 출석표'!$B$2:$BQ$497,10,0)/1</f>
        <v>0</v>
      </c>
      <c r="Q22" s="40"/>
      <c r="R22" s="41">
        <f>VLOOKUP($B22,'26년 1월 출석표'!$B$2:$BQ$497,24,0)/5</f>
        <v>0</v>
      </c>
      <c r="S22" s="40"/>
      <c r="T22" s="41">
        <f>VLOOKUP($B22,'26년 1월 출석표'!$B$2:$BQ$497,38,0)/5</f>
        <v>0.2</v>
      </c>
      <c r="U22" s="40"/>
      <c r="V22" s="41">
        <f>VLOOKUP($B22,'26년 1월 출석표'!$B$2:$BQ$497,52,0)/5</f>
        <v>0</v>
      </c>
      <c r="W22" s="42"/>
      <c r="X22" s="41">
        <f>VLOOKUP($B22,'26년 1월 출석표'!$B$2:$BQ$503,66,0)/5</f>
        <v>0</v>
      </c>
      <c r="Y22" s="43"/>
    </row>
    <row r="23" spans="1:25" ht="16.5">
      <c r="A23" s="29"/>
      <c r="B23" s="30" t="s">
        <v>62</v>
      </c>
      <c r="C23" s="30" t="s">
        <v>4</v>
      </c>
      <c r="D23" s="31" t="s">
        <v>63</v>
      </c>
      <c r="E23" s="32" t="s">
        <v>34</v>
      </c>
      <c r="F23" s="33">
        <v>45843</v>
      </c>
      <c r="G23" s="33">
        <v>45859</v>
      </c>
      <c r="H23" s="33">
        <v>46588</v>
      </c>
      <c r="I23" s="34">
        <f>VLOOKUP(B23,'26년 1월 출석표'!$B$7:$D$500,3,0)</f>
        <v>6</v>
      </c>
      <c r="J23" s="35" t="e">
        <f t="shared" ca="1" si="0"/>
        <v>#NAME?</v>
      </c>
      <c r="K23" s="36" t="str">
        <f t="shared" si="1"/>
        <v>유효</v>
      </c>
      <c r="L23" s="37" t="str">
        <f t="shared" si="2"/>
        <v/>
      </c>
      <c r="M23" s="30"/>
      <c r="N23" s="38" t="b">
        <v>0</v>
      </c>
      <c r="O23" s="38" t="b">
        <v>0</v>
      </c>
      <c r="P23" s="39">
        <f>VLOOKUP($B23,'26년 1월 출석표'!$B$2:$BQ$497,10,0)/1</f>
        <v>0</v>
      </c>
      <c r="Q23" s="40"/>
      <c r="R23" s="41">
        <f>VLOOKUP($B23,'26년 1월 출석표'!$B$2:$BQ$497,24,0)/5</f>
        <v>1</v>
      </c>
      <c r="S23" s="40"/>
      <c r="T23" s="41">
        <f>VLOOKUP($B23,'26년 1월 출석표'!$B$2:$BQ$497,38,0)/5</f>
        <v>0.2</v>
      </c>
      <c r="U23" s="40"/>
      <c r="V23" s="41">
        <f>VLOOKUP($B23,'26년 1월 출석표'!$B$2:$BQ$497,52,0)/5</f>
        <v>0</v>
      </c>
      <c r="W23" s="42"/>
      <c r="X23" s="41">
        <f>VLOOKUP($B23,'26년 1월 출석표'!$B$2:$BQ$503,66,0)/5</f>
        <v>0</v>
      </c>
      <c r="Y23" s="43"/>
    </row>
    <row r="24" spans="1:25" ht="16.5">
      <c r="A24" s="29"/>
      <c r="B24" s="30" t="s">
        <v>64</v>
      </c>
      <c r="C24" s="30" t="s">
        <v>4</v>
      </c>
      <c r="D24" s="31" t="s">
        <v>65</v>
      </c>
      <c r="E24" s="32" t="s">
        <v>26</v>
      </c>
      <c r="F24" s="33">
        <v>45846</v>
      </c>
      <c r="G24" s="33">
        <v>45859</v>
      </c>
      <c r="H24" s="33">
        <v>46042</v>
      </c>
      <c r="I24" s="34">
        <f>VLOOKUP(B24,'26년 1월 출석표'!$B$7:$D$500,3,0)</f>
        <v>0</v>
      </c>
      <c r="J24" s="35" t="e">
        <f t="shared" ca="1" si="0"/>
        <v>#NAME?</v>
      </c>
      <c r="K24" s="36" t="str">
        <f t="shared" si="1"/>
        <v>유효</v>
      </c>
      <c r="L24" s="37" t="str">
        <f t="shared" si="2"/>
        <v>만료</v>
      </c>
      <c r="M24" s="30"/>
      <c r="N24" s="38" t="b">
        <v>0</v>
      </c>
      <c r="O24" s="38" t="b">
        <v>0</v>
      </c>
      <c r="P24" s="39">
        <f>VLOOKUP($B24,'26년 1월 출석표'!$B$2:$BQ$497,10,0)/1</f>
        <v>0</v>
      </c>
      <c r="Q24" s="40"/>
      <c r="R24" s="41">
        <f>VLOOKUP($B24,'26년 1월 출석표'!$B$2:$BQ$497,24,0)/5</f>
        <v>0</v>
      </c>
      <c r="S24" s="40"/>
      <c r="T24" s="41">
        <f>VLOOKUP($B24,'26년 1월 출석표'!$B$2:$BQ$497,38,0)/5</f>
        <v>0</v>
      </c>
      <c r="U24" s="40"/>
      <c r="V24" s="41">
        <f>VLOOKUP($B24,'26년 1월 출석표'!$B$2:$BQ$497,52,0)/5</f>
        <v>0</v>
      </c>
      <c r="W24" s="42"/>
      <c r="X24" s="41">
        <f>VLOOKUP($B24,'26년 1월 출석표'!$B$2:$BQ$503,66,0)/5</f>
        <v>0</v>
      </c>
      <c r="Y24" s="43"/>
    </row>
    <row r="25" spans="1:25" ht="16.5">
      <c r="A25" s="29"/>
      <c r="B25" s="30" t="s">
        <v>66</v>
      </c>
      <c r="C25" s="30" t="s">
        <v>4</v>
      </c>
      <c r="D25" s="31" t="s">
        <v>67</v>
      </c>
      <c r="E25" s="32" t="s">
        <v>31</v>
      </c>
      <c r="F25" s="33">
        <v>45848</v>
      </c>
      <c r="G25" s="33">
        <v>45874</v>
      </c>
      <c r="H25" s="33">
        <v>46146</v>
      </c>
      <c r="I25" s="34">
        <f>VLOOKUP(B25,'26년 1월 출석표'!$B$7:$D$500,3,0)</f>
        <v>2</v>
      </c>
      <c r="J25" s="35" t="e">
        <f t="shared" ca="1" si="0"/>
        <v>#NAME?</v>
      </c>
      <c r="K25" s="36" t="str">
        <f t="shared" si="1"/>
        <v>유효</v>
      </c>
      <c r="L25" s="37" t="str">
        <f t="shared" si="2"/>
        <v/>
      </c>
      <c r="M25" s="30"/>
      <c r="N25" s="38" t="b">
        <v>0</v>
      </c>
      <c r="O25" s="38" t="b">
        <v>0</v>
      </c>
      <c r="P25" s="39">
        <f>VLOOKUP($B25,'26년 1월 출석표'!$B$2:$BQ$497,10,0)/1</f>
        <v>0</v>
      </c>
      <c r="Q25" s="40"/>
      <c r="R25" s="41">
        <f>VLOOKUP($B25,'26년 1월 출석표'!$B$2:$BQ$497,24,0)/5</f>
        <v>0.4</v>
      </c>
      <c r="S25" s="40"/>
      <c r="T25" s="41">
        <f>VLOOKUP($B25,'26년 1월 출석표'!$B$2:$BQ$497,38,0)/5</f>
        <v>0</v>
      </c>
      <c r="U25" s="40"/>
      <c r="V25" s="41">
        <f>VLOOKUP($B25,'26년 1월 출석표'!$B$2:$BQ$497,52,0)/5</f>
        <v>0</v>
      </c>
      <c r="W25" s="42"/>
      <c r="X25" s="41">
        <f>VLOOKUP($B25,'26년 1월 출석표'!$B$2:$BQ$503,66,0)/5</f>
        <v>0</v>
      </c>
      <c r="Y25" s="43"/>
    </row>
    <row r="26" spans="1:25" ht="16.5">
      <c r="A26" s="29"/>
      <c r="B26" s="30" t="s">
        <v>68</v>
      </c>
      <c r="C26" s="30" t="s">
        <v>3</v>
      </c>
      <c r="D26" s="31" t="s">
        <v>69</v>
      </c>
      <c r="E26" s="32" t="s">
        <v>57</v>
      </c>
      <c r="F26" s="33">
        <v>45850</v>
      </c>
      <c r="G26" s="33">
        <v>45989</v>
      </c>
      <c r="H26" s="33">
        <v>46080</v>
      </c>
      <c r="I26" s="34">
        <f>VLOOKUP(B26,'26년 1월 출석표'!$B$7:$D$500,3,0)</f>
        <v>0</v>
      </c>
      <c r="J26" s="35" t="e">
        <f t="shared" ca="1" si="0"/>
        <v>#NAME?</v>
      </c>
      <c r="K26" s="36" t="str">
        <f t="shared" si="1"/>
        <v>유효</v>
      </c>
      <c r="L26" s="37" t="str">
        <f t="shared" si="2"/>
        <v/>
      </c>
      <c r="M26" s="30"/>
      <c r="N26" s="38" t="b">
        <v>0</v>
      </c>
      <c r="O26" s="38" t="b">
        <v>0</v>
      </c>
      <c r="P26" s="39">
        <f>VLOOKUP($B26,'26년 1월 출석표'!$B$2:$BQ$497,10,0)/1</f>
        <v>0</v>
      </c>
      <c r="Q26" s="40"/>
      <c r="R26" s="41">
        <f>VLOOKUP($B26,'26년 1월 출석표'!$B$2:$BQ$497,24,0)/5</f>
        <v>0</v>
      </c>
      <c r="S26" s="40"/>
      <c r="T26" s="41">
        <f>VLOOKUP($B26,'26년 1월 출석표'!$B$2:$BQ$497,38,0)/5</f>
        <v>0</v>
      </c>
      <c r="U26" s="40"/>
      <c r="V26" s="41">
        <f>VLOOKUP($B26,'26년 1월 출석표'!$B$2:$BQ$497,52,0)/5</f>
        <v>0</v>
      </c>
      <c r="W26" s="42"/>
      <c r="X26" s="41">
        <f>VLOOKUP($B26,'26년 1월 출석표'!$B$2:$BQ$503,66,0)/5</f>
        <v>0</v>
      </c>
      <c r="Y26" s="43"/>
    </row>
    <row r="27" spans="1:25" ht="16.5">
      <c r="A27" s="29"/>
      <c r="B27" s="30" t="s">
        <v>70</v>
      </c>
      <c r="C27" s="30" t="s">
        <v>4</v>
      </c>
      <c r="D27" s="31" t="s">
        <v>71</v>
      </c>
      <c r="E27" s="32" t="s">
        <v>34</v>
      </c>
      <c r="F27" s="33">
        <v>45850</v>
      </c>
      <c r="G27" s="33">
        <v>45866</v>
      </c>
      <c r="H27" s="33">
        <v>46356</v>
      </c>
      <c r="I27" s="34">
        <f>VLOOKUP(B27,'26년 1월 출석표'!$B$7:$D$500,3,0)</f>
        <v>0</v>
      </c>
      <c r="J27" s="35" t="e">
        <f t="shared" ca="1" si="0"/>
        <v>#NAME?</v>
      </c>
      <c r="K27" s="36" t="str">
        <f t="shared" si="1"/>
        <v>유효</v>
      </c>
      <c r="L27" s="37" t="str">
        <f t="shared" si="2"/>
        <v/>
      </c>
      <c r="M27" s="30"/>
      <c r="N27" s="38" t="b">
        <v>0</v>
      </c>
      <c r="O27" s="38" t="b">
        <v>0</v>
      </c>
      <c r="P27" s="39">
        <f>VLOOKUP($B27,'26년 1월 출석표'!$B$2:$BQ$497,10,0)/1</f>
        <v>0</v>
      </c>
      <c r="Q27" s="40"/>
      <c r="R27" s="41">
        <f>VLOOKUP($B27,'26년 1월 출석표'!$B$2:$BQ$497,24,0)/5</f>
        <v>0</v>
      </c>
      <c r="S27" s="40"/>
      <c r="T27" s="41">
        <f>VLOOKUP($B27,'26년 1월 출석표'!$B$2:$BQ$497,38,0)/5</f>
        <v>0</v>
      </c>
      <c r="U27" s="40"/>
      <c r="V27" s="41">
        <f>VLOOKUP($B27,'26년 1월 출석표'!$B$2:$BQ$497,52,0)/5</f>
        <v>0</v>
      </c>
      <c r="W27" s="42"/>
      <c r="X27" s="41">
        <f>VLOOKUP($B27,'26년 1월 출석표'!$B$2:$BQ$503,66,0)/5</f>
        <v>0</v>
      </c>
      <c r="Y27" s="43"/>
    </row>
    <row r="28" spans="1:25" ht="16.5">
      <c r="A28" s="29"/>
      <c r="B28" s="30" t="s">
        <v>72</v>
      </c>
      <c r="C28" s="30" t="s">
        <v>4</v>
      </c>
      <c r="D28" s="31" t="s">
        <v>73</v>
      </c>
      <c r="E28" s="32" t="s">
        <v>26</v>
      </c>
      <c r="F28" s="33">
        <v>45852</v>
      </c>
      <c r="G28" s="33">
        <v>45860</v>
      </c>
      <c r="H28" s="33">
        <v>46043</v>
      </c>
      <c r="I28" s="34">
        <f>VLOOKUP(B28,'26년 1월 출석표'!$B$7:$D$500,3,0)</f>
        <v>0</v>
      </c>
      <c r="J28" s="35" t="e">
        <f t="shared" ca="1" si="0"/>
        <v>#NAME?</v>
      </c>
      <c r="K28" s="36" t="str">
        <f t="shared" si="1"/>
        <v>유효</v>
      </c>
      <c r="L28" s="37" t="str">
        <f t="shared" si="2"/>
        <v>만료</v>
      </c>
      <c r="M28" s="30"/>
      <c r="N28" s="38" t="b">
        <v>0</v>
      </c>
      <c r="O28" s="38" t="b">
        <v>0</v>
      </c>
      <c r="P28" s="39">
        <f>VLOOKUP($B28,'26년 1월 출석표'!$B$2:$BQ$497,10,0)/1</f>
        <v>0</v>
      </c>
      <c r="Q28" s="40"/>
      <c r="R28" s="41">
        <f>VLOOKUP($B28,'26년 1월 출석표'!$B$2:$BQ$497,24,0)/5</f>
        <v>0</v>
      </c>
      <c r="S28" s="40"/>
      <c r="T28" s="41">
        <f>VLOOKUP($B28,'26년 1월 출석표'!$B$2:$BQ$497,38,0)/5</f>
        <v>0</v>
      </c>
      <c r="U28" s="40"/>
      <c r="V28" s="41">
        <f>VLOOKUP($B28,'26년 1월 출석표'!$B$2:$BQ$497,52,0)/5</f>
        <v>0</v>
      </c>
      <c r="W28" s="42"/>
      <c r="X28" s="41">
        <f>VLOOKUP($B28,'26년 1월 출석표'!$B$2:$BQ$503,66,0)/5</f>
        <v>0</v>
      </c>
      <c r="Y28" s="43"/>
    </row>
    <row r="29" spans="1:25" ht="16.5">
      <c r="A29" s="29"/>
      <c r="B29" s="30" t="s">
        <v>74</v>
      </c>
      <c r="C29" s="30" t="s">
        <v>4</v>
      </c>
      <c r="D29" s="31" t="s">
        <v>75</v>
      </c>
      <c r="E29" s="32" t="s">
        <v>34</v>
      </c>
      <c r="F29" s="33">
        <v>45852</v>
      </c>
      <c r="G29" s="33">
        <v>45868</v>
      </c>
      <c r="H29" s="33">
        <v>46232</v>
      </c>
      <c r="I29" s="34">
        <f>VLOOKUP(B29,'26년 1월 출석표'!$B$7:$D$500,3,0)</f>
        <v>3</v>
      </c>
      <c r="J29" s="35" t="e">
        <f t="shared" ca="1" si="0"/>
        <v>#NAME?</v>
      </c>
      <c r="K29" s="36" t="str">
        <f t="shared" si="1"/>
        <v>유효</v>
      </c>
      <c r="L29" s="37" t="str">
        <f t="shared" si="2"/>
        <v/>
      </c>
      <c r="M29" s="30"/>
      <c r="N29" s="38" t="b">
        <v>0</v>
      </c>
      <c r="O29" s="38" t="b">
        <v>0</v>
      </c>
      <c r="P29" s="39">
        <f>VLOOKUP($B29,'26년 1월 출석표'!$B$2:$BQ$497,10,0)/1</f>
        <v>1</v>
      </c>
      <c r="Q29" s="40"/>
      <c r="R29" s="41">
        <f>VLOOKUP($B29,'26년 1월 출석표'!$B$2:$BQ$497,24,0)/5</f>
        <v>0.4</v>
      </c>
      <c r="S29" s="40"/>
      <c r="T29" s="41">
        <f>VLOOKUP($B29,'26년 1월 출석표'!$B$2:$BQ$497,38,0)/5</f>
        <v>0</v>
      </c>
      <c r="U29" s="40"/>
      <c r="V29" s="41">
        <f>VLOOKUP($B29,'26년 1월 출석표'!$B$2:$BQ$497,52,0)/5</f>
        <v>0</v>
      </c>
      <c r="W29" s="42"/>
      <c r="X29" s="41">
        <f>VLOOKUP($B29,'26년 1월 출석표'!$B$2:$BQ$503,66,0)/5</f>
        <v>0</v>
      </c>
      <c r="Y29" s="43"/>
    </row>
    <row r="30" spans="1:25" ht="16.5">
      <c r="A30" s="29"/>
      <c r="B30" s="30" t="s">
        <v>76</v>
      </c>
      <c r="C30" s="30" t="s">
        <v>4</v>
      </c>
      <c r="D30" s="31" t="s">
        <v>77</v>
      </c>
      <c r="E30" s="32" t="s">
        <v>26</v>
      </c>
      <c r="F30" s="33">
        <v>45853</v>
      </c>
      <c r="G30" s="33">
        <v>45859</v>
      </c>
      <c r="H30" s="33">
        <v>46129</v>
      </c>
      <c r="I30" s="34">
        <f>VLOOKUP(B30,'26년 1월 출석표'!$B$7:$D$500,3,0)</f>
        <v>6</v>
      </c>
      <c r="J30" s="35" t="e">
        <f t="shared" ca="1" si="0"/>
        <v>#NAME?</v>
      </c>
      <c r="K30" s="36" t="str">
        <f t="shared" si="1"/>
        <v>유효</v>
      </c>
      <c r="L30" s="37" t="str">
        <f t="shared" si="2"/>
        <v/>
      </c>
      <c r="M30" s="30"/>
      <c r="N30" s="38" t="b">
        <v>0</v>
      </c>
      <c r="O30" s="38" t="b">
        <v>0</v>
      </c>
      <c r="P30" s="39">
        <f>VLOOKUP($B30,'26년 1월 출석표'!$B$2:$BQ$497,10,0)/1</f>
        <v>1</v>
      </c>
      <c r="Q30" s="40"/>
      <c r="R30" s="41">
        <f>VLOOKUP($B30,'26년 1월 출석표'!$B$2:$BQ$497,24,0)/5</f>
        <v>0.8</v>
      </c>
      <c r="S30" s="40"/>
      <c r="T30" s="41">
        <f>VLOOKUP($B30,'26년 1월 출석표'!$B$2:$BQ$497,38,0)/5</f>
        <v>0.2</v>
      </c>
      <c r="U30" s="40"/>
      <c r="V30" s="41">
        <f>VLOOKUP($B30,'26년 1월 출석표'!$B$2:$BQ$497,52,0)/5</f>
        <v>0</v>
      </c>
      <c r="W30" s="42"/>
      <c r="X30" s="41">
        <f>VLOOKUP($B30,'26년 1월 출석표'!$B$2:$BQ$503,66,0)/5</f>
        <v>0</v>
      </c>
      <c r="Y30" s="43"/>
    </row>
    <row r="31" spans="1:25" ht="16.5">
      <c r="A31" s="29"/>
      <c r="B31" s="30" t="s">
        <v>78</v>
      </c>
      <c r="C31" s="30" t="s">
        <v>4</v>
      </c>
      <c r="D31" s="31" t="s">
        <v>79</v>
      </c>
      <c r="E31" s="32" t="s">
        <v>26</v>
      </c>
      <c r="F31" s="33">
        <v>45853</v>
      </c>
      <c r="G31" s="33">
        <v>45965</v>
      </c>
      <c r="H31" s="33">
        <v>46135</v>
      </c>
      <c r="I31" s="34">
        <f>VLOOKUP(B31,'26년 1월 출석표'!$B$7:$D$500,3,0)</f>
        <v>4</v>
      </c>
      <c r="J31" s="35" t="e">
        <f t="shared" ca="1" si="0"/>
        <v>#NAME?</v>
      </c>
      <c r="K31" s="36" t="str">
        <f t="shared" si="1"/>
        <v>유효</v>
      </c>
      <c r="L31" s="37" t="str">
        <f t="shared" si="2"/>
        <v/>
      </c>
      <c r="M31" s="30"/>
      <c r="N31" s="38" t="b">
        <v>0</v>
      </c>
      <c r="O31" s="38" t="b">
        <v>0</v>
      </c>
      <c r="P31" s="39">
        <f>VLOOKUP($B31,'26년 1월 출석표'!$B$2:$BQ$497,10,0)/1</f>
        <v>1</v>
      </c>
      <c r="Q31" s="40"/>
      <c r="R31" s="41">
        <f>VLOOKUP($B31,'26년 1월 출석표'!$B$2:$BQ$497,24,0)/5</f>
        <v>0.4</v>
      </c>
      <c r="S31" s="40"/>
      <c r="T31" s="41">
        <f>VLOOKUP($B31,'26년 1월 출석표'!$B$2:$BQ$497,38,0)/5</f>
        <v>0.2</v>
      </c>
      <c r="U31" s="40"/>
      <c r="V31" s="41">
        <f>VLOOKUP($B31,'26년 1월 출석표'!$B$2:$BQ$497,52,0)/5</f>
        <v>0</v>
      </c>
      <c r="W31" s="42"/>
      <c r="X31" s="41">
        <f>VLOOKUP($B31,'26년 1월 출석표'!$B$2:$BQ$503,66,0)/5</f>
        <v>0</v>
      </c>
      <c r="Y31" s="43"/>
    </row>
    <row r="32" spans="1:25" ht="16.5">
      <c r="A32" s="29"/>
      <c r="B32" s="30" t="s">
        <v>80</v>
      </c>
      <c r="C32" s="30" t="s">
        <v>4</v>
      </c>
      <c r="D32" s="31" t="s">
        <v>81</v>
      </c>
      <c r="E32" s="32" t="s">
        <v>34</v>
      </c>
      <c r="F32" s="33">
        <v>45853</v>
      </c>
      <c r="G32" s="33">
        <v>45863</v>
      </c>
      <c r="H32" s="33">
        <v>46227</v>
      </c>
      <c r="I32" s="34">
        <f>VLOOKUP(B32,'26년 1월 출석표'!$B$7:$D$500,3,0)</f>
        <v>5</v>
      </c>
      <c r="J32" s="35" t="e">
        <f t="shared" ca="1" si="0"/>
        <v>#NAME?</v>
      </c>
      <c r="K32" s="36" t="str">
        <f t="shared" si="1"/>
        <v>유효</v>
      </c>
      <c r="L32" s="37" t="str">
        <f t="shared" si="2"/>
        <v/>
      </c>
      <c r="M32" s="30"/>
      <c r="N32" s="38" t="b">
        <v>0</v>
      </c>
      <c r="O32" s="38" t="b">
        <v>0</v>
      </c>
      <c r="P32" s="39">
        <f>VLOOKUP($B32,'26년 1월 출석표'!$B$2:$BQ$497,10,0)/1</f>
        <v>1</v>
      </c>
      <c r="Q32" s="40"/>
      <c r="R32" s="41">
        <f>VLOOKUP($B32,'26년 1월 출석표'!$B$2:$BQ$497,24,0)/5</f>
        <v>0.6</v>
      </c>
      <c r="S32" s="40"/>
      <c r="T32" s="41">
        <f>VLOOKUP($B32,'26년 1월 출석표'!$B$2:$BQ$497,38,0)/5</f>
        <v>0.2</v>
      </c>
      <c r="U32" s="40"/>
      <c r="V32" s="41">
        <f>VLOOKUP($B32,'26년 1월 출석표'!$B$2:$BQ$497,52,0)/5</f>
        <v>0</v>
      </c>
      <c r="W32" s="42"/>
      <c r="X32" s="41">
        <f>VLOOKUP($B32,'26년 1월 출석표'!$B$2:$BQ$503,66,0)/5</f>
        <v>0</v>
      </c>
      <c r="Y32" s="43"/>
    </row>
    <row r="33" spans="1:25" ht="16.5">
      <c r="A33" s="29"/>
      <c r="B33" s="30" t="s">
        <v>82</v>
      </c>
      <c r="C33" s="30" t="s">
        <v>4</v>
      </c>
      <c r="D33" s="31" t="s">
        <v>83</v>
      </c>
      <c r="E33" s="32" t="s">
        <v>31</v>
      </c>
      <c r="F33" s="33">
        <v>45853</v>
      </c>
      <c r="G33" s="33">
        <v>45859</v>
      </c>
      <c r="H33" s="33">
        <v>46267</v>
      </c>
      <c r="I33" s="34">
        <f>VLOOKUP(B33,'26년 1월 출석표'!$B$7:$D$500,3,0)</f>
        <v>4</v>
      </c>
      <c r="J33" s="35" t="e">
        <f t="shared" ca="1" si="0"/>
        <v>#NAME?</v>
      </c>
      <c r="K33" s="36" t="str">
        <f t="shared" si="1"/>
        <v>유효</v>
      </c>
      <c r="L33" s="37" t="str">
        <f t="shared" si="2"/>
        <v/>
      </c>
      <c r="M33" s="30"/>
      <c r="N33" s="38" t="b">
        <v>0</v>
      </c>
      <c r="O33" s="38" t="b">
        <v>0</v>
      </c>
      <c r="P33" s="39">
        <f>VLOOKUP($B33,'26년 1월 출석표'!$B$2:$BQ$497,10,0)/1</f>
        <v>0</v>
      </c>
      <c r="Q33" s="40"/>
      <c r="R33" s="41">
        <f>VLOOKUP($B33,'26년 1월 출석표'!$B$2:$BQ$497,24,0)/5</f>
        <v>0.6</v>
      </c>
      <c r="S33" s="40"/>
      <c r="T33" s="41">
        <f>VLOOKUP($B33,'26년 1월 출석표'!$B$2:$BQ$497,38,0)/5</f>
        <v>0.2</v>
      </c>
      <c r="U33" s="40"/>
      <c r="V33" s="41">
        <f>VLOOKUP($B33,'26년 1월 출석표'!$B$2:$BQ$497,52,0)/5</f>
        <v>0</v>
      </c>
      <c r="W33" s="42"/>
      <c r="X33" s="41">
        <f>VLOOKUP($B33,'26년 1월 출석표'!$B$2:$BQ$503,66,0)/5</f>
        <v>0</v>
      </c>
      <c r="Y33" s="43"/>
    </row>
    <row r="34" spans="1:25" ht="16.5">
      <c r="A34" s="29"/>
      <c r="B34" s="30" t="s">
        <v>84</v>
      </c>
      <c r="C34" s="30" t="s">
        <v>4</v>
      </c>
      <c r="D34" s="31" t="s">
        <v>85</v>
      </c>
      <c r="E34" s="32" t="s">
        <v>34</v>
      </c>
      <c r="F34" s="33">
        <v>45857</v>
      </c>
      <c r="G34" s="33">
        <v>45876</v>
      </c>
      <c r="H34" s="33">
        <v>46240</v>
      </c>
      <c r="I34" s="34">
        <f>VLOOKUP(B34,'26년 1월 출석표'!$B$7:$D$500,3,0)</f>
        <v>4</v>
      </c>
      <c r="J34" s="35" t="e">
        <f t="shared" ca="1" si="0"/>
        <v>#NAME?</v>
      </c>
      <c r="K34" s="36" t="str">
        <f t="shared" si="1"/>
        <v>유효</v>
      </c>
      <c r="L34" s="37" t="str">
        <f t="shared" si="2"/>
        <v/>
      </c>
      <c r="M34" s="30"/>
      <c r="N34" s="38" t="b">
        <v>0</v>
      </c>
      <c r="O34" s="38" t="b">
        <v>0</v>
      </c>
      <c r="P34" s="39">
        <f>VLOOKUP($B34,'26년 1월 출석표'!$B$2:$BQ$497,10,0)/1</f>
        <v>0</v>
      </c>
      <c r="Q34" s="40"/>
      <c r="R34" s="41">
        <f>VLOOKUP($B34,'26년 1월 출석표'!$B$2:$BQ$497,24,0)/5</f>
        <v>0.6</v>
      </c>
      <c r="S34" s="40"/>
      <c r="T34" s="41">
        <f>VLOOKUP($B34,'26년 1월 출석표'!$B$2:$BQ$497,38,0)/5</f>
        <v>0.2</v>
      </c>
      <c r="U34" s="40"/>
      <c r="V34" s="41">
        <f>VLOOKUP($B34,'26년 1월 출석표'!$B$2:$BQ$497,52,0)/5</f>
        <v>0</v>
      </c>
      <c r="W34" s="42"/>
      <c r="X34" s="41">
        <f>VLOOKUP($B34,'26년 1월 출석표'!$B$2:$BQ$503,66,0)/5</f>
        <v>0</v>
      </c>
      <c r="Y34" s="43"/>
    </row>
    <row r="35" spans="1:25" ht="16.5">
      <c r="A35" s="29"/>
      <c r="B35" s="30" t="s">
        <v>86</v>
      </c>
      <c r="C35" s="30" t="s">
        <v>4</v>
      </c>
      <c r="D35" s="31" t="s">
        <v>87</v>
      </c>
      <c r="E35" s="32" t="s">
        <v>26</v>
      </c>
      <c r="F35" s="33">
        <v>45859</v>
      </c>
      <c r="G35" s="33">
        <v>45890</v>
      </c>
      <c r="H35" s="33">
        <v>46073</v>
      </c>
      <c r="I35" s="34">
        <f>VLOOKUP(B35,'26년 1월 출석표'!$B$7:$D$500,3,0)</f>
        <v>0</v>
      </c>
      <c r="J35" s="35" t="e">
        <f t="shared" ca="1" si="0"/>
        <v>#NAME?</v>
      </c>
      <c r="K35" s="36" t="str">
        <f t="shared" si="1"/>
        <v>유효</v>
      </c>
      <c r="L35" s="37" t="str">
        <f t="shared" si="2"/>
        <v/>
      </c>
      <c r="M35" s="30"/>
      <c r="N35" s="38" t="b">
        <v>0</v>
      </c>
      <c r="O35" s="38" t="b">
        <v>0</v>
      </c>
      <c r="P35" s="39">
        <f>VLOOKUP($B35,'26년 1월 출석표'!$B$2:$BQ$497,10,0)/1</f>
        <v>0</v>
      </c>
      <c r="Q35" s="40"/>
      <c r="R35" s="41">
        <f>VLOOKUP($B35,'26년 1월 출석표'!$B$2:$BQ$497,24,0)/5</f>
        <v>0</v>
      </c>
      <c r="S35" s="40"/>
      <c r="T35" s="41">
        <f>VLOOKUP($B35,'26년 1월 출석표'!$B$2:$BQ$497,38,0)/5</f>
        <v>0</v>
      </c>
      <c r="U35" s="40"/>
      <c r="V35" s="41">
        <f>VLOOKUP($B35,'26년 1월 출석표'!$B$2:$BQ$497,52,0)/5</f>
        <v>0</v>
      </c>
      <c r="W35" s="42"/>
      <c r="X35" s="41">
        <f>VLOOKUP($B35,'26년 1월 출석표'!$B$2:$BQ$503,66,0)/5</f>
        <v>0</v>
      </c>
      <c r="Y35" s="43"/>
    </row>
    <row r="36" spans="1:25" ht="16.5">
      <c r="A36" s="29"/>
      <c r="B36" s="30" t="s">
        <v>88</v>
      </c>
      <c r="C36" s="30" t="s">
        <v>4</v>
      </c>
      <c r="D36" s="31" t="s">
        <v>89</v>
      </c>
      <c r="E36" s="32" t="s">
        <v>90</v>
      </c>
      <c r="F36" s="33">
        <v>45861</v>
      </c>
      <c r="G36" s="33">
        <v>45988</v>
      </c>
      <c r="H36" s="33">
        <v>46413</v>
      </c>
      <c r="I36" s="34">
        <f>VLOOKUP(B36,'26년 1월 출석표'!$B$7:$D$500,3,0)</f>
        <v>4</v>
      </c>
      <c r="J36" s="35" t="e">
        <f t="shared" ca="1" si="0"/>
        <v>#NAME?</v>
      </c>
      <c r="K36" s="36" t="str">
        <f t="shared" si="1"/>
        <v>유효</v>
      </c>
      <c r="L36" s="37" t="str">
        <f t="shared" si="2"/>
        <v/>
      </c>
      <c r="M36" s="30"/>
      <c r="N36" s="38" t="b">
        <v>0</v>
      </c>
      <c r="O36" s="38" t="b">
        <v>0</v>
      </c>
      <c r="P36" s="39">
        <f>VLOOKUP($B36,'26년 1월 출석표'!$B$2:$BQ$497,10,0)/1</f>
        <v>1</v>
      </c>
      <c r="Q36" s="40"/>
      <c r="R36" s="41">
        <f>VLOOKUP($B36,'26년 1월 출석표'!$B$2:$BQ$497,24,0)/5</f>
        <v>0.4</v>
      </c>
      <c r="S36" s="40"/>
      <c r="T36" s="41">
        <f>VLOOKUP($B36,'26년 1월 출석표'!$B$2:$BQ$497,38,0)/5</f>
        <v>0.2</v>
      </c>
      <c r="U36" s="40"/>
      <c r="V36" s="41">
        <f>VLOOKUP($B36,'26년 1월 출석표'!$B$2:$BQ$497,52,0)/5</f>
        <v>0</v>
      </c>
      <c r="W36" s="42"/>
      <c r="X36" s="41">
        <f>VLOOKUP($B36,'26년 1월 출석표'!$B$2:$BQ$503,66,0)/5</f>
        <v>0</v>
      </c>
      <c r="Y36" s="43"/>
    </row>
    <row r="37" spans="1:25" ht="16.5">
      <c r="A37" s="29"/>
      <c r="B37" s="30" t="s">
        <v>91</v>
      </c>
      <c r="C37" s="30" t="s">
        <v>4</v>
      </c>
      <c r="D37" s="31" t="s">
        <v>92</v>
      </c>
      <c r="E37" s="32" t="s">
        <v>26</v>
      </c>
      <c r="F37" s="33">
        <v>45862</v>
      </c>
      <c r="G37" s="33">
        <v>45862</v>
      </c>
      <c r="H37" s="33">
        <v>46059</v>
      </c>
      <c r="I37" s="34">
        <f>VLOOKUP(B37,'26년 1월 출석표'!$B$7:$D$500,3,0)</f>
        <v>4</v>
      </c>
      <c r="J37" s="35" t="e">
        <f t="shared" ca="1" si="0"/>
        <v>#NAME?</v>
      </c>
      <c r="K37" s="36" t="str">
        <f t="shared" si="1"/>
        <v>유효</v>
      </c>
      <c r="L37" s="37" t="str">
        <f t="shared" si="2"/>
        <v/>
      </c>
      <c r="M37" s="30"/>
      <c r="N37" s="38" t="b">
        <v>0</v>
      </c>
      <c r="O37" s="38" t="b">
        <v>0</v>
      </c>
      <c r="P37" s="39">
        <f>VLOOKUP($B37,'26년 1월 출석표'!$B$2:$BQ$497,10,0)/1</f>
        <v>1</v>
      </c>
      <c r="Q37" s="40"/>
      <c r="R37" s="41">
        <f>VLOOKUP($B37,'26년 1월 출석표'!$B$2:$BQ$497,24,0)/5</f>
        <v>0.4</v>
      </c>
      <c r="S37" s="40"/>
      <c r="T37" s="41">
        <f>VLOOKUP($B37,'26년 1월 출석표'!$B$2:$BQ$497,38,0)/5</f>
        <v>0.2</v>
      </c>
      <c r="U37" s="40"/>
      <c r="V37" s="41">
        <f>VLOOKUP($B37,'26년 1월 출석표'!$B$2:$BQ$497,52,0)/5</f>
        <v>0</v>
      </c>
      <c r="W37" s="42"/>
      <c r="X37" s="41">
        <f>VLOOKUP($B37,'26년 1월 출석표'!$B$2:$BQ$503,66,0)/5</f>
        <v>0</v>
      </c>
      <c r="Y37" s="43"/>
    </row>
    <row r="38" spans="1:25" ht="16.5">
      <c r="A38" s="29"/>
      <c r="B38" s="30" t="s">
        <v>93</v>
      </c>
      <c r="C38" s="30" t="s">
        <v>3</v>
      </c>
      <c r="D38" s="31" t="s">
        <v>94</v>
      </c>
      <c r="E38" s="32" t="s">
        <v>26</v>
      </c>
      <c r="F38" s="33">
        <v>45862</v>
      </c>
      <c r="G38" s="33">
        <v>45861</v>
      </c>
      <c r="H38" s="33">
        <v>46347</v>
      </c>
      <c r="I38" s="34">
        <f>VLOOKUP(B38,'26년 1월 출석표'!$B$7:$D$500,3,0)</f>
        <v>1</v>
      </c>
      <c r="J38" s="35" t="e">
        <f t="shared" ca="1" si="0"/>
        <v>#NAME?</v>
      </c>
      <c r="K38" s="36" t="str">
        <f t="shared" si="1"/>
        <v>유효</v>
      </c>
      <c r="L38" s="37" t="str">
        <f t="shared" si="2"/>
        <v/>
      </c>
      <c r="M38" s="30"/>
      <c r="N38" s="38" t="b">
        <v>0</v>
      </c>
      <c r="O38" s="38" t="b">
        <v>0</v>
      </c>
      <c r="P38" s="39">
        <f>VLOOKUP($B38,'26년 1월 출석표'!$B$2:$BQ$497,10,0)/1</f>
        <v>0</v>
      </c>
      <c r="Q38" s="40"/>
      <c r="R38" s="41">
        <f>VLOOKUP($B38,'26년 1월 출석표'!$B$2:$BQ$497,24,0)/5</f>
        <v>0.2</v>
      </c>
      <c r="S38" s="40"/>
      <c r="T38" s="41">
        <f>VLOOKUP($B38,'26년 1월 출석표'!$B$2:$BQ$497,38,0)/5</f>
        <v>0</v>
      </c>
      <c r="U38" s="40"/>
      <c r="V38" s="41">
        <f>VLOOKUP($B38,'26년 1월 출석표'!$B$2:$BQ$497,52,0)/5</f>
        <v>0</v>
      </c>
      <c r="W38" s="42"/>
      <c r="X38" s="41">
        <f>VLOOKUP($B38,'26년 1월 출석표'!$B$2:$BQ$503,66,0)/5</f>
        <v>0</v>
      </c>
      <c r="Y38" s="43"/>
    </row>
    <row r="39" spans="1:25" ht="16.5">
      <c r="A39" s="29"/>
      <c r="B39" s="30" t="s">
        <v>95</v>
      </c>
      <c r="C39" s="30" t="s">
        <v>4</v>
      </c>
      <c r="D39" s="31" t="s">
        <v>96</v>
      </c>
      <c r="E39" s="32" t="s">
        <v>31</v>
      </c>
      <c r="F39" s="33">
        <v>45862</v>
      </c>
      <c r="G39" s="33">
        <v>45954</v>
      </c>
      <c r="H39" s="33">
        <v>46591</v>
      </c>
      <c r="I39" s="34">
        <f>VLOOKUP(B39,'26년 1월 출석표'!$B$7:$D$500,3,0)</f>
        <v>4</v>
      </c>
      <c r="J39" s="35" t="e">
        <f t="shared" ca="1" si="0"/>
        <v>#NAME?</v>
      </c>
      <c r="K39" s="36" t="str">
        <f t="shared" si="1"/>
        <v>유효</v>
      </c>
      <c r="L39" s="37" t="str">
        <f t="shared" si="2"/>
        <v/>
      </c>
      <c r="M39" s="30"/>
      <c r="N39" s="38" t="b">
        <v>0</v>
      </c>
      <c r="O39" s="38" t="b">
        <v>0</v>
      </c>
      <c r="P39" s="39">
        <f>VLOOKUP($B39,'26년 1월 출석표'!$B$2:$BQ$497,10,0)/1</f>
        <v>1</v>
      </c>
      <c r="Q39" s="40"/>
      <c r="R39" s="41">
        <f>VLOOKUP($B39,'26년 1월 출석표'!$B$2:$BQ$497,24,0)/5</f>
        <v>0.4</v>
      </c>
      <c r="S39" s="40"/>
      <c r="T39" s="41">
        <f>VLOOKUP($B39,'26년 1월 출석표'!$B$2:$BQ$497,38,0)/5</f>
        <v>0.2</v>
      </c>
      <c r="U39" s="40"/>
      <c r="V39" s="41">
        <f>VLOOKUP($B39,'26년 1월 출석표'!$B$2:$BQ$497,52,0)/5</f>
        <v>0</v>
      </c>
      <c r="W39" s="42"/>
      <c r="X39" s="41">
        <f>VLOOKUP($B39,'26년 1월 출석표'!$B$2:$BQ$503,66,0)/5</f>
        <v>0</v>
      </c>
      <c r="Y39" s="43"/>
    </row>
    <row r="40" spans="1:25" ht="16.5">
      <c r="A40" s="29"/>
      <c r="B40" s="30" t="s">
        <v>97</v>
      </c>
      <c r="C40" s="30" t="s">
        <v>4</v>
      </c>
      <c r="D40" s="31" t="s">
        <v>98</v>
      </c>
      <c r="E40" s="32" t="s">
        <v>26</v>
      </c>
      <c r="F40" s="33">
        <v>45864</v>
      </c>
      <c r="G40" s="33">
        <v>45866</v>
      </c>
      <c r="H40" s="33">
        <v>46079</v>
      </c>
      <c r="I40" s="34">
        <f>VLOOKUP(B40,'26년 1월 출석표'!$B$7:$D$500,3,0)</f>
        <v>1</v>
      </c>
      <c r="J40" s="35" t="e">
        <f t="shared" ca="1" si="0"/>
        <v>#NAME?</v>
      </c>
      <c r="K40" s="36" t="str">
        <f t="shared" si="1"/>
        <v>유효</v>
      </c>
      <c r="L40" s="37" t="str">
        <f t="shared" si="2"/>
        <v/>
      </c>
      <c r="M40" s="30"/>
      <c r="N40" s="38" t="b">
        <v>0</v>
      </c>
      <c r="O40" s="38" t="b">
        <v>0</v>
      </c>
      <c r="P40" s="39">
        <f>VLOOKUP($B40,'26년 1월 출석표'!$B$2:$BQ$497,10,0)/1</f>
        <v>0</v>
      </c>
      <c r="Q40" s="40"/>
      <c r="R40" s="41">
        <f>VLOOKUP($B40,'26년 1월 출석표'!$B$2:$BQ$497,24,0)/5</f>
        <v>0.2</v>
      </c>
      <c r="S40" s="40"/>
      <c r="T40" s="41">
        <f>VLOOKUP($B40,'26년 1월 출석표'!$B$2:$BQ$497,38,0)/5</f>
        <v>0</v>
      </c>
      <c r="U40" s="40"/>
      <c r="V40" s="41">
        <f>VLOOKUP($B40,'26년 1월 출석표'!$B$2:$BQ$497,52,0)/5</f>
        <v>0</v>
      </c>
      <c r="W40" s="42"/>
      <c r="X40" s="41">
        <f>VLOOKUP($B40,'26년 1월 출석표'!$B$2:$BQ$503,66,0)/5</f>
        <v>0</v>
      </c>
      <c r="Y40" s="43"/>
    </row>
    <row r="41" spans="1:25" ht="16.5">
      <c r="A41" s="29"/>
      <c r="B41" s="30" t="s">
        <v>99</v>
      </c>
      <c r="C41" s="30" t="s">
        <v>4</v>
      </c>
      <c r="D41" s="31" t="s">
        <v>100</v>
      </c>
      <c r="E41" s="32" t="s">
        <v>101</v>
      </c>
      <c r="F41" s="33">
        <v>45867</v>
      </c>
      <c r="G41" s="33">
        <v>45868</v>
      </c>
      <c r="H41" s="33">
        <v>46386</v>
      </c>
      <c r="I41" s="34">
        <f>VLOOKUP(B41,'26년 1월 출석표'!$B$7:$D$500,3,0)</f>
        <v>1</v>
      </c>
      <c r="J41" s="35" t="e">
        <f t="shared" ca="1" si="0"/>
        <v>#NAME?</v>
      </c>
      <c r="K41" s="36" t="str">
        <f t="shared" si="1"/>
        <v>유효</v>
      </c>
      <c r="L41" s="37" t="str">
        <f t="shared" si="2"/>
        <v/>
      </c>
      <c r="M41" s="30"/>
      <c r="N41" s="38" t="b">
        <v>0</v>
      </c>
      <c r="O41" s="38" t="b">
        <v>0</v>
      </c>
      <c r="P41" s="39">
        <f>VLOOKUP($B41,'26년 1월 출석표'!$B$2:$BQ$497,10,0)/1</f>
        <v>0</v>
      </c>
      <c r="Q41" s="40"/>
      <c r="R41" s="41">
        <f>VLOOKUP($B41,'26년 1월 출석표'!$B$2:$BQ$497,24,0)/5</f>
        <v>0.2</v>
      </c>
      <c r="S41" s="40"/>
      <c r="T41" s="41">
        <f>VLOOKUP($B41,'26년 1월 출석표'!$B$2:$BQ$497,38,0)/5</f>
        <v>0</v>
      </c>
      <c r="U41" s="40"/>
      <c r="V41" s="41">
        <f>VLOOKUP($B41,'26년 1월 출석표'!$B$2:$BQ$497,52,0)/5</f>
        <v>0</v>
      </c>
      <c r="W41" s="42"/>
      <c r="X41" s="41">
        <f>VLOOKUP($B41,'26년 1월 출석표'!$B$2:$BQ$503,66,0)/5</f>
        <v>0</v>
      </c>
      <c r="Y41" s="43"/>
    </row>
    <row r="42" spans="1:25" ht="16.5">
      <c r="A42" s="29"/>
      <c r="B42" s="30" t="s">
        <v>102</v>
      </c>
      <c r="C42" s="30" t="s">
        <v>4</v>
      </c>
      <c r="D42" s="31" t="s">
        <v>103</v>
      </c>
      <c r="E42" s="32" t="s">
        <v>26</v>
      </c>
      <c r="F42" s="33">
        <v>45868</v>
      </c>
      <c r="G42" s="33">
        <v>45868</v>
      </c>
      <c r="H42" s="33">
        <v>46263</v>
      </c>
      <c r="I42" s="34">
        <f>VLOOKUP(B42,'26년 1월 출석표'!$B$7:$D$500,3,0)</f>
        <v>0</v>
      </c>
      <c r="J42" s="35" t="e">
        <f t="shared" ca="1" si="0"/>
        <v>#NAME?</v>
      </c>
      <c r="K42" s="36" t="str">
        <f t="shared" si="1"/>
        <v>유효</v>
      </c>
      <c r="L42" s="37" t="str">
        <f t="shared" si="2"/>
        <v/>
      </c>
      <c r="M42" s="30"/>
      <c r="N42" s="38" t="b">
        <v>0</v>
      </c>
      <c r="O42" s="38" t="b">
        <v>0</v>
      </c>
      <c r="P42" s="39">
        <f>VLOOKUP($B42,'26년 1월 출석표'!$B$2:$BQ$497,10,0)/1</f>
        <v>0</v>
      </c>
      <c r="Q42" s="40"/>
      <c r="R42" s="41">
        <f>VLOOKUP($B42,'26년 1월 출석표'!$B$2:$BQ$497,24,0)/5</f>
        <v>0</v>
      </c>
      <c r="S42" s="40"/>
      <c r="T42" s="41">
        <f>VLOOKUP($B42,'26년 1월 출석표'!$B$2:$BQ$497,38,0)/5</f>
        <v>0</v>
      </c>
      <c r="U42" s="40"/>
      <c r="V42" s="41">
        <f>VLOOKUP($B42,'26년 1월 출석표'!$B$2:$BQ$497,52,0)/5</f>
        <v>0</v>
      </c>
      <c r="W42" s="42"/>
      <c r="X42" s="41">
        <f>VLOOKUP($B42,'26년 1월 출석표'!$B$2:$BQ$503,66,0)/5</f>
        <v>0</v>
      </c>
      <c r="Y42" s="43"/>
    </row>
    <row r="43" spans="1:25" ht="16.5">
      <c r="A43" s="29"/>
      <c r="B43" s="30" t="s">
        <v>104</v>
      </c>
      <c r="C43" s="30" t="s">
        <v>4</v>
      </c>
      <c r="D43" s="31" t="s">
        <v>105</v>
      </c>
      <c r="E43" s="32" t="s">
        <v>26</v>
      </c>
      <c r="F43" s="33">
        <v>45870</v>
      </c>
      <c r="G43" s="33">
        <v>45874</v>
      </c>
      <c r="H43" s="33">
        <v>46290</v>
      </c>
      <c r="I43" s="34">
        <f>VLOOKUP(B43,'26년 1월 출석표'!$B$7:$D$500,3,0)</f>
        <v>0</v>
      </c>
      <c r="J43" s="35" t="e">
        <f t="shared" ca="1" si="0"/>
        <v>#NAME?</v>
      </c>
      <c r="K43" s="36" t="str">
        <f t="shared" si="1"/>
        <v>유효</v>
      </c>
      <c r="L43" s="37" t="str">
        <f t="shared" si="2"/>
        <v/>
      </c>
      <c r="M43" s="30"/>
      <c r="N43" s="38" t="b">
        <v>0</v>
      </c>
      <c r="O43" s="38" t="b">
        <v>0</v>
      </c>
      <c r="P43" s="39">
        <f>VLOOKUP($B43,'26년 1월 출석표'!$B$2:$BQ$497,10,0)/1</f>
        <v>0</v>
      </c>
      <c r="Q43" s="40"/>
      <c r="R43" s="41">
        <f>VLOOKUP($B43,'26년 1월 출석표'!$B$2:$BQ$497,24,0)/5</f>
        <v>0</v>
      </c>
      <c r="S43" s="40"/>
      <c r="T43" s="41">
        <f>VLOOKUP($B43,'26년 1월 출석표'!$B$2:$BQ$497,38,0)/5</f>
        <v>0</v>
      </c>
      <c r="U43" s="40"/>
      <c r="V43" s="41">
        <f>VLOOKUP($B43,'26년 1월 출석표'!$B$2:$BQ$497,52,0)/5</f>
        <v>0</v>
      </c>
      <c r="W43" s="42"/>
      <c r="X43" s="41">
        <f>VLOOKUP($B43,'26년 1월 출석표'!$B$2:$BQ$503,66,0)/5</f>
        <v>0</v>
      </c>
      <c r="Y43" s="43"/>
    </row>
    <row r="44" spans="1:25" ht="16.5">
      <c r="A44" s="29"/>
      <c r="B44" s="30" t="s">
        <v>106</v>
      </c>
      <c r="C44" s="30" t="s">
        <v>3</v>
      </c>
      <c r="D44" s="31" t="s">
        <v>107</v>
      </c>
      <c r="E44" s="32" t="s">
        <v>34</v>
      </c>
      <c r="F44" s="33">
        <v>45870</v>
      </c>
      <c r="G44" s="33">
        <v>45873</v>
      </c>
      <c r="H44" s="33">
        <v>46328</v>
      </c>
      <c r="I44" s="34">
        <f>VLOOKUP(B44,'26년 1월 출석표'!$B$7:$D$500,3,0)</f>
        <v>0</v>
      </c>
      <c r="J44" s="35" t="e">
        <f t="shared" ca="1" si="0"/>
        <v>#NAME?</v>
      </c>
      <c r="K44" s="36" t="str">
        <f t="shared" si="1"/>
        <v>유효</v>
      </c>
      <c r="L44" s="37" t="str">
        <f t="shared" si="2"/>
        <v/>
      </c>
      <c r="M44" s="30"/>
      <c r="N44" s="38" t="b">
        <v>0</v>
      </c>
      <c r="O44" s="38" t="b">
        <v>0</v>
      </c>
      <c r="P44" s="39">
        <f>VLOOKUP($B44,'26년 1월 출석표'!$B$2:$BQ$497,10,0)/1</f>
        <v>0</v>
      </c>
      <c r="Q44" s="40"/>
      <c r="R44" s="41">
        <f>VLOOKUP($B44,'26년 1월 출석표'!$B$2:$BQ$497,24,0)/5</f>
        <v>0</v>
      </c>
      <c r="S44" s="40"/>
      <c r="T44" s="41">
        <f>VLOOKUP($B44,'26년 1월 출석표'!$B$2:$BQ$497,38,0)/5</f>
        <v>0</v>
      </c>
      <c r="U44" s="40"/>
      <c r="V44" s="41">
        <f>VLOOKUP($B44,'26년 1월 출석표'!$B$2:$BQ$497,52,0)/5</f>
        <v>0</v>
      </c>
      <c r="W44" s="42"/>
      <c r="X44" s="41">
        <f>VLOOKUP($B44,'26년 1월 출석표'!$B$2:$BQ$503,66,0)/5</f>
        <v>0</v>
      </c>
      <c r="Y44" s="43"/>
    </row>
    <row r="45" spans="1:25" ht="16.5">
      <c r="A45" s="29"/>
      <c r="B45" s="30" t="s">
        <v>108</v>
      </c>
      <c r="C45" s="30" t="s">
        <v>4</v>
      </c>
      <c r="D45" s="31" t="s">
        <v>109</v>
      </c>
      <c r="E45" s="32" t="s">
        <v>31</v>
      </c>
      <c r="F45" s="33">
        <v>45870</v>
      </c>
      <c r="G45" s="33">
        <v>45899</v>
      </c>
      <c r="H45" s="33">
        <v>46359</v>
      </c>
      <c r="I45" s="34">
        <f>VLOOKUP(B45,'26년 1월 출석표'!$B$7:$D$500,3,0)</f>
        <v>3</v>
      </c>
      <c r="J45" s="35" t="e">
        <f t="shared" ca="1" si="0"/>
        <v>#NAME?</v>
      </c>
      <c r="K45" s="36" t="str">
        <f t="shared" si="1"/>
        <v>유효</v>
      </c>
      <c r="L45" s="37" t="str">
        <f t="shared" si="2"/>
        <v/>
      </c>
      <c r="M45" s="30"/>
      <c r="N45" s="38" t="b">
        <v>0</v>
      </c>
      <c r="O45" s="38" t="b">
        <v>0</v>
      </c>
      <c r="P45" s="39">
        <f>VLOOKUP($B45,'26년 1월 출석표'!$B$2:$BQ$497,10,0)/1</f>
        <v>1</v>
      </c>
      <c r="Q45" s="40"/>
      <c r="R45" s="41">
        <f>VLOOKUP($B45,'26년 1월 출석표'!$B$2:$BQ$497,24,0)/5</f>
        <v>0.4</v>
      </c>
      <c r="S45" s="40"/>
      <c r="T45" s="41">
        <f>VLOOKUP($B45,'26년 1월 출석표'!$B$2:$BQ$497,38,0)/5</f>
        <v>0</v>
      </c>
      <c r="U45" s="40"/>
      <c r="V45" s="41">
        <f>VLOOKUP($B45,'26년 1월 출석표'!$B$2:$BQ$497,52,0)/5</f>
        <v>0</v>
      </c>
      <c r="W45" s="42"/>
      <c r="X45" s="41">
        <f>VLOOKUP($B45,'26년 1월 출석표'!$B$2:$BQ$503,66,0)/5</f>
        <v>0</v>
      </c>
      <c r="Y45" s="43"/>
    </row>
    <row r="46" spans="1:25" ht="16.5">
      <c r="A46" s="29"/>
      <c r="B46" s="30" t="s">
        <v>110</v>
      </c>
      <c r="C46" s="30" t="s">
        <v>4</v>
      </c>
      <c r="D46" s="31" t="s">
        <v>111</v>
      </c>
      <c r="E46" s="32" t="s">
        <v>31</v>
      </c>
      <c r="F46" s="33">
        <v>45874</v>
      </c>
      <c r="G46" s="33">
        <v>45874</v>
      </c>
      <c r="H46" s="33">
        <v>46146</v>
      </c>
      <c r="I46" s="34">
        <f>VLOOKUP(B46,'26년 1월 출석표'!$B$7:$D$500,3,0)</f>
        <v>0</v>
      </c>
      <c r="J46" s="35" t="e">
        <f t="shared" ca="1" si="0"/>
        <v>#NAME?</v>
      </c>
      <c r="K46" s="36" t="str">
        <f t="shared" si="1"/>
        <v>유효</v>
      </c>
      <c r="L46" s="37" t="str">
        <f t="shared" si="2"/>
        <v/>
      </c>
      <c r="M46" s="30"/>
      <c r="N46" s="38" t="b">
        <v>0</v>
      </c>
      <c r="O46" s="38" t="b">
        <v>0</v>
      </c>
      <c r="P46" s="39">
        <f>VLOOKUP($B46,'26년 1월 출석표'!$B$2:$BQ$497,10,0)/1</f>
        <v>0</v>
      </c>
      <c r="Q46" s="40"/>
      <c r="R46" s="41">
        <f>VLOOKUP($B46,'26년 1월 출석표'!$B$2:$BQ$497,24,0)/5</f>
        <v>0</v>
      </c>
      <c r="S46" s="40"/>
      <c r="T46" s="41">
        <f>VLOOKUP($B46,'26년 1월 출석표'!$B$2:$BQ$497,38,0)/5</f>
        <v>0</v>
      </c>
      <c r="U46" s="40"/>
      <c r="V46" s="41">
        <f>VLOOKUP($B46,'26년 1월 출석표'!$B$2:$BQ$497,52,0)/5</f>
        <v>0</v>
      </c>
      <c r="W46" s="42"/>
      <c r="X46" s="41">
        <f>VLOOKUP($B46,'26년 1월 출석표'!$B$2:$BQ$503,66,0)/5</f>
        <v>0</v>
      </c>
      <c r="Y46" s="43"/>
    </row>
    <row r="47" spans="1:25" ht="16.5">
      <c r="A47" s="29"/>
      <c r="B47" s="30" t="s">
        <v>112</v>
      </c>
      <c r="C47" s="30" t="s">
        <v>3</v>
      </c>
      <c r="D47" s="31" t="s">
        <v>113</v>
      </c>
      <c r="E47" s="32" t="s">
        <v>31</v>
      </c>
      <c r="F47" s="33">
        <v>45874</v>
      </c>
      <c r="G47" s="33">
        <v>45891</v>
      </c>
      <c r="H47" s="33">
        <v>46195</v>
      </c>
      <c r="I47" s="34">
        <f>VLOOKUP(B47,'26년 1월 출석표'!$B$7:$D$500,3,0)</f>
        <v>0</v>
      </c>
      <c r="J47" s="35" t="e">
        <f t="shared" ca="1" si="0"/>
        <v>#NAME?</v>
      </c>
      <c r="K47" s="36" t="str">
        <f t="shared" si="1"/>
        <v>유효</v>
      </c>
      <c r="L47" s="37" t="str">
        <f t="shared" si="2"/>
        <v/>
      </c>
      <c r="M47" s="30"/>
      <c r="N47" s="38" t="b">
        <v>0</v>
      </c>
      <c r="O47" s="38" t="b">
        <v>0</v>
      </c>
      <c r="P47" s="39">
        <f>VLOOKUP($B47,'26년 1월 출석표'!$B$2:$BQ$497,10,0)/1</f>
        <v>0</v>
      </c>
      <c r="Q47" s="40"/>
      <c r="R47" s="41">
        <f>VLOOKUP($B47,'26년 1월 출석표'!$B$2:$BQ$497,24,0)/5</f>
        <v>0</v>
      </c>
      <c r="S47" s="40"/>
      <c r="T47" s="41">
        <f>VLOOKUP($B47,'26년 1월 출석표'!$B$2:$BQ$497,38,0)/5</f>
        <v>0</v>
      </c>
      <c r="U47" s="40"/>
      <c r="V47" s="41">
        <f>VLOOKUP($B47,'26년 1월 출석표'!$B$2:$BQ$497,52,0)/5</f>
        <v>0</v>
      </c>
      <c r="W47" s="42"/>
      <c r="X47" s="41">
        <f>VLOOKUP($B47,'26년 1월 출석표'!$B$2:$BQ$503,66,0)/5</f>
        <v>0</v>
      </c>
      <c r="Y47" s="43"/>
    </row>
    <row r="48" spans="1:25" ht="16.5">
      <c r="A48" s="29"/>
      <c r="B48" s="30" t="s">
        <v>114</v>
      </c>
      <c r="C48" s="46" t="s">
        <v>4</v>
      </c>
      <c r="D48" s="47" t="s">
        <v>115</v>
      </c>
      <c r="E48" s="48" t="s">
        <v>26</v>
      </c>
      <c r="F48" s="49">
        <v>45876</v>
      </c>
      <c r="G48" s="49">
        <v>45877</v>
      </c>
      <c r="H48" s="49">
        <v>46098</v>
      </c>
      <c r="I48" s="34">
        <f>VLOOKUP(B48,'26년 1월 출석표'!$B$7:$D$500,3,0)</f>
        <v>2</v>
      </c>
      <c r="J48" s="35" t="e">
        <f t="shared" ca="1" si="0"/>
        <v>#NAME?</v>
      </c>
      <c r="K48" s="36" t="str">
        <f t="shared" si="1"/>
        <v>유효</v>
      </c>
      <c r="L48" s="37" t="str">
        <f t="shared" si="2"/>
        <v/>
      </c>
      <c r="M48" s="30"/>
      <c r="N48" s="38" t="b">
        <v>0</v>
      </c>
      <c r="O48" s="38" t="b">
        <v>0</v>
      </c>
      <c r="P48" s="39">
        <f>VLOOKUP($B48,'26년 1월 출석표'!$B$2:$BQ$497,10,0)/1</f>
        <v>0</v>
      </c>
      <c r="Q48" s="40"/>
      <c r="R48" s="41">
        <f>VLOOKUP($B48,'26년 1월 출석표'!$B$2:$BQ$497,24,0)/5</f>
        <v>0.4</v>
      </c>
      <c r="S48" s="40"/>
      <c r="T48" s="41">
        <f>VLOOKUP($B48,'26년 1월 출석표'!$B$2:$BQ$497,38,0)/5</f>
        <v>0</v>
      </c>
      <c r="U48" s="40"/>
      <c r="V48" s="41">
        <f>VLOOKUP($B48,'26년 1월 출석표'!$B$2:$BQ$497,52,0)/5</f>
        <v>0</v>
      </c>
      <c r="W48" s="42"/>
      <c r="X48" s="41">
        <f>VLOOKUP($B48,'26년 1월 출석표'!$B$2:$BQ$503,66,0)/5</f>
        <v>0</v>
      </c>
      <c r="Y48" s="43"/>
    </row>
    <row r="49" spans="1:25" ht="16.5">
      <c r="A49" s="29"/>
      <c r="B49" s="30" t="s">
        <v>116</v>
      </c>
      <c r="C49" s="46" t="s">
        <v>4</v>
      </c>
      <c r="D49" s="47" t="s">
        <v>117</v>
      </c>
      <c r="E49" s="48" t="s">
        <v>34</v>
      </c>
      <c r="F49" s="49">
        <v>45877</v>
      </c>
      <c r="G49" s="49">
        <v>45881</v>
      </c>
      <c r="H49" s="49">
        <v>46344</v>
      </c>
      <c r="I49" s="34">
        <f>VLOOKUP(B49,'26년 1월 출석표'!$B$7:$D$500,3,0)</f>
        <v>0</v>
      </c>
      <c r="J49" s="35" t="e">
        <f t="shared" ca="1" si="0"/>
        <v>#NAME?</v>
      </c>
      <c r="K49" s="36" t="str">
        <f t="shared" si="1"/>
        <v>유효</v>
      </c>
      <c r="L49" s="37" t="str">
        <f t="shared" si="2"/>
        <v/>
      </c>
      <c r="M49" s="30"/>
      <c r="N49" s="38" t="b">
        <v>0</v>
      </c>
      <c r="O49" s="38" t="b">
        <v>0</v>
      </c>
      <c r="P49" s="39">
        <f>VLOOKUP($B49,'26년 1월 출석표'!$B$2:$BQ$497,10,0)/1</f>
        <v>0</v>
      </c>
      <c r="Q49" s="40"/>
      <c r="R49" s="41">
        <f>VLOOKUP($B49,'26년 1월 출석표'!$B$2:$BQ$497,24,0)/5</f>
        <v>0</v>
      </c>
      <c r="S49" s="40"/>
      <c r="T49" s="41">
        <f>VLOOKUP($B49,'26년 1월 출석표'!$B$2:$BQ$497,38,0)/5</f>
        <v>0</v>
      </c>
      <c r="U49" s="40"/>
      <c r="V49" s="41">
        <f>VLOOKUP($B49,'26년 1월 출석표'!$B$2:$BQ$497,52,0)/5</f>
        <v>0</v>
      </c>
      <c r="W49" s="42"/>
      <c r="X49" s="41">
        <f>VLOOKUP($B49,'26년 1월 출석표'!$B$2:$BQ$503,66,0)/5</f>
        <v>0</v>
      </c>
      <c r="Y49" s="43"/>
    </row>
    <row r="50" spans="1:25" ht="16.5">
      <c r="A50" s="29"/>
      <c r="B50" s="30" t="s">
        <v>118</v>
      </c>
      <c r="C50" s="46" t="s">
        <v>4</v>
      </c>
      <c r="D50" s="47" t="s">
        <v>119</v>
      </c>
      <c r="E50" s="48" t="s">
        <v>26</v>
      </c>
      <c r="F50" s="49">
        <v>45881</v>
      </c>
      <c r="G50" s="49">
        <v>45882</v>
      </c>
      <c r="H50" s="49">
        <v>46246</v>
      </c>
      <c r="I50" s="34">
        <f>VLOOKUP(B50,'26년 1월 출석표'!$B$7:$D$500,3,0)</f>
        <v>7</v>
      </c>
      <c r="J50" s="35" t="e">
        <f t="shared" ca="1" si="0"/>
        <v>#NAME?</v>
      </c>
      <c r="K50" s="36" t="str">
        <f t="shared" si="1"/>
        <v>유효</v>
      </c>
      <c r="L50" s="37" t="str">
        <f t="shared" si="2"/>
        <v/>
      </c>
      <c r="M50" s="30"/>
      <c r="N50" s="38" t="b">
        <v>0</v>
      </c>
      <c r="O50" s="38" t="b">
        <v>0</v>
      </c>
      <c r="P50" s="39">
        <f>VLOOKUP($B50,'26년 1월 출석표'!$B$2:$BQ$497,10,0)/1</f>
        <v>1</v>
      </c>
      <c r="Q50" s="40"/>
      <c r="R50" s="41">
        <f>VLOOKUP($B50,'26년 1월 출석표'!$B$2:$BQ$497,24,0)/5</f>
        <v>1</v>
      </c>
      <c r="S50" s="40"/>
      <c r="T50" s="41">
        <f>VLOOKUP($B50,'26년 1월 출석표'!$B$2:$BQ$497,38,0)/5</f>
        <v>0.2</v>
      </c>
      <c r="U50" s="40"/>
      <c r="V50" s="41">
        <f>VLOOKUP($B50,'26년 1월 출석표'!$B$2:$BQ$497,52,0)/5</f>
        <v>0</v>
      </c>
      <c r="W50" s="42"/>
      <c r="X50" s="41">
        <f>VLOOKUP($B50,'26년 1월 출석표'!$B$2:$BQ$503,66,0)/5</f>
        <v>0</v>
      </c>
      <c r="Y50" s="43"/>
    </row>
    <row r="51" spans="1:25" ht="16.5">
      <c r="A51" s="29"/>
      <c r="B51" s="30" t="s">
        <v>120</v>
      </c>
      <c r="C51" s="46" t="s">
        <v>3</v>
      </c>
      <c r="D51" s="47" t="s">
        <v>121</v>
      </c>
      <c r="E51" s="48" t="s">
        <v>101</v>
      </c>
      <c r="F51" s="49">
        <v>45883</v>
      </c>
      <c r="G51" s="49">
        <v>45883</v>
      </c>
      <c r="H51" s="49">
        <v>46171</v>
      </c>
      <c r="I51" s="34">
        <f>VLOOKUP(B51,'26년 1월 출석표'!$B$7:$D$500,3,0)</f>
        <v>6</v>
      </c>
      <c r="J51" s="35" t="e">
        <f t="shared" ca="1" si="0"/>
        <v>#NAME?</v>
      </c>
      <c r="K51" s="36" t="str">
        <f t="shared" si="1"/>
        <v>유효</v>
      </c>
      <c r="L51" s="37" t="str">
        <f t="shared" si="2"/>
        <v/>
      </c>
      <c r="M51" s="30"/>
      <c r="N51" s="38" t="b">
        <v>0</v>
      </c>
      <c r="O51" s="38" t="b">
        <v>0</v>
      </c>
      <c r="P51" s="39">
        <f>VLOOKUP($B51,'26년 1월 출석표'!$B$2:$BQ$497,10,0)/1</f>
        <v>1</v>
      </c>
      <c r="Q51" s="40"/>
      <c r="R51" s="41">
        <f>VLOOKUP($B51,'26년 1월 출석표'!$B$2:$BQ$497,24,0)/5</f>
        <v>0.8</v>
      </c>
      <c r="S51" s="40"/>
      <c r="T51" s="41">
        <f>VLOOKUP($B51,'26년 1월 출석표'!$B$2:$BQ$497,38,0)/5</f>
        <v>0.2</v>
      </c>
      <c r="U51" s="40"/>
      <c r="V51" s="41">
        <f>VLOOKUP($B51,'26년 1월 출석표'!$B$2:$BQ$497,52,0)/5</f>
        <v>0</v>
      </c>
      <c r="W51" s="42"/>
      <c r="X51" s="41">
        <f>VLOOKUP($B51,'26년 1월 출석표'!$B$2:$BQ$503,66,0)/5</f>
        <v>0</v>
      </c>
      <c r="Y51" s="43"/>
    </row>
    <row r="52" spans="1:25" ht="16.5">
      <c r="A52" s="29"/>
      <c r="B52" s="30" t="s">
        <v>122</v>
      </c>
      <c r="C52" s="46" t="s">
        <v>4</v>
      </c>
      <c r="D52" s="47" t="s">
        <v>123</v>
      </c>
      <c r="E52" s="48" t="s">
        <v>26</v>
      </c>
      <c r="F52" s="49">
        <v>45884</v>
      </c>
      <c r="G52" s="49">
        <v>45887</v>
      </c>
      <c r="H52" s="49">
        <v>46084</v>
      </c>
      <c r="I52" s="34">
        <f>VLOOKUP(B52,'26년 1월 출석표'!$B$7:$D$500,3,0)</f>
        <v>5</v>
      </c>
      <c r="J52" s="35" t="e">
        <f t="shared" ca="1" si="0"/>
        <v>#NAME?</v>
      </c>
      <c r="K52" s="36" t="str">
        <f t="shared" si="1"/>
        <v>유효</v>
      </c>
      <c r="L52" s="37" t="str">
        <f t="shared" si="2"/>
        <v/>
      </c>
      <c r="M52" s="30"/>
      <c r="N52" s="38" t="b">
        <v>0</v>
      </c>
      <c r="O52" s="38" t="b">
        <v>0</v>
      </c>
      <c r="P52" s="39">
        <f>VLOOKUP($B52,'26년 1월 출석표'!$B$2:$BQ$497,10,0)/1</f>
        <v>1</v>
      </c>
      <c r="Q52" s="40"/>
      <c r="R52" s="41">
        <f>VLOOKUP($B52,'26년 1월 출석표'!$B$2:$BQ$497,24,0)/5</f>
        <v>0.8</v>
      </c>
      <c r="S52" s="40"/>
      <c r="T52" s="41">
        <f>VLOOKUP($B52,'26년 1월 출석표'!$B$2:$BQ$497,38,0)/5</f>
        <v>0</v>
      </c>
      <c r="U52" s="40"/>
      <c r="V52" s="41">
        <f>VLOOKUP($B52,'26년 1월 출석표'!$B$2:$BQ$497,52,0)/5</f>
        <v>0</v>
      </c>
      <c r="W52" s="42"/>
      <c r="X52" s="41">
        <f>VLOOKUP($B52,'26년 1월 출석표'!$B$2:$BQ$503,66,0)/5</f>
        <v>0</v>
      </c>
      <c r="Y52" s="43"/>
    </row>
    <row r="53" spans="1:25" ht="16.5">
      <c r="A53" s="29"/>
      <c r="B53" s="30" t="s">
        <v>124</v>
      </c>
      <c r="C53" s="46" t="s">
        <v>3</v>
      </c>
      <c r="D53" s="47" t="s">
        <v>125</v>
      </c>
      <c r="E53" s="48" t="s">
        <v>31</v>
      </c>
      <c r="F53" s="49">
        <v>45885</v>
      </c>
      <c r="G53" s="49">
        <v>45887</v>
      </c>
      <c r="H53" s="49">
        <v>46159</v>
      </c>
      <c r="I53" s="34">
        <f>VLOOKUP(B53,'26년 1월 출석표'!$B$7:$D$500,3,0)</f>
        <v>2</v>
      </c>
      <c r="J53" s="35" t="e">
        <f t="shared" ca="1" si="0"/>
        <v>#NAME?</v>
      </c>
      <c r="K53" s="36" t="str">
        <f t="shared" si="1"/>
        <v>유효</v>
      </c>
      <c r="L53" s="37" t="str">
        <f t="shared" si="2"/>
        <v/>
      </c>
      <c r="M53" s="30"/>
      <c r="N53" s="38" t="b">
        <v>0</v>
      </c>
      <c r="O53" s="38" t="b">
        <v>0</v>
      </c>
      <c r="P53" s="39">
        <f>VLOOKUP($B53,'26년 1월 출석표'!$B$2:$BQ$497,10,0)/1</f>
        <v>0</v>
      </c>
      <c r="Q53" s="40"/>
      <c r="R53" s="41">
        <f>VLOOKUP($B53,'26년 1월 출석표'!$B$2:$BQ$497,24,0)/5</f>
        <v>0.4</v>
      </c>
      <c r="S53" s="40"/>
      <c r="T53" s="41">
        <f>VLOOKUP($B53,'26년 1월 출석표'!$B$2:$BQ$497,38,0)/5</f>
        <v>0</v>
      </c>
      <c r="U53" s="40"/>
      <c r="V53" s="41">
        <f>VLOOKUP($B53,'26년 1월 출석표'!$B$2:$BQ$497,52,0)/5</f>
        <v>0</v>
      </c>
      <c r="W53" s="42"/>
      <c r="X53" s="41">
        <f>VLOOKUP($B53,'26년 1월 출석표'!$B$2:$BQ$503,66,0)/5</f>
        <v>0</v>
      </c>
      <c r="Y53" s="43"/>
    </row>
    <row r="54" spans="1:25" ht="16.5">
      <c r="A54" s="29"/>
      <c r="B54" s="30" t="s">
        <v>126</v>
      </c>
      <c r="C54" s="46" t="s">
        <v>4</v>
      </c>
      <c r="D54" s="47" t="s">
        <v>127</v>
      </c>
      <c r="E54" s="48" t="s">
        <v>34</v>
      </c>
      <c r="F54" s="49">
        <v>45885</v>
      </c>
      <c r="G54" s="49">
        <v>45889</v>
      </c>
      <c r="H54" s="49">
        <v>46253</v>
      </c>
      <c r="I54" s="34">
        <f>VLOOKUP(B54,'26년 1월 출석표'!$B$7:$D$500,3,0)</f>
        <v>0</v>
      </c>
      <c r="J54" s="35" t="e">
        <f t="shared" ca="1" si="0"/>
        <v>#NAME?</v>
      </c>
      <c r="K54" s="36" t="str">
        <f t="shared" si="1"/>
        <v>유효</v>
      </c>
      <c r="L54" s="37" t="str">
        <f t="shared" si="2"/>
        <v/>
      </c>
      <c r="M54" s="30"/>
      <c r="N54" s="38" t="b">
        <v>0</v>
      </c>
      <c r="O54" s="38" t="b">
        <v>0</v>
      </c>
      <c r="P54" s="39">
        <f>VLOOKUP($B54,'26년 1월 출석표'!$B$2:$BQ$497,10,0)/1</f>
        <v>0</v>
      </c>
      <c r="Q54" s="40"/>
      <c r="R54" s="41">
        <f>VLOOKUP($B54,'26년 1월 출석표'!$B$2:$BQ$497,24,0)/5</f>
        <v>0</v>
      </c>
      <c r="S54" s="40"/>
      <c r="T54" s="41">
        <f>VLOOKUP($B54,'26년 1월 출석표'!$B$2:$BQ$497,38,0)/5</f>
        <v>0</v>
      </c>
      <c r="U54" s="40"/>
      <c r="V54" s="41">
        <f>VLOOKUP($B54,'26년 1월 출석표'!$B$2:$BQ$497,52,0)/5</f>
        <v>0</v>
      </c>
      <c r="W54" s="42"/>
      <c r="X54" s="41">
        <f>VLOOKUP($B54,'26년 1월 출석표'!$B$2:$BQ$503,66,0)/5</f>
        <v>0</v>
      </c>
      <c r="Y54" s="43"/>
    </row>
    <row r="55" spans="1:25" ht="16.5">
      <c r="A55" s="29"/>
      <c r="B55" s="30" t="s">
        <v>128</v>
      </c>
      <c r="C55" s="46" t="s">
        <v>4</v>
      </c>
      <c r="D55" s="47" t="s">
        <v>129</v>
      </c>
      <c r="E55" s="48" t="s">
        <v>26</v>
      </c>
      <c r="F55" s="49">
        <v>45888</v>
      </c>
      <c r="G55" s="49">
        <v>45890</v>
      </c>
      <c r="H55" s="49">
        <v>46169</v>
      </c>
      <c r="I55" s="34">
        <f>VLOOKUP(B55,'26년 1월 출석표'!$B$7:$D$500,3,0)</f>
        <v>0</v>
      </c>
      <c r="J55" s="35" t="e">
        <f t="shared" ca="1" si="0"/>
        <v>#NAME?</v>
      </c>
      <c r="K55" s="36" t="str">
        <f t="shared" si="1"/>
        <v>유효</v>
      </c>
      <c r="L55" s="37" t="str">
        <f t="shared" si="2"/>
        <v/>
      </c>
      <c r="M55" s="30"/>
      <c r="N55" s="38" t="b">
        <v>0</v>
      </c>
      <c r="O55" s="38" t="b">
        <v>0</v>
      </c>
      <c r="P55" s="39">
        <f>VLOOKUP($B55,'26년 1월 출석표'!$B$2:$BQ$497,10,0)/1</f>
        <v>0</v>
      </c>
      <c r="Q55" s="40"/>
      <c r="R55" s="41">
        <f>VLOOKUP($B55,'26년 1월 출석표'!$B$2:$BQ$497,24,0)/5</f>
        <v>0</v>
      </c>
      <c r="S55" s="40"/>
      <c r="T55" s="41">
        <f>VLOOKUP($B55,'26년 1월 출석표'!$B$2:$BQ$497,38,0)/5</f>
        <v>0</v>
      </c>
      <c r="U55" s="40"/>
      <c r="V55" s="41">
        <f>VLOOKUP($B55,'26년 1월 출석표'!$B$2:$BQ$497,52,0)/5</f>
        <v>0</v>
      </c>
      <c r="W55" s="42"/>
      <c r="X55" s="41">
        <f>VLOOKUP($B55,'26년 1월 출석표'!$B$2:$BQ$503,66,0)/5</f>
        <v>0</v>
      </c>
      <c r="Y55" s="43"/>
    </row>
    <row r="56" spans="1:25" ht="16.5">
      <c r="A56" s="29"/>
      <c r="B56" s="30" t="s">
        <v>130</v>
      </c>
      <c r="C56" s="46" t="s">
        <v>4</v>
      </c>
      <c r="D56" s="47" t="s">
        <v>131</v>
      </c>
      <c r="E56" s="48" t="s">
        <v>26</v>
      </c>
      <c r="F56" s="49">
        <v>45889</v>
      </c>
      <c r="G56" s="49">
        <v>45894</v>
      </c>
      <c r="H56" s="49">
        <v>46077</v>
      </c>
      <c r="I56" s="34">
        <f>VLOOKUP(B56,'26년 1월 출석표'!$B$7:$D$500,3,0)</f>
        <v>3</v>
      </c>
      <c r="J56" s="35" t="e">
        <f t="shared" ca="1" si="0"/>
        <v>#NAME?</v>
      </c>
      <c r="K56" s="36" t="str">
        <f t="shared" si="1"/>
        <v>유효</v>
      </c>
      <c r="L56" s="37" t="str">
        <f t="shared" si="2"/>
        <v/>
      </c>
      <c r="M56" s="30"/>
      <c r="N56" s="38" t="b">
        <v>0</v>
      </c>
      <c r="O56" s="38" t="b">
        <v>0</v>
      </c>
      <c r="P56" s="39">
        <f>VLOOKUP($B56,'26년 1월 출석표'!$B$2:$BQ$497,10,0)/1</f>
        <v>1</v>
      </c>
      <c r="Q56" s="40"/>
      <c r="R56" s="41">
        <f>VLOOKUP($B56,'26년 1월 출석표'!$B$2:$BQ$497,24,0)/5</f>
        <v>0.2</v>
      </c>
      <c r="S56" s="40"/>
      <c r="T56" s="41">
        <f>VLOOKUP($B56,'26년 1월 출석표'!$B$2:$BQ$497,38,0)/5</f>
        <v>0.2</v>
      </c>
      <c r="U56" s="40"/>
      <c r="V56" s="41">
        <f>VLOOKUP($B56,'26년 1월 출석표'!$B$2:$BQ$497,52,0)/5</f>
        <v>0</v>
      </c>
      <c r="W56" s="42"/>
      <c r="X56" s="41">
        <f>VLOOKUP($B56,'26년 1월 출석표'!$B$2:$BQ$503,66,0)/5</f>
        <v>0</v>
      </c>
      <c r="Y56" s="43"/>
    </row>
    <row r="57" spans="1:25" ht="16.5">
      <c r="A57" s="29"/>
      <c r="B57" s="30" t="s">
        <v>132</v>
      </c>
      <c r="C57" s="46" t="s">
        <v>4</v>
      </c>
      <c r="D57" s="47" t="s">
        <v>133</v>
      </c>
      <c r="E57" s="48" t="s">
        <v>26</v>
      </c>
      <c r="F57" s="49">
        <v>45889</v>
      </c>
      <c r="G57" s="49">
        <v>45894</v>
      </c>
      <c r="H57" s="49">
        <v>46077</v>
      </c>
      <c r="I57" s="34">
        <f>VLOOKUP(B57,'26년 1월 출석표'!$B$7:$D$500,3,0)</f>
        <v>3</v>
      </c>
      <c r="J57" s="35" t="e">
        <f t="shared" ca="1" si="0"/>
        <v>#NAME?</v>
      </c>
      <c r="K57" s="36" t="str">
        <f t="shared" si="1"/>
        <v>유효</v>
      </c>
      <c r="L57" s="37" t="str">
        <f t="shared" si="2"/>
        <v/>
      </c>
      <c r="M57" s="30"/>
      <c r="N57" s="38" t="b">
        <v>0</v>
      </c>
      <c r="O57" s="38" t="b">
        <v>0</v>
      </c>
      <c r="P57" s="39">
        <f>VLOOKUP($B57,'26년 1월 출석표'!$B$2:$BQ$497,10,0)/1</f>
        <v>1</v>
      </c>
      <c r="Q57" s="40"/>
      <c r="R57" s="41">
        <f>VLOOKUP($B57,'26년 1월 출석표'!$B$2:$BQ$497,24,0)/5</f>
        <v>0.2</v>
      </c>
      <c r="S57" s="40"/>
      <c r="T57" s="41">
        <f>VLOOKUP($B57,'26년 1월 출석표'!$B$2:$BQ$497,38,0)/5</f>
        <v>0.2</v>
      </c>
      <c r="U57" s="40"/>
      <c r="V57" s="41">
        <f>VLOOKUP($B57,'26년 1월 출석표'!$B$2:$BQ$497,52,0)/5</f>
        <v>0</v>
      </c>
      <c r="W57" s="42"/>
      <c r="X57" s="41">
        <f>VLOOKUP($B57,'26년 1월 출석표'!$B$2:$BQ$503,66,0)/5</f>
        <v>0</v>
      </c>
      <c r="Y57" s="43"/>
    </row>
    <row r="58" spans="1:25" ht="16.5">
      <c r="A58" s="29"/>
      <c r="B58" s="30" t="s">
        <v>134</v>
      </c>
      <c r="C58" s="46" t="s">
        <v>4</v>
      </c>
      <c r="D58" s="47" t="s">
        <v>135</v>
      </c>
      <c r="E58" s="48" t="s">
        <v>31</v>
      </c>
      <c r="F58" s="49">
        <v>45889</v>
      </c>
      <c r="G58" s="49">
        <v>45901</v>
      </c>
      <c r="H58" s="49">
        <v>46386</v>
      </c>
      <c r="I58" s="34">
        <f>VLOOKUP(B58,'26년 1월 출석표'!$B$7:$D$500,3,0)</f>
        <v>0</v>
      </c>
      <c r="J58" s="35" t="e">
        <f t="shared" ca="1" si="0"/>
        <v>#NAME?</v>
      </c>
      <c r="K58" s="36" t="str">
        <f t="shared" si="1"/>
        <v>유효</v>
      </c>
      <c r="L58" s="37" t="str">
        <f t="shared" si="2"/>
        <v/>
      </c>
      <c r="M58" s="30"/>
      <c r="N58" s="38" t="b">
        <v>0</v>
      </c>
      <c r="O58" s="38" t="b">
        <v>0</v>
      </c>
      <c r="P58" s="39">
        <f>VLOOKUP($B58,'26년 1월 출석표'!$B$2:$BQ$497,10,0)/1</f>
        <v>0</v>
      </c>
      <c r="Q58" s="40"/>
      <c r="R58" s="41">
        <f>VLOOKUP($B58,'26년 1월 출석표'!$B$2:$BQ$497,24,0)/5</f>
        <v>0</v>
      </c>
      <c r="S58" s="40"/>
      <c r="T58" s="41">
        <f>VLOOKUP($B58,'26년 1월 출석표'!$B$2:$BQ$497,38,0)/5</f>
        <v>0</v>
      </c>
      <c r="U58" s="40"/>
      <c r="V58" s="41">
        <f>VLOOKUP($B58,'26년 1월 출석표'!$B$2:$BQ$497,52,0)/5</f>
        <v>0</v>
      </c>
      <c r="W58" s="42"/>
      <c r="X58" s="41">
        <f>VLOOKUP($B58,'26년 1월 출석표'!$B$2:$BQ$503,66,0)/5</f>
        <v>0</v>
      </c>
      <c r="Y58" s="43"/>
    </row>
    <row r="59" spans="1:25" ht="16.5">
      <c r="A59" s="29"/>
      <c r="B59" s="30" t="s">
        <v>136</v>
      </c>
      <c r="C59" s="46" t="s">
        <v>4</v>
      </c>
      <c r="D59" s="47" t="s">
        <v>137</v>
      </c>
      <c r="E59" s="48" t="s">
        <v>34</v>
      </c>
      <c r="F59" s="49">
        <v>45890</v>
      </c>
      <c r="G59" s="49">
        <v>45904</v>
      </c>
      <c r="H59" s="49">
        <v>46362</v>
      </c>
      <c r="I59" s="34">
        <f>VLOOKUP(B59,'26년 1월 출석표'!$B$7:$D$500,3,0)</f>
        <v>4</v>
      </c>
      <c r="J59" s="35" t="e">
        <f t="shared" ca="1" si="0"/>
        <v>#NAME?</v>
      </c>
      <c r="K59" s="36" t="str">
        <f t="shared" si="1"/>
        <v>유효</v>
      </c>
      <c r="L59" s="37" t="str">
        <f t="shared" si="2"/>
        <v/>
      </c>
      <c r="M59" s="30"/>
      <c r="N59" s="38" t="b">
        <v>0</v>
      </c>
      <c r="O59" s="38" t="b">
        <v>0</v>
      </c>
      <c r="P59" s="39">
        <f>VLOOKUP($B59,'26년 1월 출석표'!$B$2:$BQ$497,10,0)/1</f>
        <v>0</v>
      </c>
      <c r="Q59" s="40"/>
      <c r="R59" s="41">
        <f>VLOOKUP($B59,'26년 1월 출석표'!$B$2:$BQ$497,24,0)/5</f>
        <v>0.8</v>
      </c>
      <c r="S59" s="40"/>
      <c r="T59" s="41">
        <f>VLOOKUP($B59,'26년 1월 출석표'!$B$2:$BQ$497,38,0)/5</f>
        <v>0</v>
      </c>
      <c r="U59" s="40"/>
      <c r="V59" s="41">
        <f>VLOOKUP($B59,'26년 1월 출석표'!$B$2:$BQ$497,52,0)/5</f>
        <v>0</v>
      </c>
      <c r="W59" s="42"/>
      <c r="X59" s="41">
        <f>VLOOKUP($B59,'26년 1월 출석표'!$B$2:$BQ$503,66,0)/5</f>
        <v>0</v>
      </c>
      <c r="Y59" s="43"/>
    </row>
    <row r="60" spans="1:25" ht="16.5">
      <c r="A60" s="29"/>
      <c r="B60" s="30" t="s">
        <v>138</v>
      </c>
      <c r="C60" s="46" t="s">
        <v>4</v>
      </c>
      <c r="D60" s="47" t="s">
        <v>139</v>
      </c>
      <c r="E60" s="48" t="s">
        <v>34</v>
      </c>
      <c r="F60" s="49">
        <v>45894</v>
      </c>
      <c r="G60" s="49">
        <v>45955</v>
      </c>
      <c r="H60" s="49">
        <v>46319</v>
      </c>
      <c r="I60" s="34">
        <f>VLOOKUP(B60,'26년 1월 출석표'!$B$7:$D$500,3,0)</f>
        <v>1</v>
      </c>
      <c r="J60" s="35" t="e">
        <f t="shared" ca="1" si="0"/>
        <v>#NAME?</v>
      </c>
      <c r="K60" s="36" t="str">
        <f t="shared" si="1"/>
        <v>유효</v>
      </c>
      <c r="L60" s="37" t="str">
        <f t="shared" si="2"/>
        <v/>
      </c>
      <c r="M60" s="30"/>
      <c r="N60" s="38" t="b">
        <v>0</v>
      </c>
      <c r="O60" s="38" t="b">
        <v>0</v>
      </c>
      <c r="P60" s="39">
        <f>VLOOKUP($B60,'26년 1월 출석표'!$B$2:$BQ$497,10,0)/1</f>
        <v>0</v>
      </c>
      <c r="Q60" s="40"/>
      <c r="R60" s="41">
        <f>VLOOKUP($B60,'26년 1월 출석표'!$B$2:$BQ$497,24,0)/5</f>
        <v>0</v>
      </c>
      <c r="S60" s="40"/>
      <c r="T60" s="41">
        <f>VLOOKUP($B60,'26년 1월 출석표'!$B$2:$BQ$497,38,0)/5</f>
        <v>0.2</v>
      </c>
      <c r="U60" s="40"/>
      <c r="V60" s="41">
        <f>VLOOKUP($B60,'26년 1월 출석표'!$B$2:$BQ$497,52,0)/5</f>
        <v>0</v>
      </c>
      <c r="W60" s="42"/>
      <c r="X60" s="41">
        <f>VLOOKUP($B60,'26년 1월 출석표'!$B$2:$BQ$503,66,0)/5</f>
        <v>0</v>
      </c>
      <c r="Y60" s="43"/>
    </row>
    <row r="61" spans="1:25" ht="16.5">
      <c r="A61" s="29"/>
      <c r="B61" s="30" t="s">
        <v>140</v>
      </c>
      <c r="C61" s="46" t="s">
        <v>4</v>
      </c>
      <c r="D61" s="47" t="s">
        <v>141</v>
      </c>
      <c r="E61" s="48" t="s">
        <v>34</v>
      </c>
      <c r="F61" s="49">
        <v>45894</v>
      </c>
      <c r="G61" s="49">
        <v>45894</v>
      </c>
      <c r="H61" s="49">
        <v>46319</v>
      </c>
      <c r="I61" s="34">
        <f>VLOOKUP(B61,'26년 1월 출석표'!$B$7:$D$500,3,0)</f>
        <v>0</v>
      </c>
      <c r="J61" s="35" t="e">
        <f t="shared" ca="1" si="0"/>
        <v>#NAME?</v>
      </c>
      <c r="K61" s="36" t="str">
        <f t="shared" si="1"/>
        <v>유효</v>
      </c>
      <c r="L61" s="37" t="str">
        <f t="shared" si="2"/>
        <v/>
      </c>
      <c r="M61" s="30"/>
      <c r="N61" s="38" t="b">
        <v>0</v>
      </c>
      <c r="O61" s="38" t="b">
        <v>0</v>
      </c>
      <c r="P61" s="39">
        <f>VLOOKUP($B61,'26년 1월 출석표'!$B$2:$BQ$497,10,0)/1</f>
        <v>0</v>
      </c>
      <c r="Q61" s="40"/>
      <c r="R61" s="41">
        <f>VLOOKUP($B61,'26년 1월 출석표'!$B$2:$BQ$497,24,0)/5</f>
        <v>0</v>
      </c>
      <c r="S61" s="40"/>
      <c r="T61" s="41">
        <f>VLOOKUP($B61,'26년 1월 출석표'!$B$2:$BQ$497,38,0)/5</f>
        <v>0</v>
      </c>
      <c r="U61" s="40"/>
      <c r="V61" s="41">
        <f>VLOOKUP($B61,'26년 1월 출석표'!$B$2:$BQ$497,52,0)/5</f>
        <v>0</v>
      </c>
      <c r="W61" s="42"/>
      <c r="X61" s="41">
        <f>VLOOKUP($B61,'26년 1월 출석표'!$B$2:$BQ$503,66,0)/5</f>
        <v>0</v>
      </c>
      <c r="Y61" s="43"/>
    </row>
    <row r="62" spans="1:25" ht="16.5">
      <c r="A62" s="29"/>
      <c r="B62" s="30" t="s">
        <v>142</v>
      </c>
      <c r="C62" s="46" t="s">
        <v>4</v>
      </c>
      <c r="D62" s="47" t="s">
        <v>143</v>
      </c>
      <c r="E62" s="48" t="s">
        <v>31</v>
      </c>
      <c r="F62" s="49">
        <v>45894</v>
      </c>
      <c r="G62" s="49">
        <v>46000</v>
      </c>
      <c r="H62" s="49">
        <v>46335</v>
      </c>
      <c r="I62" s="34">
        <f>VLOOKUP(B62,'26년 1월 출석표'!$B$7:$D$500,3,0)</f>
        <v>1</v>
      </c>
      <c r="J62" s="35" t="e">
        <f t="shared" ca="1" si="0"/>
        <v>#NAME?</v>
      </c>
      <c r="K62" s="36" t="str">
        <f t="shared" si="1"/>
        <v>유효</v>
      </c>
      <c r="L62" s="37" t="str">
        <f t="shared" si="2"/>
        <v/>
      </c>
      <c r="M62" s="30"/>
      <c r="N62" s="38" t="b">
        <v>0</v>
      </c>
      <c r="O62" s="38" t="b">
        <v>0</v>
      </c>
      <c r="P62" s="39">
        <f>VLOOKUP($B62,'26년 1월 출석표'!$B$2:$BQ$497,10,0)/1</f>
        <v>0</v>
      </c>
      <c r="Q62" s="40"/>
      <c r="R62" s="41">
        <f>VLOOKUP($B62,'26년 1월 출석표'!$B$2:$BQ$497,24,0)/5</f>
        <v>0.2</v>
      </c>
      <c r="S62" s="40"/>
      <c r="T62" s="41">
        <f>VLOOKUP($B62,'26년 1월 출석표'!$B$2:$BQ$497,38,0)/5</f>
        <v>0</v>
      </c>
      <c r="U62" s="40"/>
      <c r="V62" s="41">
        <f>VLOOKUP($B62,'26년 1월 출석표'!$B$2:$BQ$497,52,0)/5</f>
        <v>0</v>
      </c>
      <c r="W62" s="42"/>
      <c r="X62" s="41">
        <f>VLOOKUP($B62,'26년 1월 출석표'!$B$2:$BQ$503,66,0)/5</f>
        <v>0</v>
      </c>
      <c r="Y62" s="43"/>
    </row>
    <row r="63" spans="1:25" ht="16.5">
      <c r="A63" s="29"/>
      <c r="B63" s="30" t="s">
        <v>144</v>
      </c>
      <c r="C63" s="46" t="s">
        <v>4</v>
      </c>
      <c r="D63" s="47" t="s">
        <v>145</v>
      </c>
      <c r="E63" s="48" t="s">
        <v>26</v>
      </c>
      <c r="F63" s="49">
        <v>45894</v>
      </c>
      <c r="G63" s="49">
        <v>45957</v>
      </c>
      <c r="H63" s="49">
        <v>46352</v>
      </c>
      <c r="I63" s="34">
        <f>VLOOKUP(B63,'26년 1월 출석표'!$B$7:$D$500,3,0)</f>
        <v>0</v>
      </c>
      <c r="J63" s="35" t="e">
        <f t="shared" ca="1" si="0"/>
        <v>#NAME?</v>
      </c>
      <c r="K63" s="36" t="str">
        <f t="shared" si="1"/>
        <v>유효</v>
      </c>
      <c r="L63" s="37" t="str">
        <f t="shared" si="2"/>
        <v/>
      </c>
      <c r="M63" s="30"/>
      <c r="N63" s="38" t="b">
        <v>0</v>
      </c>
      <c r="O63" s="38" t="b">
        <v>0</v>
      </c>
      <c r="P63" s="39">
        <f>VLOOKUP($B63,'26년 1월 출석표'!$B$2:$BQ$497,10,0)/1</f>
        <v>0</v>
      </c>
      <c r="Q63" s="40"/>
      <c r="R63" s="41">
        <f>VLOOKUP($B63,'26년 1월 출석표'!$B$2:$BQ$497,24,0)/5</f>
        <v>0</v>
      </c>
      <c r="S63" s="40"/>
      <c r="T63" s="41">
        <f>VLOOKUP($B63,'26년 1월 출석표'!$B$2:$BQ$497,38,0)/5</f>
        <v>0</v>
      </c>
      <c r="U63" s="40"/>
      <c r="V63" s="41">
        <f>VLOOKUP($B63,'26년 1월 출석표'!$B$2:$BQ$497,52,0)/5</f>
        <v>0</v>
      </c>
      <c r="W63" s="42"/>
      <c r="X63" s="41">
        <f>VLOOKUP($B63,'26년 1월 출석표'!$B$2:$BQ$503,66,0)/5</f>
        <v>0</v>
      </c>
      <c r="Y63" s="43"/>
    </row>
    <row r="64" spans="1:25" ht="16.5">
      <c r="A64" s="29"/>
      <c r="B64" s="30" t="s">
        <v>146</v>
      </c>
      <c r="C64" s="46" t="s">
        <v>4</v>
      </c>
      <c r="D64" s="47" t="s">
        <v>147</v>
      </c>
      <c r="E64" s="48" t="s">
        <v>31</v>
      </c>
      <c r="F64" s="49">
        <v>45895</v>
      </c>
      <c r="G64" s="49">
        <v>45922</v>
      </c>
      <c r="H64" s="49">
        <v>46251</v>
      </c>
      <c r="I64" s="34">
        <f>VLOOKUP(B64,'26년 1월 출석표'!$B$7:$D$500,3,0)</f>
        <v>0</v>
      </c>
      <c r="J64" s="35" t="e">
        <f t="shared" ca="1" si="0"/>
        <v>#NAME?</v>
      </c>
      <c r="K64" s="36" t="str">
        <f t="shared" si="1"/>
        <v>유효</v>
      </c>
      <c r="L64" s="37" t="str">
        <f t="shared" si="2"/>
        <v/>
      </c>
      <c r="M64" s="30"/>
      <c r="N64" s="38" t="b">
        <v>0</v>
      </c>
      <c r="O64" s="38" t="b">
        <v>0</v>
      </c>
      <c r="P64" s="39">
        <f>VLOOKUP($B64,'26년 1월 출석표'!$B$2:$BQ$497,10,0)/1</f>
        <v>0</v>
      </c>
      <c r="Q64" s="40"/>
      <c r="R64" s="41">
        <f>VLOOKUP($B64,'26년 1월 출석표'!$B$2:$BQ$497,24,0)/5</f>
        <v>0</v>
      </c>
      <c r="S64" s="40"/>
      <c r="T64" s="41">
        <f>VLOOKUP($B64,'26년 1월 출석표'!$B$2:$BQ$497,38,0)/5</f>
        <v>0</v>
      </c>
      <c r="U64" s="40"/>
      <c r="V64" s="41">
        <f>VLOOKUP($B64,'26년 1월 출석표'!$B$2:$BQ$497,52,0)/5</f>
        <v>0</v>
      </c>
      <c r="W64" s="42"/>
      <c r="X64" s="41">
        <f>VLOOKUP($B64,'26년 1월 출석표'!$B$2:$BQ$503,66,0)/5</f>
        <v>0</v>
      </c>
      <c r="Y64" s="43"/>
    </row>
    <row r="65" spans="1:25" ht="16.5">
      <c r="A65" s="29"/>
      <c r="B65" s="30" t="s">
        <v>148</v>
      </c>
      <c r="C65" s="46" t="s">
        <v>3</v>
      </c>
      <c r="D65" s="47" t="s">
        <v>149</v>
      </c>
      <c r="E65" s="48" t="s">
        <v>31</v>
      </c>
      <c r="F65" s="49">
        <v>45895</v>
      </c>
      <c r="G65" s="49">
        <v>45922</v>
      </c>
      <c r="H65" s="49">
        <v>46251</v>
      </c>
      <c r="I65" s="34">
        <f>VLOOKUP(B65,'26년 1월 출석표'!$B$7:$D$500,3,0)</f>
        <v>1</v>
      </c>
      <c r="J65" s="35" t="e">
        <f t="shared" ca="1" si="0"/>
        <v>#NAME?</v>
      </c>
      <c r="K65" s="36" t="str">
        <f t="shared" si="1"/>
        <v>유효</v>
      </c>
      <c r="L65" s="37" t="str">
        <f t="shared" si="2"/>
        <v/>
      </c>
      <c r="M65" s="30"/>
      <c r="N65" s="38" t="b">
        <v>0</v>
      </c>
      <c r="O65" s="38" t="b">
        <v>0</v>
      </c>
      <c r="P65" s="39">
        <f>VLOOKUP($B65,'26년 1월 출석표'!$B$2:$BQ$497,10,0)/1</f>
        <v>1</v>
      </c>
      <c r="Q65" s="40"/>
      <c r="R65" s="41">
        <f>VLOOKUP($B65,'26년 1월 출석표'!$B$2:$BQ$497,24,0)/5</f>
        <v>0</v>
      </c>
      <c r="S65" s="40"/>
      <c r="T65" s="41">
        <f>VLOOKUP($B65,'26년 1월 출석표'!$B$2:$BQ$497,38,0)/5</f>
        <v>0</v>
      </c>
      <c r="U65" s="40"/>
      <c r="V65" s="41">
        <f>VLOOKUP($B65,'26년 1월 출석표'!$B$2:$BQ$497,52,0)/5</f>
        <v>0</v>
      </c>
      <c r="W65" s="42"/>
      <c r="X65" s="41">
        <f>VLOOKUP($B65,'26년 1월 출석표'!$B$2:$BQ$503,66,0)/5</f>
        <v>0</v>
      </c>
      <c r="Y65" s="43"/>
    </row>
    <row r="66" spans="1:25" ht="16.5">
      <c r="A66" s="29"/>
      <c r="B66" s="30" t="s">
        <v>150</v>
      </c>
      <c r="C66" s="46" t="s">
        <v>3</v>
      </c>
      <c r="D66" s="47" t="s">
        <v>151</v>
      </c>
      <c r="E66" s="48" t="s">
        <v>34</v>
      </c>
      <c r="F66" s="49">
        <v>45895</v>
      </c>
      <c r="G66" s="49">
        <v>45902</v>
      </c>
      <c r="H66" s="49">
        <v>46447</v>
      </c>
      <c r="I66" s="34">
        <f>VLOOKUP(B66,'26년 1월 출석표'!$B$7:$D$500,3,0)</f>
        <v>1</v>
      </c>
      <c r="J66" s="35" t="e">
        <f t="shared" ca="1" si="0"/>
        <v>#NAME?</v>
      </c>
      <c r="K66" s="36" t="str">
        <f t="shared" si="1"/>
        <v>유효</v>
      </c>
      <c r="L66" s="37" t="str">
        <f t="shared" si="2"/>
        <v/>
      </c>
      <c r="M66" s="30"/>
      <c r="N66" s="38" t="b">
        <v>0</v>
      </c>
      <c r="O66" s="38" t="b">
        <v>0</v>
      </c>
      <c r="P66" s="39">
        <f>VLOOKUP($B66,'26년 1월 출석표'!$B$2:$BQ$497,10,0)/1</f>
        <v>0</v>
      </c>
      <c r="Q66" s="40"/>
      <c r="R66" s="41">
        <f>VLOOKUP($B66,'26년 1월 출석표'!$B$2:$BQ$497,24,0)/5</f>
        <v>0.2</v>
      </c>
      <c r="S66" s="40"/>
      <c r="T66" s="41">
        <f>VLOOKUP($B66,'26년 1월 출석표'!$B$2:$BQ$497,38,0)/5</f>
        <v>0</v>
      </c>
      <c r="U66" s="40"/>
      <c r="V66" s="41">
        <f>VLOOKUP($B66,'26년 1월 출석표'!$B$2:$BQ$497,52,0)/5</f>
        <v>0</v>
      </c>
      <c r="W66" s="42"/>
      <c r="X66" s="41">
        <f>VLOOKUP($B66,'26년 1월 출석표'!$B$2:$BQ$503,66,0)/5</f>
        <v>0</v>
      </c>
      <c r="Y66" s="43"/>
    </row>
    <row r="67" spans="1:25" ht="16.5">
      <c r="A67" s="29"/>
      <c r="B67" s="30" t="s">
        <v>152</v>
      </c>
      <c r="C67" s="46" t="s">
        <v>4</v>
      </c>
      <c r="D67" s="47" t="s">
        <v>153</v>
      </c>
      <c r="E67" s="48" t="s">
        <v>26</v>
      </c>
      <c r="F67" s="49">
        <v>45896</v>
      </c>
      <c r="G67" s="49">
        <v>45931</v>
      </c>
      <c r="H67" s="49">
        <v>46203</v>
      </c>
      <c r="I67" s="34">
        <f>VLOOKUP(B67,'26년 1월 출석표'!$B$7:$D$500,3,0)</f>
        <v>1</v>
      </c>
      <c r="J67" s="35" t="e">
        <f t="shared" ca="1" si="0"/>
        <v>#NAME?</v>
      </c>
      <c r="K67" s="36" t="str">
        <f t="shared" si="1"/>
        <v>유효</v>
      </c>
      <c r="L67" s="37" t="str">
        <f t="shared" si="2"/>
        <v/>
      </c>
      <c r="M67" s="30"/>
      <c r="N67" s="38" t="b">
        <v>0</v>
      </c>
      <c r="O67" s="38" t="b">
        <v>0</v>
      </c>
      <c r="P67" s="39">
        <f>VLOOKUP($B67,'26년 1월 출석표'!$B$2:$BQ$497,10,0)/1</f>
        <v>0</v>
      </c>
      <c r="Q67" s="40"/>
      <c r="R67" s="41">
        <f>VLOOKUP($B67,'26년 1월 출석표'!$B$2:$BQ$497,24,0)/5</f>
        <v>0.2</v>
      </c>
      <c r="S67" s="40"/>
      <c r="T67" s="41">
        <f>VLOOKUP($B67,'26년 1월 출석표'!$B$2:$BQ$497,38,0)/5</f>
        <v>0</v>
      </c>
      <c r="U67" s="40"/>
      <c r="V67" s="41">
        <f>VLOOKUP($B67,'26년 1월 출석표'!$B$2:$BQ$497,52,0)/5</f>
        <v>0</v>
      </c>
      <c r="W67" s="42"/>
      <c r="X67" s="41">
        <f>VLOOKUP($B67,'26년 1월 출석표'!$B$2:$BQ$503,66,0)/5</f>
        <v>0</v>
      </c>
      <c r="Y67" s="43"/>
    </row>
    <row r="68" spans="1:25" ht="16.5">
      <c r="A68" s="29"/>
      <c r="B68" s="30" t="s">
        <v>154</v>
      </c>
      <c r="C68" s="46" t="s">
        <v>3</v>
      </c>
      <c r="D68" s="47" t="s">
        <v>155</v>
      </c>
      <c r="E68" s="48" t="s">
        <v>34</v>
      </c>
      <c r="F68" s="49">
        <v>45896</v>
      </c>
      <c r="G68" s="49">
        <v>45898</v>
      </c>
      <c r="H68" s="49">
        <v>46262</v>
      </c>
      <c r="I68" s="34">
        <f>VLOOKUP(B68,'26년 1월 출석표'!$B$7:$D$500,3,0)</f>
        <v>3</v>
      </c>
      <c r="J68" s="35" t="e">
        <f t="shared" ca="1" si="0"/>
        <v>#NAME?</v>
      </c>
      <c r="K68" s="36" t="str">
        <f t="shared" si="1"/>
        <v>유효</v>
      </c>
      <c r="L68" s="37" t="str">
        <f t="shared" si="2"/>
        <v/>
      </c>
      <c r="M68" s="30"/>
      <c r="N68" s="38" t="b">
        <v>0</v>
      </c>
      <c r="O68" s="38" t="b">
        <v>0</v>
      </c>
      <c r="P68" s="39">
        <f>VLOOKUP($B68,'26년 1월 출석표'!$B$2:$BQ$497,10,0)/1</f>
        <v>0</v>
      </c>
      <c r="Q68" s="40"/>
      <c r="R68" s="41">
        <f>VLOOKUP($B68,'26년 1월 출석표'!$B$2:$BQ$497,24,0)/5</f>
        <v>0.6</v>
      </c>
      <c r="S68" s="40"/>
      <c r="T68" s="41">
        <f>VLOOKUP($B68,'26년 1월 출석표'!$B$2:$BQ$497,38,0)/5</f>
        <v>0</v>
      </c>
      <c r="U68" s="40"/>
      <c r="V68" s="41">
        <f>VLOOKUP($B68,'26년 1월 출석표'!$B$2:$BQ$497,52,0)/5</f>
        <v>0</v>
      </c>
      <c r="W68" s="42"/>
      <c r="X68" s="41">
        <f>VLOOKUP($B68,'26년 1월 출석표'!$B$2:$BQ$503,66,0)/5</f>
        <v>0</v>
      </c>
      <c r="Y68" s="43"/>
    </row>
    <row r="69" spans="1:25" ht="16.5">
      <c r="A69" s="29"/>
      <c r="B69" s="30" t="s">
        <v>156</v>
      </c>
      <c r="C69" s="46" t="s">
        <v>4</v>
      </c>
      <c r="D69" s="47" t="s">
        <v>157</v>
      </c>
      <c r="E69" s="48" t="s">
        <v>26</v>
      </c>
      <c r="F69" s="49">
        <v>45897</v>
      </c>
      <c r="G69" s="49">
        <v>45898</v>
      </c>
      <c r="H69" s="49">
        <v>46134</v>
      </c>
      <c r="I69" s="34">
        <f>VLOOKUP(B69,'26년 1월 출석표'!$B$7:$D$500,3,0)</f>
        <v>2</v>
      </c>
      <c r="J69" s="35" t="e">
        <f t="shared" ca="1" si="0"/>
        <v>#NAME?</v>
      </c>
      <c r="K69" s="36" t="str">
        <f t="shared" si="1"/>
        <v>유효</v>
      </c>
      <c r="L69" s="37" t="str">
        <f t="shared" si="2"/>
        <v/>
      </c>
      <c r="M69" s="30"/>
      <c r="N69" s="38" t="b">
        <v>0</v>
      </c>
      <c r="O69" s="38" t="b">
        <v>0</v>
      </c>
      <c r="P69" s="39">
        <f>VLOOKUP($B69,'26년 1월 출석표'!$B$2:$BQ$497,10,0)/1</f>
        <v>0</v>
      </c>
      <c r="Q69" s="40"/>
      <c r="R69" s="41">
        <f>VLOOKUP($B69,'26년 1월 출석표'!$B$2:$BQ$497,24,0)/5</f>
        <v>0.2</v>
      </c>
      <c r="S69" s="40"/>
      <c r="T69" s="41">
        <f>VLOOKUP($B69,'26년 1월 출석표'!$B$2:$BQ$497,38,0)/5</f>
        <v>0.2</v>
      </c>
      <c r="U69" s="40"/>
      <c r="V69" s="41">
        <f>VLOOKUP($B69,'26년 1월 출석표'!$B$2:$BQ$497,52,0)/5</f>
        <v>0</v>
      </c>
      <c r="W69" s="42"/>
      <c r="X69" s="41">
        <f>VLOOKUP($B69,'26년 1월 출석표'!$B$2:$BQ$503,66,0)/5</f>
        <v>0</v>
      </c>
      <c r="Y69" s="43"/>
    </row>
    <row r="70" spans="1:25" ht="16.5">
      <c r="A70" s="29"/>
      <c r="B70" s="30" t="s">
        <v>158</v>
      </c>
      <c r="C70" s="46" t="s">
        <v>3</v>
      </c>
      <c r="D70" s="47" t="s">
        <v>159</v>
      </c>
      <c r="E70" s="48" t="s">
        <v>34</v>
      </c>
      <c r="F70" s="49">
        <v>45897</v>
      </c>
      <c r="G70" s="49">
        <v>45898</v>
      </c>
      <c r="H70" s="49">
        <v>46262</v>
      </c>
      <c r="I70" s="34">
        <f>VLOOKUP(B70,'26년 1월 출석표'!$B$7:$D$500,3,0)</f>
        <v>1</v>
      </c>
      <c r="J70" s="35" t="e">
        <f t="shared" ca="1" si="0"/>
        <v>#NAME?</v>
      </c>
      <c r="K70" s="36" t="str">
        <f t="shared" si="1"/>
        <v>유효</v>
      </c>
      <c r="L70" s="37" t="str">
        <f t="shared" si="2"/>
        <v/>
      </c>
      <c r="M70" s="30"/>
      <c r="N70" s="38" t="b">
        <v>0</v>
      </c>
      <c r="O70" s="38" t="b">
        <v>0</v>
      </c>
      <c r="P70" s="39">
        <f>VLOOKUP($B70,'26년 1월 출석표'!$B$2:$BQ$497,10,0)/1</f>
        <v>0</v>
      </c>
      <c r="Q70" s="40"/>
      <c r="R70" s="41">
        <f>VLOOKUP($B70,'26년 1월 출석표'!$B$2:$BQ$497,24,0)/5</f>
        <v>0.2</v>
      </c>
      <c r="S70" s="40"/>
      <c r="T70" s="41">
        <f>VLOOKUP($B70,'26년 1월 출석표'!$B$2:$BQ$497,38,0)/5</f>
        <v>0</v>
      </c>
      <c r="U70" s="40"/>
      <c r="V70" s="41">
        <f>VLOOKUP($B70,'26년 1월 출석표'!$B$2:$BQ$497,52,0)/5</f>
        <v>0</v>
      </c>
      <c r="W70" s="42"/>
      <c r="X70" s="41">
        <f>VLOOKUP($B70,'26년 1월 출석표'!$B$2:$BQ$503,66,0)/5</f>
        <v>0</v>
      </c>
      <c r="Y70" s="43"/>
    </row>
    <row r="71" spans="1:25" ht="16.5">
      <c r="A71" s="29"/>
      <c r="B71" s="30" t="s">
        <v>160</v>
      </c>
      <c r="C71" s="46" t="s">
        <v>4</v>
      </c>
      <c r="D71" s="47" t="s">
        <v>161</v>
      </c>
      <c r="E71" s="48" t="s">
        <v>31</v>
      </c>
      <c r="F71" s="49">
        <v>45897</v>
      </c>
      <c r="G71" s="49">
        <v>45898</v>
      </c>
      <c r="H71" s="49">
        <v>46296</v>
      </c>
      <c r="I71" s="34">
        <f>VLOOKUP(B71,'26년 1월 출석표'!$B$7:$D$500,3,0)</f>
        <v>0</v>
      </c>
      <c r="J71" s="35" t="e">
        <f t="shared" ca="1" si="0"/>
        <v>#NAME?</v>
      </c>
      <c r="K71" s="36" t="str">
        <f t="shared" si="1"/>
        <v>유효</v>
      </c>
      <c r="L71" s="37" t="str">
        <f t="shared" si="2"/>
        <v/>
      </c>
      <c r="M71" s="30"/>
      <c r="N71" s="38" t="b">
        <v>0</v>
      </c>
      <c r="O71" s="38" t="b">
        <v>0</v>
      </c>
      <c r="P71" s="39">
        <f>VLOOKUP($B71,'26년 1월 출석표'!$B$2:$BQ$497,10,0)/1</f>
        <v>0</v>
      </c>
      <c r="Q71" s="40"/>
      <c r="R71" s="41">
        <f>VLOOKUP($B71,'26년 1월 출석표'!$B$2:$BQ$497,24,0)/5</f>
        <v>0</v>
      </c>
      <c r="S71" s="40"/>
      <c r="T71" s="41">
        <f>VLOOKUP($B71,'26년 1월 출석표'!$B$2:$BQ$497,38,0)/5</f>
        <v>0</v>
      </c>
      <c r="U71" s="40"/>
      <c r="V71" s="41">
        <f>VLOOKUP($B71,'26년 1월 출석표'!$B$2:$BQ$497,52,0)/5</f>
        <v>0</v>
      </c>
      <c r="W71" s="42"/>
      <c r="X71" s="41">
        <f>VLOOKUP($B71,'26년 1월 출석표'!$B$2:$BQ$503,66,0)/5</f>
        <v>0</v>
      </c>
      <c r="Y71" s="43"/>
    </row>
    <row r="72" spans="1:25" ht="16.5">
      <c r="A72" s="29"/>
      <c r="B72" s="30" t="s">
        <v>162</v>
      </c>
      <c r="C72" s="46" t="s">
        <v>4</v>
      </c>
      <c r="D72" s="47" t="s">
        <v>163</v>
      </c>
      <c r="E72" s="48" t="s">
        <v>34</v>
      </c>
      <c r="F72" s="49">
        <v>45898</v>
      </c>
      <c r="G72" s="49">
        <v>45901</v>
      </c>
      <c r="H72" s="49">
        <v>46262</v>
      </c>
      <c r="I72" s="34">
        <f>VLOOKUP(B72,'26년 1월 출석표'!$B$7:$D$500,3,0)</f>
        <v>2</v>
      </c>
      <c r="J72" s="35" t="e">
        <f t="shared" ca="1" si="0"/>
        <v>#NAME?</v>
      </c>
      <c r="K72" s="36" t="str">
        <f t="shared" si="1"/>
        <v>유효</v>
      </c>
      <c r="L72" s="37" t="str">
        <f t="shared" si="2"/>
        <v/>
      </c>
      <c r="M72" s="30"/>
      <c r="N72" s="38" t="b">
        <v>0</v>
      </c>
      <c r="O72" s="38" t="b">
        <v>0</v>
      </c>
      <c r="P72" s="39">
        <f>VLOOKUP($B72,'26년 1월 출석표'!$B$2:$BQ$497,10,0)/1</f>
        <v>0</v>
      </c>
      <c r="Q72" s="40"/>
      <c r="R72" s="41">
        <f>VLOOKUP($B72,'26년 1월 출석표'!$B$2:$BQ$497,24,0)/5</f>
        <v>0.4</v>
      </c>
      <c r="S72" s="40"/>
      <c r="T72" s="41">
        <f>VLOOKUP($B72,'26년 1월 출석표'!$B$2:$BQ$497,38,0)/5</f>
        <v>0</v>
      </c>
      <c r="U72" s="40"/>
      <c r="V72" s="41">
        <f>VLOOKUP($B72,'26년 1월 출석표'!$B$2:$BQ$497,52,0)/5</f>
        <v>0</v>
      </c>
      <c r="W72" s="42"/>
      <c r="X72" s="41">
        <f>VLOOKUP($B72,'26년 1월 출석표'!$B$2:$BQ$503,66,0)/5</f>
        <v>0</v>
      </c>
      <c r="Y72" s="43"/>
    </row>
    <row r="73" spans="1:25" ht="16.5">
      <c r="A73" s="29"/>
      <c r="B73" s="30" t="s">
        <v>164</v>
      </c>
      <c r="C73" s="46" t="s">
        <v>4</v>
      </c>
      <c r="D73" s="47" t="s">
        <v>165</v>
      </c>
      <c r="E73" s="48" t="s">
        <v>34</v>
      </c>
      <c r="F73" s="49">
        <v>45898</v>
      </c>
      <c r="G73" s="49">
        <v>45901</v>
      </c>
      <c r="H73" s="49">
        <v>46265</v>
      </c>
      <c r="I73" s="34">
        <f>VLOOKUP(B73,'26년 1월 출석표'!$B$7:$D$500,3,0)</f>
        <v>3</v>
      </c>
      <c r="J73" s="35" t="e">
        <f t="shared" ca="1" si="0"/>
        <v>#NAME?</v>
      </c>
      <c r="K73" s="36" t="str">
        <f t="shared" si="1"/>
        <v>유효</v>
      </c>
      <c r="L73" s="37" t="str">
        <f t="shared" si="2"/>
        <v/>
      </c>
      <c r="M73" s="30"/>
      <c r="N73" s="38" t="b">
        <v>0</v>
      </c>
      <c r="O73" s="38" t="b">
        <v>0</v>
      </c>
      <c r="P73" s="39">
        <f>VLOOKUP($B73,'26년 1월 출석표'!$B$2:$BQ$497,10,0)/1</f>
        <v>0</v>
      </c>
      <c r="Q73" s="40"/>
      <c r="R73" s="41">
        <f>VLOOKUP($B73,'26년 1월 출석표'!$B$2:$BQ$497,24,0)/5</f>
        <v>0.4</v>
      </c>
      <c r="S73" s="40"/>
      <c r="T73" s="41">
        <f>VLOOKUP($B73,'26년 1월 출석표'!$B$2:$BQ$497,38,0)/5</f>
        <v>0.2</v>
      </c>
      <c r="U73" s="40"/>
      <c r="V73" s="41">
        <f>VLOOKUP($B73,'26년 1월 출석표'!$B$2:$BQ$497,52,0)/5</f>
        <v>0</v>
      </c>
      <c r="W73" s="42"/>
      <c r="X73" s="41">
        <f>VLOOKUP($B73,'26년 1월 출석표'!$B$2:$BQ$503,66,0)/5</f>
        <v>0</v>
      </c>
      <c r="Y73" s="43"/>
    </row>
    <row r="74" spans="1:25" ht="16.5">
      <c r="A74" s="29"/>
      <c r="B74" s="30" t="s">
        <v>166</v>
      </c>
      <c r="C74" s="46" t="s">
        <v>4</v>
      </c>
      <c r="D74" s="47" t="s">
        <v>167</v>
      </c>
      <c r="E74" s="48" t="s">
        <v>34</v>
      </c>
      <c r="F74" s="49">
        <v>45898</v>
      </c>
      <c r="G74" s="49">
        <v>45964</v>
      </c>
      <c r="H74" s="49">
        <v>46328</v>
      </c>
      <c r="I74" s="34">
        <f>VLOOKUP(B74,'26년 1월 출석표'!$B$7:$D$500,3,0)</f>
        <v>5</v>
      </c>
      <c r="J74" s="35" t="e">
        <f t="shared" ca="1" si="0"/>
        <v>#NAME?</v>
      </c>
      <c r="K74" s="36" t="str">
        <f t="shared" si="1"/>
        <v>유효</v>
      </c>
      <c r="L74" s="37" t="str">
        <f t="shared" si="2"/>
        <v/>
      </c>
      <c r="M74" s="30"/>
      <c r="N74" s="38" t="b">
        <v>0</v>
      </c>
      <c r="O74" s="38" t="b">
        <v>0</v>
      </c>
      <c r="P74" s="39">
        <f>VLOOKUP($B74,'26년 1월 출석표'!$B$2:$BQ$497,10,0)/1</f>
        <v>0</v>
      </c>
      <c r="Q74" s="40"/>
      <c r="R74" s="41">
        <f>VLOOKUP($B74,'26년 1월 출석표'!$B$2:$BQ$497,24,0)/5</f>
        <v>0.8</v>
      </c>
      <c r="S74" s="40"/>
      <c r="T74" s="41">
        <f>VLOOKUP($B74,'26년 1월 출석표'!$B$2:$BQ$497,38,0)/5</f>
        <v>0.2</v>
      </c>
      <c r="U74" s="40"/>
      <c r="V74" s="41">
        <f>VLOOKUP($B74,'26년 1월 출석표'!$B$2:$BQ$497,52,0)/5</f>
        <v>0</v>
      </c>
      <c r="W74" s="42"/>
      <c r="X74" s="41">
        <f>VLOOKUP($B74,'26년 1월 출석표'!$B$2:$BQ$503,66,0)/5</f>
        <v>0</v>
      </c>
      <c r="Y74" s="43"/>
    </row>
    <row r="75" spans="1:25" ht="16.5">
      <c r="A75" s="29"/>
      <c r="B75" s="30" t="s">
        <v>168</v>
      </c>
      <c r="C75" s="46" t="s">
        <v>3</v>
      </c>
      <c r="D75" s="47" t="s">
        <v>169</v>
      </c>
      <c r="E75" s="48" t="s">
        <v>26</v>
      </c>
      <c r="F75" s="49">
        <v>45899</v>
      </c>
      <c r="G75" s="49">
        <v>45899</v>
      </c>
      <c r="H75" s="49">
        <v>46300</v>
      </c>
      <c r="I75" s="34">
        <f>VLOOKUP(B75,'26년 1월 출석표'!$B$7:$D$500,3,0)</f>
        <v>6</v>
      </c>
      <c r="J75" s="35" t="e">
        <f t="shared" ca="1" si="0"/>
        <v>#NAME?</v>
      </c>
      <c r="K75" s="36" t="str">
        <f t="shared" si="1"/>
        <v>유효</v>
      </c>
      <c r="L75" s="37" t="str">
        <f t="shared" si="2"/>
        <v/>
      </c>
      <c r="M75" s="30"/>
      <c r="N75" s="44" t="b">
        <v>1</v>
      </c>
      <c r="O75" s="44" t="b">
        <v>1</v>
      </c>
      <c r="P75" s="39">
        <f>VLOOKUP($B75,'26년 1월 출석표'!$B$2:$BQ$497,10,0)/1</f>
        <v>1</v>
      </c>
      <c r="Q75" s="40"/>
      <c r="R75" s="41">
        <f>VLOOKUP($B75,'26년 1월 출석표'!$B$2:$BQ$497,24,0)/5</f>
        <v>1</v>
      </c>
      <c r="S75" s="40"/>
      <c r="T75" s="41">
        <f>VLOOKUP($B75,'26년 1월 출석표'!$B$2:$BQ$497,38,0)/5</f>
        <v>0</v>
      </c>
      <c r="U75" s="40"/>
      <c r="V75" s="41">
        <f>VLOOKUP($B75,'26년 1월 출석표'!$B$2:$BQ$497,52,0)/5</f>
        <v>0</v>
      </c>
      <c r="W75" s="42"/>
      <c r="X75" s="41">
        <f>VLOOKUP($B75,'26년 1월 출석표'!$B$2:$BQ$503,66,0)/5</f>
        <v>0</v>
      </c>
      <c r="Y75" s="43"/>
    </row>
    <row r="76" spans="1:25" ht="16.5">
      <c r="A76" s="29"/>
      <c r="B76" s="30" t="s">
        <v>170</v>
      </c>
      <c r="C76" s="46" t="s">
        <v>3</v>
      </c>
      <c r="D76" s="47" t="s">
        <v>171</v>
      </c>
      <c r="E76" s="48" t="s">
        <v>26</v>
      </c>
      <c r="F76" s="49">
        <v>45901</v>
      </c>
      <c r="G76" s="49">
        <v>45901</v>
      </c>
      <c r="H76" s="49">
        <v>46081</v>
      </c>
      <c r="I76" s="34">
        <f>VLOOKUP(B76,'26년 1월 출석표'!$B$7:$D$500,3,0)</f>
        <v>4</v>
      </c>
      <c r="J76" s="35" t="e">
        <f t="shared" ca="1" si="0"/>
        <v>#NAME?</v>
      </c>
      <c r="K76" s="36" t="str">
        <f t="shared" si="1"/>
        <v>유효</v>
      </c>
      <c r="L76" s="37" t="str">
        <f t="shared" si="2"/>
        <v/>
      </c>
      <c r="M76" s="30"/>
      <c r="N76" s="38" t="b">
        <v>0</v>
      </c>
      <c r="O76" s="38" t="b">
        <v>0</v>
      </c>
      <c r="P76" s="39">
        <f>VLOOKUP($B76,'26년 1월 출석표'!$B$2:$BQ$497,10,0)/1</f>
        <v>0</v>
      </c>
      <c r="Q76" s="40"/>
      <c r="R76" s="41">
        <f>VLOOKUP($B76,'26년 1월 출석표'!$B$2:$BQ$497,24,0)/5</f>
        <v>0.8</v>
      </c>
      <c r="S76" s="40"/>
      <c r="T76" s="41">
        <f>VLOOKUP($B76,'26년 1월 출석표'!$B$2:$BQ$497,38,0)/5</f>
        <v>0</v>
      </c>
      <c r="U76" s="40"/>
      <c r="V76" s="41">
        <f>VLOOKUP($B76,'26년 1월 출석표'!$B$2:$BQ$497,52,0)/5</f>
        <v>0</v>
      </c>
      <c r="W76" s="42"/>
      <c r="X76" s="41">
        <f>VLOOKUP($B76,'26년 1월 출석표'!$B$2:$BQ$503,66,0)/5</f>
        <v>0</v>
      </c>
      <c r="Y76" s="43"/>
    </row>
    <row r="77" spans="1:25" ht="16.5">
      <c r="A77" s="29"/>
      <c r="B77" s="30" t="s">
        <v>172</v>
      </c>
      <c r="C77" s="46" t="s">
        <v>4</v>
      </c>
      <c r="D77" s="47" t="s">
        <v>173</v>
      </c>
      <c r="E77" s="48" t="s">
        <v>34</v>
      </c>
      <c r="F77" s="49">
        <v>45903</v>
      </c>
      <c r="G77" s="49">
        <v>45901</v>
      </c>
      <c r="H77" s="49">
        <v>46262</v>
      </c>
      <c r="I77" s="34">
        <f>VLOOKUP(B77,'26년 1월 출석표'!$B$7:$D$500,3,0)</f>
        <v>4</v>
      </c>
      <c r="J77" s="35" t="e">
        <f t="shared" ca="1" si="0"/>
        <v>#NAME?</v>
      </c>
      <c r="K77" s="36" t="str">
        <f t="shared" si="1"/>
        <v>유효</v>
      </c>
      <c r="L77" s="37" t="str">
        <f t="shared" si="2"/>
        <v/>
      </c>
      <c r="M77" s="30"/>
      <c r="N77" s="38" t="b">
        <v>0</v>
      </c>
      <c r="O77" s="38" t="b">
        <v>0</v>
      </c>
      <c r="P77" s="39">
        <f>VLOOKUP($B77,'26년 1월 출석표'!$B$2:$BQ$497,10,0)/1</f>
        <v>0</v>
      </c>
      <c r="Q77" s="40"/>
      <c r="R77" s="41">
        <f>VLOOKUP($B77,'26년 1월 출석표'!$B$2:$BQ$497,24,0)/5</f>
        <v>0.8</v>
      </c>
      <c r="S77" s="40"/>
      <c r="T77" s="41">
        <f>VLOOKUP($B77,'26년 1월 출석표'!$B$2:$BQ$497,38,0)/5</f>
        <v>0</v>
      </c>
      <c r="U77" s="40"/>
      <c r="V77" s="41">
        <f>VLOOKUP($B77,'26년 1월 출석표'!$B$2:$BQ$497,52,0)/5</f>
        <v>0</v>
      </c>
      <c r="W77" s="42"/>
      <c r="X77" s="41">
        <f>VLOOKUP($B77,'26년 1월 출석표'!$B$2:$BQ$503,66,0)/5</f>
        <v>0</v>
      </c>
      <c r="Y77" s="43"/>
    </row>
    <row r="78" spans="1:25" ht="16.5">
      <c r="A78" s="29"/>
      <c r="B78" s="30" t="s">
        <v>174</v>
      </c>
      <c r="C78" s="46" t="s">
        <v>3</v>
      </c>
      <c r="D78" s="47" t="s">
        <v>175</v>
      </c>
      <c r="E78" s="48" t="s">
        <v>34</v>
      </c>
      <c r="F78" s="49">
        <v>45903</v>
      </c>
      <c r="G78" s="49">
        <v>45908</v>
      </c>
      <c r="H78" s="49">
        <v>46272</v>
      </c>
      <c r="I78" s="34">
        <f>VLOOKUP(B78,'26년 1월 출석표'!$B$7:$D$500,3,0)</f>
        <v>0</v>
      </c>
      <c r="J78" s="35" t="e">
        <f t="shared" ca="1" si="0"/>
        <v>#NAME?</v>
      </c>
      <c r="K78" s="36" t="str">
        <f t="shared" si="1"/>
        <v>유효</v>
      </c>
      <c r="L78" s="37" t="str">
        <f t="shared" si="2"/>
        <v/>
      </c>
      <c r="M78" s="30"/>
      <c r="N78" s="38" t="b">
        <v>0</v>
      </c>
      <c r="O78" s="38" t="b">
        <v>0</v>
      </c>
      <c r="P78" s="39">
        <f>VLOOKUP($B78,'26년 1월 출석표'!$B$2:$BQ$497,10,0)/1</f>
        <v>0</v>
      </c>
      <c r="Q78" s="40"/>
      <c r="R78" s="41">
        <f>VLOOKUP($B78,'26년 1월 출석표'!$B$2:$BQ$497,24,0)/5</f>
        <v>0</v>
      </c>
      <c r="S78" s="40"/>
      <c r="T78" s="41">
        <f>VLOOKUP($B78,'26년 1월 출석표'!$B$2:$BQ$497,38,0)/5</f>
        <v>0</v>
      </c>
      <c r="U78" s="40"/>
      <c r="V78" s="41">
        <f>VLOOKUP($B78,'26년 1월 출석표'!$B$2:$BQ$497,52,0)/5</f>
        <v>0</v>
      </c>
      <c r="W78" s="42"/>
      <c r="X78" s="41">
        <f>VLOOKUP($B78,'26년 1월 출석표'!$B$2:$BQ$503,66,0)/5</f>
        <v>0</v>
      </c>
      <c r="Y78" s="43"/>
    </row>
    <row r="79" spans="1:25" ht="16.5">
      <c r="A79" s="29"/>
      <c r="B79" s="30" t="s">
        <v>176</v>
      </c>
      <c r="C79" s="46" t="s">
        <v>4</v>
      </c>
      <c r="D79" s="47" t="s">
        <v>177</v>
      </c>
      <c r="E79" s="48" t="s">
        <v>34</v>
      </c>
      <c r="F79" s="49">
        <v>45903</v>
      </c>
      <c r="G79" s="49">
        <v>45992</v>
      </c>
      <c r="H79" s="49">
        <v>46356</v>
      </c>
      <c r="I79" s="34">
        <f>VLOOKUP(B79,'26년 1월 출석표'!$B$7:$D$500,3,0)</f>
        <v>0</v>
      </c>
      <c r="J79" s="35" t="e">
        <f t="shared" ca="1" si="0"/>
        <v>#NAME?</v>
      </c>
      <c r="K79" s="36" t="str">
        <f t="shared" si="1"/>
        <v>유효</v>
      </c>
      <c r="L79" s="37" t="str">
        <f t="shared" si="2"/>
        <v/>
      </c>
      <c r="M79" s="30"/>
      <c r="N79" s="38" t="b">
        <v>0</v>
      </c>
      <c r="O79" s="38" t="b">
        <v>0</v>
      </c>
      <c r="P79" s="39">
        <f>VLOOKUP($B79,'26년 1월 출석표'!$B$2:$BQ$497,10,0)/1</f>
        <v>0</v>
      </c>
      <c r="Q79" s="40"/>
      <c r="R79" s="41">
        <f>VLOOKUP($B79,'26년 1월 출석표'!$B$2:$BQ$497,24,0)/5</f>
        <v>0</v>
      </c>
      <c r="S79" s="40"/>
      <c r="T79" s="41">
        <f>VLOOKUP($B79,'26년 1월 출석표'!$B$2:$BQ$497,38,0)/5</f>
        <v>0</v>
      </c>
      <c r="U79" s="40"/>
      <c r="V79" s="41">
        <f>VLOOKUP($B79,'26년 1월 출석표'!$B$2:$BQ$497,52,0)/5</f>
        <v>0</v>
      </c>
      <c r="W79" s="42"/>
      <c r="X79" s="41">
        <f>VLOOKUP($B79,'26년 1월 출석표'!$B$2:$BQ$503,66,0)/5</f>
        <v>0</v>
      </c>
      <c r="Y79" s="43"/>
    </row>
    <row r="80" spans="1:25" ht="16.5">
      <c r="A80" s="29"/>
      <c r="B80" s="30" t="s">
        <v>178</v>
      </c>
      <c r="C80" s="46" t="s">
        <v>4</v>
      </c>
      <c r="D80" s="47" t="s">
        <v>179</v>
      </c>
      <c r="E80" s="48" t="s">
        <v>26</v>
      </c>
      <c r="F80" s="49">
        <v>45908</v>
      </c>
      <c r="G80" s="49">
        <v>45908</v>
      </c>
      <c r="H80" s="49">
        <v>46333</v>
      </c>
      <c r="I80" s="34">
        <f>VLOOKUP(B80,'26년 1월 출석표'!$B$7:$D$500,3,0)</f>
        <v>2</v>
      </c>
      <c r="J80" s="35" t="e">
        <f t="shared" ca="1" si="0"/>
        <v>#NAME?</v>
      </c>
      <c r="K80" s="36" t="str">
        <f t="shared" si="1"/>
        <v>유효</v>
      </c>
      <c r="L80" s="37" t="str">
        <f t="shared" si="2"/>
        <v/>
      </c>
      <c r="M80" s="30"/>
      <c r="N80" s="38" t="b">
        <v>0</v>
      </c>
      <c r="O80" s="38" t="b">
        <v>0</v>
      </c>
      <c r="P80" s="39">
        <f>VLOOKUP($B80,'26년 1월 출석표'!$B$2:$BQ$497,10,0)/1</f>
        <v>0</v>
      </c>
      <c r="Q80" s="40"/>
      <c r="R80" s="41">
        <f>VLOOKUP($B80,'26년 1월 출석표'!$B$2:$BQ$497,24,0)/5</f>
        <v>0.4</v>
      </c>
      <c r="S80" s="40"/>
      <c r="T80" s="41">
        <f>VLOOKUP($B80,'26년 1월 출석표'!$B$2:$BQ$497,38,0)/5</f>
        <v>0</v>
      </c>
      <c r="U80" s="40"/>
      <c r="V80" s="41">
        <f>VLOOKUP($B80,'26년 1월 출석표'!$B$2:$BQ$497,52,0)/5</f>
        <v>0</v>
      </c>
      <c r="W80" s="42"/>
      <c r="X80" s="41">
        <f>VLOOKUP($B80,'26년 1월 출석표'!$B$2:$BQ$503,66,0)/5</f>
        <v>0</v>
      </c>
      <c r="Y80" s="43"/>
    </row>
    <row r="81" spans="1:25" ht="16.5">
      <c r="A81" s="29"/>
      <c r="B81" s="30" t="s">
        <v>180</v>
      </c>
      <c r="C81" s="46" t="s">
        <v>4</v>
      </c>
      <c r="D81" s="47" t="s">
        <v>181</v>
      </c>
      <c r="E81" s="48" t="s">
        <v>26</v>
      </c>
      <c r="F81" s="49">
        <v>45915</v>
      </c>
      <c r="G81" s="49">
        <v>45917</v>
      </c>
      <c r="H81" s="49">
        <v>46304</v>
      </c>
      <c r="I81" s="34">
        <f>VLOOKUP(B81,'26년 1월 출석표'!$B$7:$D$500,3,0)</f>
        <v>3</v>
      </c>
      <c r="J81" s="35" t="e">
        <f t="shared" ca="1" si="0"/>
        <v>#NAME?</v>
      </c>
      <c r="K81" s="36" t="str">
        <f t="shared" si="1"/>
        <v>유효</v>
      </c>
      <c r="L81" s="37" t="str">
        <f t="shared" si="2"/>
        <v/>
      </c>
      <c r="M81" s="30"/>
      <c r="N81" s="38" t="b">
        <v>0</v>
      </c>
      <c r="O81" s="38" t="b">
        <v>0</v>
      </c>
      <c r="P81" s="39">
        <f>VLOOKUP($B81,'26년 1월 출석표'!$B$2:$BQ$497,10,0)/1</f>
        <v>0</v>
      </c>
      <c r="Q81" s="40"/>
      <c r="R81" s="41">
        <f>VLOOKUP($B81,'26년 1월 출석표'!$B$2:$BQ$497,24,0)/5</f>
        <v>0.6</v>
      </c>
      <c r="S81" s="40"/>
      <c r="T81" s="41">
        <f>VLOOKUP($B81,'26년 1월 출석표'!$B$2:$BQ$497,38,0)/5</f>
        <v>0</v>
      </c>
      <c r="U81" s="40"/>
      <c r="V81" s="41">
        <f>VLOOKUP($B81,'26년 1월 출석표'!$B$2:$BQ$497,52,0)/5</f>
        <v>0</v>
      </c>
      <c r="W81" s="42"/>
      <c r="X81" s="41">
        <f>VLOOKUP($B81,'26년 1월 출석표'!$B$2:$BQ$503,66,0)/5</f>
        <v>0</v>
      </c>
      <c r="Y81" s="43"/>
    </row>
    <row r="82" spans="1:25" ht="16.5">
      <c r="A82" s="29"/>
      <c r="B82" s="30" t="s">
        <v>182</v>
      </c>
      <c r="C82" s="46" t="s">
        <v>4</v>
      </c>
      <c r="D82" s="47" t="s">
        <v>183</v>
      </c>
      <c r="E82" s="48" t="s">
        <v>26</v>
      </c>
      <c r="F82" s="49">
        <v>45915</v>
      </c>
      <c r="G82" s="49">
        <v>45917</v>
      </c>
      <c r="H82" s="49">
        <v>46328</v>
      </c>
      <c r="I82" s="34">
        <f>VLOOKUP(B82,'26년 1월 출석표'!$B$7:$D$500,3,0)</f>
        <v>0</v>
      </c>
      <c r="J82" s="35" t="e">
        <f t="shared" ca="1" si="0"/>
        <v>#NAME?</v>
      </c>
      <c r="K82" s="36" t="str">
        <f t="shared" si="1"/>
        <v>유효</v>
      </c>
      <c r="L82" s="37" t="str">
        <f t="shared" si="2"/>
        <v/>
      </c>
      <c r="M82" s="30"/>
      <c r="N82" s="38" t="b">
        <v>0</v>
      </c>
      <c r="O82" s="38" t="b">
        <v>0</v>
      </c>
      <c r="P82" s="39">
        <f>VLOOKUP($B82,'26년 1월 출석표'!$B$2:$BQ$497,10,0)/1</f>
        <v>0</v>
      </c>
      <c r="Q82" s="40"/>
      <c r="R82" s="41">
        <f>VLOOKUP($B82,'26년 1월 출석표'!$B$2:$BQ$497,24,0)/5</f>
        <v>0</v>
      </c>
      <c r="S82" s="40"/>
      <c r="T82" s="41">
        <f>VLOOKUP($B82,'26년 1월 출석표'!$B$2:$BQ$497,38,0)/5</f>
        <v>0</v>
      </c>
      <c r="U82" s="40"/>
      <c r="V82" s="41">
        <f>VLOOKUP($B82,'26년 1월 출석표'!$B$2:$BQ$497,52,0)/5</f>
        <v>0</v>
      </c>
      <c r="W82" s="42"/>
      <c r="X82" s="41">
        <f>VLOOKUP($B82,'26년 1월 출석표'!$B$2:$BQ$503,66,0)/5</f>
        <v>0</v>
      </c>
      <c r="Y82" s="43"/>
    </row>
    <row r="83" spans="1:25" ht="16.5">
      <c r="A83" s="29"/>
      <c r="B83" s="30" t="s">
        <v>184</v>
      </c>
      <c r="C83" s="46" t="s">
        <v>3</v>
      </c>
      <c r="D83" s="47" t="s">
        <v>185</v>
      </c>
      <c r="E83" s="48" t="s">
        <v>186</v>
      </c>
      <c r="F83" s="49">
        <v>45917</v>
      </c>
      <c r="G83" s="49">
        <v>45943</v>
      </c>
      <c r="H83" s="49">
        <v>46368</v>
      </c>
      <c r="I83" s="34">
        <f>VLOOKUP(B83,'26년 1월 출석표'!$B$7:$D$500,3,0)</f>
        <v>0</v>
      </c>
      <c r="J83" s="35" t="e">
        <f t="shared" ca="1" si="0"/>
        <v>#NAME?</v>
      </c>
      <c r="K83" s="36" t="str">
        <f t="shared" si="1"/>
        <v>유효</v>
      </c>
      <c r="L83" s="37" t="str">
        <f t="shared" si="2"/>
        <v/>
      </c>
      <c r="M83" s="30"/>
      <c r="N83" s="38" t="b">
        <v>0</v>
      </c>
      <c r="O83" s="38" t="b">
        <v>0</v>
      </c>
      <c r="P83" s="39">
        <f>VLOOKUP($B83,'26년 1월 출석표'!$B$2:$BQ$497,10,0)/1</f>
        <v>0</v>
      </c>
      <c r="Q83" s="40"/>
      <c r="R83" s="41">
        <f>VLOOKUP($B83,'26년 1월 출석표'!$B$2:$BQ$497,24,0)/5</f>
        <v>0</v>
      </c>
      <c r="S83" s="40"/>
      <c r="T83" s="41">
        <f>VLOOKUP($B83,'26년 1월 출석표'!$B$2:$BQ$497,38,0)/5</f>
        <v>0</v>
      </c>
      <c r="U83" s="40"/>
      <c r="V83" s="41">
        <f>VLOOKUP($B83,'26년 1월 출석표'!$B$2:$BQ$497,52,0)/5</f>
        <v>0</v>
      </c>
      <c r="W83" s="42"/>
      <c r="X83" s="41">
        <f>VLOOKUP($B83,'26년 1월 출석표'!$B$2:$BQ$503,66,0)/5</f>
        <v>0</v>
      </c>
      <c r="Y83" s="43"/>
    </row>
    <row r="84" spans="1:25" ht="16.5">
      <c r="A84" s="29"/>
      <c r="B84" s="30" t="s">
        <v>187</v>
      </c>
      <c r="C84" s="46" t="s">
        <v>4</v>
      </c>
      <c r="D84" s="47" t="s">
        <v>188</v>
      </c>
      <c r="E84" s="48" t="s">
        <v>31</v>
      </c>
      <c r="F84" s="49">
        <v>45918</v>
      </c>
      <c r="G84" s="49">
        <v>45919</v>
      </c>
      <c r="H84" s="49">
        <v>46201</v>
      </c>
      <c r="I84" s="34">
        <f>VLOOKUP(B84,'26년 1월 출석표'!$B$7:$D$500,3,0)</f>
        <v>2</v>
      </c>
      <c r="J84" s="35" t="e">
        <f t="shared" ca="1" si="0"/>
        <v>#NAME?</v>
      </c>
      <c r="K84" s="36" t="str">
        <f t="shared" si="1"/>
        <v>유효</v>
      </c>
      <c r="L84" s="37" t="str">
        <f t="shared" si="2"/>
        <v/>
      </c>
      <c r="M84" s="30"/>
      <c r="N84" s="38" t="b">
        <v>0</v>
      </c>
      <c r="O84" s="38" t="b">
        <v>0</v>
      </c>
      <c r="P84" s="39">
        <f>VLOOKUP($B84,'26년 1월 출석표'!$B$2:$BQ$497,10,0)/1</f>
        <v>0</v>
      </c>
      <c r="Q84" s="40"/>
      <c r="R84" s="41">
        <f>VLOOKUP($B84,'26년 1월 출석표'!$B$2:$BQ$497,24,0)/5</f>
        <v>0.4</v>
      </c>
      <c r="S84" s="40"/>
      <c r="T84" s="41">
        <f>VLOOKUP($B84,'26년 1월 출석표'!$B$2:$BQ$497,38,0)/5</f>
        <v>0</v>
      </c>
      <c r="U84" s="40"/>
      <c r="V84" s="41">
        <f>VLOOKUP($B84,'26년 1월 출석표'!$B$2:$BQ$497,52,0)/5</f>
        <v>0</v>
      </c>
      <c r="W84" s="42"/>
      <c r="X84" s="41">
        <f>VLOOKUP($B84,'26년 1월 출석표'!$B$2:$BQ$503,66,0)/5</f>
        <v>0</v>
      </c>
      <c r="Y84" s="43"/>
    </row>
    <row r="85" spans="1:25" ht="16.5">
      <c r="A85" s="29"/>
      <c r="B85" s="30" t="s">
        <v>189</v>
      </c>
      <c r="C85" s="46" t="s">
        <v>4</v>
      </c>
      <c r="D85" s="47" t="s">
        <v>190</v>
      </c>
      <c r="E85" s="48" t="s">
        <v>31</v>
      </c>
      <c r="F85" s="49">
        <v>45918</v>
      </c>
      <c r="G85" s="49">
        <v>45919</v>
      </c>
      <c r="H85" s="49">
        <v>46208</v>
      </c>
      <c r="I85" s="34">
        <f>VLOOKUP(B85,'26년 1월 출석표'!$B$7:$D$500,3,0)</f>
        <v>0</v>
      </c>
      <c r="J85" s="35" t="e">
        <f t="shared" ca="1" si="0"/>
        <v>#NAME?</v>
      </c>
      <c r="K85" s="36" t="str">
        <f t="shared" si="1"/>
        <v>유효</v>
      </c>
      <c r="L85" s="37" t="str">
        <f t="shared" si="2"/>
        <v/>
      </c>
      <c r="M85" s="30"/>
      <c r="N85" s="38" t="b">
        <v>0</v>
      </c>
      <c r="O85" s="38" t="b">
        <v>0</v>
      </c>
      <c r="P85" s="39">
        <f>VLOOKUP($B85,'26년 1월 출석표'!$B$2:$BQ$497,10,0)/1</f>
        <v>0</v>
      </c>
      <c r="Q85" s="40"/>
      <c r="R85" s="41">
        <f>VLOOKUP($B85,'26년 1월 출석표'!$B$2:$BQ$497,24,0)/5</f>
        <v>0</v>
      </c>
      <c r="S85" s="40"/>
      <c r="T85" s="41">
        <f>VLOOKUP($B85,'26년 1월 출석표'!$B$2:$BQ$497,38,0)/5</f>
        <v>0</v>
      </c>
      <c r="U85" s="40"/>
      <c r="V85" s="41">
        <f>VLOOKUP($B85,'26년 1월 출석표'!$B$2:$BQ$497,52,0)/5</f>
        <v>0</v>
      </c>
      <c r="W85" s="42"/>
      <c r="X85" s="41">
        <f>VLOOKUP($B85,'26년 1월 출석표'!$B$2:$BQ$503,66,0)/5</f>
        <v>0</v>
      </c>
      <c r="Y85" s="43"/>
    </row>
    <row r="86" spans="1:25" ht="16.5">
      <c r="A86" s="29"/>
      <c r="B86" s="30" t="s">
        <v>191</v>
      </c>
      <c r="C86" s="46" t="s">
        <v>4</v>
      </c>
      <c r="D86" s="47" t="s">
        <v>192</v>
      </c>
      <c r="E86" s="48" t="s">
        <v>34</v>
      </c>
      <c r="F86" s="49">
        <v>45920</v>
      </c>
      <c r="G86" s="49">
        <v>45922</v>
      </c>
      <c r="H86" s="49">
        <v>46651</v>
      </c>
      <c r="I86" s="34">
        <f>VLOOKUP(B86,'26년 1월 출석표'!$B$7:$D$500,3,0)</f>
        <v>0</v>
      </c>
      <c r="J86" s="35" t="e">
        <f t="shared" ca="1" si="0"/>
        <v>#NAME?</v>
      </c>
      <c r="K86" s="36" t="str">
        <f t="shared" si="1"/>
        <v>유효</v>
      </c>
      <c r="L86" s="37" t="str">
        <f t="shared" si="2"/>
        <v/>
      </c>
      <c r="M86" s="30"/>
      <c r="N86" s="38" t="b">
        <v>0</v>
      </c>
      <c r="O86" s="38" t="b">
        <v>0</v>
      </c>
      <c r="P86" s="39">
        <f>VLOOKUP($B86,'26년 1월 출석표'!$B$2:$BQ$497,10,0)/1</f>
        <v>0</v>
      </c>
      <c r="Q86" s="40"/>
      <c r="R86" s="41">
        <f>VLOOKUP($B86,'26년 1월 출석표'!$B$2:$BQ$497,24,0)/5</f>
        <v>0</v>
      </c>
      <c r="S86" s="40"/>
      <c r="T86" s="41">
        <f>VLOOKUP($B86,'26년 1월 출석표'!$B$2:$BQ$497,38,0)/5</f>
        <v>0</v>
      </c>
      <c r="U86" s="40"/>
      <c r="V86" s="41">
        <f>VLOOKUP($B86,'26년 1월 출석표'!$B$2:$BQ$497,52,0)/5</f>
        <v>0</v>
      </c>
      <c r="W86" s="42"/>
      <c r="X86" s="41">
        <f>VLOOKUP($B86,'26년 1월 출석표'!$B$2:$BQ$503,66,0)/5</f>
        <v>0</v>
      </c>
      <c r="Y86" s="43"/>
    </row>
    <row r="87" spans="1:25" ht="16.5">
      <c r="A87" s="29"/>
      <c r="B87" s="30" t="s">
        <v>193</v>
      </c>
      <c r="C87" s="46" t="s">
        <v>4</v>
      </c>
      <c r="D87" s="47" t="s">
        <v>194</v>
      </c>
      <c r="E87" s="48" t="s">
        <v>26</v>
      </c>
      <c r="F87" s="49">
        <v>45924</v>
      </c>
      <c r="G87" s="49">
        <v>45974</v>
      </c>
      <c r="H87" s="49">
        <v>46175</v>
      </c>
      <c r="I87" s="34">
        <f>VLOOKUP(B87,'26년 1월 출석표'!$B$7:$D$500,3,0)</f>
        <v>6</v>
      </c>
      <c r="J87" s="35" t="e">
        <f t="shared" ca="1" si="0"/>
        <v>#NAME?</v>
      </c>
      <c r="K87" s="36" t="str">
        <f t="shared" si="1"/>
        <v>유효</v>
      </c>
      <c r="L87" s="37" t="str">
        <f t="shared" si="2"/>
        <v/>
      </c>
      <c r="M87" s="30"/>
      <c r="N87" s="38" t="b">
        <v>0</v>
      </c>
      <c r="O87" s="38" t="b">
        <v>0</v>
      </c>
      <c r="P87" s="39">
        <f>VLOOKUP($B87,'26년 1월 출석표'!$B$2:$BQ$497,10,0)/1</f>
        <v>1</v>
      </c>
      <c r="Q87" s="40"/>
      <c r="R87" s="41">
        <f>VLOOKUP($B87,'26년 1월 출석표'!$B$2:$BQ$497,24,0)/5</f>
        <v>0.8</v>
      </c>
      <c r="S87" s="40"/>
      <c r="T87" s="41">
        <f>VLOOKUP($B87,'26년 1월 출석표'!$B$2:$BQ$497,38,0)/5</f>
        <v>0.2</v>
      </c>
      <c r="U87" s="40"/>
      <c r="V87" s="41">
        <f>VLOOKUP($B87,'26년 1월 출석표'!$B$2:$BQ$497,52,0)/5</f>
        <v>0</v>
      </c>
      <c r="W87" s="42"/>
      <c r="X87" s="41">
        <f>VLOOKUP($B87,'26년 1월 출석표'!$B$2:$BQ$503,66,0)/5</f>
        <v>0</v>
      </c>
      <c r="Y87" s="43"/>
    </row>
    <row r="88" spans="1:25" ht="16.5">
      <c r="A88" s="29"/>
      <c r="B88" s="30" t="s">
        <v>195</v>
      </c>
      <c r="C88" s="46" t="s">
        <v>3</v>
      </c>
      <c r="D88" s="47" t="s">
        <v>196</v>
      </c>
      <c r="E88" s="48" t="s">
        <v>197</v>
      </c>
      <c r="F88" s="49">
        <v>45924</v>
      </c>
      <c r="G88" s="49">
        <v>45950</v>
      </c>
      <c r="H88" s="49">
        <v>46241</v>
      </c>
      <c r="I88" s="34">
        <f>VLOOKUP(B88,'26년 1월 출석표'!$B$7:$D$500,3,0)</f>
        <v>0</v>
      </c>
      <c r="J88" s="35" t="e">
        <f t="shared" ca="1" si="0"/>
        <v>#NAME?</v>
      </c>
      <c r="K88" s="36" t="str">
        <f t="shared" si="1"/>
        <v>유효</v>
      </c>
      <c r="L88" s="37" t="str">
        <f t="shared" si="2"/>
        <v/>
      </c>
      <c r="M88" s="30"/>
      <c r="N88" s="38" t="b">
        <v>0</v>
      </c>
      <c r="O88" s="38" t="b">
        <v>0</v>
      </c>
      <c r="P88" s="39">
        <f>VLOOKUP($B88,'26년 1월 출석표'!$B$2:$BQ$497,10,0)/1</f>
        <v>0</v>
      </c>
      <c r="Q88" s="40"/>
      <c r="R88" s="41">
        <f>VLOOKUP($B88,'26년 1월 출석표'!$B$2:$BQ$497,24,0)/5</f>
        <v>0</v>
      </c>
      <c r="S88" s="40"/>
      <c r="T88" s="41">
        <f>VLOOKUP($B88,'26년 1월 출석표'!$B$2:$BQ$497,38,0)/5</f>
        <v>0</v>
      </c>
      <c r="U88" s="40"/>
      <c r="V88" s="41">
        <f>VLOOKUP($B88,'26년 1월 출석표'!$B$2:$BQ$497,52,0)/5</f>
        <v>0</v>
      </c>
      <c r="W88" s="42"/>
      <c r="X88" s="41">
        <f>VLOOKUP($B88,'26년 1월 출석표'!$B$2:$BQ$503,66,0)/5</f>
        <v>0</v>
      </c>
      <c r="Y88" s="43"/>
    </row>
    <row r="89" spans="1:25" ht="16.5">
      <c r="A89" s="29"/>
      <c r="B89" s="30" t="s">
        <v>198</v>
      </c>
      <c r="C89" s="46" t="s">
        <v>4</v>
      </c>
      <c r="D89" s="47" t="s">
        <v>199</v>
      </c>
      <c r="E89" s="48" t="s">
        <v>57</v>
      </c>
      <c r="F89" s="49">
        <v>45925</v>
      </c>
      <c r="G89" s="49">
        <v>45945</v>
      </c>
      <c r="H89" s="49">
        <v>46097</v>
      </c>
      <c r="I89" s="34">
        <f>VLOOKUP(B89,'26년 1월 출석표'!$B$7:$D$500,3,0)</f>
        <v>0</v>
      </c>
      <c r="J89" s="35" t="e">
        <f t="shared" ca="1" si="0"/>
        <v>#NAME?</v>
      </c>
      <c r="K89" s="36" t="str">
        <f t="shared" si="1"/>
        <v>유효</v>
      </c>
      <c r="L89" s="37" t="str">
        <f t="shared" si="2"/>
        <v/>
      </c>
      <c r="M89" s="30"/>
      <c r="N89" s="38" t="b">
        <v>0</v>
      </c>
      <c r="O89" s="38" t="b">
        <v>0</v>
      </c>
      <c r="P89" s="39">
        <f>VLOOKUP($B89,'26년 1월 출석표'!$B$2:$BQ$497,10,0)/1</f>
        <v>0</v>
      </c>
      <c r="Q89" s="40"/>
      <c r="R89" s="41">
        <f>VLOOKUP($B89,'26년 1월 출석표'!$B$2:$BQ$497,24,0)/5</f>
        <v>0</v>
      </c>
      <c r="S89" s="40"/>
      <c r="T89" s="41">
        <f>VLOOKUP($B89,'26년 1월 출석표'!$B$2:$BQ$497,38,0)/5</f>
        <v>0</v>
      </c>
      <c r="U89" s="40"/>
      <c r="V89" s="41">
        <f>VLOOKUP($B89,'26년 1월 출석표'!$B$2:$BQ$497,52,0)/5</f>
        <v>0</v>
      </c>
      <c r="W89" s="42"/>
      <c r="X89" s="41">
        <f>VLOOKUP($B89,'26년 1월 출석표'!$B$2:$BQ$503,66,0)/5</f>
        <v>0</v>
      </c>
      <c r="Y89" s="43"/>
    </row>
    <row r="90" spans="1:25" ht="16.5">
      <c r="A90" s="29"/>
      <c r="B90" s="30" t="s">
        <v>200</v>
      </c>
      <c r="C90" s="46" t="s">
        <v>3</v>
      </c>
      <c r="D90" s="47" t="s">
        <v>201</v>
      </c>
      <c r="E90" s="48" t="s">
        <v>57</v>
      </c>
      <c r="F90" s="49">
        <v>45925</v>
      </c>
      <c r="G90" s="49">
        <v>45940</v>
      </c>
      <c r="H90" s="49">
        <v>46278</v>
      </c>
      <c r="I90" s="34">
        <f>VLOOKUP(B90,'26년 1월 출석표'!$B$7:$D$500,3,0)</f>
        <v>0</v>
      </c>
      <c r="J90" s="35" t="e">
        <f t="shared" ca="1" si="0"/>
        <v>#NAME?</v>
      </c>
      <c r="K90" s="36" t="str">
        <f t="shared" si="1"/>
        <v>유효</v>
      </c>
      <c r="L90" s="37" t="str">
        <f t="shared" si="2"/>
        <v/>
      </c>
      <c r="M90" s="30"/>
      <c r="N90" s="38" t="b">
        <v>0</v>
      </c>
      <c r="O90" s="38" t="b">
        <v>0</v>
      </c>
      <c r="P90" s="39">
        <f>VLOOKUP($B90,'26년 1월 출석표'!$B$2:$BQ$497,10,0)/1</f>
        <v>0</v>
      </c>
      <c r="Q90" s="40"/>
      <c r="R90" s="41">
        <f>VLOOKUP($B90,'26년 1월 출석표'!$B$2:$BQ$497,24,0)/5</f>
        <v>0</v>
      </c>
      <c r="S90" s="40"/>
      <c r="T90" s="41">
        <f>VLOOKUP($B90,'26년 1월 출석표'!$B$2:$BQ$497,38,0)/5</f>
        <v>0</v>
      </c>
      <c r="U90" s="40"/>
      <c r="V90" s="41">
        <f>VLOOKUP($B90,'26년 1월 출석표'!$B$2:$BQ$497,52,0)/5</f>
        <v>0</v>
      </c>
      <c r="W90" s="42"/>
      <c r="X90" s="41">
        <f>VLOOKUP($B90,'26년 1월 출석표'!$B$2:$BQ$503,66,0)/5</f>
        <v>0</v>
      </c>
      <c r="Y90" s="43"/>
    </row>
    <row r="91" spans="1:25" ht="16.5">
      <c r="A91" s="29"/>
      <c r="B91" s="30" t="s">
        <v>202</v>
      </c>
      <c r="C91" s="46" t="s">
        <v>4</v>
      </c>
      <c r="D91" s="47" t="s">
        <v>203</v>
      </c>
      <c r="E91" s="48" t="s">
        <v>26</v>
      </c>
      <c r="F91" s="49">
        <v>45927</v>
      </c>
      <c r="G91" s="49">
        <v>45940</v>
      </c>
      <c r="H91" s="49">
        <v>46274</v>
      </c>
      <c r="I91" s="34">
        <f>VLOOKUP(B91,'26년 1월 출석표'!$B$7:$D$500,3,0)</f>
        <v>0</v>
      </c>
      <c r="J91" s="35" t="e">
        <f t="shared" ca="1" si="0"/>
        <v>#NAME?</v>
      </c>
      <c r="K91" s="36" t="str">
        <f t="shared" si="1"/>
        <v>유효</v>
      </c>
      <c r="L91" s="37" t="str">
        <f t="shared" si="2"/>
        <v/>
      </c>
      <c r="M91" s="30"/>
      <c r="N91" s="38" t="b">
        <v>0</v>
      </c>
      <c r="O91" s="38" t="b">
        <v>0</v>
      </c>
      <c r="P91" s="39">
        <f>VLOOKUP($B91,'26년 1월 출석표'!$B$2:$BQ$497,10,0)/1</f>
        <v>0</v>
      </c>
      <c r="Q91" s="40"/>
      <c r="R91" s="41">
        <f>VLOOKUP($B91,'26년 1월 출석표'!$B$2:$BQ$497,24,0)/5</f>
        <v>0</v>
      </c>
      <c r="S91" s="40"/>
      <c r="T91" s="41">
        <f>VLOOKUP($B91,'26년 1월 출석표'!$B$2:$BQ$497,38,0)/5</f>
        <v>0</v>
      </c>
      <c r="U91" s="40"/>
      <c r="V91" s="41">
        <f>VLOOKUP($B91,'26년 1월 출석표'!$B$2:$BQ$497,52,0)/5</f>
        <v>0</v>
      </c>
      <c r="W91" s="42"/>
      <c r="X91" s="41">
        <f>VLOOKUP($B91,'26년 1월 출석표'!$B$2:$BQ$503,66,0)/5</f>
        <v>0</v>
      </c>
      <c r="Y91" s="43"/>
    </row>
    <row r="92" spans="1:25" ht="16.5">
      <c r="A92" s="29"/>
      <c r="B92" s="30" t="s">
        <v>204</v>
      </c>
      <c r="C92" s="46" t="s">
        <v>4</v>
      </c>
      <c r="D92" s="47" t="s">
        <v>205</v>
      </c>
      <c r="E92" s="48" t="s">
        <v>57</v>
      </c>
      <c r="F92" s="49">
        <v>45929</v>
      </c>
      <c r="G92" s="49">
        <v>46024</v>
      </c>
      <c r="H92" s="49">
        <v>46143</v>
      </c>
      <c r="I92" s="34">
        <f>VLOOKUP(B92,'26년 1월 출석표'!$B$7:$D$500,3,0)</f>
        <v>0</v>
      </c>
      <c r="J92" s="35" t="e">
        <f t="shared" ca="1" si="0"/>
        <v>#NAME?</v>
      </c>
      <c r="K92" s="36" t="str">
        <f t="shared" si="1"/>
        <v>유효</v>
      </c>
      <c r="L92" s="37" t="str">
        <f t="shared" si="2"/>
        <v/>
      </c>
      <c r="M92" s="30"/>
      <c r="N92" s="38" t="b">
        <v>0</v>
      </c>
      <c r="O92" s="38" t="b">
        <v>0</v>
      </c>
      <c r="P92" s="39">
        <f>VLOOKUP($B92,'26년 1월 출석표'!$B$2:$BQ$497,10,0)/1</f>
        <v>0</v>
      </c>
      <c r="Q92" s="40"/>
      <c r="R92" s="41">
        <f>VLOOKUP($B92,'26년 1월 출석표'!$B$2:$BQ$497,24,0)/5</f>
        <v>0</v>
      </c>
      <c r="S92" s="40"/>
      <c r="T92" s="41">
        <f>VLOOKUP($B92,'26년 1월 출석표'!$B$2:$BQ$497,38,0)/5</f>
        <v>0</v>
      </c>
      <c r="U92" s="40"/>
      <c r="V92" s="41">
        <f>VLOOKUP($B92,'26년 1월 출석표'!$B$2:$BQ$497,52,0)/5</f>
        <v>0</v>
      </c>
      <c r="W92" s="42"/>
      <c r="X92" s="41">
        <f>VLOOKUP($B92,'26년 1월 출석표'!$B$2:$BQ$503,66,0)/5</f>
        <v>0</v>
      </c>
      <c r="Y92" s="43"/>
    </row>
    <row r="93" spans="1:25" ht="16.5">
      <c r="A93" s="29"/>
      <c r="B93" s="30" t="s">
        <v>206</v>
      </c>
      <c r="C93" s="46" t="s">
        <v>4</v>
      </c>
      <c r="D93" s="47" t="s">
        <v>207</v>
      </c>
      <c r="E93" s="48" t="s">
        <v>26</v>
      </c>
      <c r="F93" s="49">
        <v>45930</v>
      </c>
      <c r="G93" s="49">
        <v>45930</v>
      </c>
      <c r="H93" s="49">
        <v>46337</v>
      </c>
      <c r="I93" s="34">
        <f>VLOOKUP(B93,'26년 1월 출석표'!$B$7:$D$500,3,0)</f>
        <v>3</v>
      </c>
      <c r="J93" s="35" t="e">
        <f t="shared" ca="1" si="0"/>
        <v>#NAME?</v>
      </c>
      <c r="K93" s="36" t="str">
        <f t="shared" si="1"/>
        <v>유효</v>
      </c>
      <c r="L93" s="37" t="str">
        <f t="shared" si="2"/>
        <v/>
      </c>
      <c r="M93" s="30"/>
      <c r="N93" s="38" t="b">
        <v>0</v>
      </c>
      <c r="O93" s="38" t="b">
        <v>0</v>
      </c>
      <c r="P93" s="39">
        <f>VLOOKUP($B93,'26년 1월 출석표'!$B$2:$BQ$497,10,0)/1</f>
        <v>0</v>
      </c>
      <c r="Q93" s="40"/>
      <c r="R93" s="41">
        <f>VLOOKUP($B93,'26년 1월 출석표'!$B$2:$BQ$497,24,0)/5</f>
        <v>0.4</v>
      </c>
      <c r="S93" s="40"/>
      <c r="T93" s="41">
        <f>VLOOKUP($B93,'26년 1월 출석표'!$B$2:$BQ$497,38,0)/5</f>
        <v>0.2</v>
      </c>
      <c r="U93" s="40"/>
      <c r="V93" s="41">
        <f>VLOOKUP($B93,'26년 1월 출석표'!$B$2:$BQ$497,52,0)/5</f>
        <v>0</v>
      </c>
      <c r="W93" s="42"/>
      <c r="X93" s="41">
        <f>VLOOKUP($B93,'26년 1월 출석표'!$B$2:$BQ$503,66,0)/5</f>
        <v>0</v>
      </c>
      <c r="Y93" s="43"/>
    </row>
    <row r="94" spans="1:25" ht="16.5">
      <c r="A94" s="29"/>
      <c r="B94" s="30" t="s">
        <v>208</v>
      </c>
      <c r="C94" s="46" t="s">
        <v>4</v>
      </c>
      <c r="D94" s="47" t="s">
        <v>209</v>
      </c>
      <c r="E94" s="48" t="s">
        <v>26</v>
      </c>
      <c r="F94" s="49">
        <v>45934</v>
      </c>
      <c r="G94" s="49">
        <v>45940</v>
      </c>
      <c r="H94" s="49">
        <v>46121</v>
      </c>
      <c r="I94" s="34">
        <f>VLOOKUP(B94,'26년 1월 출석표'!$B$7:$D$500,3,0)</f>
        <v>5</v>
      </c>
      <c r="J94" s="35" t="e">
        <f t="shared" ca="1" si="0"/>
        <v>#NAME?</v>
      </c>
      <c r="K94" s="36" t="str">
        <f t="shared" si="1"/>
        <v>유효</v>
      </c>
      <c r="L94" s="37" t="str">
        <f t="shared" si="2"/>
        <v/>
      </c>
      <c r="M94" s="30"/>
      <c r="N94" s="38" t="b">
        <v>0</v>
      </c>
      <c r="O94" s="38" t="b">
        <v>0</v>
      </c>
      <c r="P94" s="39">
        <f>VLOOKUP($B94,'26년 1월 출석표'!$B$2:$BQ$497,10,0)/1</f>
        <v>1</v>
      </c>
      <c r="Q94" s="40"/>
      <c r="R94" s="41">
        <f>VLOOKUP($B94,'26년 1월 출석표'!$B$2:$BQ$497,24,0)/5</f>
        <v>0.8</v>
      </c>
      <c r="S94" s="40"/>
      <c r="T94" s="41">
        <f>VLOOKUP($B94,'26년 1월 출석표'!$B$2:$BQ$497,38,0)/5</f>
        <v>0</v>
      </c>
      <c r="U94" s="40"/>
      <c r="V94" s="41">
        <f>VLOOKUP($B94,'26년 1월 출석표'!$B$2:$BQ$497,52,0)/5</f>
        <v>0</v>
      </c>
      <c r="W94" s="42"/>
      <c r="X94" s="41">
        <f>VLOOKUP($B94,'26년 1월 출석표'!$B$2:$BQ$503,66,0)/5</f>
        <v>0</v>
      </c>
      <c r="Y94" s="43"/>
    </row>
    <row r="95" spans="1:25" ht="16.5">
      <c r="A95" s="29"/>
      <c r="B95" s="30" t="s">
        <v>210</v>
      </c>
      <c r="C95" s="46" t="s">
        <v>4</v>
      </c>
      <c r="D95" s="47" t="s">
        <v>211</v>
      </c>
      <c r="E95" s="48" t="s">
        <v>31</v>
      </c>
      <c r="F95" s="49">
        <v>45937</v>
      </c>
      <c r="G95" s="49">
        <v>45940</v>
      </c>
      <c r="H95" s="49">
        <v>46212</v>
      </c>
      <c r="I95" s="34">
        <f>VLOOKUP(B95,'26년 1월 출석표'!$B$7:$D$500,3,0)</f>
        <v>0</v>
      </c>
      <c r="J95" s="35" t="e">
        <f t="shared" ca="1" si="0"/>
        <v>#NAME?</v>
      </c>
      <c r="K95" s="36" t="str">
        <f t="shared" si="1"/>
        <v>유효</v>
      </c>
      <c r="L95" s="37" t="str">
        <f t="shared" si="2"/>
        <v/>
      </c>
      <c r="M95" s="30"/>
      <c r="N95" s="38" t="b">
        <v>0</v>
      </c>
      <c r="O95" s="38" t="b">
        <v>0</v>
      </c>
      <c r="P95" s="39">
        <f>VLOOKUP($B95,'26년 1월 출석표'!$B$2:$BQ$497,10,0)/1</f>
        <v>0</v>
      </c>
      <c r="Q95" s="40"/>
      <c r="R95" s="41">
        <f>VLOOKUP($B95,'26년 1월 출석표'!$B$2:$BQ$497,24,0)/5</f>
        <v>0</v>
      </c>
      <c r="S95" s="40"/>
      <c r="T95" s="41">
        <f>VLOOKUP($B95,'26년 1월 출석표'!$B$2:$BQ$497,38,0)/5</f>
        <v>0</v>
      </c>
      <c r="U95" s="40"/>
      <c r="V95" s="41">
        <f>VLOOKUP($B95,'26년 1월 출석표'!$B$2:$BQ$497,52,0)/5</f>
        <v>0</v>
      </c>
      <c r="W95" s="42"/>
      <c r="X95" s="41">
        <f>VLOOKUP($B95,'26년 1월 출석표'!$B$2:$BQ$503,66,0)/5</f>
        <v>0</v>
      </c>
      <c r="Y95" s="43"/>
    </row>
    <row r="96" spans="1:25" ht="16.5">
      <c r="A96" s="29"/>
      <c r="B96" s="30" t="s">
        <v>212</v>
      </c>
      <c r="C96" s="46" t="s">
        <v>4</v>
      </c>
      <c r="D96" s="47" t="s">
        <v>213</v>
      </c>
      <c r="E96" s="48" t="s">
        <v>34</v>
      </c>
      <c r="F96" s="49">
        <v>45939</v>
      </c>
      <c r="G96" s="49">
        <v>45950</v>
      </c>
      <c r="H96" s="49">
        <v>46314</v>
      </c>
      <c r="I96" s="34">
        <f>VLOOKUP(B96,'26년 1월 출석표'!$B$7:$D$500,3,0)</f>
        <v>0</v>
      </c>
      <c r="J96" s="35" t="e">
        <f t="shared" ca="1" si="0"/>
        <v>#NAME?</v>
      </c>
      <c r="K96" s="36" t="str">
        <f t="shared" si="1"/>
        <v>유효</v>
      </c>
      <c r="L96" s="37" t="str">
        <f t="shared" si="2"/>
        <v/>
      </c>
      <c r="M96" s="30"/>
      <c r="N96" s="38" t="b">
        <v>0</v>
      </c>
      <c r="O96" s="38" t="b">
        <v>0</v>
      </c>
      <c r="P96" s="39">
        <f>VLOOKUP($B96,'26년 1월 출석표'!$B$2:$BQ$497,10,0)/1</f>
        <v>0</v>
      </c>
      <c r="Q96" s="40"/>
      <c r="R96" s="41">
        <f>VLOOKUP($B96,'26년 1월 출석표'!$B$2:$BQ$497,24,0)/5</f>
        <v>0</v>
      </c>
      <c r="S96" s="40"/>
      <c r="T96" s="41">
        <f>VLOOKUP($B96,'26년 1월 출석표'!$B$2:$BQ$497,38,0)/5</f>
        <v>0</v>
      </c>
      <c r="U96" s="40"/>
      <c r="V96" s="41">
        <f>VLOOKUP($B96,'26년 1월 출석표'!$B$2:$BQ$497,52,0)/5</f>
        <v>0</v>
      </c>
      <c r="W96" s="42"/>
      <c r="X96" s="41">
        <f>VLOOKUP($B96,'26년 1월 출석표'!$B$2:$BQ$503,66,0)/5</f>
        <v>0</v>
      </c>
      <c r="Y96" s="43"/>
    </row>
    <row r="97" spans="1:25" ht="16.5">
      <c r="A97" s="29"/>
      <c r="B97" s="30" t="s">
        <v>214</v>
      </c>
      <c r="C97" s="46" t="s">
        <v>3</v>
      </c>
      <c r="D97" s="47" t="s">
        <v>215</v>
      </c>
      <c r="E97" s="48" t="s">
        <v>26</v>
      </c>
      <c r="F97" s="49">
        <v>45941</v>
      </c>
      <c r="G97" s="49">
        <v>45943</v>
      </c>
      <c r="H97" s="49">
        <v>46338</v>
      </c>
      <c r="I97" s="34">
        <f>VLOOKUP(B97,'26년 1월 출석표'!$B$7:$D$500,3,0)</f>
        <v>2</v>
      </c>
      <c r="J97" s="35" t="e">
        <f t="shared" ca="1" si="0"/>
        <v>#NAME?</v>
      </c>
      <c r="K97" s="36" t="str">
        <f t="shared" si="1"/>
        <v>유효</v>
      </c>
      <c r="L97" s="37" t="str">
        <f t="shared" si="2"/>
        <v/>
      </c>
      <c r="M97" s="30"/>
      <c r="N97" s="38" t="b">
        <v>0</v>
      </c>
      <c r="O97" s="38" t="b">
        <v>0</v>
      </c>
      <c r="P97" s="39">
        <f>VLOOKUP($B97,'26년 1월 출석표'!$B$2:$BQ$497,10,0)/1</f>
        <v>0</v>
      </c>
      <c r="Q97" s="40"/>
      <c r="R97" s="41">
        <f>VLOOKUP($B97,'26년 1월 출석표'!$B$2:$BQ$497,24,0)/5</f>
        <v>0.4</v>
      </c>
      <c r="S97" s="40"/>
      <c r="T97" s="41">
        <f>VLOOKUP($B97,'26년 1월 출석표'!$B$2:$BQ$497,38,0)/5</f>
        <v>0</v>
      </c>
      <c r="U97" s="40"/>
      <c r="V97" s="41">
        <f>VLOOKUP($B97,'26년 1월 출석표'!$B$2:$BQ$497,52,0)/5</f>
        <v>0</v>
      </c>
      <c r="W97" s="42"/>
      <c r="X97" s="41">
        <f>VLOOKUP($B97,'26년 1월 출석표'!$B$2:$BQ$503,66,0)/5</f>
        <v>0</v>
      </c>
      <c r="Y97" s="43"/>
    </row>
    <row r="98" spans="1:25" ht="16.5">
      <c r="A98" s="29"/>
      <c r="B98" s="30" t="s">
        <v>216</v>
      </c>
      <c r="C98" s="46" t="s">
        <v>4</v>
      </c>
      <c r="D98" s="47" t="s">
        <v>217</v>
      </c>
      <c r="E98" s="48" t="s">
        <v>31</v>
      </c>
      <c r="F98" s="49">
        <v>45943</v>
      </c>
      <c r="G98" s="49">
        <v>45976</v>
      </c>
      <c r="H98" s="49">
        <v>46279</v>
      </c>
      <c r="I98" s="34">
        <f>VLOOKUP(B98,'26년 1월 출석표'!$B$7:$D$500,3,0)</f>
        <v>0</v>
      </c>
      <c r="J98" s="35" t="e">
        <f t="shared" ca="1" si="0"/>
        <v>#NAME?</v>
      </c>
      <c r="K98" s="36" t="str">
        <f t="shared" si="1"/>
        <v>유효</v>
      </c>
      <c r="L98" s="37" t="str">
        <f t="shared" si="2"/>
        <v/>
      </c>
      <c r="M98" s="30"/>
      <c r="N98" s="38" t="b">
        <v>0</v>
      </c>
      <c r="O98" s="38" t="b">
        <v>0</v>
      </c>
      <c r="P98" s="39">
        <f>VLOOKUP($B98,'26년 1월 출석표'!$B$2:$BQ$497,10,0)/1</f>
        <v>0</v>
      </c>
      <c r="Q98" s="40"/>
      <c r="R98" s="41">
        <f>VLOOKUP($B98,'26년 1월 출석표'!$B$2:$BQ$497,24,0)/5</f>
        <v>0</v>
      </c>
      <c r="S98" s="40"/>
      <c r="T98" s="41">
        <f>VLOOKUP($B98,'26년 1월 출석표'!$B$2:$BQ$497,38,0)/5</f>
        <v>0</v>
      </c>
      <c r="U98" s="40"/>
      <c r="V98" s="41">
        <f>VLOOKUP($B98,'26년 1월 출석표'!$B$2:$BQ$497,52,0)/5</f>
        <v>0</v>
      </c>
      <c r="W98" s="42"/>
      <c r="X98" s="41">
        <f>VLOOKUP($B98,'26년 1월 출석표'!$B$2:$BQ$503,66,0)/5</f>
        <v>0</v>
      </c>
      <c r="Y98" s="43"/>
    </row>
    <row r="99" spans="1:25" ht="16.5">
      <c r="A99" s="29"/>
      <c r="B99" s="30" t="s">
        <v>218</v>
      </c>
      <c r="C99" s="46" t="s">
        <v>4</v>
      </c>
      <c r="D99" s="47" t="s">
        <v>219</v>
      </c>
      <c r="E99" s="48" t="s">
        <v>26</v>
      </c>
      <c r="F99" s="49">
        <v>45943</v>
      </c>
      <c r="G99" s="49">
        <v>45943</v>
      </c>
      <c r="H99" s="49">
        <v>46370</v>
      </c>
      <c r="I99" s="34">
        <f>VLOOKUP(B99,'26년 1월 출석표'!$B$7:$D$500,3,0)</f>
        <v>0</v>
      </c>
      <c r="J99" s="35" t="e">
        <f t="shared" ca="1" si="0"/>
        <v>#NAME?</v>
      </c>
      <c r="K99" s="36" t="str">
        <f t="shared" si="1"/>
        <v>유효</v>
      </c>
      <c r="L99" s="37" t="str">
        <f t="shared" si="2"/>
        <v/>
      </c>
      <c r="M99" s="30"/>
      <c r="N99" s="38" t="b">
        <v>0</v>
      </c>
      <c r="O99" s="38" t="b">
        <v>0</v>
      </c>
      <c r="P99" s="39">
        <f>VLOOKUP($B99,'26년 1월 출석표'!$B$2:$BQ$497,10,0)/1</f>
        <v>0</v>
      </c>
      <c r="Q99" s="40"/>
      <c r="R99" s="41">
        <f>VLOOKUP($B99,'26년 1월 출석표'!$B$2:$BQ$497,24,0)/5</f>
        <v>0</v>
      </c>
      <c r="S99" s="40"/>
      <c r="T99" s="41">
        <f>VLOOKUP($B99,'26년 1월 출석표'!$B$2:$BQ$497,38,0)/5</f>
        <v>0</v>
      </c>
      <c r="U99" s="40"/>
      <c r="V99" s="41">
        <f>VLOOKUP($B99,'26년 1월 출석표'!$B$2:$BQ$497,52,0)/5</f>
        <v>0</v>
      </c>
      <c r="W99" s="42"/>
      <c r="X99" s="41">
        <f>VLOOKUP($B99,'26년 1월 출석표'!$B$2:$BQ$503,66,0)/5</f>
        <v>0</v>
      </c>
      <c r="Y99" s="43"/>
    </row>
    <row r="100" spans="1:25" ht="16.5">
      <c r="A100" s="29"/>
      <c r="B100" s="30" t="s">
        <v>220</v>
      </c>
      <c r="C100" s="46" t="s">
        <v>4</v>
      </c>
      <c r="D100" s="47" t="s">
        <v>221</v>
      </c>
      <c r="E100" s="48" t="s">
        <v>31</v>
      </c>
      <c r="F100" s="49">
        <v>45943</v>
      </c>
      <c r="G100" s="49">
        <v>45952</v>
      </c>
      <c r="H100" s="49">
        <v>46383</v>
      </c>
      <c r="I100" s="34">
        <f>VLOOKUP(B100,'26년 1월 출석표'!$B$7:$D$500,3,0)</f>
        <v>0</v>
      </c>
      <c r="J100" s="35" t="e">
        <f t="shared" ca="1" si="0"/>
        <v>#NAME?</v>
      </c>
      <c r="K100" s="36" t="str">
        <f t="shared" si="1"/>
        <v>유효</v>
      </c>
      <c r="L100" s="37" t="str">
        <f t="shared" si="2"/>
        <v/>
      </c>
      <c r="M100" s="30"/>
      <c r="N100" s="38" t="b">
        <v>0</v>
      </c>
      <c r="O100" s="38" t="b">
        <v>0</v>
      </c>
      <c r="P100" s="39">
        <f>VLOOKUP($B100,'26년 1월 출석표'!$B$2:$BQ$497,10,0)/1</f>
        <v>0</v>
      </c>
      <c r="Q100" s="40"/>
      <c r="R100" s="41">
        <f>VLOOKUP($B100,'26년 1월 출석표'!$B$2:$BQ$497,24,0)/5</f>
        <v>0</v>
      </c>
      <c r="S100" s="40"/>
      <c r="T100" s="41">
        <f>VLOOKUP($B100,'26년 1월 출석표'!$B$2:$BQ$497,38,0)/5</f>
        <v>0</v>
      </c>
      <c r="U100" s="40"/>
      <c r="V100" s="41">
        <f>VLOOKUP($B100,'26년 1월 출석표'!$B$2:$BQ$497,52,0)/5</f>
        <v>0</v>
      </c>
      <c r="W100" s="42"/>
      <c r="X100" s="41">
        <f>VLOOKUP($B100,'26년 1월 출석표'!$B$2:$BQ$503,66,0)/5</f>
        <v>0</v>
      </c>
      <c r="Y100" s="43"/>
    </row>
    <row r="101" spans="1:25" ht="16.5">
      <c r="A101" s="29"/>
      <c r="B101" s="30" t="s">
        <v>222</v>
      </c>
      <c r="C101" s="46" t="s">
        <v>4</v>
      </c>
      <c r="D101" s="47" t="s">
        <v>223</v>
      </c>
      <c r="E101" s="48" t="s">
        <v>26</v>
      </c>
      <c r="F101" s="49">
        <v>45944</v>
      </c>
      <c r="G101" s="49">
        <v>45944</v>
      </c>
      <c r="H101" s="49">
        <v>46125</v>
      </c>
      <c r="I101" s="34">
        <f>VLOOKUP(B101,'26년 1월 출석표'!$B$7:$D$500,3,0)</f>
        <v>1</v>
      </c>
      <c r="J101" s="35" t="e">
        <f t="shared" ca="1" si="0"/>
        <v>#NAME?</v>
      </c>
      <c r="K101" s="36" t="str">
        <f t="shared" si="1"/>
        <v>유효</v>
      </c>
      <c r="L101" s="37" t="str">
        <f t="shared" si="2"/>
        <v/>
      </c>
      <c r="M101" s="30"/>
      <c r="N101" s="38" t="b">
        <v>0</v>
      </c>
      <c r="O101" s="38" t="b">
        <v>0</v>
      </c>
      <c r="P101" s="39">
        <f>VLOOKUP($B101,'26년 1월 출석표'!$B$2:$BQ$497,10,0)/1</f>
        <v>0</v>
      </c>
      <c r="Q101" s="40"/>
      <c r="R101" s="41">
        <f>VLOOKUP($B101,'26년 1월 출석표'!$B$2:$BQ$497,24,0)/5</f>
        <v>0</v>
      </c>
      <c r="S101" s="40"/>
      <c r="T101" s="41">
        <f>VLOOKUP($B101,'26년 1월 출석표'!$B$2:$BQ$497,38,0)/5</f>
        <v>0.2</v>
      </c>
      <c r="U101" s="40"/>
      <c r="V101" s="41">
        <f>VLOOKUP($B101,'26년 1월 출석표'!$B$2:$BQ$497,52,0)/5</f>
        <v>0</v>
      </c>
      <c r="W101" s="42"/>
      <c r="X101" s="41">
        <f>VLOOKUP($B101,'26년 1월 출석표'!$B$2:$BQ$503,66,0)/5</f>
        <v>0</v>
      </c>
      <c r="Y101" s="43"/>
    </row>
    <row r="102" spans="1:25" ht="16.5">
      <c r="A102" s="29"/>
      <c r="B102" s="30" t="s">
        <v>224</v>
      </c>
      <c r="C102" s="46" t="s">
        <v>4</v>
      </c>
      <c r="D102" s="47" t="s">
        <v>225</v>
      </c>
      <c r="E102" s="48" t="s">
        <v>34</v>
      </c>
      <c r="F102" s="49">
        <v>45945</v>
      </c>
      <c r="G102" s="49">
        <v>45946</v>
      </c>
      <c r="H102" s="49">
        <v>46310</v>
      </c>
      <c r="I102" s="34">
        <f>VLOOKUP(B102,'26년 1월 출석표'!$B$7:$D$500,3,0)</f>
        <v>4</v>
      </c>
      <c r="J102" s="35" t="e">
        <f t="shared" ca="1" si="0"/>
        <v>#NAME?</v>
      </c>
      <c r="K102" s="36" t="str">
        <f t="shared" si="1"/>
        <v>유효</v>
      </c>
      <c r="L102" s="37" t="str">
        <f t="shared" si="2"/>
        <v/>
      </c>
      <c r="M102" s="30"/>
      <c r="N102" s="38" t="b">
        <v>0</v>
      </c>
      <c r="O102" s="38" t="b">
        <v>0</v>
      </c>
      <c r="P102" s="39">
        <f>VLOOKUP($B102,'26년 1월 출석표'!$B$2:$BQ$497,10,0)/1</f>
        <v>1</v>
      </c>
      <c r="Q102" s="40"/>
      <c r="R102" s="41">
        <f>VLOOKUP($B102,'26년 1월 출석표'!$B$2:$BQ$497,24,0)/5</f>
        <v>0.4</v>
      </c>
      <c r="S102" s="40"/>
      <c r="T102" s="41">
        <f>VLOOKUP($B102,'26년 1월 출석표'!$B$2:$BQ$497,38,0)/5</f>
        <v>0.2</v>
      </c>
      <c r="U102" s="40"/>
      <c r="V102" s="41">
        <f>VLOOKUP($B102,'26년 1월 출석표'!$B$2:$BQ$497,52,0)/5</f>
        <v>0</v>
      </c>
      <c r="W102" s="42"/>
      <c r="X102" s="41">
        <f>VLOOKUP($B102,'26년 1월 출석표'!$B$2:$BQ$503,66,0)/5</f>
        <v>0</v>
      </c>
      <c r="Y102" s="43"/>
    </row>
    <row r="103" spans="1:25" ht="16.5">
      <c r="A103" s="29"/>
      <c r="B103" s="30" t="s">
        <v>226</v>
      </c>
      <c r="C103" s="46" t="s">
        <v>4</v>
      </c>
      <c r="D103" s="47" t="s">
        <v>227</v>
      </c>
      <c r="E103" s="48" t="s">
        <v>34</v>
      </c>
      <c r="F103" s="49">
        <v>45948</v>
      </c>
      <c r="G103" s="49">
        <v>45950</v>
      </c>
      <c r="H103" s="49">
        <v>46314</v>
      </c>
      <c r="I103" s="34">
        <f>VLOOKUP(B103,'26년 1월 출석표'!$B$7:$D$500,3,0)</f>
        <v>1</v>
      </c>
      <c r="J103" s="35" t="e">
        <f t="shared" ca="1" si="0"/>
        <v>#NAME?</v>
      </c>
      <c r="K103" s="36" t="str">
        <f t="shared" si="1"/>
        <v>유효</v>
      </c>
      <c r="L103" s="37" t="str">
        <f t="shared" si="2"/>
        <v/>
      </c>
      <c r="M103" s="30"/>
      <c r="N103" s="38" t="b">
        <v>0</v>
      </c>
      <c r="O103" s="38" t="b">
        <v>0</v>
      </c>
      <c r="P103" s="39">
        <f>VLOOKUP($B103,'26년 1월 출석표'!$B$2:$BQ$497,10,0)/1</f>
        <v>1</v>
      </c>
      <c r="Q103" s="40"/>
      <c r="R103" s="41">
        <f>VLOOKUP($B103,'26년 1월 출석표'!$B$2:$BQ$497,24,0)/5</f>
        <v>0</v>
      </c>
      <c r="S103" s="40"/>
      <c r="T103" s="41">
        <f>VLOOKUP($B103,'26년 1월 출석표'!$B$2:$BQ$497,38,0)/5</f>
        <v>0</v>
      </c>
      <c r="U103" s="40"/>
      <c r="V103" s="41">
        <f>VLOOKUP($B103,'26년 1월 출석표'!$B$2:$BQ$497,52,0)/5</f>
        <v>0</v>
      </c>
      <c r="W103" s="42"/>
      <c r="X103" s="41">
        <f>VLOOKUP($B103,'26년 1월 출석표'!$B$2:$BQ$503,66,0)/5</f>
        <v>0</v>
      </c>
      <c r="Y103" s="43"/>
    </row>
    <row r="104" spans="1:25" ht="16.5">
      <c r="A104" s="29"/>
      <c r="B104" s="30" t="s">
        <v>228</v>
      </c>
      <c r="C104" s="46" t="s">
        <v>4</v>
      </c>
      <c r="D104" s="47" t="s">
        <v>229</v>
      </c>
      <c r="E104" s="48" t="s">
        <v>26</v>
      </c>
      <c r="F104" s="49">
        <v>45950</v>
      </c>
      <c r="G104" s="49">
        <v>45951</v>
      </c>
      <c r="H104" s="49">
        <v>46163</v>
      </c>
      <c r="I104" s="34">
        <f>VLOOKUP(B104,'26년 1월 출석표'!$B$7:$D$500,3,0)</f>
        <v>0</v>
      </c>
      <c r="J104" s="35" t="e">
        <f t="shared" ca="1" si="0"/>
        <v>#NAME?</v>
      </c>
      <c r="K104" s="36" t="str">
        <f t="shared" si="1"/>
        <v>유효</v>
      </c>
      <c r="L104" s="37" t="str">
        <f t="shared" si="2"/>
        <v/>
      </c>
      <c r="M104" s="30"/>
      <c r="N104" s="38" t="b">
        <v>0</v>
      </c>
      <c r="O104" s="38" t="b">
        <v>0</v>
      </c>
      <c r="P104" s="39">
        <f>VLOOKUP($B104,'26년 1월 출석표'!$B$2:$BQ$497,10,0)/1</f>
        <v>0</v>
      </c>
      <c r="Q104" s="40"/>
      <c r="R104" s="41">
        <f>VLOOKUP($B104,'26년 1월 출석표'!$B$2:$BQ$497,24,0)/5</f>
        <v>0.2</v>
      </c>
      <c r="S104" s="40"/>
      <c r="T104" s="41">
        <f>VLOOKUP($B104,'26년 1월 출석표'!$B$2:$BQ$497,38,0)/5</f>
        <v>0.2</v>
      </c>
      <c r="U104" s="40"/>
      <c r="V104" s="41">
        <f>VLOOKUP($B104,'26년 1월 출석표'!$B$2:$BQ$497,52,0)/5</f>
        <v>0</v>
      </c>
      <c r="W104" s="42"/>
      <c r="X104" s="41">
        <f>VLOOKUP($B104,'26년 1월 출석표'!$B$2:$BQ$503,66,0)/5</f>
        <v>0</v>
      </c>
      <c r="Y104" s="43"/>
    </row>
    <row r="105" spans="1:25" ht="16.5">
      <c r="A105" s="29"/>
      <c r="B105" s="30" t="s">
        <v>230</v>
      </c>
      <c r="C105" s="46" t="s">
        <v>3</v>
      </c>
      <c r="D105" s="47" t="s">
        <v>231</v>
      </c>
      <c r="E105" s="48" t="s">
        <v>31</v>
      </c>
      <c r="F105" s="49">
        <v>45950</v>
      </c>
      <c r="G105" s="49">
        <v>45951</v>
      </c>
      <c r="H105" s="49">
        <v>46223</v>
      </c>
      <c r="I105" s="34">
        <f>VLOOKUP(B105,'26년 1월 출석표'!$B$7:$D$500,3,0)</f>
        <v>0</v>
      </c>
      <c r="J105" s="35" t="e">
        <f t="shared" ca="1" si="0"/>
        <v>#NAME?</v>
      </c>
      <c r="K105" s="36" t="str">
        <f t="shared" si="1"/>
        <v>유효</v>
      </c>
      <c r="L105" s="37" t="str">
        <f t="shared" si="2"/>
        <v/>
      </c>
      <c r="M105" s="30"/>
      <c r="N105" s="38" t="b">
        <v>0</v>
      </c>
      <c r="O105" s="38" t="b">
        <v>0</v>
      </c>
      <c r="P105" s="39">
        <f>VLOOKUP($B105,'26년 1월 출석표'!$B$2:$BQ$497,10,0)/1</f>
        <v>0</v>
      </c>
      <c r="Q105" s="40"/>
      <c r="R105" s="41">
        <f>VLOOKUP($B105,'26년 1월 출석표'!$B$2:$BQ$497,24,0)/5</f>
        <v>0</v>
      </c>
      <c r="S105" s="40"/>
      <c r="T105" s="41">
        <f>VLOOKUP($B105,'26년 1월 출석표'!$B$2:$BQ$497,38,0)/5</f>
        <v>0</v>
      </c>
      <c r="U105" s="40"/>
      <c r="V105" s="41">
        <f>VLOOKUP($B105,'26년 1월 출석표'!$B$2:$BQ$497,52,0)/5</f>
        <v>0</v>
      </c>
      <c r="W105" s="42"/>
      <c r="X105" s="41">
        <f>VLOOKUP($B105,'26년 1월 출석표'!$B$2:$BQ$503,66,0)/5</f>
        <v>0</v>
      </c>
      <c r="Y105" s="43"/>
    </row>
    <row r="106" spans="1:25" ht="16.5">
      <c r="A106" s="29"/>
      <c r="B106" s="30" t="s">
        <v>232</v>
      </c>
      <c r="C106" s="46" t="s">
        <v>4</v>
      </c>
      <c r="D106" s="47" t="s">
        <v>233</v>
      </c>
      <c r="E106" s="48" t="s">
        <v>26</v>
      </c>
      <c r="F106" s="49">
        <v>45953</v>
      </c>
      <c r="G106" s="49">
        <v>45957</v>
      </c>
      <c r="H106" s="49">
        <v>46138</v>
      </c>
      <c r="I106" s="34">
        <f>VLOOKUP(B106,'26년 1월 출석표'!$B$7:$D$500,3,0)</f>
        <v>5</v>
      </c>
      <c r="J106" s="35" t="e">
        <f t="shared" ca="1" si="0"/>
        <v>#NAME?</v>
      </c>
      <c r="K106" s="36" t="str">
        <f t="shared" si="1"/>
        <v>유효</v>
      </c>
      <c r="L106" s="37" t="str">
        <f t="shared" si="2"/>
        <v/>
      </c>
      <c r="M106" s="30"/>
      <c r="N106" s="38" t="b">
        <v>0</v>
      </c>
      <c r="O106" s="38" t="b">
        <v>0</v>
      </c>
      <c r="P106" s="39">
        <f>VLOOKUP($B106,'26년 1월 출석표'!$B$2:$BQ$497,10,0)/1</f>
        <v>1</v>
      </c>
      <c r="Q106" s="40"/>
      <c r="R106" s="41">
        <f>VLOOKUP($B106,'26년 1월 출석표'!$B$2:$BQ$497,24,0)/5</f>
        <v>0.6</v>
      </c>
      <c r="S106" s="40"/>
      <c r="T106" s="41">
        <f>VLOOKUP($B106,'26년 1월 출석표'!$B$2:$BQ$497,38,0)/5</f>
        <v>0.2</v>
      </c>
      <c r="U106" s="40"/>
      <c r="V106" s="41">
        <f>VLOOKUP($B106,'26년 1월 출석표'!$B$2:$BQ$497,52,0)/5</f>
        <v>0</v>
      </c>
      <c r="W106" s="42"/>
      <c r="X106" s="41">
        <f>VLOOKUP($B106,'26년 1월 출석표'!$B$2:$BQ$503,66,0)/5</f>
        <v>0</v>
      </c>
      <c r="Y106" s="43"/>
    </row>
    <row r="107" spans="1:25" ht="16.5">
      <c r="A107" s="29"/>
      <c r="B107" s="30" t="s">
        <v>234</v>
      </c>
      <c r="C107" s="46" t="s">
        <v>4</v>
      </c>
      <c r="D107" s="47" t="s">
        <v>235</v>
      </c>
      <c r="E107" s="48" t="s">
        <v>31</v>
      </c>
      <c r="F107" s="49">
        <v>45954</v>
      </c>
      <c r="G107" s="49">
        <v>45957</v>
      </c>
      <c r="H107" s="49">
        <v>46321</v>
      </c>
      <c r="I107" s="34">
        <f>VLOOKUP(B107,'26년 1월 출석표'!$B$7:$D$500,3,0)</f>
        <v>7</v>
      </c>
      <c r="J107" s="35" t="e">
        <f t="shared" ca="1" si="0"/>
        <v>#NAME?</v>
      </c>
      <c r="K107" s="36" t="str">
        <f t="shared" si="1"/>
        <v>유효</v>
      </c>
      <c r="L107" s="37" t="str">
        <f t="shared" si="2"/>
        <v/>
      </c>
      <c r="M107" s="30"/>
      <c r="N107" s="38" t="b">
        <v>0</v>
      </c>
      <c r="O107" s="38" t="b">
        <v>0</v>
      </c>
      <c r="P107" s="39">
        <f>VLOOKUP($B107,'26년 1월 출석표'!$B$2:$BQ$497,10,0)/1</f>
        <v>1</v>
      </c>
      <c r="Q107" s="40"/>
      <c r="R107" s="41">
        <f>VLOOKUP($B107,'26년 1월 출석표'!$B$2:$BQ$497,24,0)/5</f>
        <v>1</v>
      </c>
      <c r="S107" s="40"/>
      <c r="T107" s="41">
        <f>VLOOKUP($B107,'26년 1월 출석표'!$B$2:$BQ$497,38,0)/5</f>
        <v>0.2</v>
      </c>
      <c r="U107" s="40"/>
      <c r="V107" s="41">
        <f>VLOOKUP($B107,'26년 1월 출석표'!$B$2:$BQ$497,52,0)/5</f>
        <v>0</v>
      </c>
      <c r="W107" s="42"/>
      <c r="X107" s="41">
        <f>VLOOKUP($B107,'26년 1월 출석표'!$B$2:$BQ$503,66,0)/5</f>
        <v>0</v>
      </c>
      <c r="Y107" s="43"/>
    </row>
    <row r="108" spans="1:25" ht="16.5">
      <c r="A108" s="29"/>
      <c r="B108" s="30" t="s">
        <v>236</v>
      </c>
      <c r="C108" s="46" t="s">
        <v>3</v>
      </c>
      <c r="D108" s="47" t="s">
        <v>237</v>
      </c>
      <c r="E108" s="48" t="s">
        <v>57</v>
      </c>
      <c r="F108" s="49">
        <v>45958</v>
      </c>
      <c r="G108" s="49">
        <v>45996</v>
      </c>
      <c r="H108" s="49">
        <v>46134</v>
      </c>
      <c r="I108" s="34">
        <f>VLOOKUP(B108,'26년 1월 출석표'!$B$7:$D$500,3,0)</f>
        <v>0</v>
      </c>
      <c r="J108" s="35" t="e">
        <f t="shared" ca="1" si="0"/>
        <v>#NAME?</v>
      </c>
      <c r="K108" s="36" t="str">
        <f t="shared" si="1"/>
        <v>유효</v>
      </c>
      <c r="L108" s="37" t="str">
        <f t="shared" si="2"/>
        <v/>
      </c>
      <c r="M108" s="30"/>
      <c r="N108" s="38" t="b">
        <v>0</v>
      </c>
      <c r="O108" s="38" t="b">
        <v>0</v>
      </c>
      <c r="P108" s="39">
        <f>VLOOKUP($B108,'26년 1월 출석표'!$B$2:$BQ$497,10,0)/1</f>
        <v>0</v>
      </c>
      <c r="Q108" s="40"/>
      <c r="R108" s="41">
        <f>VLOOKUP($B108,'26년 1월 출석표'!$B$2:$BQ$497,24,0)/5</f>
        <v>0</v>
      </c>
      <c r="S108" s="40"/>
      <c r="T108" s="41">
        <f>VLOOKUP($B108,'26년 1월 출석표'!$B$2:$BQ$497,38,0)/5</f>
        <v>0</v>
      </c>
      <c r="U108" s="40"/>
      <c r="V108" s="41">
        <f>VLOOKUP($B108,'26년 1월 출석표'!$B$2:$BQ$497,52,0)/5</f>
        <v>0</v>
      </c>
      <c r="W108" s="42"/>
      <c r="X108" s="41">
        <f>VLOOKUP($B108,'26년 1월 출석표'!$B$2:$BQ$503,66,0)/5</f>
        <v>0</v>
      </c>
      <c r="Y108" s="43"/>
    </row>
    <row r="109" spans="1:25" ht="16.5">
      <c r="A109" s="29"/>
      <c r="B109" s="30" t="s">
        <v>238</v>
      </c>
      <c r="C109" s="46" t="s">
        <v>4</v>
      </c>
      <c r="D109" s="47" t="s">
        <v>239</v>
      </c>
      <c r="E109" s="48" t="s">
        <v>34</v>
      </c>
      <c r="F109" s="49">
        <v>45958</v>
      </c>
      <c r="G109" s="49">
        <v>45959</v>
      </c>
      <c r="H109" s="49">
        <v>46323</v>
      </c>
      <c r="I109" s="34">
        <f>VLOOKUP(B109,'26년 1월 출석표'!$B$7:$D$500,3,0)</f>
        <v>2</v>
      </c>
      <c r="J109" s="35" t="e">
        <f t="shared" ca="1" si="0"/>
        <v>#NAME?</v>
      </c>
      <c r="K109" s="36" t="str">
        <f t="shared" si="1"/>
        <v>유효</v>
      </c>
      <c r="L109" s="37" t="str">
        <f t="shared" si="2"/>
        <v/>
      </c>
      <c r="M109" s="30"/>
      <c r="N109" s="38" t="b">
        <v>0</v>
      </c>
      <c r="O109" s="38" t="b">
        <v>0</v>
      </c>
      <c r="P109" s="39">
        <f>VLOOKUP($B109,'26년 1월 출석표'!$B$2:$BQ$497,10,0)/1</f>
        <v>0</v>
      </c>
      <c r="Q109" s="40"/>
      <c r="R109" s="41">
        <f>VLOOKUP($B109,'26년 1월 출석표'!$B$2:$BQ$497,24,0)/5</f>
        <v>0.4</v>
      </c>
      <c r="S109" s="40"/>
      <c r="T109" s="41">
        <f>VLOOKUP($B109,'26년 1월 출석표'!$B$2:$BQ$497,38,0)/5</f>
        <v>0</v>
      </c>
      <c r="U109" s="40"/>
      <c r="V109" s="41">
        <f>VLOOKUP($B109,'26년 1월 출석표'!$B$2:$BQ$497,52,0)/5</f>
        <v>0</v>
      </c>
      <c r="W109" s="42"/>
      <c r="X109" s="41">
        <f>VLOOKUP($B109,'26년 1월 출석표'!$B$2:$BQ$503,66,0)/5</f>
        <v>0</v>
      </c>
      <c r="Y109" s="43"/>
    </row>
    <row r="110" spans="1:25" ht="16.5">
      <c r="A110" s="29"/>
      <c r="B110" s="30" t="s">
        <v>240</v>
      </c>
      <c r="C110" s="46" t="s">
        <v>4</v>
      </c>
      <c r="D110" s="47" t="s">
        <v>241</v>
      </c>
      <c r="E110" s="48" t="s">
        <v>34</v>
      </c>
      <c r="F110" s="49">
        <v>45958</v>
      </c>
      <c r="G110" s="49">
        <v>45959</v>
      </c>
      <c r="H110" s="49">
        <v>46337</v>
      </c>
      <c r="I110" s="34">
        <f>VLOOKUP(B110,'26년 1월 출석표'!$B$7:$D$500,3,0)</f>
        <v>3</v>
      </c>
      <c r="J110" s="35" t="e">
        <f t="shared" ca="1" si="0"/>
        <v>#NAME?</v>
      </c>
      <c r="K110" s="36" t="str">
        <f t="shared" si="1"/>
        <v>유효</v>
      </c>
      <c r="L110" s="37" t="str">
        <f t="shared" si="2"/>
        <v/>
      </c>
      <c r="M110" s="30"/>
      <c r="N110" s="38" t="b">
        <v>0</v>
      </c>
      <c r="O110" s="38" t="b">
        <v>0</v>
      </c>
      <c r="P110" s="39">
        <f>VLOOKUP($B110,'26년 1월 출석표'!$B$2:$BQ$497,10,0)/1</f>
        <v>1</v>
      </c>
      <c r="Q110" s="40"/>
      <c r="R110" s="41">
        <f>VLOOKUP($B110,'26년 1월 출석표'!$B$2:$BQ$497,24,0)/5</f>
        <v>0.4</v>
      </c>
      <c r="S110" s="40"/>
      <c r="T110" s="41">
        <f>VLOOKUP($B110,'26년 1월 출석표'!$B$2:$BQ$497,38,0)/5</f>
        <v>0</v>
      </c>
      <c r="U110" s="40"/>
      <c r="V110" s="41">
        <f>VLOOKUP($B110,'26년 1월 출석표'!$B$2:$BQ$497,52,0)/5</f>
        <v>0</v>
      </c>
      <c r="W110" s="42"/>
      <c r="X110" s="41">
        <f>VLOOKUP($B110,'26년 1월 출석표'!$B$2:$BQ$503,66,0)/5</f>
        <v>0</v>
      </c>
      <c r="Y110" s="43"/>
    </row>
    <row r="111" spans="1:25" ht="16.5">
      <c r="A111" s="29"/>
      <c r="B111" s="30" t="s">
        <v>242</v>
      </c>
      <c r="C111" s="46" t="s">
        <v>3</v>
      </c>
      <c r="D111" s="47" t="s">
        <v>243</v>
      </c>
      <c r="E111" s="48" t="s">
        <v>34</v>
      </c>
      <c r="F111" s="49">
        <v>45960</v>
      </c>
      <c r="G111" s="49">
        <v>45961</v>
      </c>
      <c r="H111" s="49">
        <v>46325</v>
      </c>
      <c r="I111" s="34">
        <f>VLOOKUP(B111,'26년 1월 출석표'!$B$7:$D$500,3,0)</f>
        <v>4</v>
      </c>
      <c r="J111" s="35" t="e">
        <f t="shared" ca="1" si="0"/>
        <v>#NAME?</v>
      </c>
      <c r="K111" s="36" t="str">
        <f t="shared" si="1"/>
        <v>유효</v>
      </c>
      <c r="L111" s="37" t="str">
        <f t="shared" si="2"/>
        <v/>
      </c>
      <c r="M111" s="30"/>
      <c r="N111" s="38" t="b">
        <v>0</v>
      </c>
      <c r="O111" s="38" t="b">
        <v>0</v>
      </c>
      <c r="P111" s="39">
        <f>VLOOKUP($B111,'26년 1월 출석표'!$B$2:$BQ$497,10,0)/1</f>
        <v>0</v>
      </c>
      <c r="Q111" s="40"/>
      <c r="R111" s="41">
        <f>VLOOKUP($B111,'26년 1월 출석표'!$B$2:$BQ$497,24,0)/5</f>
        <v>0.8</v>
      </c>
      <c r="S111" s="40"/>
      <c r="T111" s="41">
        <f>VLOOKUP($B111,'26년 1월 출석표'!$B$2:$BQ$497,38,0)/5</f>
        <v>0</v>
      </c>
      <c r="U111" s="40"/>
      <c r="V111" s="41">
        <f>VLOOKUP($B111,'26년 1월 출석표'!$B$2:$BQ$497,52,0)/5</f>
        <v>0</v>
      </c>
      <c r="W111" s="42"/>
      <c r="X111" s="41">
        <f>VLOOKUP($B111,'26년 1월 출석표'!$B$2:$BQ$503,66,0)/5</f>
        <v>0</v>
      </c>
      <c r="Y111" s="43"/>
    </row>
    <row r="112" spans="1:25" ht="16.5">
      <c r="A112" s="29"/>
      <c r="B112" s="30" t="s">
        <v>244</v>
      </c>
      <c r="C112" s="46" t="s">
        <v>4</v>
      </c>
      <c r="D112" s="47" t="s">
        <v>245</v>
      </c>
      <c r="E112" s="48" t="s">
        <v>34</v>
      </c>
      <c r="F112" s="49">
        <v>45960</v>
      </c>
      <c r="G112" s="49">
        <v>45961</v>
      </c>
      <c r="H112" s="49">
        <v>46325</v>
      </c>
      <c r="I112" s="34">
        <f>VLOOKUP(B112,'26년 1월 출석표'!$B$7:$D$500,3,0)</f>
        <v>0</v>
      </c>
      <c r="J112" s="35" t="e">
        <f t="shared" ca="1" si="0"/>
        <v>#NAME?</v>
      </c>
      <c r="K112" s="36" t="str">
        <f t="shared" si="1"/>
        <v>유효</v>
      </c>
      <c r="L112" s="37" t="str">
        <f t="shared" si="2"/>
        <v/>
      </c>
      <c r="M112" s="30"/>
      <c r="N112" s="38" t="b">
        <v>0</v>
      </c>
      <c r="O112" s="38" t="b">
        <v>0</v>
      </c>
      <c r="P112" s="39">
        <f>VLOOKUP($B112,'26년 1월 출석표'!$B$2:$BQ$497,10,0)/1</f>
        <v>0</v>
      </c>
      <c r="Q112" s="40"/>
      <c r="R112" s="41">
        <f>VLOOKUP($B112,'26년 1월 출석표'!$B$2:$BQ$497,24,0)/5</f>
        <v>0</v>
      </c>
      <c r="S112" s="40"/>
      <c r="T112" s="41">
        <f>VLOOKUP($B112,'26년 1월 출석표'!$B$2:$BQ$497,38,0)/5</f>
        <v>0</v>
      </c>
      <c r="U112" s="40"/>
      <c r="V112" s="41">
        <f>VLOOKUP($B112,'26년 1월 출석표'!$B$2:$BQ$497,52,0)/5</f>
        <v>0</v>
      </c>
      <c r="W112" s="42"/>
      <c r="X112" s="41">
        <f>VLOOKUP($B112,'26년 1월 출석표'!$B$2:$BQ$503,66,0)/5</f>
        <v>0</v>
      </c>
      <c r="Y112" s="43"/>
    </row>
    <row r="113" spans="1:25" ht="16.5">
      <c r="A113" s="29"/>
      <c r="B113" s="30" t="s">
        <v>246</v>
      </c>
      <c r="C113" s="46" t="s">
        <v>4</v>
      </c>
      <c r="D113" s="47" t="s">
        <v>247</v>
      </c>
      <c r="E113" s="48" t="s">
        <v>34</v>
      </c>
      <c r="F113" s="49">
        <v>45960</v>
      </c>
      <c r="G113" s="49">
        <v>45961</v>
      </c>
      <c r="H113" s="49">
        <v>46325</v>
      </c>
      <c r="I113" s="34">
        <f>VLOOKUP(B113,'26년 1월 출석표'!$B$7:$D$500,3,0)</f>
        <v>5</v>
      </c>
      <c r="J113" s="35" t="e">
        <f t="shared" ca="1" si="0"/>
        <v>#NAME?</v>
      </c>
      <c r="K113" s="36" t="str">
        <f t="shared" si="1"/>
        <v>유효</v>
      </c>
      <c r="L113" s="37" t="str">
        <f t="shared" si="2"/>
        <v/>
      </c>
      <c r="M113" s="30"/>
      <c r="N113" s="38" t="b">
        <v>0</v>
      </c>
      <c r="O113" s="38" t="b">
        <v>0</v>
      </c>
      <c r="P113" s="39">
        <f>VLOOKUP($B113,'26년 1월 출석표'!$B$2:$BQ$497,10,0)/1</f>
        <v>1</v>
      </c>
      <c r="Q113" s="40"/>
      <c r="R113" s="41">
        <f>VLOOKUP($B113,'26년 1월 출석표'!$B$2:$BQ$497,24,0)/5</f>
        <v>0.6</v>
      </c>
      <c r="S113" s="40"/>
      <c r="T113" s="41">
        <f>VLOOKUP($B113,'26년 1월 출석표'!$B$2:$BQ$497,38,0)/5</f>
        <v>0.2</v>
      </c>
      <c r="U113" s="40"/>
      <c r="V113" s="41">
        <f>VLOOKUP($B113,'26년 1월 출석표'!$B$2:$BQ$497,52,0)/5</f>
        <v>0</v>
      </c>
      <c r="W113" s="42"/>
      <c r="X113" s="41">
        <f>VLOOKUP($B113,'26년 1월 출석표'!$B$2:$BQ$503,66,0)/5</f>
        <v>0</v>
      </c>
      <c r="Y113" s="43"/>
    </row>
    <row r="114" spans="1:25" ht="16.5">
      <c r="A114" s="29"/>
      <c r="B114" s="30" t="s">
        <v>248</v>
      </c>
      <c r="C114" s="46" t="s">
        <v>4</v>
      </c>
      <c r="D114" s="47" t="s">
        <v>249</v>
      </c>
      <c r="E114" s="48" t="s">
        <v>34</v>
      </c>
      <c r="F114" s="49">
        <v>45960</v>
      </c>
      <c r="G114" s="49">
        <v>45965</v>
      </c>
      <c r="H114" s="49">
        <v>46328</v>
      </c>
      <c r="I114" s="34">
        <f>VLOOKUP(B114,'26년 1월 출석표'!$B$7:$D$500,3,0)</f>
        <v>0</v>
      </c>
      <c r="J114" s="35" t="e">
        <f t="shared" ca="1" si="0"/>
        <v>#NAME?</v>
      </c>
      <c r="K114" s="36" t="str">
        <f t="shared" si="1"/>
        <v>유효</v>
      </c>
      <c r="L114" s="37" t="str">
        <f t="shared" si="2"/>
        <v/>
      </c>
      <c r="M114" s="30"/>
      <c r="N114" s="38" t="b">
        <v>0</v>
      </c>
      <c r="O114" s="38" t="b">
        <v>0</v>
      </c>
      <c r="P114" s="39">
        <f>VLOOKUP($B114,'26년 1월 출석표'!$B$2:$BQ$497,10,0)/1</f>
        <v>0</v>
      </c>
      <c r="Q114" s="40"/>
      <c r="R114" s="41">
        <f>VLOOKUP($B114,'26년 1월 출석표'!$B$2:$BQ$497,24,0)/5</f>
        <v>0</v>
      </c>
      <c r="S114" s="40"/>
      <c r="T114" s="41">
        <f>VLOOKUP($B114,'26년 1월 출석표'!$B$2:$BQ$497,38,0)/5</f>
        <v>0</v>
      </c>
      <c r="U114" s="40"/>
      <c r="V114" s="41">
        <f>VLOOKUP($B114,'26년 1월 출석표'!$B$2:$BQ$497,52,0)/5</f>
        <v>0</v>
      </c>
      <c r="W114" s="42"/>
      <c r="X114" s="41">
        <f>VLOOKUP($B114,'26년 1월 출석표'!$B$2:$BQ$503,66,0)/5</f>
        <v>0</v>
      </c>
      <c r="Y114" s="43"/>
    </row>
    <row r="115" spans="1:25" ht="16.5">
      <c r="A115" s="29"/>
      <c r="B115" s="30" t="s">
        <v>250</v>
      </c>
      <c r="C115" s="46" t="s">
        <v>4</v>
      </c>
      <c r="D115" s="47" t="s">
        <v>251</v>
      </c>
      <c r="E115" s="48" t="s">
        <v>34</v>
      </c>
      <c r="F115" s="49">
        <v>45961</v>
      </c>
      <c r="G115" s="49">
        <v>45961</v>
      </c>
      <c r="H115" s="49">
        <v>46325</v>
      </c>
      <c r="I115" s="34">
        <f>VLOOKUP(B115,'26년 1월 출석표'!$B$7:$D$500,3,0)</f>
        <v>4</v>
      </c>
      <c r="J115" s="35" t="e">
        <f t="shared" ca="1" si="0"/>
        <v>#NAME?</v>
      </c>
      <c r="K115" s="36" t="str">
        <f t="shared" si="1"/>
        <v>유효</v>
      </c>
      <c r="L115" s="37" t="str">
        <f t="shared" si="2"/>
        <v/>
      </c>
      <c r="M115" s="30"/>
      <c r="N115" s="38" t="b">
        <v>0</v>
      </c>
      <c r="O115" s="38" t="b">
        <v>0</v>
      </c>
      <c r="P115" s="39">
        <f>VLOOKUP($B115,'26년 1월 출석표'!$B$2:$BQ$497,10,0)/1</f>
        <v>0</v>
      </c>
      <c r="Q115" s="40"/>
      <c r="R115" s="41">
        <f>VLOOKUP($B115,'26년 1월 출석표'!$B$2:$BQ$497,24,0)/5</f>
        <v>0.6</v>
      </c>
      <c r="S115" s="40"/>
      <c r="T115" s="41">
        <f>VLOOKUP($B115,'26년 1월 출석표'!$B$2:$BQ$497,38,0)/5</f>
        <v>0.2</v>
      </c>
      <c r="U115" s="40"/>
      <c r="V115" s="41">
        <f>VLOOKUP($B115,'26년 1월 출석표'!$B$2:$BQ$497,52,0)/5</f>
        <v>0</v>
      </c>
      <c r="W115" s="42"/>
      <c r="X115" s="41">
        <f>VLOOKUP($B115,'26년 1월 출석표'!$B$2:$BQ$503,66,0)/5</f>
        <v>0</v>
      </c>
      <c r="Y115" s="43"/>
    </row>
    <row r="116" spans="1:25" ht="16.5">
      <c r="A116" s="29"/>
      <c r="B116" s="30" t="s">
        <v>252</v>
      </c>
      <c r="C116" s="46" t="s">
        <v>4</v>
      </c>
      <c r="D116" s="47" t="s">
        <v>253</v>
      </c>
      <c r="E116" s="48" t="s">
        <v>34</v>
      </c>
      <c r="F116" s="49">
        <v>45964</v>
      </c>
      <c r="G116" s="49">
        <v>45965</v>
      </c>
      <c r="H116" s="49">
        <v>46374</v>
      </c>
      <c r="I116" s="34">
        <f>VLOOKUP(B116,'26년 1월 출석표'!$B$7:$D$500,3,0)</f>
        <v>1</v>
      </c>
      <c r="J116" s="35" t="e">
        <f t="shared" ca="1" si="0"/>
        <v>#NAME?</v>
      </c>
      <c r="K116" s="36" t="str">
        <f t="shared" si="1"/>
        <v>유효</v>
      </c>
      <c r="L116" s="37" t="str">
        <f t="shared" si="2"/>
        <v/>
      </c>
      <c r="M116" s="30"/>
      <c r="N116" s="38" t="b">
        <v>0</v>
      </c>
      <c r="O116" s="38" t="b">
        <v>0</v>
      </c>
      <c r="P116" s="39">
        <f>VLOOKUP($B116,'26년 1월 출석표'!$B$2:$BQ$497,10,0)/1</f>
        <v>0</v>
      </c>
      <c r="Q116" s="40"/>
      <c r="R116" s="41">
        <f>VLOOKUP($B116,'26년 1월 출석표'!$B$2:$BQ$497,24,0)/5</f>
        <v>0.2</v>
      </c>
      <c r="S116" s="40"/>
      <c r="T116" s="41">
        <f>VLOOKUP($B116,'26년 1월 출석표'!$B$2:$BQ$497,38,0)/5</f>
        <v>0</v>
      </c>
      <c r="U116" s="40"/>
      <c r="V116" s="41">
        <f>VLOOKUP($B116,'26년 1월 출석표'!$B$2:$BQ$497,52,0)/5</f>
        <v>0</v>
      </c>
      <c r="W116" s="42"/>
      <c r="X116" s="41">
        <f>VLOOKUP($B116,'26년 1월 출석표'!$B$2:$BQ$503,66,0)/5</f>
        <v>0</v>
      </c>
      <c r="Y116" s="43"/>
    </row>
    <row r="117" spans="1:25" ht="16.5">
      <c r="A117" s="29"/>
      <c r="B117" s="30" t="s">
        <v>254</v>
      </c>
      <c r="C117" s="46" t="s">
        <v>4</v>
      </c>
      <c r="D117" s="47" t="s">
        <v>255</v>
      </c>
      <c r="E117" s="48" t="s">
        <v>34</v>
      </c>
      <c r="F117" s="49">
        <v>45965</v>
      </c>
      <c r="G117" s="49">
        <v>45965</v>
      </c>
      <c r="H117" s="49">
        <v>46329</v>
      </c>
      <c r="I117" s="34">
        <f>VLOOKUP(B117,'26년 1월 출석표'!$B$7:$D$500,3,0)</f>
        <v>3</v>
      </c>
      <c r="J117" s="35" t="e">
        <f t="shared" ca="1" si="0"/>
        <v>#NAME?</v>
      </c>
      <c r="K117" s="36" t="str">
        <f t="shared" si="1"/>
        <v>유효</v>
      </c>
      <c r="L117" s="37" t="str">
        <f t="shared" si="2"/>
        <v/>
      </c>
      <c r="M117" s="30"/>
      <c r="N117" s="38" t="b">
        <v>0</v>
      </c>
      <c r="O117" s="38" t="b">
        <v>0</v>
      </c>
      <c r="P117" s="39">
        <f>VLOOKUP($B117,'26년 1월 출석표'!$B$2:$BQ$497,10,0)/1</f>
        <v>1</v>
      </c>
      <c r="Q117" s="40"/>
      <c r="R117" s="41">
        <f>VLOOKUP($B117,'26년 1월 출석표'!$B$2:$BQ$497,24,0)/5</f>
        <v>0.2</v>
      </c>
      <c r="S117" s="40"/>
      <c r="T117" s="41">
        <f>VLOOKUP($B117,'26년 1월 출석표'!$B$2:$BQ$497,38,0)/5</f>
        <v>0.2</v>
      </c>
      <c r="U117" s="40"/>
      <c r="V117" s="41">
        <f>VLOOKUP($B117,'26년 1월 출석표'!$B$2:$BQ$497,52,0)/5</f>
        <v>0</v>
      </c>
      <c r="W117" s="42"/>
      <c r="X117" s="41">
        <f>VLOOKUP($B117,'26년 1월 출석표'!$B$2:$BQ$503,66,0)/5</f>
        <v>0</v>
      </c>
      <c r="Y117" s="43"/>
    </row>
    <row r="118" spans="1:25" ht="16.5">
      <c r="A118" s="29"/>
      <c r="B118" s="30" t="s">
        <v>256</v>
      </c>
      <c r="C118" s="46" t="s">
        <v>4</v>
      </c>
      <c r="D118" s="47" t="s">
        <v>257</v>
      </c>
      <c r="E118" s="48" t="s">
        <v>34</v>
      </c>
      <c r="F118" s="49">
        <v>45965</v>
      </c>
      <c r="G118" s="49">
        <v>45966</v>
      </c>
      <c r="H118" s="49">
        <v>46330</v>
      </c>
      <c r="I118" s="34">
        <f>VLOOKUP(B118,'26년 1월 출석표'!$B$7:$D$500,3,0)</f>
        <v>3</v>
      </c>
      <c r="J118" s="35" t="e">
        <f t="shared" ca="1" si="0"/>
        <v>#NAME?</v>
      </c>
      <c r="K118" s="36" t="str">
        <f t="shared" si="1"/>
        <v>유효</v>
      </c>
      <c r="L118" s="37" t="str">
        <f t="shared" si="2"/>
        <v/>
      </c>
      <c r="M118" s="30"/>
      <c r="N118" s="38" t="b">
        <v>0</v>
      </c>
      <c r="O118" s="38" t="b">
        <v>0</v>
      </c>
      <c r="P118" s="39">
        <f>VLOOKUP($B118,'26년 1월 출석표'!$B$2:$BQ$497,10,0)/1</f>
        <v>0</v>
      </c>
      <c r="Q118" s="40"/>
      <c r="R118" s="41">
        <f>VLOOKUP($B118,'26년 1월 출석표'!$B$2:$BQ$497,24,0)/5</f>
        <v>0.6</v>
      </c>
      <c r="S118" s="40"/>
      <c r="T118" s="41">
        <f>VLOOKUP($B118,'26년 1월 출석표'!$B$2:$BQ$497,38,0)/5</f>
        <v>0</v>
      </c>
      <c r="U118" s="40"/>
      <c r="V118" s="41">
        <f>VLOOKUP($B118,'26년 1월 출석표'!$B$2:$BQ$497,52,0)/5</f>
        <v>0</v>
      </c>
      <c r="W118" s="42"/>
      <c r="X118" s="41">
        <f>VLOOKUP($B118,'26년 1월 출석표'!$B$2:$BQ$503,66,0)/5</f>
        <v>0</v>
      </c>
      <c r="Y118" s="43"/>
    </row>
    <row r="119" spans="1:25" ht="16.5">
      <c r="A119" s="29"/>
      <c r="B119" s="30" t="s">
        <v>258</v>
      </c>
      <c r="C119" s="46" t="s">
        <v>4</v>
      </c>
      <c r="D119" s="47" t="s">
        <v>259</v>
      </c>
      <c r="E119" s="48" t="s">
        <v>34</v>
      </c>
      <c r="F119" s="49">
        <v>45969</v>
      </c>
      <c r="G119" s="49">
        <v>46001</v>
      </c>
      <c r="H119" s="49">
        <v>46396</v>
      </c>
      <c r="I119" s="34">
        <f>VLOOKUP(B119,'26년 1월 출석표'!$B$7:$D$500,3,0)</f>
        <v>5</v>
      </c>
      <c r="J119" s="35" t="e">
        <f t="shared" ca="1" si="0"/>
        <v>#NAME?</v>
      </c>
      <c r="K119" s="36" t="str">
        <f t="shared" si="1"/>
        <v>유효</v>
      </c>
      <c r="L119" s="37" t="str">
        <f t="shared" si="2"/>
        <v/>
      </c>
      <c r="M119" s="30"/>
      <c r="N119" s="38" t="b">
        <v>0</v>
      </c>
      <c r="O119" s="38" t="b">
        <v>0</v>
      </c>
      <c r="P119" s="39">
        <f>VLOOKUP($B119,'26년 1월 출석표'!$B$2:$BQ$497,10,0)/1</f>
        <v>1</v>
      </c>
      <c r="Q119" s="40"/>
      <c r="R119" s="41">
        <f>VLOOKUP($B119,'26년 1월 출석표'!$B$2:$BQ$497,24,0)/5</f>
        <v>0.6</v>
      </c>
      <c r="S119" s="40"/>
      <c r="T119" s="41">
        <f>VLOOKUP($B119,'26년 1월 출석표'!$B$2:$BQ$497,38,0)/5</f>
        <v>0.2</v>
      </c>
      <c r="U119" s="40"/>
      <c r="V119" s="41">
        <f>VLOOKUP($B119,'26년 1월 출석표'!$B$2:$BQ$497,52,0)/5</f>
        <v>0</v>
      </c>
      <c r="W119" s="42"/>
      <c r="X119" s="41">
        <f>VLOOKUP($B119,'26년 1월 출석표'!$B$2:$BQ$503,66,0)/5</f>
        <v>0</v>
      </c>
      <c r="Y119" s="43"/>
    </row>
    <row r="120" spans="1:25" ht="16.5">
      <c r="A120" s="29"/>
      <c r="B120" s="30" t="s">
        <v>260</v>
      </c>
      <c r="C120" s="46" t="s">
        <v>4</v>
      </c>
      <c r="D120" s="47" t="s">
        <v>261</v>
      </c>
      <c r="E120" s="48" t="s">
        <v>90</v>
      </c>
      <c r="F120" s="49">
        <v>45971</v>
      </c>
      <c r="G120" s="49">
        <v>45986</v>
      </c>
      <c r="H120" s="49">
        <v>46131</v>
      </c>
      <c r="I120" s="34">
        <f>VLOOKUP(B120,'26년 1월 출석표'!$B$7:$D$500,3,0)</f>
        <v>0</v>
      </c>
      <c r="J120" s="35" t="e">
        <f t="shared" ca="1" si="0"/>
        <v>#NAME?</v>
      </c>
      <c r="K120" s="36" t="str">
        <f t="shared" si="1"/>
        <v>유효</v>
      </c>
      <c r="L120" s="37" t="str">
        <f t="shared" si="2"/>
        <v/>
      </c>
      <c r="M120" s="30"/>
      <c r="N120" s="38" t="b">
        <v>0</v>
      </c>
      <c r="O120" s="38" t="b">
        <v>0</v>
      </c>
      <c r="P120" s="39">
        <f>VLOOKUP($B120,'26년 1월 출석표'!$B$2:$BQ$497,10,0)/1</f>
        <v>0</v>
      </c>
      <c r="Q120" s="40"/>
      <c r="R120" s="41">
        <f>VLOOKUP($B120,'26년 1월 출석표'!$B$2:$BQ$497,24,0)/5</f>
        <v>0</v>
      </c>
      <c r="S120" s="40"/>
      <c r="T120" s="41">
        <f>VLOOKUP($B120,'26년 1월 출석표'!$B$2:$BQ$497,38,0)/5</f>
        <v>0</v>
      </c>
      <c r="U120" s="40"/>
      <c r="V120" s="41">
        <f>VLOOKUP($B120,'26년 1월 출석표'!$B$2:$BQ$497,52,0)/5</f>
        <v>0</v>
      </c>
      <c r="W120" s="42"/>
      <c r="X120" s="41">
        <f>VLOOKUP($B120,'26년 1월 출석표'!$B$2:$BQ$503,66,0)/5</f>
        <v>0</v>
      </c>
      <c r="Y120" s="43"/>
    </row>
    <row r="121" spans="1:25" ht="16.5">
      <c r="A121" s="29"/>
      <c r="B121" s="30" t="s">
        <v>262</v>
      </c>
      <c r="C121" s="46" t="s">
        <v>3</v>
      </c>
      <c r="D121" s="47" t="s">
        <v>263</v>
      </c>
      <c r="E121" s="48" t="s">
        <v>26</v>
      </c>
      <c r="F121" s="49">
        <v>45971</v>
      </c>
      <c r="G121" s="49">
        <v>45974</v>
      </c>
      <c r="H121" s="49">
        <v>46154</v>
      </c>
      <c r="I121" s="34">
        <f>VLOOKUP(B121,'26년 1월 출석표'!$B$7:$D$500,3,0)</f>
        <v>6</v>
      </c>
      <c r="J121" s="35" t="e">
        <f t="shared" ca="1" si="0"/>
        <v>#NAME?</v>
      </c>
      <c r="K121" s="36" t="str">
        <f t="shared" si="1"/>
        <v>유효</v>
      </c>
      <c r="L121" s="37" t="str">
        <f t="shared" si="2"/>
        <v/>
      </c>
      <c r="M121" s="30"/>
      <c r="N121" s="38" t="b">
        <v>0</v>
      </c>
      <c r="O121" s="38" t="b">
        <v>0</v>
      </c>
      <c r="P121" s="39">
        <f>VLOOKUP($B121,'26년 1월 출석표'!$B$2:$BQ$497,10,0)/1</f>
        <v>1</v>
      </c>
      <c r="Q121" s="40"/>
      <c r="R121" s="41">
        <f>VLOOKUP($B121,'26년 1월 출석표'!$B$2:$BQ$497,24,0)/5</f>
        <v>0.8</v>
      </c>
      <c r="S121" s="40"/>
      <c r="T121" s="41">
        <f>VLOOKUP($B121,'26년 1월 출석표'!$B$2:$BQ$497,38,0)/5</f>
        <v>0.2</v>
      </c>
      <c r="U121" s="40"/>
      <c r="V121" s="41">
        <f>VLOOKUP($B121,'26년 1월 출석표'!$B$2:$BQ$497,52,0)/5</f>
        <v>0</v>
      </c>
      <c r="W121" s="42"/>
      <c r="X121" s="41">
        <f>VLOOKUP($B121,'26년 1월 출석표'!$B$2:$BQ$503,66,0)/5</f>
        <v>0</v>
      </c>
      <c r="Y121" s="43"/>
    </row>
    <row r="122" spans="1:25" ht="16.5">
      <c r="A122" s="29"/>
      <c r="B122" s="30" t="s">
        <v>264</v>
      </c>
      <c r="C122" s="46" t="s">
        <v>4</v>
      </c>
      <c r="D122" s="47" t="s">
        <v>265</v>
      </c>
      <c r="E122" s="48" t="s">
        <v>34</v>
      </c>
      <c r="F122" s="49">
        <v>45978</v>
      </c>
      <c r="G122" s="49">
        <v>45981</v>
      </c>
      <c r="H122" s="49">
        <v>46369</v>
      </c>
      <c r="I122" s="34">
        <f>VLOOKUP(B122,'26년 1월 출석표'!$B$7:$D$500,3,0)</f>
        <v>0</v>
      </c>
      <c r="J122" s="35" t="e">
        <f t="shared" ca="1" si="0"/>
        <v>#NAME?</v>
      </c>
      <c r="K122" s="36" t="str">
        <f t="shared" si="1"/>
        <v>유효</v>
      </c>
      <c r="L122" s="37" t="str">
        <f t="shared" si="2"/>
        <v/>
      </c>
      <c r="M122" s="30"/>
      <c r="N122" s="38" t="b">
        <v>0</v>
      </c>
      <c r="O122" s="38" t="b">
        <v>0</v>
      </c>
      <c r="P122" s="39">
        <f>VLOOKUP($B122,'26년 1월 출석표'!$B$2:$BQ$497,10,0)/1</f>
        <v>0</v>
      </c>
      <c r="Q122" s="40"/>
      <c r="R122" s="41">
        <f>VLOOKUP($B122,'26년 1월 출석표'!$B$2:$BQ$497,24,0)/5</f>
        <v>0</v>
      </c>
      <c r="S122" s="40"/>
      <c r="T122" s="41">
        <f>VLOOKUP($B122,'26년 1월 출석표'!$B$2:$BQ$497,38,0)/5</f>
        <v>0</v>
      </c>
      <c r="U122" s="40"/>
      <c r="V122" s="41">
        <f>VLOOKUP($B122,'26년 1월 출석표'!$B$2:$BQ$497,52,0)/5</f>
        <v>0</v>
      </c>
      <c r="W122" s="42"/>
      <c r="X122" s="41">
        <f>VLOOKUP($B122,'26년 1월 출석표'!$B$2:$BQ$503,66,0)/5</f>
        <v>0</v>
      </c>
      <c r="Y122" s="43"/>
    </row>
    <row r="123" spans="1:25" ht="16.5">
      <c r="A123" s="29"/>
      <c r="B123" s="30" t="s">
        <v>266</v>
      </c>
      <c r="C123" s="46" t="s">
        <v>4</v>
      </c>
      <c r="D123" s="47" t="s">
        <v>267</v>
      </c>
      <c r="E123" s="48" t="s">
        <v>31</v>
      </c>
      <c r="F123" s="49">
        <v>45983</v>
      </c>
      <c r="G123" s="49">
        <v>45986</v>
      </c>
      <c r="H123" s="49">
        <v>46258</v>
      </c>
      <c r="I123" s="34">
        <f>VLOOKUP(B123,'26년 1월 출석표'!$B$7:$D$500,3,0)</f>
        <v>0</v>
      </c>
      <c r="J123" s="35" t="e">
        <f t="shared" ca="1" si="0"/>
        <v>#NAME?</v>
      </c>
      <c r="K123" s="36" t="str">
        <f t="shared" si="1"/>
        <v>유효</v>
      </c>
      <c r="L123" s="37" t="str">
        <f t="shared" si="2"/>
        <v/>
      </c>
      <c r="M123" s="30"/>
      <c r="N123" s="38" t="b">
        <v>0</v>
      </c>
      <c r="O123" s="38" t="b">
        <v>0</v>
      </c>
      <c r="P123" s="39">
        <f>VLOOKUP($B123,'26년 1월 출석표'!$B$2:$BQ$497,10,0)/1</f>
        <v>0</v>
      </c>
      <c r="Q123" s="40"/>
      <c r="R123" s="41">
        <f>VLOOKUP($B123,'26년 1월 출석표'!$B$2:$BQ$497,24,0)/5</f>
        <v>0</v>
      </c>
      <c r="S123" s="40"/>
      <c r="T123" s="41">
        <f>VLOOKUP($B123,'26년 1월 출석표'!$B$2:$BQ$497,38,0)/5</f>
        <v>0</v>
      </c>
      <c r="U123" s="40"/>
      <c r="V123" s="41">
        <f>VLOOKUP($B123,'26년 1월 출석표'!$B$2:$BQ$497,52,0)/5</f>
        <v>0</v>
      </c>
      <c r="W123" s="42"/>
      <c r="X123" s="41">
        <f>VLOOKUP($B123,'26년 1월 출석표'!$B$2:$BQ$503,66,0)/5</f>
        <v>0</v>
      </c>
      <c r="Y123" s="43"/>
    </row>
    <row r="124" spans="1:25" ht="16.5">
      <c r="A124" s="29"/>
      <c r="B124" s="30" t="s">
        <v>268</v>
      </c>
      <c r="C124" s="46" t="s">
        <v>4</v>
      </c>
      <c r="D124" s="47" t="s">
        <v>269</v>
      </c>
      <c r="E124" s="48" t="s">
        <v>57</v>
      </c>
      <c r="F124" s="49">
        <v>45985</v>
      </c>
      <c r="G124" s="49">
        <v>45986</v>
      </c>
      <c r="H124" s="49">
        <v>46258</v>
      </c>
      <c r="I124" s="34">
        <f>VLOOKUP(B124,'26년 1월 출석표'!$B$7:$D$500,3,0)</f>
        <v>6</v>
      </c>
      <c r="J124" s="35" t="e">
        <f t="shared" ca="1" si="0"/>
        <v>#NAME?</v>
      </c>
      <c r="K124" s="36" t="str">
        <f t="shared" si="1"/>
        <v>유효</v>
      </c>
      <c r="L124" s="37" t="str">
        <f t="shared" si="2"/>
        <v/>
      </c>
      <c r="M124" s="30"/>
      <c r="N124" s="38" t="b">
        <v>0</v>
      </c>
      <c r="O124" s="38" t="b">
        <v>0</v>
      </c>
      <c r="P124" s="39">
        <f>VLOOKUP($B124,'26년 1월 출석표'!$B$2:$BQ$497,10,0)/1</f>
        <v>0</v>
      </c>
      <c r="Q124" s="40"/>
      <c r="R124" s="41">
        <f>VLOOKUP($B124,'26년 1월 출석표'!$B$2:$BQ$497,24,0)/5</f>
        <v>1</v>
      </c>
      <c r="S124" s="40"/>
      <c r="T124" s="41">
        <f>VLOOKUP($B124,'26년 1월 출석표'!$B$2:$BQ$497,38,0)/5</f>
        <v>0.2</v>
      </c>
      <c r="U124" s="40"/>
      <c r="V124" s="41">
        <f>VLOOKUP($B124,'26년 1월 출석표'!$B$2:$BQ$497,52,0)/5</f>
        <v>0</v>
      </c>
      <c r="W124" s="42"/>
      <c r="X124" s="41">
        <f>VLOOKUP($B124,'26년 1월 출석표'!$B$2:$BQ$503,66,0)/5</f>
        <v>0</v>
      </c>
      <c r="Y124" s="43"/>
    </row>
    <row r="125" spans="1:25" ht="16.5">
      <c r="A125" s="29"/>
      <c r="B125" s="30" t="s">
        <v>270</v>
      </c>
      <c r="C125" s="46" t="s">
        <v>4</v>
      </c>
      <c r="D125" s="47" t="s">
        <v>271</v>
      </c>
      <c r="E125" s="48" t="s">
        <v>26</v>
      </c>
      <c r="F125" s="49">
        <v>45985</v>
      </c>
      <c r="G125" s="49">
        <v>45986</v>
      </c>
      <c r="H125" s="49">
        <v>46380</v>
      </c>
      <c r="I125" s="34">
        <f>VLOOKUP(B125,'26년 1월 출석표'!$B$7:$D$500,3,0)</f>
        <v>0</v>
      </c>
      <c r="J125" s="35" t="e">
        <f t="shared" ca="1" si="0"/>
        <v>#NAME?</v>
      </c>
      <c r="K125" s="36" t="str">
        <f t="shared" si="1"/>
        <v>유효</v>
      </c>
      <c r="L125" s="37" t="str">
        <f t="shared" si="2"/>
        <v/>
      </c>
      <c r="M125" s="30"/>
      <c r="N125" s="38" t="b">
        <v>0</v>
      </c>
      <c r="O125" s="38" t="b">
        <v>0</v>
      </c>
      <c r="P125" s="39">
        <f>VLOOKUP($B125,'26년 1월 출석표'!$B$2:$BQ$497,10,0)/1</f>
        <v>0</v>
      </c>
      <c r="Q125" s="40"/>
      <c r="R125" s="41">
        <f>VLOOKUP($B125,'26년 1월 출석표'!$B$2:$BQ$497,24,0)/5</f>
        <v>0</v>
      </c>
      <c r="S125" s="40"/>
      <c r="T125" s="41">
        <f>VLOOKUP($B125,'26년 1월 출석표'!$B$2:$BQ$497,38,0)/5</f>
        <v>0</v>
      </c>
      <c r="U125" s="40"/>
      <c r="V125" s="41">
        <f>VLOOKUP($B125,'26년 1월 출석표'!$B$2:$BQ$497,52,0)/5</f>
        <v>0</v>
      </c>
      <c r="W125" s="42"/>
      <c r="X125" s="41">
        <f>VLOOKUP($B125,'26년 1월 출석표'!$B$2:$BQ$503,66,0)/5</f>
        <v>0</v>
      </c>
      <c r="Y125" s="43"/>
    </row>
    <row r="126" spans="1:25" ht="16.5">
      <c r="A126" s="29"/>
      <c r="B126" s="30" t="s">
        <v>272</v>
      </c>
      <c r="C126" s="46" t="s">
        <v>4</v>
      </c>
      <c r="D126" s="47" t="s">
        <v>273</v>
      </c>
      <c r="E126" s="48" t="s">
        <v>31</v>
      </c>
      <c r="F126" s="49">
        <v>45986</v>
      </c>
      <c r="G126" s="49">
        <v>45988</v>
      </c>
      <c r="H126" s="49">
        <v>46281</v>
      </c>
      <c r="I126" s="34">
        <f>VLOOKUP(B126,'26년 1월 출석표'!$B$7:$D$500,3,0)</f>
        <v>4</v>
      </c>
      <c r="J126" s="35" t="e">
        <f t="shared" ca="1" si="0"/>
        <v>#NAME?</v>
      </c>
      <c r="K126" s="36" t="str">
        <f t="shared" si="1"/>
        <v>유효</v>
      </c>
      <c r="L126" s="37" t="str">
        <f t="shared" si="2"/>
        <v/>
      </c>
      <c r="M126" s="30"/>
      <c r="N126" s="38" t="b">
        <v>0</v>
      </c>
      <c r="O126" s="38" t="b">
        <v>0</v>
      </c>
      <c r="P126" s="39">
        <f>VLOOKUP($B126,'26년 1월 출석표'!$B$2:$BQ$497,10,0)/1</f>
        <v>0</v>
      </c>
      <c r="Q126" s="40"/>
      <c r="R126" s="41">
        <f>VLOOKUP($B126,'26년 1월 출석표'!$B$2:$BQ$497,24,0)/5</f>
        <v>0.8</v>
      </c>
      <c r="S126" s="40"/>
      <c r="T126" s="41">
        <f>VLOOKUP($B126,'26년 1월 출석표'!$B$2:$BQ$497,38,0)/5</f>
        <v>0</v>
      </c>
      <c r="U126" s="40"/>
      <c r="V126" s="41">
        <f>VLOOKUP($B126,'26년 1월 출석표'!$B$2:$BQ$497,52,0)/5</f>
        <v>0</v>
      </c>
      <c r="W126" s="42"/>
      <c r="X126" s="41">
        <f>VLOOKUP($B126,'26년 1월 출석표'!$B$2:$BQ$503,66,0)/5</f>
        <v>0</v>
      </c>
      <c r="Y126" s="43"/>
    </row>
    <row r="127" spans="1:25" ht="16.5">
      <c r="A127" s="29"/>
      <c r="B127" s="30" t="s">
        <v>274</v>
      </c>
      <c r="C127" s="46" t="s">
        <v>4</v>
      </c>
      <c r="D127" s="47" t="s">
        <v>275</v>
      </c>
      <c r="E127" s="48" t="s">
        <v>57</v>
      </c>
      <c r="F127" s="49">
        <v>45989</v>
      </c>
      <c r="G127" s="49">
        <v>45992</v>
      </c>
      <c r="H127" s="49">
        <v>46081</v>
      </c>
      <c r="I127" s="34">
        <f>VLOOKUP(B127,'26년 1월 출석표'!$B$7:$D$500,3,0)</f>
        <v>3</v>
      </c>
      <c r="J127" s="35" t="e">
        <f t="shared" ca="1" si="0"/>
        <v>#NAME?</v>
      </c>
      <c r="K127" s="36" t="str">
        <f t="shared" si="1"/>
        <v>유효</v>
      </c>
      <c r="L127" s="37" t="str">
        <f t="shared" si="2"/>
        <v/>
      </c>
      <c r="M127" s="30"/>
      <c r="N127" s="38" t="b">
        <v>0</v>
      </c>
      <c r="O127" s="38" t="b">
        <v>0</v>
      </c>
      <c r="P127" s="39">
        <f>VLOOKUP($B127,'26년 1월 출석표'!$B$2:$BQ$497,10,0)/1</f>
        <v>1</v>
      </c>
      <c r="Q127" s="40"/>
      <c r="R127" s="41">
        <f>VLOOKUP($B127,'26년 1월 출석표'!$B$2:$BQ$497,24,0)/5</f>
        <v>0.4</v>
      </c>
      <c r="S127" s="40"/>
      <c r="T127" s="41">
        <f>VLOOKUP($B127,'26년 1월 출석표'!$B$2:$BQ$497,38,0)/5</f>
        <v>0</v>
      </c>
      <c r="U127" s="40"/>
      <c r="V127" s="41">
        <f>VLOOKUP($B127,'26년 1월 출석표'!$B$2:$BQ$497,52,0)/5</f>
        <v>0</v>
      </c>
      <c r="W127" s="42"/>
      <c r="X127" s="41">
        <f>VLOOKUP($B127,'26년 1월 출석표'!$B$2:$BQ$503,66,0)/5</f>
        <v>0</v>
      </c>
      <c r="Y127" s="43"/>
    </row>
    <row r="128" spans="1:25" ht="16.5">
      <c r="A128" s="29"/>
      <c r="B128" s="30" t="s">
        <v>276</v>
      </c>
      <c r="C128" s="46" t="s">
        <v>4</v>
      </c>
      <c r="D128" s="47" t="s">
        <v>277</v>
      </c>
      <c r="E128" s="48" t="s">
        <v>34</v>
      </c>
      <c r="F128" s="49">
        <v>45989</v>
      </c>
      <c r="G128" s="49">
        <v>45992</v>
      </c>
      <c r="H128" s="49">
        <v>46356</v>
      </c>
      <c r="I128" s="34">
        <f>VLOOKUP(B128,'26년 1월 출석표'!$B$7:$D$500,3,0)</f>
        <v>2</v>
      </c>
      <c r="J128" s="35" t="e">
        <f t="shared" ca="1" si="0"/>
        <v>#NAME?</v>
      </c>
      <c r="K128" s="36" t="str">
        <f t="shared" si="1"/>
        <v>유효</v>
      </c>
      <c r="L128" s="37" t="str">
        <f t="shared" si="2"/>
        <v/>
      </c>
      <c r="M128" s="30"/>
      <c r="N128" s="38" t="b">
        <v>0</v>
      </c>
      <c r="O128" s="38" t="b">
        <v>0</v>
      </c>
      <c r="P128" s="39">
        <f>VLOOKUP($B128,'26년 1월 출석표'!$B$2:$BQ$497,10,0)/1</f>
        <v>0</v>
      </c>
      <c r="Q128" s="40"/>
      <c r="R128" s="41">
        <f>VLOOKUP($B128,'26년 1월 출석표'!$B$2:$BQ$497,24,0)/5</f>
        <v>0.4</v>
      </c>
      <c r="S128" s="40"/>
      <c r="T128" s="41">
        <f>VLOOKUP($B128,'26년 1월 출석표'!$B$2:$BQ$497,38,0)/5</f>
        <v>0</v>
      </c>
      <c r="U128" s="40"/>
      <c r="V128" s="41">
        <f>VLOOKUP($B128,'26년 1월 출석표'!$B$2:$BQ$497,52,0)/5</f>
        <v>0</v>
      </c>
      <c r="W128" s="42"/>
      <c r="X128" s="41">
        <f>VLOOKUP($B128,'26년 1월 출석표'!$B$2:$BQ$503,66,0)/5</f>
        <v>0</v>
      </c>
      <c r="Y128" s="43"/>
    </row>
    <row r="129" spans="1:25" ht="16.5">
      <c r="A129" s="29"/>
      <c r="B129" s="30" t="s">
        <v>278</v>
      </c>
      <c r="C129" s="46" t="s">
        <v>3</v>
      </c>
      <c r="D129" s="47" t="s">
        <v>279</v>
      </c>
      <c r="E129" s="48" t="s">
        <v>90</v>
      </c>
      <c r="F129" s="49">
        <v>45990</v>
      </c>
      <c r="G129" s="49">
        <v>46000</v>
      </c>
      <c r="H129" s="49">
        <v>46044</v>
      </c>
      <c r="I129" s="34">
        <f>VLOOKUP(B129,'26년 1월 출석표'!$B$7:$D$500,3,0)</f>
        <v>4</v>
      </c>
      <c r="J129" s="35" t="e">
        <f t="shared" ca="1" si="0"/>
        <v>#NAME?</v>
      </c>
      <c r="K129" s="36" t="str">
        <f t="shared" si="1"/>
        <v>유효</v>
      </c>
      <c r="L129" s="37" t="str">
        <f t="shared" si="2"/>
        <v>만료</v>
      </c>
      <c r="M129" s="30"/>
      <c r="N129" s="38" t="b">
        <v>0</v>
      </c>
      <c r="O129" s="38" t="b">
        <v>0</v>
      </c>
      <c r="P129" s="39">
        <f>VLOOKUP($B129,'26년 1월 출석표'!$B$2:$BQ$497,10,0)/1</f>
        <v>1</v>
      </c>
      <c r="Q129" s="40"/>
      <c r="R129" s="41">
        <f>VLOOKUP($B129,'26년 1월 출석표'!$B$2:$BQ$497,24,0)/5</f>
        <v>0.6</v>
      </c>
      <c r="S129" s="40"/>
      <c r="T129" s="41">
        <f>VLOOKUP($B129,'26년 1월 출석표'!$B$2:$BQ$497,38,0)/5</f>
        <v>0</v>
      </c>
      <c r="U129" s="40"/>
      <c r="V129" s="41">
        <f>VLOOKUP($B129,'26년 1월 출석표'!$B$2:$BQ$497,52,0)/5</f>
        <v>0</v>
      </c>
      <c r="W129" s="42"/>
      <c r="X129" s="41">
        <f>VLOOKUP($B129,'26년 1월 출석표'!$B$2:$BQ$503,66,0)/5</f>
        <v>0</v>
      </c>
      <c r="Y129" s="43"/>
    </row>
    <row r="130" spans="1:25" ht="16.5">
      <c r="A130" s="29"/>
      <c r="B130" s="30" t="s">
        <v>280</v>
      </c>
      <c r="C130" s="46" t="s">
        <v>3</v>
      </c>
      <c r="D130" s="47" t="s">
        <v>281</v>
      </c>
      <c r="E130" s="48" t="s">
        <v>57</v>
      </c>
      <c r="F130" s="49">
        <v>45994</v>
      </c>
      <c r="G130" s="49">
        <v>45999</v>
      </c>
      <c r="H130" s="49">
        <v>46119</v>
      </c>
      <c r="I130" s="34">
        <f>VLOOKUP(B130,'26년 1월 출석표'!$B$7:$D$500,3,0)</f>
        <v>1</v>
      </c>
      <c r="J130" s="35" t="e">
        <f t="shared" ca="1" si="0"/>
        <v>#NAME?</v>
      </c>
      <c r="K130" s="36" t="str">
        <f t="shared" si="1"/>
        <v>유효</v>
      </c>
      <c r="L130" s="37" t="str">
        <f t="shared" si="2"/>
        <v/>
      </c>
      <c r="M130" s="30"/>
      <c r="N130" s="38" t="b">
        <v>0</v>
      </c>
      <c r="O130" s="38" t="b">
        <v>0</v>
      </c>
      <c r="P130" s="39">
        <f>VLOOKUP($B130,'26년 1월 출석표'!$B$2:$BQ$497,10,0)/1</f>
        <v>0</v>
      </c>
      <c r="Q130" s="40"/>
      <c r="R130" s="41">
        <f>VLOOKUP($B130,'26년 1월 출석표'!$B$2:$BQ$497,24,0)/5</f>
        <v>0.2</v>
      </c>
      <c r="S130" s="40"/>
      <c r="T130" s="41">
        <f>VLOOKUP($B130,'26년 1월 출석표'!$B$2:$BQ$497,38,0)/5</f>
        <v>0</v>
      </c>
      <c r="U130" s="40"/>
      <c r="V130" s="41">
        <f>VLOOKUP($B130,'26년 1월 출석표'!$B$2:$BQ$497,52,0)/5</f>
        <v>0</v>
      </c>
      <c r="W130" s="42"/>
      <c r="X130" s="41">
        <f>VLOOKUP($B130,'26년 1월 출석표'!$B$2:$BQ$503,66,0)/5</f>
        <v>0</v>
      </c>
      <c r="Y130" s="43"/>
    </row>
    <row r="131" spans="1:25" ht="16.5">
      <c r="A131" s="29"/>
      <c r="B131" s="30" t="s">
        <v>282</v>
      </c>
      <c r="C131" s="46" t="s">
        <v>4</v>
      </c>
      <c r="D131" s="47" t="s">
        <v>283</v>
      </c>
      <c r="E131" s="48" t="s">
        <v>57</v>
      </c>
      <c r="F131" s="49">
        <v>45999</v>
      </c>
      <c r="G131" s="49">
        <v>46000</v>
      </c>
      <c r="H131" s="49">
        <v>46089</v>
      </c>
      <c r="I131" s="34">
        <f>VLOOKUP(B131,'26년 1월 출석표'!$B$7:$D$500,3,0)</f>
        <v>7</v>
      </c>
      <c r="J131" s="35" t="e">
        <f t="shared" ca="1" si="0"/>
        <v>#NAME?</v>
      </c>
      <c r="K131" s="36" t="str">
        <f t="shared" si="1"/>
        <v>유효</v>
      </c>
      <c r="L131" s="37" t="str">
        <f t="shared" si="2"/>
        <v/>
      </c>
      <c r="M131" s="30"/>
      <c r="N131" s="38" t="b">
        <v>0</v>
      </c>
      <c r="O131" s="38" t="b">
        <v>0</v>
      </c>
      <c r="P131" s="39">
        <f>VLOOKUP($B131,'26년 1월 출석표'!$B$2:$BQ$497,10,0)/1</f>
        <v>1</v>
      </c>
      <c r="Q131" s="40"/>
      <c r="R131" s="41">
        <f>VLOOKUP($B131,'26년 1월 출석표'!$B$2:$BQ$497,24,0)/5</f>
        <v>1</v>
      </c>
      <c r="S131" s="40"/>
      <c r="T131" s="41">
        <f>VLOOKUP($B131,'26년 1월 출석표'!$B$2:$BQ$497,38,0)/5</f>
        <v>0.2</v>
      </c>
      <c r="U131" s="40"/>
      <c r="V131" s="41">
        <f>VLOOKUP($B131,'26년 1월 출석표'!$B$2:$BQ$497,52,0)/5</f>
        <v>0</v>
      </c>
      <c r="W131" s="42"/>
      <c r="X131" s="41">
        <f>VLOOKUP($B131,'26년 1월 출석표'!$B$2:$BQ$503,66,0)/5</f>
        <v>0</v>
      </c>
      <c r="Y131" s="43"/>
    </row>
    <row r="132" spans="1:25" ht="16.5">
      <c r="A132" s="29"/>
      <c r="B132" s="30" t="s">
        <v>284</v>
      </c>
      <c r="C132" s="46" t="s">
        <v>4</v>
      </c>
      <c r="D132" s="47" t="s">
        <v>285</v>
      </c>
      <c r="E132" s="48" t="s">
        <v>34</v>
      </c>
      <c r="F132" s="49">
        <v>45999</v>
      </c>
      <c r="G132" s="49">
        <v>45999</v>
      </c>
      <c r="H132" s="49">
        <v>46394</v>
      </c>
      <c r="I132" s="34">
        <f>VLOOKUP(B132,'26년 1월 출석표'!$B$7:$D$500,3,0)</f>
        <v>6</v>
      </c>
      <c r="J132" s="35" t="e">
        <f t="shared" ca="1" si="0"/>
        <v>#NAME?</v>
      </c>
      <c r="K132" s="36" t="str">
        <f t="shared" si="1"/>
        <v>유효</v>
      </c>
      <c r="L132" s="37" t="str">
        <f t="shared" si="2"/>
        <v/>
      </c>
      <c r="M132" s="30"/>
      <c r="N132" s="38" t="b">
        <v>0</v>
      </c>
      <c r="O132" s="38" t="b">
        <v>0</v>
      </c>
      <c r="P132" s="39">
        <f>VLOOKUP($B132,'26년 1월 출석표'!$B$2:$BQ$497,10,0)/1</f>
        <v>1</v>
      </c>
      <c r="Q132" s="40"/>
      <c r="R132" s="41">
        <f>VLOOKUP($B132,'26년 1월 출석표'!$B$2:$BQ$497,24,0)/5</f>
        <v>0.8</v>
      </c>
      <c r="S132" s="40"/>
      <c r="T132" s="41">
        <f>VLOOKUP($B132,'26년 1월 출석표'!$B$2:$BQ$497,38,0)/5</f>
        <v>0.2</v>
      </c>
      <c r="U132" s="40"/>
      <c r="V132" s="41">
        <f>VLOOKUP($B132,'26년 1월 출석표'!$B$2:$BQ$497,52,0)/5</f>
        <v>0</v>
      </c>
      <c r="W132" s="42"/>
      <c r="X132" s="41">
        <f>VLOOKUP($B132,'26년 1월 출석표'!$B$2:$BQ$503,66,0)/5</f>
        <v>0</v>
      </c>
      <c r="Y132" s="43"/>
    </row>
    <row r="133" spans="1:25" ht="16.5">
      <c r="A133" s="29"/>
      <c r="B133" s="30" t="s">
        <v>286</v>
      </c>
      <c r="C133" s="46" t="s">
        <v>3</v>
      </c>
      <c r="D133" s="47" t="s">
        <v>287</v>
      </c>
      <c r="E133" s="48" t="s">
        <v>90</v>
      </c>
      <c r="F133" s="49">
        <v>46000</v>
      </c>
      <c r="G133" s="49">
        <v>46031</v>
      </c>
      <c r="H133" s="49">
        <v>46075</v>
      </c>
      <c r="I133" s="34">
        <f>VLOOKUP(B133,'26년 1월 출석표'!$B$7:$D$500,3,0)</f>
        <v>6</v>
      </c>
      <c r="J133" s="35" t="e">
        <f t="shared" ca="1" si="0"/>
        <v>#NAME?</v>
      </c>
      <c r="K133" s="36" t="str">
        <f t="shared" si="1"/>
        <v>유효</v>
      </c>
      <c r="L133" s="37" t="str">
        <f t="shared" si="2"/>
        <v/>
      </c>
      <c r="M133" s="30"/>
      <c r="N133" s="38" t="b">
        <v>0</v>
      </c>
      <c r="O133" s="38" t="b">
        <v>0</v>
      </c>
      <c r="P133" s="39">
        <f>VLOOKUP($B133,'26년 1월 출석표'!$B$2:$BQ$497,10,0)/1</f>
        <v>1</v>
      </c>
      <c r="Q133" s="40"/>
      <c r="R133" s="41">
        <f>VLOOKUP($B133,'26년 1월 출석표'!$B$2:$BQ$497,24,0)/5</f>
        <v>1</v>
      </c>
      <c r="S133" s="40"/>
      <c r="T133" s="41">
        <f>VLOOKUP($B133,'26년 1월 출석표'!$B$2:$BQ$497,38,0)/5</f>
        <v>0</v>
      </c>
      <c r="U133" s="40"/>
      <c r="V133" s="41">
        <f>VLOOKUP($B133,'26년 1월 출석표'!$B$2:$BQ$497,52,0)/5</f>
        <v>0</v>
      </c>
      <c r="W133" s="42"/>
      <c r="X133" s="41">
        <f>VLOOKUP($B133,'26년 1월 출석표'!$B$2:$BQ$503,66,0)/5</f>
        <v>0</v>
      </c>
      <c r="Y133" s="43"/>
    </row>
    <row r="134" spans="1:25" ht="16.5">
      <c r="A134" s="29"/>
      <c r="B134" s="30" t="s">
        <v>288</v>
      </c>
      <c r="C134" s="46" t="s">
        <v>3</v>
      </c>
      <c r="D134" s="47" t="s">
        <v>289</v>
      </c>
      <c r="E134" s="48" t="s">
        <v>90</v>
      </c>
      <c r="F134" s="49">
        <v>46000</v>
      </c>
      <c r="G134" s="49">
        <v>46032</v>
      </c>
      <c r="H134" s="49">
        <v>46076</v>
      </c>
      <c r="I134" s="34">
        <f>VLOOKUP(B134,'26년 1월 출석표'!$B$7:$D$500,3,0)</f>
        <v>2</v>
      </c>
      <c r="J134" s="35" t="e">
        <f t="shared" ca="1" si="0"/>
        <v>#NAME?</v>
      </c>
      <c r="K134" s="36" t="str">
        <f t="shared" si="1"/>
        <v>유효</v>
      </c>
      <c r="L134" s="37" t="str">
        <f t="shared" si="2"/>
        <v/>
      </c>
      <c r="M134" s="30"/>
      <c r="N134" s="38" t="b">
        <v>0</v>
      </c>
      <c r="O134" s="38" t="b">
        <v>0</v>
      </c>
      <c r="P134" s="39">
        <f>VLOOKUP($B134,'26년 1월 출석표'!$B$2:$BQ$497,10,0)/1</f>
        <v>0</v>
      </c>
      <c r="Q134" s="40"/>
      <c r="R134" s="41">
        <f>VLOOKUP($B134,'26년 1월 출석표'!$B$2:$BQ$497,24,0)/5</f>
        <v>0.4</v>
      </c>
      <c r="S134" s="40"/>
      <c r="T134" s="41">
        <f>VLOOKUP($B134,'26년 1월 출석표'!$B$2:$BQ$497,38,0)/5</f>
        <v>0</v>
      </c>
      <c r="U134" s="40"/>
      <c r="V134" s="41">
        <f>VLOOKUP($B134,'26년 1월 출석표'!$B$2:$BQ$497,52,0)/5</f>
        <v>0</v>
      </c>
      <c r="W134" s="42"/>
      <c r="X134" s="41">
        <f>VLOOKUP($B134,'26년 1월 출석표'!$B$2:$BQ$503,66,0)/5</f>
        <v>0</v>
      </c>
      <c r="Y134" s="43"/>
    </row>
    <row r="135" spans="1:25" ht="16.5">
      <c r="A135" s="29"/>
      <c r="B135" s="30" t="s">
        <v>290</v>
      </c>
      <c r="C135" s="46" t="s">
        <v>3</v>
      </c>
      <c r="D135" s="47" t="s">
        <v>291</v>
      </c>
      <c r="E135" s="48" t="s">
        <v>26</v>
      </c>
      <c r="F135" s="49">
        <v>46001</v>
      </c>
      <c r="G135" s="49">
        <v>46003</v>
      </c>
      <c r="H135" s="49">
        <v>46184</v>
      </c>
      <c r="I135" s="34">
        <f>VLOOKUP(B135,'26년 1월 출석표'!$B$7:$D$500,3,0)</f>
        <v>6</v>
      </c>
      <c r="J135" s="35" t="e">
        <f t="shared" ca="1" si="0"/>
        <v>#NAME?</v>
      </c>
      <c r="K135" s="36" t="str">
        <f t="shared" si="1"/>
        <v>유효</v>
      </c>
      <c r="L135" s="37" t="str">
        <f t="shared" si="2"/>
        <v/>
      </c>
      <c r="M135" s="30"/>
      <c r="N135" s="38" t="b">
        <v>0</v>
      </c>
      <c r="O135" s="38" t="b">
        <v>0</v>
      </c>
      <c r="P135" s="39">
        <f>VLOOKUP($B135,'26년 1월 출석표'!$B$2:$BQ$497,10,0)/1</f>
        <v>1</v>
      </c>
      <c r="Q135" s="40"/>
      <c r="R135" s="41">
        <f>VLOOKUP($B135,'26년 1월 출석표'!$B$2:$BQ$497,24,0)/5</f>
        <v>0.8</v>
      </c>
      <c r="S135" s="40"/>
      <c r="T135" s="41">
        <f>VLOOKUP($B135,'26년 1월 출석표'!$B$2:$BQ$497,38,0)/5</f>
        <v>0.2</v>
      </c>
      <c r="U135" s="40"/>
      <c r="V135" s="41">
        <f>VLOOKUP($B135,'26년 1월 출석표'!$B$2:$BQ$497,52,0)/5</f>
        <v>0</v>
      </c>
      <c r="W135" s="42"/>
      <c r="X135" s="41">
        <f>VLOOKUP($B135,'26년 1월 출석표'!$B$2:$BQ$503,66,0)/5</f>
        <v>0</v>
      </c>
      <c r="Y135" s="43"/>
    </row>
    <row r="136" spans="1:25" ht="16.5">
      <c r="A136" s="29"/>
      <c r="B136" s="30" t="s">
        <v>292</v>
      </c>
      <c r="C136" s="46" t="s">
        <v>4</v>
      </c>
      <c r="D136" s="47" t="s">
        <v>293</v>
      </c>
      <c r="E136" s="48" t="s">
        <v>57</v>
      </c>
      <c r="F136" s="49">
        <v>46002</v>
      </c>
      <c r="G136" s="49">
        <v>46006</v>
      </c>
      <c r="H136" s="49">
        <v>46095</v>
      </c>
      <c r="I136" s="34">
        <f>VLOOKUP(B136,'26년 1월 출석표'!$B$7:$D$500,3,0)</f>
        <v>6</v>
      </c>
      <c r="J136" s="35" t="e">
        <f t="shared" ca="1" si="0"/>
        <v>#NAME?</v>
      </c>
      <c r="K136" s="36" t="str">
        <f t="shared" si="1"/>
        <v>유효</v>
      </c>
      <c r="L136" s="37" t="str">
        <f t="shared" si="2"/>
        <v/>
      </c>
      <c r="M136" s="30"/>
      <c r="N136" s="38" t="b">
        <v>0</v>
      </c>
      <c r="O136" s="38" t="b">
        <v>0</v>
      </c>
      <c r="P136" s="39">
        <f>VLOOKUP($B136,'26년 1월 출석표'!$B$2:$BQ$497,10,0)/1</f>
        <v>1</v>
      </c>
      <c r="Q136" s="40"/>
      <c r="R136" s="41">
        <f>VLOOKUP($B136,'26년 1월 출석표'!$B$2:$BQ$497,24,0)/5</f>
        <v>0.8</v>
      </c>
      <c r="S136" s="40"/>
      <c r="T136" s="41">
        <f>VLOOKUP($B136,'26년 1월 출석표'!$B$2:$BQ$497,38,0)/5</f>
        <v>0.2</v>
      </c>
      <c r="U136" s="40"/>
      <c r="V136" s="41">
        <f>VLOOKUP($B136,'26년 1월 출석표'!$B$2:$BQ$497,52,0)/5</f>
        <v>0</v>
      </c>
      <c r="W136" s="42"/>
      <c r="X136" s="41">
        <f>VLOOKUP($B136,'26년 1월 출석표'!$B$2:$BQ$503,66,0)/5</f>
        <v>0</v>
      </c>
      <c r="Y136" s="43"/>
    </row>
    <row r="137" spans="1:25" ht="16.5">
      <c r="A137" s="29"/>
      <c r="B137" s="30" t="s">
        <v>294</v>
      </c>
      <c r="C137" s="46" t="s">
        <v>4</v>
      </c>
      <c r="D137" s="47" t="s">
        <v>295</v>
      </c>
      <c r="E137" s="48" t="s">
        <v>90</v>
      </c>
      <c r="F137" s="49">
        <v>46003</v>
      </c>
      <c r="G137" s="49">
        <v>46006</v>
      </c>
      <c r="H137" s="49">
        <v>46057</v>
      </c>
      <c r="I137" s="34">
        <f>VLOOKUP(B137,'26년 1월 출석표'!$B$7:$D$500,3,0)</f>
        <v>4</v>
      </c>
      <c r="J137" s="35" t="e">
        <f t="shared" ca="1" si="0"/>
        <v>#NAME?</v>
      </c>
      <c r="K137" s="36" t="str">
        <f t="shared" si="1"/>
        <v>유효</v>
      </c>
      <c r="L137" s="37" t="str">
        <f t="shared" si="2"/>
        <v/>
      </c>
      <c r="M137" s="30"/>
      <c r="N137" s="38" t="b">
        <v>0</v>
      </c>
      <c r="O137" s="38" t="b">
        <v>0</v>
      </c>
      <c r="P137" s="39">
        <f>VLOOKUP($B137,'26년 1월 출석표'!$B$2:$BQ$497,10,0)/1</f>
        <v>0</v>
      </c>
      <c r="Q137" s="40"/>
      <c r="R137" s="41">
        <f>VLOOKUP($B137,'26년 1월 출석표'!$B$2:$BQ$497,24,0)/5</f>
        <v>0.6</v>
      </c>
      <c r="S137" s="40"/>
      <c r="T137" s="41">
        <f>VLOOKUP($B137,'26년 1월 출석표'!$B$2:$BQ$497,38,0)/5</f>
        <v>0.2</v>
      </c>
      <c r="U137" s="40"/>
      <c r="V137" s="41">
        <f>VLOOKUP($B137,'26년 1월 출석표'!$B$2:$BQ$497,52,0)/5</f>
        <v>0</v>
      </c>
      <c r="W137" s="42"/>
      <c r="X137" s="41">
        <f>VLOOKUP($B137,'26년 1월 출석표'!$B$2:$BQ$503,66,0)/5</f>
        <v>0</v>
      </c>
      <c r="Y137" s="43"/>
    </row>
    <row r="138" spans="1:25" ht="16.5">
      <c r="A138" s="29"/>
      <c r="B138" s="30" t="s">
        <v>296</v>
      </c>
      <c r="C138" s="46" t="s">
        <v>4</v>
      </c>
      <c r="D138" s="47" t="s">
        <v>297</v>
      </c>
      <c r="E138" s="48" t="s">
        <v>90</v>
      </c>
      <c r="F138" s="49">
        <v>46003</v>
      </c>
      <c r="G138" s="49">
        <v>46027</v>
      </c>
      <c r="H138" s="49">
        <v>46079</v>
      </c>
      <c r="I138" s="34">
        <f>VLOOKUP(B138,'26년 1월 출석표'!$B$7:$D$500,3,0)</f>
        <v>0</v>
      </c>
      <c r="J138" s="35" t="e">
        <f t="shared" ca="1" si="0"/>
        <v>#NAME?</v>
      </c>
      <c r="K138" s="36" t="str">
        <f t="shared" si="1"/>
        <v>유효</v>
      </c>
      <c r="L138" s="37" t="str">
        <f t="shared" si="2"/>
        <v/>
      </c>
      <c r="M138" s="30"/>
      <c r="N138" s="38" t="b">
        <v>0</v>
      </c>
      <c r="O138" s="38" t="b">
        <v>0</v>
      </c>
      <c r="P138" s="39">
        <f>VLOOKUP($B138,'26년 1월 출석표'!$B$2:$BQ$497,10,0)/1</f>
        <v>0</v>
      </c>
      <c r="Q138" s="40"/>
      <c r="R138" s="41">
        <f>VLOOKUP($B138,'26년 1월 출석표'!$B$2:$BQ$497,24,0)/5</f>
        <v>0</v>
      </c>
      <c r="S138" s="40"/>
      <c r="T138" s="41">
        <f>VLOOKUP($B138,'26년 1월 출석표'!$B$2:$BQ$497,38,0)/5</f>
        <v>0</v>
      </c>
      <c r="U138" s="40"/>
      <c r="V138" s="41">
        <f>VLOOKUP($B138,'26년 1월 출석표'!$B$2:$BQ$497,52,0)/5</f>
        <v>0</v>
      </c>
      <c r="W138" s="42"/>
      <c r="X138" s="41">
        <f>VLOOKUP($B138,'26년 1월 출석표'!$B$2:$BQ$503,66,0)/5</f>
        <v>0</v>
      </c>
      <c r="Y138" s="43"/>
    </row>
    <row r="139" spans="1:25" ht="16.5">
      <c r="A139" s="29"/>
      <c r="B139" s="30" t="s">
        <v>298</v>
      </c>
      <c r="C139" s="46" t="s">
        <v>4</v>
      </c>
      <c r="D139" s="47" t="s">
        <v>299</v>
      </c>
      <c r="E139" s="48" t="s">
        <v>34</v>
      </c>
      <c r="F139" s="49">
        <v>46003</v>
      </c>
      <c r="G139" s="49">
        <v>46006</v>
      </c>
      <c r="H139" s="49">
        <v>46370</v>
      </c>
      <c r="I139" s="34">
        <f>VLOOKUP(B139,'26년 1월 출석표'!$B$7:$D$500,3,0)</f>
        <v>0</v>
      </c>
      <c r="J139" s="35" t="e">
        <f t="shared" ca="1" si="0"/>
        <v>#NAME?</v>
      </c>
      <c r="K139" s="36" t="str">
        <f t="shared" si="1"/>
        <v>유효</v>
      </c>
      <c r="L139" s="37" t="str">
        <f t="shared" si="2"/>
        <v/>
      </c>
      <c r="M139" s="30"/>
      <c r="N139" s="38" t="b">
        <v>0</v>
      </c>
      <c r="O139" s="38" t="b">
        <v>0</v>
      </c>
      <c r="P139" s="39">
        <f>VLOOKUP($B139,'26년 1월 출석표'!$B$2:$BQ$497,10,0)/1</f>
        <v>0</v>
      </c>
      <c r="Q139" s="40"/>
      <c r="R139" s="41">
        <f>VLOOKUP($B139,'26년 1월 출석표'!$B$2:$BQ$497,24,0)/5</f>
        <v>0</v>
      </c>
      <c r="S139" s="40"/>
      <c r="T139" s="41">
        <f>VLOOKUP($B139,'26년 1월 출석표'!$B$2:$BQ$497,38,0)/5</f>
        <v>0</v>
      </c>
      <c r="U139" s="40"/>
      <c r="V139" s="41">
        <f>VLOOKUP($B139,'26년 1월 출석표'!$B$2:$BQ$497,52,0)/5</f>
        <v>0</v>
      </c>
      <c r="W139" s="42"/>
      <c r="X139" s="41">
        <f>VLOOKUP($B139,'26년 1월 출석표'!$B$2:$BQ$503,66,0)/5</f>
        <v>0</v>
      </c>
      <c r="Y139" s="43"/>
    </row>
    <row r="140" spans="1:25" ht="16.5">
      <c r="A140" s="29"/>
      <c r="B140" s="30" t="s">
        <v>300</v>
      </c>
      <c r="C140" s="46" t="s">
        <v>4</v>
      </c>
      <c r="D140" s="47" t="s">
        <v>301</v>
      </c>
      <c r="E140" s="48" t="s">
        <v>34</v>
      </c>
      <c r="F140" s="49">
        <v>46003</v>
      </c>
      <c r="G140" s="49">
        <v>46023</v>
      </c>
      <c r="H140" s="49">
        <v>46387</v>
      </c>
      <c r="I140" s="34">
        <f>VLOOKUP(B140,'26년 1월 출석표'!$B$7:$D$500,3,0)</f>
        <v>5</v>
      </c>
      <c r="J140" s="35" t="e">
        <f t="shared" ca="1" si="0"/>
        <v>#NAME?</v>
      </c>
      <c r="K140" s="36" t="str">
        <f t="shared" si="1"/>
        <v>유효</v>
      </c>
      <c r="L140" s="37" t="str">
        <f t="shared" si="2"/>
        <v/>
      </c>
      <c r="M140" s="30"/>
      <c r="N140" s="44" t="b">
        <v>1</v>
      </c>
      <c r="O140" s="44" t="b">
        <v>1</v>
      </c>
      <c r="P140" s="39">
        <f>VLOOKUP($B140,'26년 1월 출석표'!$B$2:$BQ$497,10,0)/1</f>
        <v>1</v>
      </c>
      <c r="Q140" s="40"/>
      <c r="R140" s="41">
        <f>VLOOKUP($B140,'26년 1월 출석표'!$B$2:$BQ$497,24,0)/5</f>
        <v>0.6</v>
      </c>
      <c r="S140" s="40"/>
      <c r="T140" s="41">
        <f>VLOOKUP($B140,'26년 1월 출석표'!$B$2:$BQ$497,38,0)/5</f>
        <v>0.2</v>
      </c>
      <c r="U140" s="40"/>
      <c r="V140" s="41">
        <f>VLOOKUP($B140,'26년 1월 출석표'!$B$2:$BQ$497,52,0)/5</f>
        <v>0</v>
      </c>
      <c r="W140" s="42"/>
      <c r="X140" s="41">
        <f>VLOOKUP($B140,'26년 1월 출석표'!$B$2:$BQ$503,66,0)/5</f>
        <v>0</v>
      </c>
      <c r="Y140" s="43"/>
    </row>
    <row r="141" spans="1:25" ht="16.5">
      <c r="A141" s="29"/>
      <c r="B141" s="30" t="s">
        <v>302</v>
      </c>
      <c r="C141" s="46" t="s">
        <v>4</v>
      </c>
      <c r="D141" s="47" t="s">
        <v>303</v>
      </c>
      <c r="E141" s="48" t="s">
        <v>34</v>
      </c>
      <c r="F141" s="49">
        <v>46006</v>
      </c>
      <c r="G141" s="49">
        <v>46023</v>
      </c>
      <c r="H141" s="49">
        <v>46387</v>
      </c>
      <c r="I141" s="34">
        <f>VLOOKUP(B141,'26년 1월 출석표'!$B$7:$D$500,3,0)</f>
        <v>5</v>
      </c>
      <c r="J141" s="35" t="e">
        <f t="shared" ca="1" si="0"/>
        <v>#NAME?</v>
      </c>
      <c r="K141" s="36" t="str">
        <f t="shared" si="1"/>
        <v>유효</v>
      </c>
      <c r="L141" s="37" t="str">
        <f t="shared" si="2"/>
        <v/>
      </c>
      <c r="M141" s="30"/>
      <c r="N141" s="38" t="b">
        <v>0</v>
      </c>
      <c r="O141" s="38" t="b">
        <v>0</v>
      </c>
      <c r="P141" s="39">
        <f>VLOOKUP($B141,'26년 1월 출석표'!$B$2:$BQ$497,10,0)/1</f>
        <v>0</v>
      </c>
      <c r="Q141" s="40"/>
      <c r="R141" s="41">
        <f>VLOOKUP($B141,'26년 1월 출석표'!$B$2:$BQ$497,24,0)/5</f>
        <v>0.8</v>
      </c>
      <c r="S141" s="40"/>
      <c r="T141" s="41">
        <f>VLOOKUP($B141,'26년 1월 출석표'!$B$2:$BQ$497,38,0)/5</f>
        <v>0.2</v>
      </c>
      <c r="U141" s="40"/>
      <c r="V141" s="41">
        <f>VLOOKUP($B141,'26년 1월 출석표'!$B$2:$BQ$497,52,0)/5</f>
        <v>0</v>
      </c>
      <c r="W141" s="42"/>
      <c r="X141" s="41">
        <f>VLOOKUP($B141,'26년 1월 출석표'!$B$2:$BQ$503,66,0)/5</f>
        <v>0</v>
      </c>
      <c r="Y141" s="43"/>
    </row>
    <row r="142" spans="1:25" ht="16.5">
      <c r="A142" s="29"/>
      <c r="B142" s="30" t="s">
        <v>304</v>
      </c>
      <c r="C142" s="46" t="s">
        <v>4</v>
      </c>
      <c r="D142" s="47" t="s">
        <v>305</v>
      </c>
      <c r="E142" s="48" t="s">
        <v>31</v>
      </c>
      <c r="F142" s="49">
        <v>46007</v>
      </c>
      <c r="G142" s="49">
        <v>46008</v>
      </c>
      <c r="H142" s="49">
        <v>46281</v>
      </c>
      <c r="I142" s="34">
        <f>VLOOKUP(B142,'26년 1월 출석표'!$B$7:$D$500,3,0)</f>
        <v>6</v>
      </c>
      <c r="J142" s="35" t="e">
        <f t="shared" ca="1" si="0"/>
        <v>#NAME?</v>
      </c>
      <c r="K142" s="36" t="str">
        <f t="shared" si="1"/>
        <v>유효</v>
      </c>
      <c r="L142" s="37" t="str">
        <f t="shared" si="2"/>
        <v/>
      </c>
      <c r="M142" s="30"/>
      <c r="N142" s="38" t="b">
        <v>0</v>
      </c>
      <c r="O142" s="38" t="b">
        <v>0</v>
      </c>
      <c r="P142" s="39">
        <f>VLOOKUP($B142,'26년 1월 출석표'!$B$2:$BQ$497,10,0)/1</f>
        <v>1</v>
      </c>
      <c r="Q142" s="40"/>
      <c r="R142" s="41">
        <f>VLOOKUP($B142,'26년 1월 출석표'!$B$2:$BQ$497,24,0)/5</f>
        <v>0.8</v>
      </c>
      <c r="S142" s="40"/>
      <c r="T142" s="41">
        <f>VLOOKUP($B142,'26년 1월 출석표'!$B$2:$BQ$497,38,0)/5</f>
        <v>0.2</v>
      </c>
      <c r="U142" s="40"/>
      <c r="V142" s="41">
        <f>VLOOKUP($B142,'26년 1월 출석표'!$B$2:$BQ$497,52,0)/5</f>
        <v>0</v>
      </c>
      <c r="W142" s="42"/>
      <c r="X142" s="41">
        <f>VLOOKUP($B142,'26년 1월 출석표'!$B$2:$BQ$503,66,0)/5</f>
        <v>0</v>
      </c>
      <c r="Y142" s="43"/>
    </row>
    <row r="143" spans="1:25" ht="16.5">
      <c r="A143" s="29"/>
      <c r="B143" s="30" t="s">
        <v>306</v>
      </c>
      <c r="C143" s="46" t="s">
        <v>4</v>
      </c>
      <c r="D143" s="47" t="s">
        <v>307</v>
      </c>
      <c r="E143" s="48" t="s">
        <v>34</v>
      </c>
      <c r="F143" s="49">
        <v>46007</v>
      </c>
      <c r="G143" s="49">
        <v>46023</v>
      </c>
      <c r="H143" s="49">
        <v>46387</v>
      </c>
      <c r="I143" s="34">
        <f>VLOOKUP(B143,'26년 1월 출석표'!$B$7:$D$500,3,0)</f>
        <v>7</v>
      </c>
      <c r="J143" s="35" t="e">
        <f t="shared" ca="1" si="0"/>
        <v>#NAME?</v>
      </c>
      <c r="K143" s="36" t="str">
        <f t="shared" si="1"/>
        <v>유효</v>
      </c>
      <c r="L143" s="37" t="str">
        <f t="shared" si="2"/>
        <v/>
      </c>
      <c r="M143" s="30"/>
      <c r="N143" s="38" t="b">
        <v>0</v>
      </c>
      <c r="O143" s="38" t="b">
        <v>0</v>
      </c>
      <c r="P143" s="39">
        <f>VLOOKUP($B143,'26년 1월 출석표'!$B$2:$BQ$497,10,0)/1</f>
        <v>1</v>
      </c>
      <c r="Q143" s="40"/>
      <c r="R143" s="41">
        <f>VLOOKUP($B143,'26년 1월 출석표'!$B$2:$BQ$497,24,0)/5</f>
        <v>1</v>
      </c>
      <c r="S143" s="40"/>
      <c r="T143" s="41">
        <f>VLOOKUP($B143,'26년 1월 출석표'!$B$2:$BQ$497,38,0)/5</f>
        <v>0.2</v>
      </c>
      <c r="U143" s="40"/>
      <c r="V143" s="41">
        <f>VLOOKUP($B143,'26년 1월 출석표'!$B$2:$BQ$497,52,0)/5</f>
        <v>0</v>
      </c>
      <c r="W143" s="42"/>
      <c r="X143" s="41">
        <f>VLOOKUP($B143,'26년 1월 출석표'!$B$2:$BQ$503,66,0)/5</f>
        <v>0</v>
      </c>
      <c r="Y143" s="43"/>
    </row>
    <row r="144" spans="1:25" ht="16.5">
      <c r="A144" s="29"/>
      <c r="B144" s="30" t="s">
        <v>308</v>
      </c>
      <c r="C144" s="46" t="s">
        <v>3</v>
      </c>
      <c r="D144" s="47" t="s">
        <v>309</v>
      </c>
      <c r="E144" s="48" t="s">
        <v>57</v>
      </c>
      <c r="F144" s="49">
        <v>46010</v>
      </c>
      <c r="G144" s="49">
        <v>46013</v>
      </c>
      <c r="H144" s="49">
        <v>46102</v>
      </c>
      <c r="I144" s="34">
        <f>VLOOKUP(B144,'26년 1월 출석표'!$B$7:$D$500,3,0)</f>
        <v>0</v>
      </c>
      <c r="J144" s="35" t="e">
        <f t="shared" ca="1" si="0"/>
        <v>#NAME?</v>
      </c>
      <c r="K144" s="36" t="str">
        <f t="shared" si="1"/>
        <v>유효</v>
      </c>
      <c r="L144" s="37" t="str">
        <f t="shared" si="2"/>
        <v/>
      </c>
      <c r="M144" s="30"/>
      <c r="N144" s="38" t="b">
        <v>0</v>
      </c>
      <c r="O144" s="38" t="b">
        <v>0</v>
      </c>
      <c r="P144" s="39">
        <f>VLOOKUP($B144,'26년 1월 출석표'!$B$2:$BQ$497,10,0)/1</f>
        <v>0</v>
      </c>
      <c r="Q144" s="40"/>
      <c r="R144" s="41">
        <f>VLOOKUP($B144,'26년 1월 출석표'!$B$2:$BQ$497,24,0)/5</f>
        <v>0</v>
      </c>
      <c r="S144" s="40"/>
      <c r="T144" s="41">
        <f>VLOOKUP($B144,'26년 1월 출석표'!$B$2:$BQ$497,38,0)/5</f>
        <v>0</v>
      </c>
      <c r="U144" s="40"/>
      <c r="V144" s="41">
        <f>VLOOKUP($B144,'26년 1월 출석표'!$B$2:$BQ$497,52,0)/5</f>
        <v>0</v>
      </c>
      <c r="W144" s="42"/>
      <c r="X144" s="41">
        <f>VLOOKUP($B144,'26년 1월 출석표'!$B$2:$BQ$503,66,0)/5</f>
        <v>0</v>
      </c>
      <c r="Y144" s="43"/>
    </row>
    <row r="145" spans="1:25" ht="16.5">
      <c r="A145" s="29"/>
      <c r="B145" s="30" t="s">
        <v>310</v>
      </c>
      <c r="C145" s="46" t="s">
        <v>4</v>
      </c>
      <c r="D145" s="47" t="s">
        <v>311</v>
      </c>
      <c r="E145" s="48" t="s">
        <v>90</v>
      </c>
      <c r="F145" s="49">
        <v>46010</v>
      </c>
      <c r="G145" s="49">
        <v>46013</v>
      </c>
      <c r="H145" s="49">
        <v>46449</v>
      </c>
      <c r="I145" s="34">
        <f>VLOOKUP(B145,'26년 1월 출석표'!$B$7:$D$500,3,0)</f>
        <v>6</v>
      </c>
      <c r="J145" s="35" t="e">
        <f t="shared" ca="1" si="0"/>
        <v>#NAME?</v>
      </c>
      <c r="K145" s="36" t="str">
        <f t="shared" si="1"/>
        <v>유효</v>
      </c>
      <c r="L145" s="37" t="str">
        <f t="shared" si="2"/>
        <v/>
      </c>
      <c r="M145" s="30"/>
      <c r="N145" s="38" t="b">
        <v>0</v>
      </c>
      <c r="O145" s="38" t="b">
        <v>0</v>
      </c>
      <c r="P145" s="39">
        <f>VLOOKUP($B145,'26년 1월 출석표'!$B$2:$BQ$497,10,0)/1</f>
        <v>1</v>
      </c>
      <c r="Q145" s="40"/>
      <c r="R145" s="41">
        <f>VLOOKUP($B145,'26년 1월 출석표'!$B$2:$BQ$497,24,0)/5</f>
        <v>0.8</v>
      </c>
      <c r="S145" s="40"/>
      <c r="T145" s="41">
        <f>VLOOKUP($B145,'26년 1월 출석표'!$B$2:$BQ$497,38,0)/5</f>
        <v>0.2</v>
      </c>
      <c r="U145" s="40"/>
      <c r="V145" s="41">
        <f>VLOOKUP($B145,'26년 1월 출석표'!$B$2:$BQ$497,52,0)/5</f>
        <v>0</v>
      </c>
      <c r="W145" s="42"/>
      <c r="X145" s="41">
        <f>VLOOKUP($B145,'26년 1월 출석표'!$B$2:$BQ$503,66,0)/5</f>
        <v>0</v>
      </c>
      <c r="Y145" s="43"/>
    </row>
    <row r="146" spans="1:25" ht="16.5">
      <c r="A146" s="29"/>
      <c r="B146" s="30" t="s">
        <v>312</v>
      </c>
      <c r="C146" s="46" t="s">
        <v>4</v>
      </c>
      <c r="D146" s="47" t="s">
        <v>313</v>
      </c>
      <c r="E146" s="48" t="s">
        <v>90</v>
      </c>
      <c r="F146" s="49">
        <v>46011</v>
      </c>
      <c r="G146" s="49">
        <v>46013</v>
      </c>
      <c r="H146" s="49">
        <v>46163</v>
      </c>
      <c r="I146" s="34">
        <f>VLOOKUP(B146,'26년 1월 출석표'!$B$7:$D$500,3,0)</f>
        <v>4</v>
      </c>
      <c r="J146" s="35" t="e">
        <f t="shared" ca="1" si="0"/>
        <v>#NAME?</v>
      </c>
      <c r="K146" s="36" t="str">
        <f t="shared" si="1"/>
        <v>유효</v>
      </c>
      <c r="L146" s="37" t="str">
        <f t="shared" si="2"/>
        <v/>
      </c>
      <c r="M146" s="30"/>
      <c r="N146" s="38" t="b">
        <v>0</v>
      </c>
      <c r="O146" s="38" t="b">
        <v>0</v>
      </c>
      <c r="P146" s="39">
        <f>VLOOKUP($B146,'26년 1월 출석표'!$B$2:$BQ$497,10,0)/1</f>
        <v>0</v>
      </c>
      <c r="Q146" s="40"/>
      <c r="R146" s="41">
        <f>VLOOKUP($B146,'26년 1월 출석표'!$B$2:$BQ$497,24,0)/5</f>
        <v>0.6</v>
      </c>
      <c r="S146" s="40"/>
      <c r="T146" s="41">
        <f>VLOOKUP($B146,'26년 1월 출석표'!$B$2:$BQ$497,38,0)/5</f>
        <v>0.2</v>
      </c>
      <c r="U146" s="40"/>
      <c r="V146" s="41">
        <f>VLOOKUP($B146,'26년 1월 출석표'!$B$2:$BQ$497,52,0)/5</f>
        <v>0</v>
      </c>
      <c r="W146" s="42"/>
      <c r="X146" s="41">
        <f>VLOOKUP($B146,'26년 1월 출석표'!$B$2:$BQ$503,66,0)/5</f>
        <v>0</v>
      </c>
      <c r="Y146" s="43"/>
    </row>
    <row r="147" spans="1:25" ht="16.5">
      <c r="A147" s="29"/>
      <c r="B147" s="30" t="s">
        <v>314</v>
      </c>
      <c r="C147" s="46" t="s">
        <v>3</v>
      </c>
      <c r="D147" s="47" t="s">
        <v>315</v>
      </c>
      <c r="E147" s="48" t="s">
        <v>57</v>
      </c>
      <c r="F147" s="49">
        <v>46013</v>
      </c>
      <c r="G147" s="49">
        <v>46027</v>
      </c>
      <c r="H147" s="49">
        <v>46391</v>
      </c>
      <c r="I147" s="34">
        <f>VLOOKUP(B147,'26년 1월 출석표'!$B$7:$D$500,3,0)</f>
        <v>2</v>
      </c>
      <c r="J147" s="35" t="e">
        <f t="shared" ca="1" si="0"/>
        <v>#NAME?</v>
      </c>
      <c r="K147" s="36" t="str">
        <f t="shared" si="1"/>
        <v>유효</v>
      </c>
      <c r="L147" s="37" t="str">
        <f t="shared" si="2"/>
        <v/>
      </c>
      <c r="M147" s="30"/>
      <c r="N147" s="38" t="b">
        <v>0</v>
      </c>
      <c r="O147" s="38" t="b">
        <v>0</v>
      </c>
      <c r="P147" s="39">
        <f>VLOOKUP($B147,'26년 1월 출석표'!$B$2:$BQ$497,10,0)/1</f>
        <v>0</v>
      </c>
      <c r="Q147" s="40"/>
      <c r="R147" s="41">
        <f>VLOOKUP($B147,'26년 1월 출석표'!$B$2:$BQ$497,24,0)/5</f>
        <v>0.4</v>
      </c>
      <c r="S147" s="40"/>
      <c r="T147" s="41">
        <f>VLOOKUP($B147,'26년 1월 출석표'!$B$2:$BQ$497,38,0)/5</f>
        <v>0</v>
      </c>
      <c r="U147" s="40"/>
      <c r="V147" s="41">
        <f>VLOOKUP($B147,'26년 1월 출석표'!$B$2:$BQ$497,52,0)/5</f>
        <v>0</v>
      </c>
      <c r="W147" s="42"/>
      <c r="X147" s="41">
        <f>VLOOKUP($B147,'26년 1월 출석표'!$B$2:$BQ$503,66,0)/5</f>
        <v>0</v>
      </c>
      <c r="Y147" s="43"/>
    </row>
    <row r="148" spans="1:25" ht="16.5">
      <c r="A148" s="29"/>
      <c r="B148" s="30" t="s">
        <v>316</v>
      </c>
      <c r="C148" s="46" t="s">
        <v>4</v>
      </c>
      <c r="D148" s="47" t="s">
        <v>317</v>
      </c>
      <c r="E148" s="48" t="s">
        <v>57</v>
      </c>
      <c r="F148" s="49">
        <v>46017</v>
      </c>
      <c r="G148" s="49">
        <v>46027</v>
      </c>
      <c r="H148" s="49">
        <v>46116</v>
      </c>
      <c r="I148" s="34">
        <f>VLOOKUP(B148,'26년 1월 출석표'!$B$7:$D$500,3,0)</f>
        <v>5</v>
      </c>
      <c r="J148" s="35" t="e">
        <f t="shared" ca="1" si="0"/>
        <v>#NAME?</v>
      </c>
      <c r="K148" s="36" t="str">
        <f t="shared" si="1"/>
        <v>유효</v>
      </c>
      <c r="L148" s="37" t="str">
        <f t="shared" si="2"/>
        <v/>
      </c>
      <c r="M148" s="30"/>
      <c r="N148" s="38" t="b">
        <v>0</v>
      </c>
      <c r="O148" s="38" t="b">
        <v>0</v>
      </c>
      <c r="P148" s="39">
        <f>VLOOKUP($B148,'26년 1월 출석표'!$B$2:$BQ$497,10,0)/1</f>
        <v>0</v>
      </c>
      <c r="Q148" s="40"/>
      <c r="R148" s="41">
        <f>VLOOKUP($B148,'26년 1월 출석표'!$B$2:$BQ$497,24,0)/5</f>
        <v>0.8</v>
      </c>
      <c r="S148" s="40"/>
      <c r="T148" s="41">
        <f>VLOOKUP($B148,'26년 1월 출석표'!$B$2:$BQ$497,38,0)/5</f>
        <v>0.2</v>
      </c>
      <c r="U148" s="40"/>
      <c r="V148" s="41">
        <f>VLOOKUP($B148,'26년 1월 출석표'!$B$2:$BQ$497,52,0)/5</f>
        <v>0</v>
      </c>
      <c r="W148" s="42"/>
      <c r="X148" s="41">
        <f>VLOOKUP($B148,'26년 1월 출석표'!$B$2:$BQ$503,66,0)/5</f>
        <v>0</v>
      </c>
      <c r="Y148" s="43"/>
    </row>
    <row r="149" spans="1:25" ht="16.5">
      <c r="A149" s="29"/>
      <c r="B149" s="30" t="s">
        <v>318</v>
      </c>
      <c r="C149" s="46" t="s">
        <v>4</v>
      </c>
      <c r="D149" s="47" t="s">
        <v>319</v>
      </c>
      <c r="E149" s="48" t="s">
        <v>31</v>
      </c>
      <c r="F149" s="49">
        <v>46018</v>
      </c>
      <c r="G149" s="49">
        <v>46023</v>
      </c>
      <c r="H149" s="49">
        <v>46385</v>
      </c>
      <c r="I149" s="34">
        <f>VLOOKUP(B149,'26년 1월 출석표'!$B$7:$D$500,3,0)</f>
        <v>1</v>
      </c>
      <c r="J149" s="35" t="e">
        <f t="shared" ca="1" si="0"/>
        <v>#NAME?</v>
      </c>
      <c r="K149" s="36" t="str">
        <f t="shared" si="1"/>
        <v>유효</v>
      </c>
      <c r="L149" s="37" t="str">
        <f t="shared" si="2"/>
        <v/>
      </c>
      <c r="M149" s="30"/>
      <c r="N149" s="38" t="b">
        <v>0</v>
      </c>
      <c r="O149" s="38" t="b">
        <v>0</v>
      </c>
      <c r="P149" s="39">
        <f>VLOOKUP($B149,'26년 1월 출석표'!$B$2:$BQ$497,10,0)/1</f>
        <v>0</v>
      </c>
      <c r="Q149" s="40"/>
      <c r="R149" s="41">
        <f>VLOOKUP($B149,'26년 1월 출석표'!$B$2:$BQ$497,24,0)/5</f>
        <v>0.2</v>
      </c>
      <c r="S149" s="40"/>
      <c r="T149" s="41">
        <f>VLOOKUP($B149,'26년 1월 출석표'!$B$2:$BQ$497,38,0)/5</f>
        <v>0</v>
      </c>
      <c r="U149" s="40"/>
      <c r="V149" s="41">
        <f>VLOOKUP($B149,'26년 1월 출석표'!$B$2:$BQ$497,52,0)/5</f>
        <v>0</v>
      </c>
      <c r="W149" s="42"/>
      <c r="X149" s="41">
        <f>VLOOKUP($B149,'26년 1월 출석표'!$B$2:$BQ$503,66,0)/5</f>
        <v>0</v>
      </c>
      <c r="Y149" s="43"/>
    </row>
    <row r="150" spans="1:25" ht="16.5">
      <c r="A150" s="29"/>
      <c r="B150" s="30" t="s">
        <v>320</v>
      </c>
      <c r="C150" s="46" t="s">
        <v>4</v>
      </c>
      <c r="D150" s="47" t="s">
        <v>321</v>
      </c>
      <c r="E150" s="48" t="s">
        <v>322</v>
      </c>
      <c r="F150" s="49">
        <v>46018</v>
      </c>
      <c r="G150" s="49">
        <v>46018</v>
      </c>
      <c r="H150" s="49" t="s">
        <v>323</v>
      </c>
      <c r="I150" s="34">
        <f>VLOOKUP(B150,'26년 1월 출석표'!$B$7:$D$500,3,0)</f>
        <v>0</v>
      </c>
      <c r="J150" s="35" t="e">
        <f t="shared" ca="1" si="0"/>
        <v>#NAME?</v>
      </c>
      <c r="K150" s="36" t="str">
        <f t="shared" si="1"/>
        <v>유효</v>
      </c>
      <c r="L150" s="37" t="str">
        <f t="shared" si="2"/>
        <v/>
      </c>
      <c r="M150" s="30"/>
      <c r="N150" s="38" t="b">
        <v>0</v>
      </c>
      <c r="O150" s="38" t="b">
        <v>0</v>
      </c>
      <c r="P150" s="39">
        <f>VLOOKUP($B150,'26년 1월 출석표'!$B$2:$BQ$497,10,0)/1</f>
        <v>0</v>
      </c>
      <c r="Q150" s="40"/>
      <c r="R150" s="41">
        <f>VLOOKUP($B150,'26년 1월 출석표'!$B$2:$BQ$497,24,0)/5</f>
        <v>0</v>
      </c>
      <c r="S150" s="40"/>
      <c r="T150" s="41">
        <f>VLOOKUP($B150,'26년 1월 출석표'!$B$2:$BQ$497,38,0)/5</f>
        <v>0</v>
      </c>
      <c r="U150" s="40"/>
      <c r="V150" s="41">
        <f>VLOOKUP($B150,'26년 1월 출석표'!$B$2:$BQ$497,52,0)/5</f>
        <v>0</v>
      </c>
      <c r="W150" s="42"/>
      <c r="X150" s="41">
        <f>VLOOKUP($B150,'26년 1월 출석표'!$B$2:$BQ$503,66,0)/5</f>
        <v>0</v>
      </c>
      <c r="Y150" s="43"/>
    </row>
    <row r="151" spans="1:25" ht="16.5">
      <c r="A151" s="29"/>
      <c r="B151" s="30" t="s">
        <v>324</v>
      </c>
      <c r="C151" s="46" t="s">
        <v>4</v>
      </c>
      <c r="D151" s="47" t="s">
        <v>325</v>
      </c>
      <c r="E151" s="48" t="s">
        <v>34</v>
      </c>
      <c r="F151" s="49">
        <v>46020</v>
      </c>
      <c r="G151" s="49">
        <v>46027</v>
      </c>
      <c r="H151" s="49">
        <v>46391</v>
      </c>
      <c r="I151" s="34">
        <f>VLOOKUP(B151,'26년 1월 출석표'!$B$7:$D$500,3,0)</f>
        <v>4</v>
      </c>
      <c r="J151" s="35" t="e">
        <f t="shared" ca="1" si="0"/>
        <v>#NAME?</v>
      </c>
      <c r="K151" s="36" t="str">
        <f t="shared" si="1"/>
        <v>유효</v>
      </c>
      <c r="L151" s="37" t="str">
        <f t="shared" si="2"/>
        <v/>
      </c>
      <c r="M151" s="30"/>
      <c r="N151" s="38" t="b">
        <v>0</v>
      </c>
      <c r="O151" s="38" t="b">
        <v>0</v>
      </c>
      <c r="P151" s="39">
        <f>VLOOKUP($B151,'26년 1월 출석표'!$B$2:$BQ$497,10,0)/1</f>
        <v>0</v>
      </c>
      <c r="Q151" s="40"/>
      <c r="R151" s="41">
        <f>VLOOKUP($B151,'26년 1월 출석표'!$B$2:$BQ$497,24,0)/5</f>
        <v>0.6</v>
      </c>
      <c r="S151" s="40"/>
      <c r="T151" s="41">
        <f>VLOOKUP($B151,'26년 1월 출석표'!$B$2:$BQ$497,38,0)/5</f>
        <v>0.2</v>
      </c>
      <c r="U151" s="40"/>
      <c r="V151" s="41">
        <f>VLOOKUP($B151,'26년 1월 출석표'!$B$2:$BQ$497,52,0)/5</f>
        <v>0</v>
      </c>
      <c r="W151" s="42"/>
      <c r="X151" s="41">
        <f>VLOOKUP($B151,'26년 1월 출석표'!$B$2:$BQ$503,66,0)/5</f>
        <v>0</v>
      </c>
      <c r="Y151" s="43"/>
    </row>
    <row r="152" spans="1:25" ht="16.5">
      <c r="A152" s="29"/>
      <c r="B152" s="30" t="s">
        <v>326</v>
      </c>
      <c r="C152" s="46" t="s">
        <v>4</v>
      </c>
      <c r="D152" s="47" t="s">
        <v>327</v>
      </c>
      <c r="E152" s="48" t="s">
        <v>328</v>
      </c>
      <c r="F152" s="49">
        <v>46021</v>
      </c>
      <c r="G152" s="49">
        <v>46023</v>
      </c>
      <c r="H152" s="49">
        <v>46082</v>
      </c>
      <c r="I152" s="34">
        <f>VLOOKUP(B152,'26년 1월 출석표'!$B$7:$D$500,3,0)</f>
        <v>7</v>
      </c>
      <c r="J152" s="35" t="e">
        <f t="shared" ca="1" si="0"/>
        <v>#NAME?</v>
      </c>
      <c r="K152" s="36" t="str">
        <f t="shared" si="1"/>
        <v>유효</v>
      </c>
      <c r="L152" s="37" t="str">
        <f t="shared" si="2"/>
        <v/>
      </c>
      <c r="M152" s="30"/>
      <c r="N152" s="38" t="b">
        <v>0</v>
      </c>
      <c r="O152" s="38" t="b">
        <v>0</v>
      </c>
      <c r="P152" s="39">
        <f>VLOOKUP($B152,'26년 1월 출석표'!$B$2:$BQ$497,10,0)/1</f>
        <v>1</v>
      </c>
      <c r="Q152" s="40"/>
      <c r="R152" s="41">
        <f>VLOOKUP($B152,'26년 1월 출석표'!$B$2:$BQ$497,24,0)/5</f>
        <v>1</v>
      </c>
      <c r="S152" s="40"/>
      <c r="T152" s="41">
        <f>VLOOKUP($B152,'26년 1월 출석표'!$B$2:$BQ$497,38,0)/5</f>
        <v>0.2</v>
      </c>
      <c r="U152" s="40"/>
      <c r="V152" s="41">
        <f>VLOOKUP($B152,'26년 1월 출석표'!$B$2:$BQ$497,52,0)/5</f>
        <v>0</v>
      </c>
      <c r="W152" s="42"/>
      <c r="X152" s="41">
        <f>VLOOKUP($B152,'26년 1월 출석표'!$B$2:$BQ$503,66,0)/5</f>
        <v>0</v>
      </c>
      <c r="Y152" s="43"/>
    </row>
    <row r="153" spans="1:25" ht="16.5">
      <c r="A153" s="29"/>
      <c r="B153" s="30" t="s">
        <v>329</v>
      </c>
      <c r="C153" s="46" t="s">
        <v>4</v>
      </c>
      <c r="D153" s="47" t="s">
        <v>330</v>
      </c>
      <c r="E153" s="48" t="s">
        <v>31</v>
      </c>
      <c r="F153" s="49">
        <v>46021</v>
      </c>
      <c r="G153" s="49">
        <v>46022</v>
      </c>
      <c r="H153" s="49">
        <v>46325</v>
      </c>
      <c r="I153" s="34">
        <f>VLOOKUP(B153,'26년 1월 출석표'!$B$7:$D$500,3,0)</f>
        <v>4</v>
      </c>
      <c r="J153" s="35" t="e">
        <f t="shared" ca="1" si="0"/>
        <v>#NAME?</v>
      </c>
      <c r="K153" s="36" t="str">
        <f t="shared" si="1"/>
        <v>유효</v>
      </c>
      <c r="L153" s="37" t="str">
        <f t="shared" si="2"/>
        <v/>
      </c>
      <c r="M153" s="44"/>
      <c r="N153" s="38" t="b">
        <v>0</v>
      </c>
      <c r="O153" s="38" t="b">
        <v>0</v>
      </c>
      <c r="P153" s="39">
        <f>VLOOKUP($B153,'26년 1월 출석표'!$B$2:$BQ$497,10,0)/1</f>
        <v>0</v>
      </c>
      <c r="Q153" s="40"/>
      <c r="R153" s="41">
        <f>VLOOKUP($B153,'26년 1월 출석표'!$B$2:$BQ$497,24,0)/5</f>
        <v>0.6</v>
      </c>
      <c r="S153" s="40"/>
      <c r="T153" s="41">
        <f>VLOOKUP($B153,'26년 1월 출석표'!$B$2:$BQ$497,38,0)/5</f>
        <v>0.2</v>
      </c>
      <c r="U153" s="40"/>
      <c r="V153" s="41">
        <f>VLOOKUP($B153,'26년 1월 출석표'!$B$2:$BQ$497,52,0)/5</f>
        <v>0</v>
      </c>
      <c r="W153" s="42"/>
      <c r="X153" s="41">
        <f>VLOOKUP($B153,'26년 1월 출석표'!$B$2:$BQ$503,66,0)/5</f>
        <v>0</v>
      </c>
      <c r="Y153" s="43"/>
    </row>
    <row r="154" spans="1:25" ht="16.5">
      <c r="A154" s="29"/>
      <c r="B154" s="30" t="s">
        <v>331</v>
      </c>
      <c r="C154" s="46" t="s">
        <v>4</v>
      </c>
      <c r="D154" s="47" t="s">
        <v>332</v>
      </c>
      <c r="E154" s="48" t="s">
        <v>34</v>
      </c>
      <c r="F154" s="49">
        <v>46021</v>
      </c>
      <c r="G154" s="49">
        <v>46023</v>
      </c>
      <c r="H154" s="49">
        <v>46387</v>
      </c>
      <c r="I154" s="34">
        <f>VLOOKUP(B154,'26년 1월 출석표'!$B$7:$D$500,3,0)</f>
        <v>6</v>
      </c>
      <c r="J154" s="35" t="e">
        <f t="shared" ca="1" si="0"/>
        <v>#NAME?</v>
      </c>
      <c r="K154" s="36" t="str">
        <f t="shared" si="1"/>
        <v>유효</v>
      </c>
      <c r="L154" s="37" t="str">
        <f t="shared" si="2"/>
        <v/>
      </c>
      <c r="M154" s="30"/>
      <c r="N154" s="38" t="b">
        <v>0</v>
      </c>
      <c r="O154" s="38" t="b">
        <v>0</v>
      </c>
      <c r="P154" s="39">
        <f>VLOOKUP($B154,'26년 1월 출석표'!$B$2:$BQ$497,10,0)/1</f>
        <v>1</v>
      </c>
      <c r="Q154" s="40"/>
      <c r="R154" s="41">
        <f>VLOOKUP($B154,'26년 1월 출석표'!$B$2:$BQ$497,24,0)/5</f>
        <v>0.8</v>
      </c>
      <c r="S154" s="40"/>
      <c r="T154" s="41">
        <f>VLOOKUP($B154,'26년 1월 출석표'!$B$2:$BQ$497,38,0)/5</f>
        <v>0.2</v>
      </c>
      <c r="U154" s="40"/>
      <c r="V154" s="41">
        <f>VLOOKUP($B154,'26년 1월 출석표'!$B$2:$BQ$497,52,0)/5</f>
        <v>0</v>
      </c>
      <c r="W154" s="42"/>
      <c r="X154" s="41">
        <f>VLOOKUP($B154,'26년 1월 출석표'!$B$2:$BQ$503,66,0)/5</f>
        <v>0</v>
      </c>
      <c r="Y154" s="43"/>
    </row>
    <row r="155" spans="1:25" ht="16.5">
      <c r="A155" s="29"/>
      <c r="B155" s="30" t="s">
        <v>333</v>
      </c>
      <c r="C155" s="46" t="s">
        <v>4</v>
      </c>
      <c r="D155" s="47" t="s">
        <v>334</v>
      </c>
      <c r="E155" s="48" t="s">
        <v>328</v>
      </c>
      <c r="F155" s="49">
        <v>46022</v>
      </c>
      <c r="G155" s="49">
        <v>46023</v>
      </c>
      <c r="H155" s="49">
        <v>46081</v>
      </c>
      <c r="I155" s="34">
        <f>VLOOKUP(B155,'26년 1월 출석표'!$B$7:$D$500,3,0)</f>
        <v>1</v>
      </c>
      <c r="J155" s="35" t="e">
        <f t="shared" ca="1" si="0"/>
        <v>#NAME?</v>
      </c>
      <c r="K155" s="36" t="str">
        <f t="shared" si="1"/>
        <v>유효</v>
      </c>
      <c r="L155" s="37" t="str">
        <f t="shared" si="2"/>
        <v/>
      </c>
      <c r="M155" s="30"/>
      <c r="N155" s="38" t="b">
        <v>0</v>
      </c>
      <c r="O155" s="38" t="b">
        <v>0</v>
      </c>
      <c r="P155" s="39">
        <f>VLOOKUP($B155,'26년 1월 출석표'!$B$2:$BQ$497,10,0)/1</f>
        <v>0</v>
      </c>
      <c r="Q155" s="40"/>
      <c r="R155" s="41">
        <f>VLOOKUP($B155,'26년 1월 출석표'!$B$2:$BQ$497,24,0)/5</f>
        <v>0</v>
      </c>
      <c r="S155" s="40"/>
      <c r="T155" s="41">
        <f>VLOOKUP($B155,'26년 1월 출석표'!$B$2:$BQ$497,38,0)/5</f>
        <v>0.2</v>
      </c>
      <c r="U155" s="40"/>
      <c r="V155" s="41">
        <f>VLOOKUP($B155,'26년 1월 출석표'!$B$2:$BQ$497,52,0)/5</f>
        <v>0</v>
      </c>
      <c r="W155" s="42"/>
      <c r="X155" s="41">
        <f>VLOOKUP($B155,'26년 1월 출석표'!$B$2:$BQ$503,66,0)/5</f>
        <v>0</v>
      </c>
      <c r="Y155" s="43"/>
    </row>
    <row r="156" spans="1:25" ht="16.5">
      <c r="A156" s="29"/>
      <c r="B156" s="30" t="s">
        <v>335</v>
      </c>
      <c r="C156" s="46" t="s">
        <v>4</v>
      </c>
      <c r="D156" s="47" t="s">
        <v>336</v>
      </c>
      <c r="E156" s="48" t="s">
        <v>34</v>
      </c>
      <c r="F156" s="49">
        <v>46022</v>
      </c>
      <c r="G156" s="49">
        <v>46028</v>
      </c>
      <c r="H156" s="49">
        <v>46423</v>
      </c>
      <c r="I156" s="34">
        <f>VLOOKUP(B156,'26년 1월 출석표'!$B$7:$D$500,3,0)</f>
        <v>1</v>
      </c>
      <c r="J156" s="35" t="e">
        <f t="shared" ca="1" si="0"/>
        <v>#NAME?</v>
      </c>
      <c r="K156" s="36" t="str">
        <f t="shared" si="1"/>
        <v>유효</v>
      </c>
      <c r="L156" s="37" t="str">
        <f t="shared" si="2"/>
        <v/>
      </c>
      <c r="M156" s="30"/>
      <c r="N156" s="38" t="b">
        <v>0</v>
      </c>
      <c r="O156" s="38" t="b">
        <v>0</v>
      </c>
      <c r="P156" s="39">
        <f>VLOOKUP($B156,'26년 1월 출석표'!$B$2:$BQ$497,10,0)/1</f>
        <v>0</v>
      </c>
      <c r="Q156" s="40"/>
      <c r="R156" s="41">
        <f>VLOOKUP($B156,'26년 1월 출석표'!$B$2:$BQ$497,24,0)/5</f>
        <v>0.2</v>
      </c>
      <c r="S156" s="40"/>
      <c r="T156" s="41">
        <f>VLOOKUP($B156,'26년 1월 출석표'!$B$2:$BQ$497,38,0)/5</f>
        <v>0</v>
      </c>
      <c r="U156" s="40"/>
      <c r="V156" s="41">
        <f>VLOOKUP($B156,'26년 1월 출석표'!$B$2:$BQ$497,52,0)/5</f>
        <v>0</v>
      </c>
      <c r="W156" s="42"/>
      <c r="X156" s="41">
        <f>VLOOKUP($B156,'26년 1월 출석표'!$B$2:$BQ$503,66,0)/5</f>
        <v>0</v>
      </c>
      <c r="Y156" s="43"/>
    </row>
    <row r="157" spans="1:25" ht="16.5">
      <c r="A157" s="29"/>
      <c r="B157" s="30" t="s">
        <v>337</v>
      </c>
      <c r="C157" s="46" t="s">
        <v>3</v>
      </c>
      <c r="D157" s="47" t="s">
        <v>338</v>
      </c>
      <c r="E157" s="48" t="s">
        <v>34</v>
      </c>
      <c r="F157" s="49">
        <v>46024</v>
      </c>
      <c r="G157" s="49">
        <v>46034</v>
      </c>
      <c r="H157" s="49">
        <v>46398</v>
      </c>
      <c r="I157" s="34">
        <f>VLOOKUP(B157,'26년 1월 출석표'!$B$7:$D$500,3,0)</f>
        <v>1</v>
      </c>
      <c r="J157" s="35" t="e">
        <f t="shared" ca="1" si="0"/>
        <v>#NAME?</v>
      </c>
      <c r="K157" s="36" t="str">
        <f t="shared" si="1"/>
        <v>유효</v>
      </c>
      <c r="L157" s="37" t="str">
        <f t="shared" si="2"/>
        <v/>
      </c>
      <c r="M157" s="30"/>
      <c r="N157" s="38" t="b">
        <v>0</v>
      </c>
      <c r="O157" s="38" t="b">
        <v>0</v>
      </c>
      <c r="P157" s="39">
        <f>VLOOKUP($B157,'26년 1월 출석표'!$B$2:$BQ$497,10,0)/1</f>
        <v>0</v>
      </c>
      <c r="Q157" s="40"/>
      <c r="R157" s="41">
        <f>VLOOKUP($B157,'26년 1월 출석표'!$B$2:$BQ$497,24,0)/5</f>
        <v>0</v>
      </c>
      <c r="S157" s="40"/>
      <c r="T157" s="41">
        <f>VLOOKUP($B157,'26년 1월 출석표'!$B$2:$BQ$497,38,0)/5</f>
        <v>0.2</v>
      </c>
      <c r="U157" s="40"/>
      <c r="V157" s="41">
        <f>VLOOKUP($B157,'26년 1월 출석표'!$B$2:$BQ$497,52,0)/5</f>
        <v>0</v>
      </c>
      <c r="W157" s="42"/>
      <c r="X157" s="41">
        <f>VLOOKUP($B157,'26년 1월 출석표'!$B$2:$BQ$503,66,0)/5</f>
        <v>0</v>
      </c>
      <c r="Y157" s="43"/>
    </row>
    <row r="158" spans="1:25" ht="16.5">
      <c r="A158" s="29"/>
      <c r="B158" s="30" t="s">
        <v>339</v>
      </c>
      <c r="C158" s="46" t="s">
        <v>4</v>
      </c>
      <c r="D158" s="47" t="s">
        <v>340</v>
      </c>
      <c r="E158" s="48" t="s">
        <v>322</v>
      </c>
      <c r="F158" s="49">
        <v>46025</v>
      </c>
      <c r="G158" s="49">
        <v>46027</v>
      </c>
      <c r="H158" s="49" t="s">
        <v>323</v>
      </c>
      <c r="I158" s="34">
        <f>VLOOKUP(B158,'26년 1월 출석표'!$B$7:$D$500,3,0)</f>
        <v>1</v>
      </c>
      <c r="J158" s="35" t="e">
        <f t="shared" ca="1" si="0"/>
        <v>#NAME?</v>
      </c>
      <c r="K158" s="36" t="str">
        <f t="shared" si="1"/>
        <v>유효</v>
      </c>
      <c r="L158" s="37" t="str">
        <f t="shared" si="2"/>
        <v/>
      </c>
      <c r="M158" s="30"/>
      <c r="N158" s="38" t="b">
        <v>0</v>
      </c>
      <c r="O158" s="38" t="b">
        <v>0</v>
      </c>
      <c r="P158" s="39">
        <f>VLOOKUP($B158,'26년 1월 출석표'!$B$2:$BQ$497,10,0)/1</f>
        <v>0</v>
      </c>
      <c r="Q158" s="40"/>
      <c r="R158" s="41">
        <f>VLOOKUP($B158,'26년 1월 출석표'!$B$2:$BQ$497,24,0)/5</f>
        <v>0.2</v>
      </c>
      <c r="S158" s="40"/>
      <c r="T158" s="41">
        <f>VLOOKUP($B158,'26년 1월 출석표'!$B$2:$BQ$497,38,0)/5</f>
        <v>0</v>
      </c>
      <c r="U158" s="40"/>
      <c r="V158" s="41">
        <f>VLOOKUP($B158,'26년 1월 출석표'!$B$2:$BQ$497,52,0)/5</f>
        <v>0</v>
      </c>
      <c r="W158" s="42"/>
      <c r="X158" s="41">
        <f>VLOOKUP($B158,'26년 1월 출석표'!$B$2:$BQ$503,66,0)/5</f>
        <v>0</v>
      </c>
      <c r="Y158" s="43"/>
    </row>
    <row r="159" spans="1:25" ht="16.5">
      <c r="A159" s="29"/>
      <c r="B159" s="30" t="s">
        <v>341</v>
      </c>
      <c r="C159" s="46" t="s">
        <v>4</v>
      </c>
      <c r="D159" s="47" t="s">
        <v>342</v>
      </c>
      <c r="E159" s="48" t="s">
        <v>57</v>
      </c>
      <c r="F159" s="49">
        <v>46028</v>
      </c>
      <c r="G159" s="49">
        <v>46029</v>
      </c>
      <c r="H159" s="49">
        <v>46118</v>
      </c>
      <c r="I159" s="34">
        <f>VLOOKUP(B159,'26년 1월 출석표'!$B$7:$D$500,3,0)</f>
        <v>4</v>
      </c>
      <c r="J159" s="35" t="e">
        <f t="shared" ca="1" si="0"/>
        <v>#NAME?</v>
      </c>
      <c r="K159" s="36" t="str">
        <f t="shared" si="1"/>
        <v>유효</v>
      </c>
      <c r="L159" s="37" t="str">
        <f t="shared" si="2"/>
        <v/>
      </c>
      <c r="M159" s="30"/>
      <c r="N159" s="38" t="b">
        <v>0</v>
      </c>
      <c r="O159" s="38" t="b">
        <v>0</v>
      </c>
      <c r="P159" s="39">
        <f>VLOOKUP($B159,'26년 1월 출석표'!$B$2:$BQ$497,10,0)/1</f>
        <v>0</v>
      </c>
      <c r="Q159" s="40"/>
      <c r="R159" s="41">
        <f>VLOOKUP($B159,'26년 1월 출석표'!$B$2:$BQ$497,24,0)/5</f>
        <v>0.6</v>
      </c>
      <c r="S159" s="40"/>
      <c r="T159" s="41">
        <f>VLOOKUP($B159,'26년 1월 출석표'!$B$2:$BQ$497,38,0)/5</f>
        <v>0.2</v>
      </c>
      <c r="U159" s="40"/>
      <c r="V159" s="41">
        <f>VLOOKUP($B159,'26년 1월 출석표'!$B$2:$BQ$497,52,0)/5</f>
        <v>0</v>
      </c>
      <c r="W159" s="42"/>
      <c r="X159" s="41">
        <f>VLOOKUP($B159,'26년 1월 출석표'!$B$2:$BQ$503,66,0)/5</f>
        <v>0</v>
      </c>
      <c r="Y159" s="43"/>
    </row>
    <row r="160" spans="1:25" ht="16.5">
      <c r="A160" s="29"/>
      <c r="B160" s="30" t="s">
        <v>343</v>
      </c>
      <c r="C160" s="46" t="s">
        <v>4</v>
      </c>
      <c r="D160" s="47" t="s">
        <v>344</v>
      </c>
      <c r="E160" s="48" t="s">
        <v>34</v>
      </c>
      <c r="F160" s="49">
        <v>46029</v>
      </c>
      <c r="G160" s="49">
        <v>46029</v>
      </c>
      <c r="H160" s="49">
        <v>46393</v>
      </c>
      <c r="I160" s="34">
        <f>VLOOKUP(B160,'26년 1월 출석표'!$B$7:$D$500,3,0)</f>
        <v>4</v>
      </c>
      <c r="J160" s="35" t="e">
        <f t="shared" ca="1" si="0"/>
        <v>#NAME?</v>
      </c>
      <c r="K160" s="36" t="str">
        <f t="shared" si="1"/>
        <v>유효</v>
      </c>
      <c r="L160" s="37" t="str">
        <f t="shared" si="2"/>
        <v/>
      </c>
      <c r="M160" s="30"/>
      <c r="N160" s="38" t="b">
        <v>0</v>
      </c>
      <c r="O160" s="38" t="b">
        <v>0</v>
      </c>
      <c r="P160" s="39">
        <f>VLOOKUP($B160,'26년 1월 출석표'!$B$2:$BQ$497,10,0)/1</f>
        <v>0</v>
      </c>
      <c r="Q160" s="40"/>
      <c r="R160" s="41">
        <f>VLOOKUP($B160,'26년 1월 출석표'!$B$2:$BQ$497,24,0)/5</f>
        <v>0.6</v>
      </c>
      <c r="S160" s="40"/>
      <c r="T160" s="41">
        <f>VLOOKUP($B160,'26년 1월 출석표'!$B$2:$BQ$497,38,0)/5</f>
        <v>0.2</v>
      </c>
      <c r="U160" s="40"/>
      <c r="V160" s="41">
        <f>VLOOKUP($B160,'26년 1월 출석표'!$B$2:$BQ$497,52,0)/5</f>
        <v>0</v>
      </c>
      <c r="W160" s="42"/>
      <c r="X160" s="41">
        <f>VLOOKUP($B160,'26년 1월 출석표'!$B$2:$BQ$503,66,0)/5</f>
        <v>0</v>
      </c>
      <c r="Y160" s="43"/>
    </row>
    <row r="161" spans="1:25" ht="16.5">
      <c r="A161" s="29"/>
      <c r="B161" s="30" t="s">
        <v>345</v>
      </c>
      <c r="C161" s="46" t="s">
        <v>4</v>
      </c>
      <c r="D161" s="47" t="s">
        <v>346</v>
      </c>
      <c r="E161" s="48" t="s">
        <v>34</v>
      </c>
      <c r="F161" s="49">
        <v>46031</v>
      </c>
      <c r="G161" s="49">
        <v>46034</v>
      </c>
      <c r="H161" s="49">
        <v>46398</v>
      </c>
      <c r="I161" s="34">
        <f>VLOOKUP(B161,'26년 1월 출석표'!$B$7:$D$500,3,0)</f>
        <v>0</v>
      </c>
      <c r="J161" s="35" t="e">
        <f t="shared" ca="1" si="0"/>
        <v>#NAME?</v>
      </c>
      <c r="K161" s="36" t="str">
        <f t="shared" si="1"/>
        <v>유효</v>
      </c>
      <c r="L161" s="37" t="str">
        <f t="shared" si="2"/>
        <v/>
      </c>
      <c r="M161" s="30"/>
      <c r="N161" s="38" t="b">
        <v>0</v>
      </c>
      <c r="O161" s="38" t="b">
        <v>0</v>
      </c>
      <c r="P161" s="39">
        <f>VLOOKUP($B161,'26년 1월 출석표'!$B$2:$BQ$497,10,0)/1</f>
        <v>0</v>
      </c>
      <c r="Q161" s="40"/>
      <c r="R161" s="41">
        <f>VLOOKUP($B161,'26년 1월 출석표'!$B$2:$BQ$497,24,0)/5</f>
        <v>0</v>
      </c>
      <c r="S161" s="40"/>
      <c r="T161" s="41">
        <f>VLOOKUP($B161,'26년 1월 출석표'!$B$2:$BQ$497,38,0)/5</f>
        <v>0</v>
      </c>
      <c r="U161" s="40"/>
      <c r="V161" s="41">
        <f>VLOOKUP($B161,'26년 1월 출석표'!$B$2:$BQ$497,52,0)/5</f>
        <v>0</v>
      </c>
      <c r="W161" s="42"/>
      <c r="X161" s="41">
        <f>VLOOKUP($B161,'26년 1월 출석표'!$B$2:$BQ$503,66,0)/5</f>
        <v>0</v>
      </c>
      <c r="Y161" s="43"/>
    </row>
    <row r="162" spans="1:25" ht="16.5">
      <c r="A162" s="29"/>
      <c r="B162" s="30" t="s">
        <v>347</v>
      </c>
      <c r="C162" s="46" t="s">
        <v>4</v>
      </c>
      <c r="D162" s="47" t="s">
        <v>348</v>
      </c>
      <c r="E162" s="48" t="s">
        <v>328</v>
      </c>
      <c r="F162" s="49">
        <v>46032</v>
      </c>
      <c r="G162" s="49">
        <v>46034</v>
      </c>
      <c r="H162" s="49">
        <v>46092</v>
      </c>
      <c r="I162" s="34">
        <f>VLOOKUP(B162,'26년 1월 출석표'!$B$7:$D$500,3,0)</f>
        <v>1</v>
      </c>
      <c r="J162" s="35" t="e">
        <f t="shared" ca="1" si="0"/>
        <v>#NAME?</v>
      </c>
      <c r="K162" s="36" t="str">
        <f t="shared" si="1"/>
        <v>유효</v>
      </c>
      <c r="L162" s="37" t="str">
        <f t="shared" si="2"/>
        <v/>
      </c>
      <c r="M162" s="30"/>
      <c r="N162" s="44" t="b">
        <v>1</v>
      </c>
      <c r="O162" s="38" t="b">
        <v>0</v>
      </c>
      <c r="P162" s="39">
        <f>VLOOKUP($B162,'26년 1월 출석표'!$B$2:$BQ$497,10,0)/1</f>
        <v>0</v>
      </c>
      <c r="Q162" s="40"/>
      <c r="R162" s="41">
        <f>VLOOKUP($B162,'26년 1월 출석표'!$B$2:$BQ$497,24,0)/5</f>
        <v>0</v>
      </c>
      <c r="S162" s="40"/>
      <c r="T162" s="41">
        <f>VLOOKUP($B162,'26년 1월 출석표'!$B$2:$BQ$497,38,0)/5</f>
        <v>0.2</v>
      </c>
      <c r="U162" s="40"/>
      <c r="V162" s="41">
        <f>VLOOKUP($B162,'26년 1월 출석표'!$B$2:$BQ$497,52,0)/5</f>
        <v>0</v>
      </c>
      <c r="W162" s="42"/>
      <c r="X162" s="41">
        <f>VLOOKUP($B162,'26년 1월 출석표'!$B$2:$BQ$503,66,0)/5</f>
        <v>0</v>
      </c>
      <c r="Y162" s="43"/>
    </row>
    <row r="163" spans="1:25" ht="16.5">
      <c r="A163" s="29"/>
      <c r="B163" s="30" t="s">
        <v>349</v>
      </c>
      <c r="C163" s="46" t="s">
        <v>3</v>
      </c>
      <c r="D163" s="47" t="s">
        <v>350</v>
      </c>
      <c r="E163" s="48" t="s">
        <v>328</v>
      </c>
      <c r="F163" s="49">
        <v>46032</v>
      </c>
      <c r="G163" s="49">
        <v>46034</v>
      </c>
      <c r="H163" s="49">
        <v>46092</v>
      </c>
      <c r="I163" s="34">
        <f>VLOOKUP(B163,'26년 1월 출석표'!$B$7:$D$500,3,0)</f>
        <v>1</v>
      </c>
      <c r="J163" s="35" t="e">
        <f t="shared" ca="1" si="0"/>
        <v>#NAME?</v>
      </c>
      <c r="K163" s="36" t="str">
        <f t="shared" si="1"/>
        <v>유효</v>
      </c>
      <c r="L163" s="37" t="str">
        <f t="shared" si="2"/>
        <v/>
      </c>
      <c r="M163" s="30"/>
      <c r="N163" s="44" t="b">
        <v>1</v>
      </c>
      <c r="O163" s="38" t="b">
        <v>0</v>
      </c>
      <c r="P163" s="39">
        <f>VLOOKUP($B163,'26년 1월 출석표'!$B$2:$BQ$497,10,0)/1</f>
        <v>0</v>
      </c>
      <c r="Q163" s="40"/>
      <c r="R163" s="41">
        <f>VLOOKUP($B163,'26년 1월 출석표'!$B$2:$BQ$497,24,0)/5</f>
        <v>0</v>
      </c>
      <c r="S163" s="40"/>
      <c r="T163" s="41">
        <f>VLOOKUP($B163,'26년 1월 출석표'!$B$2:$BQ$497,38,0)/5</f>
        <v>0.2</v>
      </c>
      <c r="U163" s="40"/>
      <c r="V163" s="41">
        <f>VLOOKUP($B163,'26년 1월 출석표'!$B$2:$BQ$497,52,0)/5</f>
        <v>0</v>
      </c>
      <c r="W163" s="42"/>
      <c r="X163" s="41">
        <f>VLOOKUP($B163,'26년 1월 출석표'!$B$2:$BQ$503,66,0)/5</f>
        <v>0</v>
      </c>
      <c r="Y163" s="43"/>
    </row>
    <row r="164" spans="1:25" ht="16.5">
      <c r="A164" s="29"/>
      <c r="B164" s="30" t="s">
        <v>351</v>
      </c>
      <c r="C164" s="46" t="s">
        <v>4</v>
      </c>
      <c r="D164" s="47" t="s">
        <v>352</v>
      </c>
      <c r="E164" s="48" t="s">
        <v>26</v>
      </c>
      <c r="F164" s="49">
        <v>46034</v>
      </c>
      <c r="G164" s="49">
        <v>46035</v>
      </c>
      <c r="H164" s="49">
        <v>46215</v>
      </c>
      <c r="I164" s="34">
        <f>VLOOKUP(B164,'26년 1월 출석표'!$B$7:$D$500,3,0)</f>
        <v>0</v>
      </c>
      <c r="J164" s="35" t="e">
        <f t="shared" ca="1" si="0"/>
        <v>#NAME?</v>
      </c>
      <c r="K164" s="36" t="str">
        <f t="shared" si="1"/>
        <v>유효</v>
      </c>
      <c r="L164" s="37" t="str">
        <f t="shared" si="2"/>
        <v/>
      </c>
      <c r="M164" s="30"/>
      <c r="N164" s="38" t="b">
        <v>0</v>
      </c>
      <c r="O164" s="38" t="b">
        <v>0</v>
      </c>
      <c r="P164" s="39">
        <f>VLOOKUP($B164,'26년 1월 출석표'!$B$2:$BQ$497,10,0)/1</f>
        <v>0</v>
      </c>
      <c r="Q164" s="40"/>
      <c r="R164" s="41">
        <f>VLOOKUP($B164,'26년 1월 출석표'!$B$2:$BQ$497,24,0)/5</f>
        <v>0</v>
      </c>
      <c r="S164" s="40"/>
      <c r="T164" s="41">
        <f>VLOOKUP($B164,'26년 1월 출석표'!$B$2:$BQ$497,38,0)/5</f>
        <v>0</v>
      </c>
      <c r="U164" s="40"/>
      <c r="V164" s="41">
        <f>VLOOKUP($B164,'26년 1월 출석표'!$B$2:$BQ$497,52,0)/5</f>
        <v>0</v>
      </c>
      <c r="W164" s="42"/>
      <c r="X164" s="41">
        <f>VLOOKUP($B164,'26년 1월 출석표'!$B$2:$BQ$503,66,0)/5</f>
        <v>0</v>
      </c>
      <c r="Y164" s="43"/>
    </row>
    <row r="165" spans="1:25" ht="16.5">
      <c r="A165" s="29"/>
      <c r="B165" s="30"/>
      <c r="C165" s="30"/>
      <c r="D165" s="32"/>
      <c r="E165" s="32"/>
      <c r="F165" s="30"/>
      <c r="G165" s="30"/>
      <c r="H165" s="30"/>
      <c r="I165" s="34" t="e">
        <f>VLOOKUP(B165,'26년 1월 출석표'!$B$7:$D$500,3,0)</f>
        <v>#N/A</v>
      </c>
      <c r="J165" s="35" t="e">
        <f t="shared" ca="1" si="0"/>
        <v>#NAME?</v>
      </c>
      <c r="K165" s="36" t="str">
        <f t="shared" si="1"/>
        <v/>
      </c>
      <c r="L165" s="37" t="str">
        <f t="shared" si="2"/>
        <v/>
      </c>
      <c r="M165" s="30"/>
      <c r="N165" s="38" t="b">
        <v>0</v>
      </c>
      <c r="O165" s="38" t="b">
        <v>0</v>
      </c>
      <c r="P165" s="39" t="e">
        <f>VLOOKUP($B165,'26년 1월 출석표'!$B$2:$BQ$497,10,0)/1</f>
        <v>#N/A</v>
      </c>
      <c r="Q165" s="40"/>
      <c r="R165" s="41" t="e">
        <f>VLOOKUP($B165,'26년 1월 출석표'!$B$2:$BQ$497,24,0)/5</f>
        <v>#N/A</v>
      </c>
      <c r="S165" s="40"/>
      <c r="T165" s="41" t="e">
        <f>VLOOKUP($B165,'26년 1월 출석표'!$B$2:$BQ$497,38,0)/5</f>
        <v>#N/A</v>
      </c>
      <c r="U165" s="40"/>
      <c r="V165" s="41" t="e">
        <f>VLOOKUP($B165,'26년 1월 출석표'!$B$2:$BQ$497,52,0)/5</f>
        <v>#N/A</v>
      </c>
      <c r="W165" s="42"/>
      <c r="X165" s="41" t="e">
        <f>VLOOKUP($B165,'26년 1월 출석표'!$B$2:$BQ$503,66,0)/5</f>
        <v>#N/A</v>
      </c>
      <c r="Y165" s="43"/>
    </row>
    <row r="166" spans="1:25" ht="16.5">
      <c r="A166" s="29"/>
      <c r="B166" s="30"/>
      <c r="C166" s="30"/>
      <c r="D166" s="31"/>
      <c r="E166" s="32"/>
      <c r="F166" s="30"/>
      <c r="G166" s="30"/>
      <c r="H166" s="30"/>
      <c r="I166" s="34" t="e">
        <f>VLOOKUP(B166,'26년 1월 출석표'!$B$7:$D$500,3,0)</f>
        <v>#N/A</v>
      </c>
      <c r="J166" s="35" t="e">
        <f t="shared" ca="1" si="0"/>
        <v>#NAME?</v>
      </c>
      <c r="K166" s="36" t="str">
        <f t="shared" si="1"/>
        <v/>
      </c>
      <c r="L166" s="37" t="str">
        <f t="shared" si="2"/>
        <v/>
      </c>
      <c r="M166" s="30"/>
      <c r="N166" s="38" t="b">
        <v>0</v>
      </c>
      <c r="O166" s="38" t="b">
        <v>0</v>
      </c>
      <c r="P166" s="39" t="e">
        <f>VLOOKUP($B166,'26년 1월 출석표'!$B$2:$BQ$497,10,0)/1</f>
        <v>#N/A</v>
      </c>
      <c r="Q166" s="40"/>
      <c r="R166" s="41" t="e">
        <f>VLOOKUP($B166,'26년 1월 출석표'!$B$2:$BQ$497,24,0)/5</f>
        <v>#N/A</v>
      </c>
      <c r="S166" s="40"/>
      <c r="T166" s="41" t="e">
        <f>VLOOKUP($B166,'26년 1월 출석표'!$B$2:$BQ$497,38,0)/5</f>
        <v>#N/A</v>
      </c>
      <c r="U166" s="40"/>
      <c r="V166" s="41" t="e">
        <f>VLOOKUP($B166,'26년 1월 출석표'!$B$2:$BQ$497,52,0)/5</f>
        <v>#N/A</v>
      </c>
      <c r="W166" s="42"/>
      <c r="X166" s="41" t="e">
        <f>VLOOKUP($B166,'26년 1월 출석표'!$B$2:$BQ$503,66,0)/5</f>
        <v>#N/A</v>
      </c>
      <c r="Y166" s="43"/>
    </row>
    <row r="167" spans="1:25" ht="16.5">
      <c r="A167" s="29"/>
      <c r="B167" s="30"/>
      <c r="C167" s="30"/>
      <c r="D167" s="31"/>
      <c r="E167" s="32"/>
      <c r="F167" s="30"/>
      <c r="G167" s="30"/>
      <c r="H167" s="30"/>
      <c r="I167" s="34" t="e">
        <f>VLOOKUP(B167,'26년 1월 출석표'!$B$7:$D$500,3,0)</f>
        <v>#N/A</v>
      </c>
      <c r="J167" s="35" t="e">
        <f t="shared" ca="1" si="0"/>
        <v>#NAME?</v>
      </c>
      <c r="K167" s="36" t="str">
        <f t="shared" si="1"/>
        <v/>
      </c>
      <c r="L167" s="37" t="str">
        <f t="shared" si="2"/>
        <v/>
      </c>
      <c r="M167" s="30"/>
      <c r="N167" s="38" t="b">
        <v>0</v>
      </c>
      <c r="O167" s="38" t="b">
        <v>0</v>
      </c>
      <c r="P167" s="39" t="e">
        <f>VLOOKUP($B167,'26년 1월 출석표'!$B$2:$BQ$497,10,0)/1</f>
        <v>#N/A</v>
      </c>
      <c r="Q167" s="40"/>
      <c r="R167" s="41" t="e">
        <f>VLOOKUP($B167,'26년 1월 출석표'!$B$2:$BQ$497,24,0)/5</f>
        <v>#N/A</v>
      </c>
      <c r="S167" s="40"/>
      <c r="T167" s="41" t="e">
        <f>VLOOKUP($B167,'26년 1월 출석표'!$B$2:$BQ$497,38,0)/5</f>
        <v>#N/A</v>
      </c>
      <c r="U167" s="40"/>
      <c r="V167" s="41" t="e">
        <f>VLOOKUP($B167,'26년 1월 출석표'!$B$2:$BQ$497,52,0)/5</f>
        <v>#N/A</v>
      </c>
      <c r="W167" s="42"/>
      <c r="X167" s="41" t="e">
        <f>VLOOKUP($B167,'26년 1월 출석표'!$B$2:$BQ$503,66,0)/5</f>
        <v>#N/A</v>
      </c>
      <c r="Y167" s="43"/>
    </row>
    <row r="168" spans="1:25" ht="16.5">
      <c r="A168" s="29"/>
      <c r="B168" s="30"/>
      <c r="C168" s="30"/>
      <c r="D168" s="31"/>
      <c r="E168" s="32"/>
      <c r="F168" s="50"/>
      <c r="G168" s="33"/>
      <c r="H168" s="51"/>
      <c r="I168" s="34" t="e">
        <f>VLOOKUP(B168,'26년 1월 출석표'!$B$7:$D$500,3,0)</f>
        <v>#N/A</v>
      </c>
      <c r="J168" s="35" t="e">
        <f t="shared" ca="1" si="0"/>
        <v>#NAME?</v>
      </c>
      <c r="K168" s="36" t="str">
        <f t="shared" si="1"/>
        <v/>
      </c>
      <c r="L168" s="37" t="str">
        <f t="shared" si="2"/>
        <v/>
      </c>
      <c r="M168" s="30"/>
      <c r="N168" s="38" t="b">
        <v>0</v>
      </c>
      <c r="O168" s="38" t="b">
        <v>0</v>
      </c>
      <c r="P168" s="39" t="e">
        <f>VLOOKUP($B168,'26년 1월 출석표'!$B$2:$BQ$497,10,0)/1</f>
        <v>#N/A</v>
      </c>
      <c r="Q168" s="40"/>
      <c r="R168" s="41" t="e">
        <f>VLOOKUP($B168,'26년 1월 출석표'!$B$2:$BQ$497,24,0)/5</f>
        <v>#N/A</v>
      </c>
      <c r="S168" s="40"/>
      <c r="T168" s="41" t="e">
        <f>VLOOKUP($B168,'26년 1월 출석표'!$B$2:$BQ$497,38,0)/5</f>
        <v>#N/A</v>
      </c>
      <c r="U168" s="40"/>
      <c r="V168" s="41" t="e">
        <f>VLOOKUP($B168,'26년 1월 출석표'!$B$2:$BQ$497,52,0)/5</f>
        <v>#N/A</v>
      </c>
      <c r="W168" s="42"/>
      <c r="X168" s="41" t="e">
        <f>VLOOKUP($B168,'26년 1월 출석표'!$B$2:$BQ$503,66,0)/5</f>
        <v>#N/A</v>
      </c>
      <c r="Y168" s="43"/>
    </row>
    <row r="169" spans="1:25" ht="16.5">
      <c r="A169" s="29"/>
      <c r="B169" s="52"/>
      <c r="C169" s="52"/>
      <c r="D169" s="53"/>
      <c r="E169" s="54"/>
      <c r="F169" s="52"/>
      <c r="G169" s="55"/>
      <c r="H169" s="56"/>
      <c r="I169" s="34" t="e">
        <f>VLOOKUP(B169,'26년 1월 출석표'!$B$7:$D$500,3,0)</f>
        <v>#N/A</v>
      </c>
      <c r="J169" s="35" t="e">
        <f t="shared" ca="1" si="0"/>
        <v>#NAME?</v>
      </c>
      <c r="K169" s="36" t="str">
        <f t="shared" si="1"/>
        <v/>
      </c>
      <c r="L169" s="37" t="str">
        <f t="shared" si="2"/>
        <v/>
      </c>
      <c r="M169" s="30"/>
      <c r="N169" s="38" t="b">
        <v>0</v>
      </c>
      <c r="O169" s="38" t="b">
        <v>0</v>
      </c>
      <c r="P169" s="39" t="e">
        <f>VLOOKUP($B169,'26년 1월 출석표'!$B$2:$BQ$497,10,0)/1</f>
        <v>#N/A</v>
      </c>
      <c r="Q169" s="40"/>
      <c r="R169" s="41" t="e">
        <f>VLOOKUP($B169,'26년 1월 출석표'!$B$2:$BQ$497,24,0)/5</f>
        <v>#N/A</v>
      </c>
      <c r="S169" s="40"/>
      <c r="T169" s="41" t="e">
        <f>VLOOKUP($B169,'26년 1월 출석표'!$B$2:$BQ$497,38,0)/5</f>
        <v>#N/A</v>
      </c>
      <c r="U169" s="40"/>
      <c r="V169" s="41" t="e">
        <f>VLOOKUP($B169,'26년 1월 출석표'!$B$2:$BQ$497,52,0)/5</f>
        <v>#N/A</v>
      </c>
      <c r="W169" s="42"/>
      <c r="X169" s="41" t="e">
        <f>VLOOKUP($B169,'26년 1월 출석표'!$B$2:$BQ$503,66,0)/5</f>
        <v>#N/A</v>
      </c>
      <c r="Y169" s="43"/>
    </row>
    <row r="170" spans="1:25" ht="16.5">
      <c r="A170" s="29"/>
      <c r="B170" s="52"/>
      <c r="C170" s="52"/>
      <c r="D170" s="53"/>
      <c r="E170" s="54"/>
      <c r="F170" s="52"/>
      <c r="G170" s="55"/>
      <c r="H170" s="56"/>
      <c r="I170" s="34" t="e">
        <f>VLOOKUP(B170,'26년 1월 출석표'!$B$7:$D$500,3,0)</f>
        <v>#N/A</v>
      </c>
      <c r="J170" s="35" t="e">
        <f t="shared" ca="1" si="0"/>
        <v>#NAME?</v>
      </c>
      <c r="K170" s="36" t="str">
        <f t="shared" si="1"/>
        <v/>
      </c>
      <c r="L170" s="37" t="str">
        <f t="shared" si="2"/>
        <v/>
      </c>
      <c r="M170" s="30"/>
      <c r="N170" s="38" t="b">
        <v>0</v>
      </c>
      <c r="O170" s="38" t="b">
        <v>0</v>
      </c>
      <c r="P170" s="39" t="e">
        <f>VLOOKUP($B170,'26년 1월 출석표'!$B$2:$BQ$497,10,0)/1</f>
        <v>#N/A</v>
      </c>
      <c r="Q170" s="40"/>
      <c r="R170" s="41" t="e">
        <f>VLOOKUP($B170,'26년 1월 출석표'!$B$2:$BQ$497,24,0)/5</f>
        <v>#N/A</v>
      </c>
      <c r="S170" s="40"/>
      <c r="T170" s="41" t="e">
        <f>VLOOKUP($B170,'26년 1월 출석표'!$B$2:$BQ$497,38,0)/5</f>
        <v>#N/A</v>
      </c>
      <c r="U170" s="40"/>
      <c r="V170" s="41" t="e">
        <f>VLOOKUP($B170,'26년 1월 출석표'!$B$2:$BQ$497,52,0)/5</f>
        <v>#N/A</v>
      </c>
      <c r="W170" s="42"/>
      <c r="X170" s="41" t="e">
        <f>VLOOKUP($B170,'26년 1월 출석표'!$B$2:$BQ$503,66,0)/5</f>
        <v>#N/A</v>
      </c>
      <c r="Y170" s="43"/>
    </row>
    <row r="171" spans="1:25" ht="16.5">
      <c r="A171" s="29"/>
      <c r="B171" s="52"/>
      <c r="C171" s="52"/>
      <c r="D171" s="53"/>
      <c r="E171" s="54"/>
      <c r="F171" s="52"/>
      <c r="G171" s="55"/>
      <c r="H171" s="56"/>
      <c r="I171" s="34" t="e">
        <f>VLOOKUP(B171,'26년 1월 출석표'!$B$7:$D$500,3,0)</f>
        <v>#N/A</v>
      </c>
      <c r="J171" s="35" t="e">
        <f t="shared" ca="1" si="0"/>
        <v>#NAME?</v>
      </c>
      <c r="K171" s="36" t="str">
        <f t="shared" si="1"/>
        <v/>
      </c>
      <c r="L171" s="37" t="str">
        <f t="shared" si="2"/>
        <v/>
      </c>
      <c r="M171" s="30"/>
      <c r="N171" s="38" t="b">
        <v>0</v>
      </c>
      <c r="O171" s="38" t="b">
        <v>0</v>
      </c>
      <c r="P171" s="39" t="e">
        <f>VLOOKUP($B171,'26년 1월 출석표'!$B$2:$BQ$497,10,0)/1</f>
        <v>#N/A</v>
      </c>
      <c r="Q171" s="40"/>
      <c r="R171" s="41" t="e">
        <f>VLOOKUP($B171,'26년 1월 출석표'!$B$2:$BQ$497,24,0)/5</f>
        <v>#N/A</v>
      </c>
      <c r="S171" s="40"/>
      <c r="T171" s="41" t="e">
        <f>VLOOKUP($B171,'26년 1월 출석표'!$B$2:$BQ$497,38,0)/5</f>
        <v>#N/A</v>
      </c>
      <c r="U171" s="40"/>
      <c r="V171" s="41" t="e">
        <f>VLOOKUP($B171,'26년 1월 출석표'!$B$2:$BQ$497,52,0)/5</f>
        <v>#N/A</v>
      </c>
      <c r="W171" s="42"/>
      <c r="X171" s="41" t="e">
        <f>VLOOKUP($B171,'26년 1월 출석표'!$B$2:$BQ$503,66,0)/5</f>
        <v>#N/A</v>
      </c>
      <c r="Y171" s="43"/>
    </row>
    <row r="172" spans="1:25" ht="16.5">
      <c r="A172" s="29"/>
      <c r="B172" s="52"/>
      <c r="C172" s="52"/>
      <c r="D172" s="53"/>
      <c r="E172" s="54"/>
      <c r="F172" s="52"/>
      <c r="G172" s="55"/>
      <c r="H172" s="56"/>
      <c r="I172" s="34" t="e">
        <f>VLOOKUP(B172,'26년 1월 출석표'!$B$7:$D$500,3,0)</f>
        <v>#N/A</v>
      </c>
      <c r="J172" s="35" t="e">
        <f t="shared" ca="1" si="0"/>
        <v>#NAME?</v>
      </c>
      <c r="K172" s="36" t="str">
        <f t="shared" si="1"/>
        <v/>
      </c>
      <c r="L172" s="37" t="str">
        <f t="shared" si="2"/>
        <v/>
      </c>
      <c r="M172" s="30"/>
      <c r="N172" s="38" t="b">
        <v>0</v>
      </c>
      <c r="O172" s="38" t="b">
        <v>0</v>
      </c>
      <c r="P172" s="39" t="e">
        <f>VLOOKUP($B172,'26년 1월 출석표'!$B$2:$BQ$497,10,0)/1</f>
        <v>#N/A</v>
      </c>
      <c r="Q172" s="40"/>
      <c r="R172" s="41" t="e">
        <f>VLOOKUP($B172,'26년 1월 출석표'!$B$2:$BQ$497,24,0)/5</f>
        <v>#N/A</v>
      </c>
      <c r="S172" s="40"/>
      <c r="T172" s="41" t="e">
        <f>VLOOKUP($B172,'26년 1월 출석표'!$B$2:$BQ$497,38,0)/5</f>
        <v>#N/A</v>
      </c>
      <c r="U172" s="40"/>
      <c r="V172" s="41" t="e">
        <f>VLOOKUP($B172,'26년 1월 출석표'!$B$2:$BQ$497,52,0)/5</f>
        <v>#N/A</v>
      </c>
      <c r="W172" s="42"/>
      <c r="X172" s="41" t="e">
        <f>VLOOKUP($B172,'26년 1월 출석표'!$B$2:$BQ$503,66,0)/5</f>
        <v>#N/A</v>
      </c>
      <c r="Y172" s="43"/>
    </row>
    <row r="173" spans="1:25" ht="16.5">
      <c r="A173" s="29"/>
      <c r="B173" s="52"/>
      <c r="C173" s="52"/>
      <c r="D173" s="53"/>
      <c r="E173" s="54"/>
      <c r="F173" s="52"/>
      <c r="G173" s="55"/>
      <c r="H173" s="56"/>
      <c r="I173" s="34" t="e">
        <f>VLOOKUP(B173,'26년 1월 출석표'!$B$7:$D$500,3,0)</f>
        <v>#N/A</v>
      </c>
      <c r="J173" s="35" t="e">
        <f t="shared" ca="1" si="0"/>
        <v>#NAME?</v>
      </c>
      <c r="K173" s="36" t="str">
        <f t="shared" si="1"/>
        <v/>
      </c>
      <c r="L173" s="37" t="str">
        <f t="shared" si="2"/>
        <v/>
      </c>
      <c r="M173" s="30"/>
      <c r="N173" s="38" t="b">
        <v>0</v>
      </c>
      <c r="O173" s="38" t="b">
        <v>0</v>
      </c>
      <c r="P173" s="39" t="e">
        <f>VLOOKUP($B173,'26년 1월 출석표'!$B$2:$BQ$497,10,0)/1</f>
        <v>#N/A</v>
      </c>
      <c r="Q173" s="40"/>
      <c r="R173" s="41" t="e">
        <f>VLOOKUP($B173,'26년 1월 출석표'!$B$2:$BQ$497,24,0)/5</f>
        <v>#N/A</v>
      </c>
      <c r="S173" s="40"/>
      <c r="T173" s="41" t="e">
        <f>VLOOKUP($B173,'26년 1월 출석표'!$B$2:$BQ$497,38,0)/5</f>
        <v>#N/A</v>
      </c>
      <c r="U173" s="40"/>
      <c r="V173" s="41" t="e">
        <f>VLOOKUP($B173,'26년 1월 출석표'!$B$2:$BQ$497,52,0)/5</f>
        <v>#N/A</v>
      </c>
      <c r="W173" s="42"/>
      <c r="X173" s="41" t="e">
        <f>VLOOKUP($B173,'26년 1월 출석표'!$B$2:$BQ$503,66,0)/5</f>
        <v>#N/A</v>
      </c>
      <c r="Y173" s="43"/>
    </row>
    <row r="174" spans="1:25" ht="16.5">
      <c r="A174" s="29"/>
      <c r="B174" s="52"/>
      <c r="C174" s="52"/>
      <c r="D174" s="53"/>
      <c r="E174" s="54"/>
      <c r="F174" s="52"/>
      <c r="G174" s="55"/>
      <c r="H174" s="56"/>
      <c r="I174" s="34" t="e">
        <f>VLOOKUP(B174,'26년 1월 출석표'!$B$7:$D$500,3,0)</f>
        <v>#N/A</v>
      </c>
      <c r="J174" s="35" t="e">
        <f t="shared" ca="1" si="0"/>
        <v>#NAME?</v>
      </c>
      <c r="K174" s="36" t="str">
        <f t="shared" si="1"/>
        <v/>
      </c>
      <c r="L174" s="37" t="str">
        <f t="shared" si="2"/>
        <v/>
      </c>
      <c r="M174" s="30"/>
      <c r="N174" s="38" t="b">
        <v>0</v>
      </c>
      <c r="O174" s="38" t="b">
        <v>0</v>
      </c>
      <c r="P174" s="39" t="e">
        <f>VLOOKUP($B174,'26년 1월 출석표'!$B$2:$BQ$497,10,0)/1</f>
        <v>#N/A</v>
      </c>
      <c r="Q174" s="40"/>
      <c r="R174" s="41" t="e">
        <f>VLOOKUP($B174,'26년 1월 출석표'!$B$2:$BQ$497,24,0)/5</f>
        <v>#N/A</v>
      </c>
      <c r="S174" s="40"/>
      <c r="T174" s="41" t="e">
        <f>VLOOKUP($B174,'26년 1월 출석표'!$B$2:$BQ$497,38,0)/5</f>
        <v>#N/A</v>
      </c>
      <c r="U174" s="40"/>
      <c r="V174" s="41" t="e">
        <f>VLOOKUP($B174,'26년 1월 출석표'!$B$2:$BQ$497,52,0)/5</f>
        <v>#N/A</v>
      </c>
      <c r="W174" s="42"/>
      <c r="X174" s="41" t="e">
        <f>VLOOKUP($B174,'26년 1월 출석표'!$B$2:$BQ$503,66,0)/5</f>
        <v>#N/A</v>
      </c>
      <c r="Y174" s="43"/>
    </row>
    <row r="175" spans="1:25" ht="16.5">
      <c r="A175" s="29"/>
      <c r="B175" s="52"/>
      <c r="C175" s="52"/>
      <c r="D175" s="53"/>
      <c r="E175" s="54"/>
      <c r="F175" s="52"/>
      <c r="G175" s="55"/>
      <c r="H175" s="56"/>
      <c r="I175" s="34" t="e">
        <f>VLOOKUP(B175,'26년 1월 출석표'!$B$7:$D$500,3,0)</f>
        <v>#N/A</v>
      </c>
      <c r="J175" s="35" t="e">
        <f t="shared" ca="1" si="0"/>
        <v>#NAME?</v>
      </c>
      <c r="K175" s="36" t="str">
        <f t="shared" si="1"/>
        <v/>
      </c>
      <c r="L175" s="37" t="str">
        <f t="shared" si="2"/>
        <v/>
      </c>
      <c r="M175" s="30"/>
      <c r="N175" s="38" t="b">
        <v>0</v>
      </c>
      <c r="O175" s="38" t="b">
        <v>0</v>
      </c>
      <c r="P175" s="39" t="e">
        <f>VLOOKUP($B175,'26년 1월 출석표'!$B$2:$BQ$497,10,0)/1</f>
        <v>#N/A</v>
      </c>
      <c r="Q175" s="40"/>
      <c r="R175" s="41" t="e">
        <f>VLOOKUP($B175,'26년 1월 출석표'!$B$2:$BQ$497,24,0)/5</f>
        <v>#N/A</v>
      </c>
      <c r="S175" s="40"/>
      <c r="T175" s="41" t="e">
        <f>VLOOKUP($B175,'26년 1월 출석표'!$B$2:$BQ$497,38,0)/5</f>
        <v>#N/A</v>
      </c>
      <c r="U175" s="40"/>
      <c r="V175" s="41" t="e">
        <f>VLOOKUP($B175,'26년 1월 출석표'!$B$2:$BQ$497,52,0)/5</f>
        <v>#N/A</v>
      </c>
      <c r="W175" s="42"/>
      <c r="X175" s="41" t="e">
        <f>VLOOKUP($B175,'26년 1월 출석표'!$B$2:$BQ$503,66,0)/5</f>
        <v>#N/A</v>
      </c>
      <c r="Y175" s="43"/>
    </row>
    <row r="176" spans="1:25" ht="16.5">
      <c r="A176" s="29"/>
      <c r="B176" s="52"/>
      <c r="C176" s="52"/>
      <c r="D176" s="53"/>
      <c r="E176" s="54"/>
      <c r="F176" s="52"/>
      <c r="G176" s="55"/>
      <c r="H176" s="56"/>
      <c r="I176" s="34" t="e">
        <f>VLOOKUP(B176,'26년 1월 출석표'!$B$7:$D$500,3,0)</f>
        <v>#N/A</v>
      </c>
      <c r="J176" s="35" t="e">
        <f t="shared" ca="1" si="0"/>
        <v>#NAME?</v>
      </c>
      <c r="K176" s="36" t="str">
        <f t="shared" si="1"/>
        <v/>
      </c>
      <c r="L176" s="37" t="str">
        <f t="shared" si="2"/>
        <v/>
      </c>
      <c r="M176" s="30"/>
      <c r="N176" s="38" t="b">
        <v>0</v>
      </c>
      <c r="O176" s="38" t="b">
        <v>0</v>
      </c>
      <c r="P176" s="39" t="e">
        <f>VLOOKUP($B176,'26년 1월 출석표'!$B$2:$BQ$497,10,0)/1</f>
        <v>#N/A</v>
      </c>
      <c r="Q176" s="40"/>
      <c r="R176" s="41" t="e">
        <f>VLOOKUP($B176,'26년 1월 출석표'!$B$2:$BQ$497,24,0)/5</f>
        <v>#N/A</v>
      </c>
      <c r="S176" s="40"/>
      <c r="T176" s="41" t="e">
        <f>VLOOKUP($B176,'26년 1월 출석표'!$B$2:$BQ$497,38,0)/5</f>
        <v>#N/A</v>
      </c>
      <c r="U176" s="40"/>
      <c r="V176" s="41" t="e">
        <f>VLOOKUP($B176,'26년 1월 출석표'!$B$2:$BQ$497,52,0)/5</f>
        <v>#N/A</v>
      </c>
      <c r="W176" s="42"/>
      <c r="X176" s="41" t="e">
        <f>VLOOKUP($B176,'26년 1월 출석표'!$B$2:$BQ$503,66,0)/5</f>
        <v>#N/A</v>
      </c>
      <c r="Y176" s="43"/>
    </row>
    <row r="177" spans="1:25" ht="16.5">
      <c r="A177" s="29"/>
      <c r="B177" s="52"/>
      <c r="C177" s="52"/>
      <c r="D177" s="53"/>
      <c r="E177" s="54"/>
      <c r="F177" s="52"/>
      <c r="G177" s="55"/>
      <c r="H177" s="56"/>
      <c r="I177" s="34" t="e">
        <f>VLOOKUP(B177,'26년 1월 출석표'!$B$7:$D$500,3,0)</f>
        <v>#N/A</v>
      </c>
      <c r="J177" s="35" t="e">
        <f t="shared" ca="1" si="0"/>
        <v>#NAME?</v>
      </c>
      <c r="K177" s="36" t="str">
        <f t="shared" si="1"/>
        <v/>
      </c>
      <c r="L177" s="37" t="str">
        <f t="shared" si="2"/>
        <v/>
      </c>
      <c r="M177" s="30"/>
      <c r="N177" s="38" t="b">
        <v>0</v>
      </c>
      <c r="O177" s="38" t="b">
        <v>0</v>
      </c>
      <c r="P177" s="39" t="e">
        <f>VLOOKUP($B177,'26년 1월 출석표'!$B$2:$BQ$497,10,0)/1</f>
        <v>#N/A</v>
      </c>
      <c r="Q177" s="40"/>
      <c r="R177" s="41" t="e">
        <f>VLOOKUP($B177,'26년 1월 출석표'!$B$2:$BQ$497,24,0)/5</f>
        <v>#N/A</v>
      </c>
      <c r="S177" s="40"/>
      <c r="T177" s="41" t="e">
        <f>VLOOKUP($B177,'26년 1월 출석표'!$B$2:$BQ$497,38,0)/5</f>
        <v>#N/A</v>
      </c>
      <c r="U177" s="40"/>
      <c r="V177" s="41" t="e">
        <f>VLOOKUP($B177,'26년 1월 출석표'!$B$2:$BQ$497,52,0)/5</f>
        <v>#N/A</v>
      </c>
      <c r="W177" s="42"/>
      <c r="X177" s="41" t="e">
        <f>VLOOKUP($B177,'26년 1월 출석표'!$B$2:$BQ$503,66,0)/5</f>
        <v>#N/A</v>
      </c>
      <c r="Y177" s="43"/>
    </row>
    <row r="178" spans="1:25" ht="16.5">
      <c r="A178" s="29"/>
      <c r="B178" s="52"/>
      <c r="C178" s="52"/>
      <c r="D178" s="53"/>
      <c r="E178" s="54"/>
      <c r="F178" s="52"/>
      <c r="G178" s="55"/>
      <c r="H178" s="56"/>
      <c r="I178" s="34" t="e">
        <f>VLOOKUP(B178,'26년 1월 출석표'!$B$7:$D$500,3,0)</f>
        <v>#N/A</v>
      </c>
      <c r="J178" s="35" t="e">
        <f t="shared" ca="1" si="0"/>
        <v>#NAME?</v>
      </c>
      <c r="K178" s="36" t="str">
        <f t="shared" si="1"/>
        <v/>
      </c>
      <c r="L178" s="37" t="str">
        <f t="shared" si="2"/>
        <v/>
      </c>
      <c r="M178" s="30"/>
      <c r="N178" s="38" t="b">
        <v>0</v>
      </c>
      <c r="O178" s="38" t="b">
        <v>0</v>
      </c>
      <c r="P178" s="39" t="e">
        <f>VLOOKUP($B178,'26년 1월 출석표'!$B$2:$BQ$497,10,0)/1</f>
        <v>#N/A</v>
      </c>
      <c r="Q178" s="40"/>
      <c r="R178" s="41" t="e">
        <f>VLOOKUP($B178,'26년 1월 출석표'!$B$2:$BQ$497,24,0)/5</f>
        <v>#N/A</v>
      </c>
      <c r="S178" s="40"/>
      <c r="T178" s="41" t="e">
        <f>VLOOKUP($B178,'26년 1월 출석표'!$B$2:$BQ$497,38,0)/5</f>
        <v>#N/A</v>
      </c>
      <c r="U178" s="40"/>
      <c r="V178" s="41" t="e">
        <f>VLOOKUP($B178,'26년 1월 출석표'!$B$2:$BQ$497,52,0)/5</f>
        <v>#N/A</v>
      </c>
      <c r="W178" s="42"/>
      <c r="X178" s="41" t="e">
        <f>VLOOKUP($B178,'26년 1월 출석표'!$B$2:$BQ$503,66,0)/5</f>
        <v>#N/A</v>
      </c>
      <c r="Y178" s="43"/>
    </row>
    <row r="179" spans="1:25" ht="16.5">
      <c r="A179" s="29"/>
      <c r="B179" s="52"/>
      <c r="C179" s="52"/>
      <c r="D179" s="53"/>
      <c r="E179" s="54"/>
      <c r="F179" s="52"/>
      <c r="G179" s="55"/>
      <c r="H179" s="56"/>
      <c r="I179" s="34" t="e">
        <f>VLOOKUP(B179,'26년 1월 출석표'!$B$7:$D$500,3,0)</f>
        <v>#N/A</v>
      </c>
      <c r="J179" s="35" t="e">
        <f t="shared" ca="1" si="0"/>
        <v>#NAME?</v>
      </c>
      <c r="K179" s="36" t="str">
        <f t="shared" si="1"/>
        <v/>
      </c>
      <c r="L179" s="37" t="str">
        <f t="shared" si="2"/>
        <v/>
      </c>
      <c r="M179" s="30"/>
      <c r="N179" s="38" t="b">
        <v>0</v>
      </c>
      <c r="O179" s="38" t="b">
        <v>0</v>
      </c>
      <c r="P179" s="39" t="e">
        <f>VLOOKUP($B179,'26년 1월 출석표'!$B$2:$BQ$497,10,0)/1</f>
        <v>#N/A</v>
      </c>
      <c r="Q179" s="40"/>
      <c r="R179" s="41" t="e">
        <f>VLOOKUP($B179,'26년 1월 출석표'!$B$2:$BQ$497,24,0)/5</f>
        <v>#N/A</v>
      </c>
      <c r="S179" s="40"/>
      <c r="T179" s="41" t="e">
        <f>VLOOKUP($B179,'26년 1월 출석표'!$B$2:$BQ$497,38,0)/5</f>
        <v>#N/A</v>
      </c>
      <c r="U179" s="40"/>
      <c r="V179" s="41" t="e">
        <f>VLOOKUP($B179,'26년 1월 출석표'!$B$2:$BQ$497,52,0)/5</f>
        <v>#N/A</v>
      </c>
      <c r="W179" s="42"/>
      <c r="X179" s="41" t="e">
        <f>VLOOKUP($B179,'26년 1월 출석표'!$B$2:$BQ$503,66,0)/5</f>
        <v>#N/A</v>
      </c>
      <c r="Y179" s="43"/>
    </row>
    <row r="180" spans="1:25" ht="16.5">
      <c r="A180" s="29"/>
      <c r="B180" s="52"/>
      <c r="C180" s="52"/>
      <c r="D180" s="53"/>
      <c r="E180" s="54"/>
      <c r="F180" s="52"/>
      <c r="G180" s="55"/>
      <c r="H180" s="56"/>
      <c r="I180" s="34" t="e">
        <f>VLOOKUP(B180,'26년 1월 출석표'!$B$7:$D$500,3,0)</f>
        <v>#N/A</v>
      </c>
      <c r="J180" s="35" t="e">
        <f t="shared" ca="1" si="0"/>
        <v>#NAME?</v>
      </c>
      <c r="K180" s="36" t="str">
        <f t="shared" si="1"/>
        <v/>
      </c>
      <c r="L180" s="37" t="str">
        <f t="shared" si="2"/>
        <v/>
      </c>
      <c r="M180" s="30"/>
      <c r="N180" s="38" t="b">
        <v>0</v>
      </c>
      <c r="O180" s="38" t="b">
        <v>0</v>
      </c>
      <c r="P180" s="39" t="e">
        <f>VLOOKUP($B180,'26년 1월 출석표'!$B$2:$BQ$497,10,0)/1</f>
        <v>#N/A</v>
      </c>
      <c r="Q180" s="40"/>
      <c r="R180" s="41" t="e">
        <f>VLOOKUP($B180,'26년 1월 출석표'!$B$2:$BQ$497,24,0)/5</f>
        <v>#N/A</v>
      </c>
      <c r="S180" s="40"/>
      <c r="T180" s="41" t="e">
        <f>VLOOKUP($B180,'26년 1월 출석표'!$B$2:$BQ$497,38,0)/5</f>
        <v>#N/A</v>
      </c>
      <c r="U180" s="40"/>
      <c r="V180" s="41" t="e">
        <f>VLOOKUP($B180,'26년 1월 출석표'!$B$2:$BQ$497,52,0)/5</f>
        <v>#N/A</v>
      </c>
      <c r="W180" s="42"/>
      <c r="X180" s="41" t="e">
        <f>VLOOKUP($B180,'26년 1월 출석표'!$B$2:$BQ$503,66,0)/5</f>
        <v>#N/A</v>
      </c>
      <c r="Y180" s="43"/>
    </row>
    <row r="181" spans="1:25" ht="16.5">
      <c r="A181" s="29"/>
      <c r="B181" s="52"/>
      <c r="C181" s="52"/>
      <c r="D181" s="53"/>
      <c r="E181" s="54"/>
      <c r="F181" s="52"/>
      <c r="G181" s="55"/>
      <c r="H181" s="56"/>
      <c r="I181" s="34" t="e">
        <f>VLOOKUP(B181,'26년 1월 출석표'!$B$7:$D$500,3,0)</f>
        <v>#N/A</v>
      </c>
      <c r="J181" s="35" t="e">
        <f t="shared" ca="1" si="0"/>
        <v>#NAME?</v>
      </c>
      <c r="K181" s="36" t="str">
        <f t="shared" si="1"/>
        <v/>
      </c>
      <c r="L181" s="37" t="str">
        <f t="shared" si="2"/>
        <v/>
      </c>
      <c r="M181" s="30"/>
      <c r="N181" s="38" t="b">
        <v>0</v>
      </c>
      <c r="O181" s="38" t="b">
        <v>0</v>
      </c>
      <c r="P181" s="39" t="e">
        <f>VLOOKUP($B181,'26년 1월 출석표'!$B$2:$BQ$497,10,0)/1</f>
        <v>#N/A</v>
      </c>
      <c r="Q181" s="40"/>
      <c r="R181" s="41" t="e">
        <f>VLOOKUP($B181,'26년 1월 출석표'!$B$2:$BQ$497,24,0)/5</f>
        <v>#N/A</v>
      </c>
      <c r="S181" s="40"/>
      <c r="T181" s="41" t="e">
        <f>VLOOKUP($B181,'26년 1월 출석표'!$B$2:$BQ$497,38,0)/5</f>
        <v>#N/A</v>
      </c>
      <c r="U181" s="40"/>
      <c r="V181" s="41" t="e">
        <f>VLOOKUP($B181,'26년 1월 출석표'!$B$2:$BQ$497,52,0)/5</f>
        <v>#N/A</v>
      </c>
      <c r="W181" s="42"/>
      <c r="X181" s="41" t="e">
        <f>VLOOKUP($B181,'26년 1월 출석표'!$B$2:$BQ$503,66,0)/5</f>
        <v>#N/A</v>
      </c>
      <c r="Y181" s="43"/>
    </row>
    <row r="182" spans="1:25" ht="16.5">
      <c r="A182" s="29"/>
      <c r="B182" s="52"/>
      <c r="C182" s="52"/>
      <c r="D182" s="53"/>
      <c r="E182" s="54"/>
      <c r="F182" s="52"/>
      <c r="G182" s="55"/>
      <c r="H182" s="56"/>
      <c r="I182" s="34" t="e">
        <f>VLOOKUP(B182,'26년 1월 출석표'!$B$7:$D$500,3,0)</f>
        <v>#N/A</v>
      </c>
      <c r="J182" s="35" t="e">
        <f t="shared" ca="1" si="0"/>
        <v>#NAME?</v>
      </c>
      <c r="K182" s="36" t="str">
        <f t="shared" si="1"/>
        <v/>
      </c>
      <c r="L182" s="37" t="str">
        <f t="shared" si="2"/>
        <v/>
      </c>
      <c r="M182" s="30"/>
      <c r="N182" s="38" t="b">
        <v>0</v>
      </c>
      <c r="O182" s="38" t="b">
        <v>0</v>
      </c>
      <c r="P182" s="39" t="e">
        <f>VLOOKUP($B182,'26년 1월 출석표'!$B$2:$BQ$497,10,0)/1</f>
        <v>#N/A</v>
      </c>
      <c r="Q182" s="40"/>
      <c r="R182" s="41" t="e">
        <f>VLOOKUP($B182,'26년 1월 출석표'!$B$2:$BQ$497,24,0)/5</f>
        <v>#N/A</v>
      </c>
      <c r="S182" s="40"/>
      <c r="T182" s="41" t="e">
        <f>VLOOKUP($B182,'26년 1월 출석표'!$B$2:$BQ$497,38,0)/5</f>
        <v>#N/A</v>
      </c>
      <c r="U182" s="40"/>
      <c r="V182" s="41" t="e">
        <f>VLOOKUP($B182,'26년 1월 출석표'!$B$2:$BQ$497,52,0)/5</f>
        <v>#N/A</v>
      </c>
      <c r="W182" s="42"/>
      <c r="X182" s="41" t="e">
        <f>VLOOKUP($B182,'26년 1월 출석표'!$B$2:$BQ$503,66,0)/5</f>
        <v>#N/A</v>
      </c>
      <c r="Y182" s="43"/>
    </row>
    <row r="183" spans="1:25" ht="16.5">
      <c r="A183" s="29"/>
      <c r="B183" s="52"/>
      <c r="C183" s="52"/>
      <c r="D183" s="53"/>
      <c r="E183" s="54"/>
      <c r="F183" s="52"/>
      <c r="G183" s="55"/>
      <c r="H183" s="56"/>
      <c r="I183" s="34" t="e">
        <f>VLOOKUP(B183,'26년 1월 출석표'!$B$7:$D$500,3,0)</f>
        <v>#N/A</v>
      </c>
      <c r="J183" s="35" t="e">
        <f t="shared" ca="1" si="0"/>
        <v>#NAME?</v>
      </c>
      <c r="K183" s="36" t="str">
        <f t="shared" si="1"/>
        <v/>
      </c>
      <c r="L183" s="37" t="str">
        <f t="shared" si="2"/>
        <v/>
      </c>
      <c r="M183" s="30"/>
      <c r="N183" s="38" t="b">
        <v>0</v>
      </c>
      <c r="O183" s="38" t="b">
        <v>0</v>
      </c>
      <c r="P183" s="39" t="e">
        <f>VLOOKUP($B183,'26년 1월 출석표'!$B$2:$BQ$497,10,0)/1</f>
        <v>#N/A</v>
      </c>
      <c r="Q183" s="40"/>
      <c r="R183" s="41" t="e">
        <f>VLOOKUP($B183,'26년 1월 출석표'!$B$2:$BQ$497,24,0)/5</f>
        <v>#N/A</v>
      </c>
      <c r="S183" s="40"/>
      <c r="T183" s="41" t="e">
        <f>VLOOKUP($B183,'26년 1월 출석표'!$B$2:$BQ$497,38,0)/5</f>
        <v>#N/A</v>
      </c>
      <c r="U183" s="40"/>
      <c r="V183" s="41" t="e">
        <f>VLOOKUP($B183,'26년 1월 출석표'!$B$2:$BQ$497,52,0)/5</f>
        <v>#N/A</v>
      </c>
      <c r="W183" s="42"/>
      <c r="X183" s="41" t="e">
        <f>VLOOKUP($B183,'26년 1월 출석표'!$B$2:$BQ$503,66,0)/5</f>
        <v>#N/A</v>
      </c>
      <c r="Y183" s="43"/>
    </row>
    <row r="184" spans="1:25" ht="16.5">
      <c r="A184" s="29"/>
      <c r="B184" s="52"/>
      <c r="C184" s="52"/>
      <c r="D184" s="53"/>
      <c r="E184" s="54"/>
      <c r="F184" s="52"/>
      <c r="G184" s="55"/>
      <c r="H184" s="56"/>
      <c r="I184" s="34" t="e">
        <f>VLOOKUP(B184,'26년 1월 출석표'!$B$7:$D$500,3,0)</f>
        <v>#N/A</v>
      </c>
      <c r="J184" s="35" t="e">
        <f t="shared" ca="1" si="0"/>
        <v>#NAME?</v>
      </c>
      <c r="K184" s="36" t="str">
        <f t="shared" si="1"/>
        <v/>
      </c>
      <c r="L184" s="37" t="str">
        <f t="shared" si="2"/>
        <v/>
      </c>
      <c r="M184" s="30"/>
      <c r="N184" s="38" t="b">
        <v>0</v>
      </c>
      <c r="O184" s="38" t="b">
        <v>0</v>
      </c>
      <c r="P184" s="39" t="e">
        <f>VLOOKUP($B184,'26년 1월 출석표'!$B$2:$BQ$497,10,0)/1</f>
        <v>#N/A</v>
      </c>
      <c r="Q184" s="40"/>
      <c r="R184" s="41" t="e">
        <f>VLOOKUP($B184,'26년 1월 출석표'!$B$2:$BQ$497,24,0)/5</f>
        <v>#N/A</v>
      </c>
      <c r="S184" s="40"/>
      <c r="T184" s="41" t="e">
        <f>VLOOKUP($B184,'26년 1월 출석표'!$B$2:$BQ$497,38,0)/5</f>
        <v>#N/A</v>
      </c>
      <c r="U184" s="40"/>
      <c r="V184" s="41" t="e">
        <f>VLOOKUP($B184,'26년 1월 출석표'!$B$2:$BQ$497,52,0)/5</f>
        <v>#N/A</v>
      </c>
      <c r="W184" s="42"/>
      <c r="X184" s="41" t="e">
        <f>VLOOKUP($B184,'26년 1월 출석표'!$B$2:$BQ$503,66,0)/5</f>
        <v>#N/A</v>
      </c>
      <c r="Y184" s="43"/>
    </row>
    <row r="185" spans="1:25" ht="16.5">
      <c r="A185" s="29"/>
      <c r="B185" s="52"/>
      <c r="C185" s="52"/>
      <c r="D185" s="53"/>
      <c r="E185" s="54"/>
      <c r="F185" s="52"/>
      <c r="G185" s="55"/>
      <c r="H185" s="56"/>
      <c r="I185" s="34" t="e">
        <f>VLOOKUP(B185,'26년 1월 출석표'!$B$7:$D$500,3,0)</f>
        <v>#N/A</v>
      </c>
      <c r="J185" s="35" t="e">
        <f t="shared" ca="1" si="0"/>
        <v>#NAME?</v>
      </c>
      <c r="K185" s="36" t="str">
        <f t="shared" si="1"/>
        <v/>
      </c>
      <c r="L185" s="37" t="str">
        <f t="shared" si="2"/>
        <v/>
      </c>
      <c r="M185" s="30"/>
      <c r="N185" s="38" t="b">
        <v>0</v>
      </c>
      <c r="O185" s="38" t="b">
        <v>0</v>
      </c>
      <c r="P185" s="39" t="e">
        <f>VLOOKUP($B185,'26년 1월 출석표'!$B$2:$BQ$497,10,0)/1</f>
        <v>#N/A</v>
      </c>
      <c r="Q185" s="40"/>
      <c r="R185" s="41" t="e">
        <f>VLOOKUP($B185,'26년 1월 출석표'!$B$2:$BQ$497,24,0)/5</f>
        <v>#N/A</v>
      </c>
      <c r="S185" s="40"/>
      <c r="T185" s="41" t="e">
        <f>VLOOKUP($B185,'26년 1월 출석표'!$B$2:$BQ$497,38,0)/5</f>
        <v>#N/A</v>
      </c>
      <c r="U185" s="40"/>
      <c r="V185" s="41" t="e">
        <f>VLOOKUP($B185,'26년 1월 출석표'!$B$2:$BQ$497,52,0)/5</f>
        <v>#N/A</v>
      </c>
      <c r="W185" s="42"/>
      <c r="X185" s="41" t="e">
        <f>VLOOKUP($B185,'26년 1월 출석표'!$B$2:$BQ$503,66,0)/5</f>
        <v>#N/A</v>
      </c>
      <c r="Y185" s="43"/>
    </row>
    <row r="186" spans="1:25" ht="16.5">
      <c r="A186" s="29"/>
      <c r="B186" s="52"/>
      <c r="C186" s="52"/>
      <c r="D186" s="53"/>
      <c r="E186" s="54"/>
      <c r="F186" s="52"/>
      <c r="G186" s="55"/>
      <c r="H186" s="56"/>
      <c r="I186" s="34" t="e">
        <f>VLOOKUP(B186,'26년 1월 출석표'!$B$7:$D$500,3,0)</f>
        <v>#N/A</v>
      </c>
      <c r="J186" s="35" t="e">
        <f t="shared" ca="1" si="0"/>
        <v>#NAME?</v>
      </c>
      <c r="K186" s="36" t="str">
        <f t="shared" si="1"/>
        <v/>
      </c>
      <c r="L186" s="37" t="str">
        <f t="shared" si="2"/>
        <v/>
      </c>
      <c r="M186" s="30"/>
      <c r="N186" s="38" t="b">
        <v>0</v>
      </c>
      <c r="O186" s="38" t="b">
        <v>0</v>
      </c>
      <c r="P186" s="39" t="e">
        <f>VLOOKUP($B186,'26년 1월 출석표'!$B$2:$BQ$497,10,0)/1</f>
        <v>#N/A</v>
      </c>
      <c r="Q186" s="40"/>
      <c r="R186" s="41" t="e">
        <f>VLOOKUP($B186,'26년 1월 출석표'!$B$2:$BQ$497,24,0)/5</f>
        <v>#N/A</v>
      </c>
      <c r="S186" s="40"/>
      <c r="T186" s="41" t="e">
        <f>VLOOKUP($B186,'26년 1월 출석표'!$B$2:$BQ$497,38,0)/5</f>
        <v>#N/A</v>
      </c>
      <c r="U186" s="40"/>
      <c r="V186" s="41" t="e">
        <f>VLOOKUP($B186,'26년 1월 출석표'!$B$2:$BQ$497,52,0)/5</f>
        <v>#N/A</v>
      </c>
      <c r="W186" s="42"/>
      <c r="X186" s="41" t="e">
        <f>VLOOKUP($B186,'26년 1월 출석표'!$B$2:$BQ$503,66,0)/5</f>
        <v>#N/A</v>
      </c>
      <c r="Y186" s="43"/>
    </row>
    <row r="187" spans="1:25" ht="16.5">
      <c r="A187" s="29"/>
      <c r="B187" s="52"/>
      <c r="C187" s="52"/>
      <c r="D187" s="53"/>
      <c r="E187" s="54"/>
      <c r="F187" s="52"/>
      <c r="G187" s="55"/>
      <c r="H187" s="56"/>
      <c r="I187" s="34" t="e">
        <f>VLOOKUP(B187,'26년 1월 출석표'!$B$7:$D$500,3,0)</f>
        <v>#N/A</v>
      </c>
      <c r="J187" s="35" t="e">
        <f t="shared" ca="1" si="0"/>
        <v>#NAME?</v>
      </c>
      <c r="K187" s="36" t="str">
        <f t="shared" si="1"/>
        <v/>
      </c>
      <c r="L187" s="37" t="str">
        <f t="shared" si="2"/>
        <v/>
      </c>
      <c r="M187" s="30"/>
      <c r="N187" s="38" t="b">
        <v>0</v>
      </c>
      <c r="O187" s="38" t="b">
        <v>0</v>
      </c>
      <c r="P187" s="39" t="e">
        <f>VLOOKUP($B187,'26년 1월 출석표'!$B$2:$BQ$497,10,0)/1</f>
        <v>#N/A</v>
      </c>
      <c r="Q187" s="40"/>
      <c r="R187" s="41" t="e">
        <f>VLOOKUP($B187,'26년 1월 출석표'!$B$2:$BQ$497,24,0)/5</f>
        <v>#N/A</v>
      </c>
      <c r="S187" s="40"/>
      <c r="T187" s="41" t="e">
        <f>VLOOKUP($B187,'26년 1월 출석표'!$B$2:$BQ$497,38,0)/5</f>
        <v>#N/A</v>
      </c>
      <c r="U187" s="40"/>
      <c r="V187" s="41" t="e">
        <f>VLOOKUP($B187,'26년 1월 출석표'!$B$2:$BQ$497,52,0)/5</f>
        <v>#N/A</v>
      </c>
      <c r="W187" s="42"/>
      <c r="X187" s="41" t="e">
        <f>VLOOKUP($B187,'26년 1월 출석표'!$B$2:$BQ$503,66,0)/5</f>
        <v>#N/A</v>
      </c>
      <c r="Y187" s="43"/>
    </row>
    <row r="188" spans="1:25" ht="16.5">
      <c r="A188" s="29"/>
      <c r="B188" s="52"/>
      <c r="C188" s="52"/>
      <c r="D188" s="53"/>
      <c r="E188" s="54"/>
      <c r="F188" s="52"/>
      <c r="G188" s="55"/>
      <c r="H188" s="56"/>
      <c r="I188" s="34" t="e">
        <f>VLOOKUP(B188,'26년 1월 출석표'!$B$7:$D$500,3,0)</f>
        <v>#N/A</v>
      </c>
      <c r="J188" s="35" t="e">
        <f t="shared" ca="1" si="0"/>
        <v>#NAME?</v>
      </c>
      <c r="K188" s="36" t="str">
        <f t="shared" si="1"/>
        <v/>
      </c>
      <c r="L188" s="37" t="str">
        <f t="shared" si="2"/>
        <v/>
      </c>
      <c r="M188" s="30"/>
      <c r="N188" s="38" t="b">
        <v>0</v>
      </c>
      <c r="O188" s="38" t="b">
        <v>0</v>
      </c>
      <c r="P188" s="39" t="e">
        <f>VLOOKUP($B188,'26년 1월 출석표'!$B$2:$BQ$497,10,0)/1</f>
        <v>#N/A</v>
      </c>
      <c r="Q188" s="40"/>
      <c r="R188" s="41" t="e">
        <f>VLOOKUP($B188,'26년 1월 출석표'!$B$2:$BQ$497,24,0)/5</f>
        <v>#N/A</v>
      </c>
      <c r="S188" s="40"/>
      <c r="T188" s="41" t="e">
        <f>VLOOKUP($B188,'26년 1월 출석표'!$B$2:$BQ$497,38,0)/5</f>
        <v>#N/A</v>
      </c>
      <c r="U188" s="40"/>
      <c r="V188" s="41" t="e">
        <f>VLOOKUP($B188,'26년 1월 출석표'!$B$2:$BQ$497,52,0)/5</f>
        <v>#N/A</v>
      </c>
      <c r="W188" s="42"/>
      <c r="X188" s="41" t="e">
        <f>VLOOKUP($B188,'26년 1월 출석표'!$B$2:$BQ$503,66,0)/5</f>
        <v>#N/A</v>
      </c>
      <c r="Y188" s="43"/>
    </row>
    <row r="189" spans="1:25" ht="16.5">
      <c r="A189" s="29"/>
      <c r="B189" s="52"/>
      <c r="C189" s="52"/>
      <c r="D189" s="53"/>
      <c r="E189" s="54"/>
      <c r="F189" s="52"/>
      <c r="G189" s="55"/>
      <c r="H189" s="56"/>
      <c r="I189" s="34" t="e">
        <f>VLOOKUP(B189,'26년 1월 출석표'!$B$7:$D$500,3,0)</f>
        <v>#N/A</v>
      </c>
      <c r="J189" s="35" t="e">
        <f t="shared" ca="1" si="0"/>
        <v>#NAME?</v>
      </c>
      <c r="K189" s="36" t="str">
        <f t="shared" si="1"/>
        <v/>
      </c>
      <c r="L189" s="37" t="str">
        <f t="shared" si="2"/>
        <v/>
      </c>
      <c r="M189" s="30"/>
      <c r="N189" s="38" t="b">
        <v>0</v>
      </c>
      <c r="O189" s="38" t="b">
        <v>0</v>
      </c>
      <c r="P189" s="39" t="e">
        <f>VLOOKUP($B189,'26년 1월 출석표'!$B$2:$BQ$497,10,0)/1</f>
        <v>#N/A</v>
      </c>
      <c r="Q189" s="40"/>
      <c r="R189" s="41" t="e">
        <f>VLOOKUP($B189,'26년 1월 출석표'!$B$2:$BQ$497,24,0)/5</f>
        <v>#N/A</v>
      </c>
      <c r="S189" s="40"/>
      <c r="T189" s="41" t="e">
        <f>VLOOKUP($B189,'26년 1월 출석표'!$B$2:$BQ$497,38,0)/5</f>
        <v>#N/A</v>
      </c>
      <c r="U189" s="40"/>
      <c r="V189" s="41" t="e">
        <f>VLOOKUP($B189,'26년 1월 출석표'!$B$2:$BQ$497,52,0)/5</f>
        <v>#N/A</v>
      </c>
      <c r="W189" s="42"/>
      <c r="X189" s="41" t="e">
        <f>VLOOKUP($B189,'26년 1월 출석표'!$B$2:$BQ$503,66,0)/5</f>
        <v>#N/A</v>
      </c>
      <c r="Y189" s="43"/>
    </row>
    <row r="190" spans="1:25" ht="16.5">
      <c r="A190" s="29"/>
      <c r="B190" s="52"/>
      <c r="C190" s="52"/>
      <c r="D190" s="53"/>
      <c r="E190" s="54"/>
      <c r="F190" s="52"/>
      <c r="G190" s="55"/>
      <c r="H190" s="56"/>
      <c r="I190" s="34" t="e">
        <f>VLOOKUP(B190,'26년 1월 출석표'!$B$7:$D$500,3,0)</f>
        <v>#N/A</v>
      </c>
      <c r="J190" s="35" t="e">
        <f t="shared" ca="1" si="0"/>
        <v>#NAME?</v>
      </c>
      <c r="K190" s="36" t="str">
        <f t="shared" si="1"/>
        <v/>
      </c>
      <c r="L190" s="37" t="str">
        <f t="shared" si="2"/>
        <v/>
      </c>
      <c r="M190" s="30"/>
      <c r="N190" s="38" t="b">
        <v>0</v>
      </c>
      <c r="O190" s="38" t="b">
        <v>0</v>
      </c>
      <c r="P190" s="39" t="e">
        <f>VLOOKUP($B190,'26년 1월 출석표'!$B$2:$BQ$497,10,0)/1</f>
        <v>#N/A</v>
      </c>
      <c r="Q190" s="40"/>
      <c r="R190" s="41" t="e">
        <f>VLOOKUP($B190,'26년 1월 출석표'!$B$2:$BQ$497,24,0)/5</f>
        <v>#N/A</v>
      </c>
      <c r="S190" s="40"/>
      <c r="T190" s="41" t="e">
        <f>VLOOKUP($B190,'26년 1월 출석표'!$B$2:$BQ$497,38,0)/5</f>
        <v>#N/A</v>
      </c>
      <c r="U190" s="40"/>
      <c r="V190" s="41" t="e">
        <f>VLOOKUP($B190,'26년 1월 출석표'!$B$2:$BQ$497,52,0)/5</f>
        <v>#N/A</v>
      </c>
      <c r="W190" s="42"/>
      <c r="X190" s="41" t="e">
        <f>VLOOKUP($B190,'26년 1월 출석표'!$B$2:$BQ$503,66,0)/5</f>
        <v>#N/A</v>
      </c>
      <c r="Y190" s="43"/>
    </row>
    <row r="191" spans="1:25" ht="16.5">
      <c r="A191" s="29"/>
      <c r="B191" s="52"/>
      <c r="C191" s="52"/>
      <c r="D191" s="53"/>
      <c r="E191" s="54"/>
      <c r="F191" s="52"/>
      <c r="G191" s="55"/>
      <c r="H191" s="56"/>
      <c r="I191" s="34" t="e">
        <f>VLOOKUP(B191,'26년 1월 출석표'!$B$7:$D$500,3,0)</f>
        <v>#N/A</v>
      </c>
      <c r="J191" s="35" t="e">
        <f t="shared" ca="1" si="0"/>
        <v>#NAME?</v>
      </c>
      <c r="K191" s="36" t="str">
        <f t="shared" si="1"/>
        <v/>
      </c>
      <c r="L191" s="37" t="str">
        <f t="shared" si="2"/>
        <v/>
      </c>
      <c r="M191" s="30"/>
      <c r="N191" s="38" t="b">
        <v>0</v>
      </c>
      <c r="O191" s="38" t="b">
        <v>0</v>
      </c>
      <c r="P191" s="39" t="e">
        <f>VLOOKUP($B191,'26년 1월 출석표'!$B$2:$BQ$497,10,0)/1</f>
        <v>#N/A</v>
      </c>
      <c r="Q191" s="40"/>
      <c r="R191" s="41" t="e">
        <f>VLOOKUP($B191,'26년 1월 출석표'!$B$2:$BQ$497,24,0)/5</f>
        <v>#N/A</v>
      </c>
      <c r="S191" s="40"/>
      <c r="T191" s="41" t="e">
        <f>VLOOKUP($B191,'26년 1월 출석표'!$B$2:$BQ$497,38,0)/5</f>
        <v>#N/A</v>
      </c>
      <c r="U191" s="40"/>
      <c r="V191" s="41" t="e">
        <f>VLOOKUP($B191,'26년 1월 출석표'!$B$2:$BQ$497,52,0)/5</f>
        <v>#N/A</v>
      </c>
      <c r="W191" s="42"/>
      <c r="X191" s="41" t="e">
        <f>VLOOKUP($B191,'26년 1월 출석표'!$B$2:$BQ$503,66,0)/5</f>
        <v>#N/A</v>
      </c>
      <c r="Y191" s="43"/>
    </row>
    <row r="192" spans="1:25" ht="16.5">
      <c r="A192" s="29"/>
      <c r="B192" s="52"/>
      <c r="C192" s="52"/>
      <c r="D192" s="53"/>
      <c r="E192" s="54"/>
      <c r="F192" s="52"/>
      <c r="G192" s="55"/>
      <c r="H192" s="56"/>
      <c r="I192" s="34" t="e">
        <f>VLOOKUP(B192,'26년 1월 출석표'!$B$7:$D$500,3,0)</f>
        <v>#N/A</v>
      </c>
      <c r="J192" s="35" t="e">
        <f t="shared" ca="1" si="0"/>
        <v>#NAME?</v>
      </c>
      <c r="K192" s="36" t="str">
        <f t="shared" si="1"/>
        <v/>
      </c>
      <c r="L192" s="37" t="str">
        <f t="shared" si="2"/>
        <v/>
      </c>
      <c r="M192" s="30"/>
      <c r="N192" s="38" t="b">
        <v>0</v>
      </c>
      <c r="O192" s="38" t="b">
        <v>0</v>
      </c>
      <c r="P192" s="39" t="e">
        <f>VLOOKUP($B192,'26년 1월 출석표'!$B$2:$BQ$497,10,0)/1</f>
        <v>#N/A</v>
      </c>
      <c r="Q192" s="40"/>
      <c r="R192" s="41" t="e">
        <f>VLOOKUP($B192,'26년 1월 출석표'!$B$2:$BQ$497,24,0)/5</f>
        <v>#N/A</v>
      </c>
      <c r="S192" s="40"/>
      <c r="T192" s="41" t="e">
        <f>VLOOKUP($B192,'26년 1월 출석표'!$B$2:$BQ$497,38,0)/5</f>
        <v>#N/A</v>
      </c>
      <c r="U192" s="40"/>
      <c r="V192" s="41" t="e">
        <f>VLOOKUP($B192,'26년 1월 출석표'!$B$2:$BQ$497,52,0)/5</f>
        <v>#N/A</v>
      </c>
      <c r="W192" s="42"/>
      <c r="X192" s="41" t="e">
        <f>VLOOKUP($B192,'26년 1월 출석표'!$B$2:$BQ$503,66,0)/5</f>
        <v>#N/A</v>
      </c>
      <c r="Y192" s="43"/>
    </row>
    <row r="193" spans="1:25" ht="16.5">
      <c r="A193" s="29"/>
      <c r="B193" s="52"/>
      <c r="C193" s="52"/>
      <c r="D193" s="53"/>
      <c r="E193" s="54"/>
      <c r="F193" s="52"/>
      <c r="G193" s="55"/>
      <c r="H193" s="56"/>
      <c r="I193" s="34" t="e">
        <f>VLOOKUP(B193,'26년 1월 출석표'!$B$7:$D$500,3,0)</f>
        <v>#N/A</v>
      </c>
      <c r="J193" s="35" t="e">
        <f t="shared" ca="1" si="0"/>
        <v>#NAME?</v>
      </c>
      <c r="K193" s="36" t="str">
        <f t="shared" si="1"/>
        <v/>
      </c>
      <c r="L193" s="37" t="str">
        <f t="shared" si="2"/>
        <v/>
      </c>
      <c r="M193" s="30"/>
      <c r="N193" s="38" t="b">
        <v>0</v>
      </c>
      <c r="O193" s="38" t="b">
        <v>0</v>
      </c>
      <c r="P193" s="39" t="e">
        <f>VLOOKUP($B193,'26년 1월 출석표'!$B$2:$BQ$497,10,0)/1</f>
        <v>#N/A</v>
      </c>
      <c r="Q193" s="40"/>
      <c r="R193" s="41" t="e">
        <f>VLOOKUP($B193,'26년 1월 출석표'!$B$2:$BQ$497,24,0)/5</f>
        <v>#N/A</v>
      </c>
      <c r="S193" s="40"/>
      <c r="T193" s="41" t="e">
        <f>VLOOKUP($B193,'26년 1월 출석표'!$B$2:$BQ$497,38,0)/5</f>
        <v>#N/A</v>
      </c>
      <c r="U193" s="40"/>
      <c r="V193" s="41" t="e">
        <f>VLOOKUP($B193,'26년 1월 출석표'!$B$2:$BQ$497,52,0)/5</f>
        <v>#N/A</v>
      </c>
      <c r="W193" s="42"/>
      <c r="X193" s="41" t="e">
        <f>VLOOKUP($B193,'26년 1월 출석표'!$B$2:$BQ$503,66,0)/5</f>
        <v>#N/A</v>
      </c>
      <c r="Y193" s="43"/>
    </row>
    <row r="194" spans="1:25" ht="16.5">
      <c r="A194" s="29"/>
      <c r="B194" s="52"/>
      <c r="C194" s="52"/>
      <c r="D194" s="53"/>
      <c r="E194" s="54"/>
      <c r="F194" s="52"/>
      <c r="G194" s="55"/>
      <c r="H194" s="56"/>
      <c r="I194" s="34" t="e">
        <f>VLOOKUP(B194,'26년 1월 출석표'!$B$7:$D$500,3,0)</f>
        <v>#N/A</v>
      </c>
      <c r="J194" s="35" t="e">
        <f t="shared" ca="1" si="0"/>
        <v>#NAME?</v>
      </c>
      <c r="K194" s="36" t="str">
        <f t="shared" si="1"/>
        <v/>
      </c>
      <c r="L194" s="37" t="str">
        <f t="shared" si="2"/>
        <v/>
      </c>
      <c r="M194" s="30"/>
      <c r="N194" s="38" t="b">
        <v>0</v>
      </c>
      <c r="O194" s="38" t="b">
        <v>0</v>
      </c>
      <c r="P194" s="39" t="e">
        <f>VLOOKUP($B194,'26년 1월 출석표'!$B$2:$BQ$497,10,0)/1</f>
        <v>#N/A</v>
      </c>
      <c r="Q194" s="40"/>
      <c r="R194" s="41" t="e">
        <f>VLOOKUP($B194,'26년 1월 출석표'!$B$2:$BQ$497,24,0)/5</f>
        <v>#N/A</v>
      </c>
      <c r="S194" s="40"/>
      <c r="T194" s="41" t="e">
        <f>VLOOKUP($B194,'26년 1월 출석표'!$B$2:$BQ$497,38,0)/5</f>
        <v>#N/A</v>
      </c>
      <c r="U194" s="40"/>
      <c r="V194" s="41" t="e">
        <f>VLOOKUP($B194,'26년 1월 출석표'!$B$2:$BQ$497,52,0)/5</f>
        <v>#N/A</v>
      </c>
      <c r="W194" s="42"/>
      <c r="X194" s="41" t="e">
        <f>VLOOKUP($B194,'26년 1월 출석표'!$B$2:$BQ$503,66,0)/5</f>
        <v>#N/A</v>
      </c>
      <c r="Y194" s="43"/>
    </row>
    <row r="195" spans="1:25" ht="16.5">
      <c r="A195" s="29"/>
      <c r="B195" s="52"/>
      <c r="C195" s="52"/>
      <c r="D195" s="53"/>
      <c r="E195" s="54"/>
      <c r="F195" s="52"/>
      <c r="G195" s="55"/>
      <c r="H195" s="56"/>
      <c r="I195" s="34" t="e">
        <f>VLOOKUP(B195,'26년 1월 출석표'!$B$7:$D$500,3,0)</f>
        <v>#N/A</v>
      </c>
      <c r="J195" s="35" t="e">
        <f t="shared" ca="1" si="0"/>
        <v>#NAME?</v>
      </c>
      <c r="K195" s="36" t="str">
        <f t="shared" si="1"/>
        <v/>
      </c>
      <c r="L195" s="37" t="str">
        <f t="shared" si="2"/>
        <v/>
      </c>
      <c r="M195" s="30"/>
      <c r="N195" s="38" t="b">
        <v>0</v>
      </c>
      <c r="O195" s="38" t="b">
        <v>0</v>
      </c>
      <c r="P195" s="39" t="e">
        <f>VLOOKUP($B195,'26년 1월 출석표'!$B$2:$BQ$497,10,0)/1</f>
        <v>#N/A</v>
      </c>
      <c r="Q195" s="40"/>
      <c r="R195" s="41" t="e">
        <f>VLOOKUP($B195,'26년 1월 출석표'!$B$2:$BQ$497,24,0)/5</f>
        <v>#N/A</v>
      </c>
      <c r="S195" s="40"/>
      <c r="T195" s="41" t="e">
        <f>VLOOKUP($B195,'26년 1월 출석표'!$B$2:$BQ$497,38,0)/5</f>
        <v>#N/A</v>
      </c>
      <c r="U195" s="40"/>
      <c r="V195" s="41" t="e">
        <f>VLOOKUP($B195,'26년 1월 출석표'!$B$2:$BQ$497,52,0)/5</f>
        <v>#N/A</v>
      </c>
      <c r="W195" s="42"/>
      <c r="X195" s="41" t="e">
        <f>VLOOKUP($B195,'26년 1월 출석표'!$B$2:$BQ$503,66,0)/5</f>
        <v>#N/A</v>
      </c>
      <c r="Y195" s="43"/>
    </row>
    <row r="196" spans="1:25" ht="16.5">
      <c r="A196" s="29"/>
      <c r="B196" s="52"/>
      <c r="C196" s="52"/>
      <c r="D196" s="53"/>
      <c r="E196" s="54"/>
      <c r="F196" s="52"/>
      <c r="G196" s="55"/>
      <c r="H196" s="56"/>
      <c r="I196" s="34" t="e">
        <f>VLOOKUP(B196,'26년 1월 출석표'!$B$7:$D$500,3,0)</f>
        <v>#N/A</v>
      </c>
      <c r="J196" s="35" t="e">
        <f t="shared" ca="1" si="0"/>
        <v>#NAME?</v>
      </c>
      <c r="K196" s="36" t="str">
        <f t="shared" si="1"/>
        <v/>
      </c>
      <c r="L196" s="37" t="str">
        <f t="shared" si="2"/>
        <v/>
      </c>
      <c r="M196" s="30"/>
      <c r="N196" s="38" t="b">
        <v>0</v>
      </c>
      <c r="O196" s="38" t="b">
        <v>0</v>
      </c>
      <c r="P196" s="39" t="e">
        <f>VLOOKUP($B196,'26년 1월 출석표'!$B$2:$BQ$497,10,0)/1</f>
        <v>#N/A</v>
      </c>
      <c r="Q196" s="40"/>
      <c r="R196" s="41" t="e">
        <f>VLOOKUP($B196,'26년 1월 출석표'!$B$2:$BQ$497,24,0)/5</f>
        <v>#N/A</v>
      </c>
      <c r="S196" s="40"/>
      <c r="T196" s="41" t="e">
        <f>VLOOKUP($B196,'26년 1월 출석표'!$B$2:$BQ$497,38,0)/5</f>
        <v>#N/A</v>
      </c>
      <c r="U196" s="40"/>
      <c r="V196" s="41" t="e">
        <f>VLOOKUP($B196,'26년 1월 출석표'!$B$2:$BQ$497,52,0)/5</f>
        <v>#N/A</v>
      </c>
      <c r="W196" s="42"/>
      <c r="X196" s="41" t="e">
        <f>VLOOKUP($B196,'26년 1월 출석표'!$B$2:$BQ$503,66,0)/5</f>
        <v>#N/A</v>
      </c>
      <c r="Y196" s="43"/>
    </row>
    <row r="197" spans="1:25" ht="16.5">
      <c r="A197" s="29"/>
      <c r="B197" s="52"/>
      <c r="C197" s="52"/>
      <c r="D197" s="53"/>
      <c r="E197" s="54"/>
      <c r="F197" s="52"/>
      <c r="G197" s="55"/>
      <c r="H197" s="56"/>
      <c r="I197" s="34" t="e">
        <f>VLOOKUP(B197,'26년 1월 출석표'!$B$7:$D$500,3,0)</f>
        <v>#N/A</v>
      </c>
      <c r="J197" s="35" t="e">
        <f t="shared" ca="1" si="0"/>
        <v>#NAME?</v>
      </c>
      <c r="K197" s="36" t="str">
        <f t="shared" si="1"/>
        <v/>
      </c>
      <c r="L197" s="37" t="str">
        <f t="shared" si="2"/>
        <v/>
      </c>
      <c r="M197" s="30"/>
      <c r="N197" s="38" t="b">
        <v>0</v>
      </c>
      <c r="O197" s="38" t="b">
        <v>0</v>
      </c>
      <c r="P197" s="39" t="e">
        <f>VLOOKUP($B197,'26년 1월 출석표'!$B$2:$BQ$497,10,0)/1</f>
        <v>#N/A</v>
      </c>
      <c r="Q197" s="40"/>
      <c r="R197" s="41" t="e">
        <f>VLOOKUP($B197,'26년 1월 출석표'!$B$2:$BQ$497,24,0)/5</f>
        <v>#N/A</v>
      </c>
      <c r="S197" s="40"/>
      <c r="T197" s="41" t="e">
        <f>VLOOKUP($B197,'26년 1월 출석표'!$B$2:$BQ$497,38,0)/5</f>
        <v>#N/A</v>
      </c>
      <c r="U197" s="40"/>
      <c r="V197" s="41" t="e">
        <f>VLOOKUP($B197,'26년 1월 출석표'!$B$2:$BQ$497,52,0)/5</f>
        <v>#N/A</v>
      </c>
      <c r="W197" s="42"/>
      <c r="X197" s="41" t="e">
        <f>VLOOKUP($B197,'26년 1월 출석표'!$B$2:$BQ$503,66,0)/5</f>
        <v>#N/A</v>
      </c>
      <c r="Y197" s="43"/>
    </row>
    <row r="198" spans="1:25" ht="16.5">
      <c r="A198" s="29"/>
      <c r="B198" s="52"/>
      <c r="C198" s="52"/>
      <c r="D198" s="53"/>
      <c r="E198" s="54"/>
      <c r="F198" s="52"/>
      <c r="G198" s="55"/>
      <c r="H198" s="56"/>
      <c r="I198" s="34" t="e">
        <f>VLOOKUP(B198,'26년 1월 출석표'!$B$7:$D$500,3,0)</f>
        <v>#N/A</v>
      </c>
      <c r="J198" s="35" t="e">
        <f t="shared" ca="1" si="0"/>
        <v>#NAME?</v>
      </c>
      <c r="K198" s="36" t="str">
        <f t="shared" si="1"/>
        <v/>
      </c>
      <c r="L198" s="37" t="str">
        <f t="shared" si="2"/>
        <v/>
      </c>
      <c r="M198" s="30"/>
      <c r="N198" s="38" t="b">
        <v>0</v>
      </c>
      <c r="O198" s="38" t="b">
        <v>0</v>
      </c>
      <c r="P198" s="39" t="e">
        <f>VLOOKUP($B198,'26년 1월 출석표'!$B$2:$BQ$497,10,0)/1</f>
        <v>#N/A</v>
      </c>
      <c r="Q198" s="40"/>
      <c r="R198" s="41" t="e">
        <f>VLOOKUP($B198,'26년 1월 출석표'!$B$2:$BQ$497,24,0)/5</f>
        <v>#N/A</v>
      </c>
      <c r="S198" s="40"/>
      <c r="T198" s="41" t="e">
        <f>VLOOKUP($B198,'26년 1월 출석표'!$B$2:$BQ$497,38,0)/5</f>
        <v>#N/A</v>
      </c>
      <c r="U198" s="40"/>
      <c r="V198" s="41" t="e">
        <f>VLOOKUP($B198,'26년 1월 출석표'!$B$2:$BQ$497,52,0)/5</f>
        <v>#N/A</v>
      </c>
      <c r="W198" s="42"/>
      <c r="X198" s="41" t="e">
        <f>VLOOKUP($B198,'26년 1월 출석표'!$B$2:$BQ$503,66,0)/5</f>
        <v>#N/A</v>
      </c>
      <c r="Y198" s="43"/>
    </row>
    <row r="199" spans="1:25" ht="16.5">
      <c r="A199" s="29"/>
      <c r="B199" s="52"/>
      <c r="C199" s="52"/>
      <c r="D199" s="53"/>
      <c r="E199" s="54"/>
      <c r="F199" s="52"/>
      <c r="G199" s="55"/>
      <c r="H199" s="56"/>
      <c r="I199" s="34" t="e">
        <f>VLOOKUP(B199,'26년 1월 출석표'!$B$7:$D$500,3,0)</f>
        <v>#N/A</v>
      </c>
      <c r="J199" s="35" t="e">
        <f t="shared" ca="1" si="0"/>
        <v>#NAME?</v>
      </c>
      <c r="K199" s="36" t="str">
        <f t="shared" si="1"/>
        <v/>
      </c>
      <c r="L199" s="37" t="str">
        <f t="shared" si="2"/>
        <v/>
      </c>
      <c r="M199" s="30"/>
      <c r="N199" s="38" t="b">
        <v>0</v>
      </c>
      <c r="O199" s="38" t="b">
        <v>0</v>
      </c>
      <c r="P199" s="39" t="e">
        <f>VLOOKUP($B199,'26년 1월 출석표'!$B$2:$BQ$497,10,0)/1</f>
        <v>#N/A</v>
      </c>
      <c r="Q199" s="40"/>
      <c r="R199" s="41" t="e">
        <f>VLOOKUP($B199,'26년 1월 출석표'!$B$2:$BQ$497,24,0)/5</f>
        <v>#N/A</v>
      </c>
      <c r="S199" s="40"/>
      <c r="T199" s="41" t="e">
        <f>VLOOKUP($B199,'26년 1월 출석표'!$B$2:$BQ$497,38,0)/5</f>
        <v>#N/A</v>
      </c>
      <c r="U199" s="40"/>
      <c r="V199" s="41" t="e">
        <f>VLOOKUP($B199,'26년 1월 출석표'!$B$2:$BQ$497,52,0)/5</f>
        <v>#N/A</v>
      </c>
      <c r="W199" s="42"/>
      <c r="X199" s="41" t="e">
        <f>VLOOKUP($B199,'26년 1월 출석표'!$B$2:$BQ$503,66,0)/5</f>
        <v>#N/A</v>
      </c>
      <c r="Y199" s="43"/>
    </row>
    <row r="200" spans="1:25" ht="16.5">
      <c r="A200" s="29"/>
      <c r="B200" s="52"/>
      <c r="C200" s="52"/>
      <c r="D200" s="53"/>
      <c r="E200" s="54"/>
      <c r="F200" s="52"/>
      <c r="G200" s="55"/>
      <c r="H200" s="56"/>
      <c r="I200" s="34" t="e">
        <f>VLOOKUP(B200,'26년 1월 출석표'!$B$7:$D$500,3,0)</f>
        <v>#N/A</v>
      </c>
      <c r="J200" s="35" t="e">
        <f t="shared" ca="1" si="0"/>
        <v>#NAME?</v>
      </c>
      <c r="K200" s="36" t="str">
        <f t="shared" si="1"/>
        <v/>
      </c>
      <c r="L200" s="37" t="str">
        <f t="shared" si="2"/>
        <v/>
      </c>
      <c r="M200" s="30"/>
      <c r="N200" s="38" t="b">
        <v>0</v>
      </c>
      <c r="O200" s="38" t="b">
        <v>0</v>
      </c>
      <c r="P200" s="39" t="e">
        <f>VLOOKUP($B200,'26년 1월 출석표'!$B$2:$BQ$497,10,0)/1</f>
        <v>#N/A</v>
      </c>
      <c r="Q200" s="40"/>
      <c r="R200" s="41" t="e">
        <f>VLOOKUP($B200,'26년 1월 출석표'!$B$2:$BQ$497,24,0)/5</f>
        <v>#N/A</v>
      </c>
      <c r="S200" s="40"/>
      <c r="T200" s="41" t="e">
        <f>VLOOKUP($B200,'26년 1월 출석표'!$B$2:$BQ$497,38,0)/5</f>
        <v>#N/A</v>
      </c>
      <c r="U200" s="40"/>
      <c r="V200" s="41" t="e">
        <f>VLOOKUP($B200,'26년 1월 출석표'!$B$2:$BQ$497,52,0)/5</f>
        <v>#N/A</v>
      </c>
      <c r="W200" s="42"/>
      <c r="X200" s="41" t="e">
        <f>VLOOKUP($B200,'26년 1월 출석표'!$B$2:$BQ$503,66,0)/5</f>
        <v>#N/A</v>
      </c>
      <c r="Y200" s="43"/>
    </row>
    <row r="201" spans="1:25" ht="16.5">
      <c r="A201" s="29"/>
      <c r="B201" s="52"/>
      <c r="C201" s="52"/>
      <c r="D201" s="53"/>
      <c r="E201" s="54"/>
      <c r="F201" s="52"/>
      <c r="G201" s="55"/>
      <c r="H201" s="56"/>
      <c r="I201" s="34" t="e">
        <f>VLOOKUP(B201,'26년 1월 출석표'!$B$7:$D$500,3,0)</f>
        <v>#N/A</v>
      </c>
      <c r="J201" s="35" t="e">
        <f t="shared" ca="1" si="0"/>
        <v>#NAME?</v>
      </c>
      <c r="K201" s="36" t="str">
        <f t="shared" si="1"/>
        <v/>
      </c>
      <c r="L201" s="37" t="str">
        <f t="shared" si="2"/>
        <v/>
      </c>
      <c r="M201" s="30"/>
      <c r="N201" s="38" t="b">
        <v>0</v>
      </c>
      <c r="O201" s="38" t="b">
        <v>0</v>
      </c>
      <c r="P201" s="39" t="e">
        <f>VLOOKUP($B201,'26년 1월 출석표'!$B$2:$BQ$497,10,0)/1</f>
        <v>#N/A</v>
      </c>
      <c r="Q201" s="40"/>
      <c r="R201" s="41" t="e">
        <f>VLOOKUP($B201,'26년 1월 출석표'!$B$2:$BQ$497,24,0)/5</f>
        <v>#N/A</v>
      </c>
      <c r="S201" s="40"/>
      <c r="T201" s="41" t="e">
        <f>VLOOKUP($B201,'26년 1월 출석표'!$B$2:$BQ$497,38,0)/5</f>
        <v>#N/A</v>
      </c>
      <c r="U201" s="40"/>
      <c r="V201" s="41" t="e">
        <f>VLOOKUP($B201,'26년 1월 출석표'!$B$2:$BQ$497,52,0)/5</f>
        <v>#N/A</v>
      </c>
      <c r="W201" s="42"/>
      <c r="X201" s="41" t="e">
        <f>VLOOKUP($B201,'26년 1월 출석표'!$B$2:$BQ$503,66,0)/5</f>
        <v>#N/A</v>
      </c>
      <c r="Y201" s="43"/>
    </row>
    <row r="202" spans="1:25" ht="16.5">
      <c r="A202" s="29"/>
      <c r="B202" s="52"/>
      <c r="C202" s="52"/>
      <c r="D202" s="53"/>
      <c r="E202" s="54"/>
      <c r="F202" s="52"/>
      <c r="G202" s="55"/>
      <c r="H202" s="56"/>
      <c r="I202" s="34" t="e">
        <f>VLOOKUP(B202,'26년 1월 출석표'!$B$7:$D$500,3,0)</f>
        <v>#N/A</v>
      </c>
      <c r="J202" s="35" t="e">
        <f t="shared" ca="1" si="0"/>
        <v>#NAME?</v>
      </c>
      <c r="K202" s="36" t="str">
        <f t="shared" si="1"/>
        <v/>
      </c>
      <c r="L202" s="37" t="str">
        <f t="shared" si="2"/>
        <v/>
      </c>
      <c r="M202" s="30"/>
      <c r="N202" s="38" t="b">
        <v>0</v>
      </c>
      <c r="O202" s="38" t="b">
        <v>0</v>
      </c>
      <c r="P202" s="39" t="e">
        <f>VLOOKUP($B202,'26년 1월 출석표'!$B$2:$BQ$497,10,0)/1</f>
        <v>#N/A</v>
      </c>
      <c r="Q202" s="40"/>
      <c r="R202" s="41" t="e">
        <f>VLOOKUP($B202,'26년 1월 출석표'!$B$2:$BQ$497,24,0)/5</f>
        <v>#N/A</v>
      </c>
      <c r="S202" s="40"/>
      <c r="T202" s="41" t="e">
        <f>VLOOKUP($B202,'26년 1월 출석표'!$B$2:$BQ$497,38,0)/5</f>
        <v>#N/A</v>
      </c>
      <c r="U202" s="40"/>
      <c r="V202" s="41" t="e">
        <f>VLOOKUP($B202,'26년 1월 출석표'!$B$2:$BQ$497,52,0)/5</f>
        <v>#N/A</v>
      </c>
      <c r="W202" s="42"/>
      <c r="X202" s="41" t="e">
        <f>VLOOKUP($B202,'26년 1월 출석표'!$B$2:$BQ$503,66,0)/5</f>
        <v>#N/A</v>
      </c>
      <c r="Y202" s="43"/>
    </row>
    <row r="203" spans="1:25" ht="16.5">
      <c r="A203" s="29"/>
      <c r="B203" s="52"/>
      <c r="C203" s="52"/>
      <c r="D203" s="53"/>
      <c r="E203" s="54"/>
      <c r="F203" s="52"/>
      <c r="G203" s="55"/>
      <c r="H203" s="56"/>
      <c r="I203" s="34" t="e">
        <f>VLOOKUP(B203,'26년 1월 출석표'!$B$7:$D$500,3,0)</f>
        <v>#N/A</v>
      </c>
      <c r="J203" s="35" t="e">
        <f t="shared" ca="1" si="0"/>
        <v>#NAME?</v>
      </c>
      <c r="K203" s="36" t="str">
        <f t="shared" si="1"/>
        <v/>
      </c>
      <c r="L203" s="37" t="str">
        <f t="shared" si="2"/>
        <v/>
      </c>
      <c r="M203" s="30"/>
      <c r="N203" s="38" t="b">
        <v>0</v>
      </c>
      <c r="O203" s="38" t="b">
        <v>0</v>
      </c>
      <c r="P203" s="39" t="e">
        <f>VLOOKUP($B203,'26년 1월 출석표'!$B$2:$BQ$497,10,0)/1</f>
        <v>#N/A</v>
      </c>
      <c r="Q203" s="40"/>
      <c r="R203" s="41" t="e">
        <f>VLOOKUP($B203,'26년 1월 출석표'!$B$2:$BQ$497,24,0)/5</f>
        <v>#N/A</v>
      </c>
      <c r="S203" s="40"/>
      <c r="T203" s="41" t="e">
        <f>VLOOKUP($B203,'26년 1월 출석표'!$B$2:$BQ$497,38,0)/5</f>
        <v>#N/A</v>
      </c>
      <c r="U203" s="40"/>
      <c r="V203" s="41" t="e">
        <f>VLOOKUP($B203,'26년 1월 출석표'!$B$2:$BQ$497,52,0)/5</f>
        <v>#N/A</v>
      </c>
      <c r="W203" s="42"/>
      <c r="X203" s="41" t="e">
        <f>VLOOKUP($B203,'26년 1월 출석표'!$B$2:$BQ$503,66,0)/5</f>
        <v>#N/A</v>
      </c>
      <c r="Y203" s="43"/>
    </row>
    <row r="204" spans="1:25" ht="16.5">
      <c r="A204" s="29"/>
      <c r="B204" s="52"/>
      <c r="C204" s="52"/>
      <c r="D204" s="53"/>
      <c r="E204" s="54"/>
      <c r="F204" s="52"/>
      <c r="G204" s="55"/>
      <c r="H204" s="56"/>
      <c r="I204" s="34" t="e">
        <f>VLOOKUP(B204,'26년 1월 출석표'!$B$7:$D$500,3,0)</f>
        <v>#N/A</v>
      </c>
      <c r="J204" s="35" t="e">
        <f t="shared" ca="1" si="0"/>
        <v>#NAME?</v>
      </c>
      <c r="K204" s="36" t="str">
        <f t="shared" si="1"/>
        <v/>
      </c>
      <c r="L204" s="37" t="str">
        <f t="shared" si="2"/>
        <v/>
      </c>
      <c r="M204" s="30"/>
      <c r="N204" s="38" t="b">
        <v>0</v>
      </c>
      <c r="O204" s="38" t="b">
        <v>0</v>
      </c>
      <c r="P204" s="39" t="e">
        <f>VLOOKUP($B204,'26년 1월 출석표'!$B$2:$BQ$497,10,0)/1</f>
        <v>#N/A</v>
      </c>
      <c r="Q204" s="40"/>
      <c r="R204" s="41" t="e">
        <f>VLOOKUP($B204,'26년 1월 출석표'!$B$2:$BQ$497,24,0)/5</f>
        <v>#N/A</v>
      </c>
      <c r="S204" s="40"/>
      <c r="T204" s="41" t="e">
        <f>VLOOKUP($B204,'26년 1월 출석표'!$B$2:$BQ$497,38,0)/5</f>
        <v>#N/A</v>
      </c>
      <c r="U204" s="40"/>
      <c r="V204" s="41" t="e">
        <f>VLOOKUP($B204,'26년 1월 출석표'!$B$2:$BQ$497,52,0)/5</f>
        <v>#N/A</v>
      </c>
      <c r="W204" s="42"/>
      <c r="X204" s="41" t="e">
        <f>VLOOKUP($B204,'26년 1월 출석표'!$B$2:$BQ$503,66,0)/5</f>
        <v>#N/A</v>
      </c>
      <c r="Y204" s="43"/>
    </row>
    <row r="205" spans="1:25" ht="16.5">
      <c r="A205" s="29"/>
      <c r="B205" s="52"/>
      <c r="C205" s="52"/>
      <c r="D205" s="53"/>
      <c r="E205" s="54"/>
      <c r="F205" s="52"/>
      <c r="G205" s="55"/>
      <c r="H205" s="56"/>
      <c r="I205" s="34" t="e">
        <f>VLOOKUP(B205,'26년 1월 출석표'!$B$7:$D$500,3,0)</f>
        <v>#N/A</v>
      </c>
      <c r="J205" s="35" t="e">
        <f t="shared" ca="1" si="0"/>
        <v>#NAME?</v>
      </c>
      <c r="K205" s="36" t="str">
        <f t="shared" si="1"/>
        <v/>
      </c>
      <c r="L205" s="37" t="str">
        <f t="shared" si="2"/>
        <v/>
      </c>
      <c r="M205" s="30"/>
      <c r="N205" s="38" t="b">
        <v>0</v>
      </c>
      <c r="O205" s="38" t="b">
        <v>0</v>
      </c>
      <c r="P205" s="39" t="e">
        <f>VLOOKUP($B205,'26년 1월 출석표'!$B$2:$BQ$497,10,0)/1</f>
        <v>#N/A</v>
      </c>
      <c r="Q205" s="40"/>
      <c r="R205" s="41" t="e">
        <f>VLOOKUP($B205,'26년 1월 출석표'!$B$2:$BQ$497,24,0)/5</f>
        <v>#N/A</v>
      </c>
      <c r="S205" s="40"/>
      <c r="T205" s="41" t="e">
        <f>VLOOKUP($B205,'26년 1월 출석표'!$B$2:$BQ$497,38,0)/5</f>
        <v>#N/A</v>
      </c>
      <c r="U205" s="40"/>
      <c r="V205" s="41" t="e">
        <f>VLOOKUP($B205,'26년 1월 출석표'!$B$2:$BQ$497,52,0)/5</f>
        <v>#N/A</v>
      </c>
      <c r="W205" s="42"/>
      <c r="X205" s="41" t="e">
        <f>VLOOKUP($B205,'26년 1월 출석표'!$B$2:$BQ$503,66,0)/5</f>
        <v>#N/A</v>
      </c>
      <c r="Y205" s="43"/>
    </row>
    <row r="206" spans="1:25" ht="16.5">
      <c r="A206" s="29"/>
      <c r="B206" s="52"/>
      <c r="C206" s="52"/>
      <c r="D206" s="53"/>
      <c r="E206" s="54"/>
      <c r="F206" s="52"/>
      <c r="G206" s="55"/>
      <c r="H206" s="56"/>
      <c r="I206" s="34" t="e">
        <f>VLOOKUP(B206,'26년 1월 출석표'!$B$7:$D$500,3,0)</f>
        <v>#N/A</v>
      </c>
      <c r="J206" s="35" t="e">
        <f t="shared" ca="1" si="0"/>
        <v>#NAME?</v>
      </c>
      <c r="K206" s="36" t="str">
        <f t="shared" si="1"/>
        <v/>
      </c>
      <c r="L206" s="37" t="str">
        <f t="shared" si="2"/>
        <v/>
      </c>
      <c r="M206" s="30"/>
      <c r="N206" s="38" t="b">
        <v>0</v>
      </c>
      <c r="O206" s="38" t="b">
        <v>0</v>
      </c>
      <c r="P206" s="39" t="e">
        <f>VLOOKUP($B206,'26년 1월 출석표'!$B$2:$BQ$497,10,0)/1</f>
        <v>#N/A</v>
      </c>
      <c r="Q206" s="40"/>
      <c r="R206" s="41" t="e">
        <f>VLOOKUP($B206,'26년 1월 출석표'!$B$2:$BQ$497,24,0)/5</f>
        <v>#N/A</v>
      </c>
      <c r="S206" s="40"/>
      <c r="T206" s="41" t="e">
        <f>VLOOKUP($B206,'26년 1월 출석표'!$B$2:$BQ$497,38,0)/5</f>
        <v>#N/A</v>
      </c>
      <c r="U206" s="40"/>
      <c r="V206" s="41" t="e">
        <f>VLOOKUP($B206,'26년 1월 출석표'!$B$2:$BQ$497,52,0)/5</f>
        <v>#N/A</v>
      </c>
      <c r="W206" s="42"/>
      <c r="X206" s="41" t="e">
        <f>VLOOKUP($B206,'26년 1월 출석표'!$B$2:$BQ$503,66,0)/5</f>
        <v>#N/A</v>
      </c>
      <c r="Y206" s="43"/>
    </row>
    <row r="207" spans="1:25" ht="16.5">
      <c r="A207" s="29"/>
      <c r="B207" s="52"/>
      <c r="C207" s="52"/>
      <c r="D207" s="53"/>
      <c r="E207" s="54"/>
      <c r="F207" s="52"/>
      <c r="G207" s="55"/>
      <c r="H207" s="56"/>
      <c r="I207" s="34" t="e">
        <f>VLOOKUP(B207,'26년 1월 출석표'!$B$7:$D$500,3,0)</f>
        <v>#N/A</v>
      </c>
      <c r="J207" s="35" t="e">
        <f t="shared" ca="1" si="0"/>
        <v>#NAME?</v>
      </c>
      <c r="K207" s="36" t="str">
        <f t="shared" si="1"/>
        <v/>
      </c>
      <c r="L207" s="37" t="str">
        <f t="shared" si="2"/>
        <v/>
      </c>
      <c r="M207" s="30"/>
      <c r="N207" s="38" t="b">
        <v>0</v>
      </c>
      <c r="O207" s="38" t="b">
        <v>0</v>
      </c>
      <c r="P207" s="39" t="e">
        <f>VLOOKUP($B207,'26년 1월 출석표'!$B$2:$BQ$497,10,0)/1</f>
        <v>#N/A</v>
      </c>
      <c r="Q207" s="40"/>
      <c r="R207" s="41" t="e">
        <f>VLOOKUP($B207,'26년 1월 출석표'!$B$2:$BQ$497,24,0)/5</f>
        <v>#N/A</v>
      </c>
      <c r="S207" s="40"/>
      <c r="T207" s="41" t="e">
        <f>VLOOKUP($B207,'26년 1월 출석표'!$B$2:$BQ$497,38,0)/5</f>
        <v>#N/A</v>
      </c>
      <c r="U207" s="40"/>
      <c r="V207" s="41" t="e">
        <f>VLOOKUP($B207,'26년 1월 출석표'!$B$2:$BQ$497,52,0)/5</f>
        <v>#N/A</v>
      </c>
      <c r="W207" s="42"/>
      <c r="X207" s="41" t="e">
        <f>VLOOKUP($B207,'26년 1월 출석표'!$B$2:$BQ$503,66,0)/5</f>
        <v>#N/A</v>
      </c>
      <c r="Y207" s="43"/>
    </row>
    <row r="208" spans="1:25" ht="16.5">
      <c r="A208" s="29"/>
      <c r="B208" s="52"/>
      <c r="C208" s="52"/>
      <c r="D208" s="53"/>
      <c r="E208" s="54"/>
      <c r="F208" s="52"/>
      <c r="G208" s="55"/>
      <c r="H208" s="56"/>
      <c r="I208" s="34" t="e">
        <f>VLOOKUP(B208,'26년 1월 출석표'!$B$7:$D$500,3,0)</f>
        <v>#N/A</v>
      </c>
      <c r="J208" s="35" t="e">
        <f t="shared" ca="1" si="0"/>
        <v>#NAME?</v>
      </c>
      <c r="K208" s="36" t="str">
        <f t="shared" si="1"/>
        <v/>
      </c>
      <c r="L208" s="37" t="str">
        <f t="shared" si="2"/>
        <v/>
      </c>
      <c r="M208" s="30"/>
      <c r="N208" s="38" t="b">
        <v>0</v>
      </c>
      <c r="O208" s="38" t="b">
        <v>0</v>
      </c>
      <c r="P208" s="39" t="e">
        <f>VLOOKUP($B208,'26년 1월 출석표'!$B$2:$BQ$497,10,0)/1</f>
        <v>#N/A</v>
      </c>
      <c r="Q208" s="40"/>
      <c r="R208" s="41" t="e">
        <f>VLOOKUP($B208,'26년 1월 출석표'!$B$2:$BQ$497,24,0)/5</f>
        <v>#N/A</v>
      </c>
      <c r="S208" s="40"/>
      <c r="T208" s="41" t="e">
        <f>VLOOKUP($B208,'26년 1월 출석표'!$B$2:$BQ$497,38,0)/5</f>
        <v>#N/A</v>
      </c>
      <c r="U208" s="40"/>
      <c r="V208" s="41" t="e">
        <f>VLOOKUP($B208,'26년 1월 출석표'!$B$2:$BQ$497,52,0)/5</f>
        <v>#N/A</v>
      </c>
      <c r="W208" s="42"/>
      <c r="X208" s="41" t="e">
        <f>VLOOKUP($B208,'26년 1월 출석표'!$B$2:$BQ$503,66,0)/5</f>
        <v>#N/A</v>
      </c>
      <c r="Y208" s="43"/>
    </row>
    <row r="209" spans="1:25" ht="16.5">
      <c r="A209" s="29"/>
      <c r="B209" s="52"/>
      <c r="C209" s="52"/>
      <c r="D209" s="53"/>
      <c r="E209" s="54"/>
      <c r="F209" s="52"/>
      <c r="G209" s="55"/>
      <c r="H209" s="56"/>
      <c r="I209" s="34" t="e">
        <f>VLOOKUP(B209,'26년 1월 출석표'!$B$7:$D$500,3,0)</f>
        <v>#N/A</v>
      </c>
      <c r="J209" s="35" t="e">
        <f t="shared" ca="1" si="0"/>
        <v>#NAME?</v>
      </c>
      <c r="K209" s="36" t="str">
        <f t="shared" si="1"/>
        <v/>
      </c>
      <c r="L209" s="37" t="str">
        <f t="shared" si="2"/>
        <v/>
      </c>
      <c r="M209" s="30"/>
      <c r="N209" s="38" t="b">
        <v>0</v>
      </c>
      <c r="O209" s="38" t="b">
        <v>0</v>
      </c>
      <c r="P209" s="39" t="e">
        <f>VLOOKUP($B209,'26년 1월 출석표'!$B$2:$BQ$497,10,0)/1</f>
        <v>#N/A</v>
      </c>
      <c r="Q209" s="40"/>
      <c r="R209" s="41" t="e">
        <f>VLOOKUP($B209,'26년 1월 출석표'!$B$2:$BQ$497,24,0)/5</f>
        <v>#N/A</v>
      </c>
      <c r="S209" s="40"/>
      <c r="T209" s="41" t="e">
        <f>VLOOKUP($B209,'26년 1월 출석표'!$B$2:$BQ$497,38,0)/5</f>
        <v>#N/A</v>
      </c>
      <c r="U209" s="40"/>
      <c r="V209" s="41" t="e">
        <f>VLOOKUP($B209,'26년 1월 출석표'!$B$2:$BQ$497,52,0)/5</f>
        <v>#N/A</v>
      </c>
      <c r="W209" s="42"/>
      <c r="X209" s="41" t="e">
        <f>VLOOKUP($B209,'26년 1월 출석표'!$B$2:$BQ$503,66,0)/5</f>
        <v>#N/A</v>
      </c>
      <c r="Y209" s="43"/>
    </row>
    <row r="210" spans="1:25" ht="16.5">
      <c r="A210" s="29"/>
      <c r="B210" s="52"/>
      <c r="C210" s="52"/>
      <c r="D210" s="53"/>
      <c r="E210" s="54"/>
      <c r="F210" s="52"/>
      <c r="G210" s="55"/>
      <c r="H210" s="56"/>
      <c r="I210" s="34" t="e">
        <f>VLOOKUP(B210,'26년 1월 출석표'!$B$7:$D$500,3,0)</f>
        <v>#N/A</v>
      </c>
      <c r="J210" s="35" t="e">
        <f t="shared" ca="1" si="0"/>
        <v>#NAME?</v>
      </c>
      <c r="K210" s="36" t="str">
        <f t="shared" si="1"/>
        <v/>
      </c>
      <c r="L210" s="37" t="str">
        <f t="shared" si="2"/>
        <v/>
      </c>
      <c r="M210" s="30"/>
      <c r="N210" s="38" t="b">
        <v>0</v>
      </c>
      <c r="O210" s="38" t="b">
        <v>0</v>
      </c>
      <c r="P210" s="39" t="e">
        <f>VLOOKUP($B210,'26년 1월 출석표'!$B$2:$BQ$497,10,0)/1</f>
        <v>#N/A</v>
      </c>
      <c r="Q210" s="40"/>
      <c r="R210" s="41" t="e">
        <f>VLOOKUP($B210,'26년 1월 출석표'!$B$2:$BQ$497,24,0)/5</f>
        <v>#N/A</v>
      </c>
      <c r="S210" s="40"/>
      <c r="T210" s="41" t="e">
        <f>VLOOKUP($B210,'26년 1월 출석표'!$B$2:$BQ$497,38,0)/5</f>
        <v>#N/A</v>
      </c>
      <c r="U210" s="40"/>
      <c r="V210" s="41" t="e">
        <f>VLOOKUP($B210,'26년 1월 출석표'!$B$2:$BQ$497,52,0)/5</f>
        <v>#N/A</v>
      </c>
      <c r="W210" s="42"/>
      <c r="X210" s="41" t="e">
        <f>VLOOKUP($B210,'26년 1월 출석표'!$B$2:$BQ$503,66,0)/5</f>
        <v>#N/A</v>
      </c>
      <c r="Y210" s="43"/>
    </row>
    <row r="211" spans="1:25" ht="16.5">
      <c r="A211" s="29"/>
      <c r="B211" s="52"/>
      <c r="C211" s="52"/>
      <c r="D211" s="53"/>
      <c r="E211" s="54"/>
      <c r="F211" s="52"/>
      <c r="G211" s="55"/>
      <c r="H211" s="56"/>
      <c r="I211" s="34" t="e">
        <f>VLOOKUP(B211,'26년 1월 출석표'!$B$7:$D$500,3,0)</f>
        <v>#N/A</v>
      </c>
      <c r="J211" s="35" t="e">
        <f t="shared" ca="1" si="0"/>
        <v>#NAME?</v>
      </c>
      <c r="K211" s="36" t="str">
        <f t="shared" si="1"/>
        <v/>
      </c>
      <c r="L211" s="37" t="str">
        <f t="shared" si="2"/>
        <v/>
      </c>
      <c r="M211" s="30"/>
      <c r="N211" s="38" t="b">
        <v>0</v>
      </c>
      <c r="O211" s="38" t="b">
        <v>0</v>
      </c>
      <c r="P211" s="39" t="e">
        <f>VLOOKUP($B211,'26년 1월 출석표'!$B$2:$BQ$497,10,0)/1</f>
        <v>#N/A</v>
      </c>
      <c r="Q211" s="40"/>
      <c r="R211" s="41" t="e">
        <f>VLOOKUP($B211,'26년 1월 출석표'!$B$2:$BQ$497,24,0)/5</f>
        <v>#N/A</v>
      </c>
      <c r="S211" s="40"/>
      <c r="T211" s="41" t="e">
        <f>VLOOKUP($B211,'26년 1월 출석표'!$B$2:$BQ$497,38,0)/5</f>
        <v>#N/A</v>
      </c>
      <c r="U211" s="40"/>
      <c r="V211" s="41" t="e">
        <f>VLOOKUP($B211,'26년 1월 출석표'!$B$2:$BQ$497,52,0)/5</f>
        <v>#N/A</v>
      </c>
      <c r="W211" s="42"/>
      <c r="X211" s="41" t="e">
        <f>VLOOKUP($B211,'26년 1월 출석표'!$B$2:$BQ$503,66,0)/5</f>
        <v>#N/A</v>
      </c>
      <c r="Y211" s="43"/>
    </row>
    <row r="212" spans="1:25" ht="16.5">
      <c r="A212" s="29"/>
      <c r="B212" s="52"/>
      <c r="C212" s="52"/>
      <c r="D212" s="53"/>
      <c r="E212" s="54"/>
      <c r="F212" s="52"/>
      <c r="G212" s="55"/>
      <c r="H212" s="56"/>
      <c r="I212" s="34" t="e">
        <f>VLOOKUP(B212,'26년 1월 출석표'!$B$7:$D$500,3,0)</f>
        <v>#N/A</v>
      </c>
      <c r="J212" s="35" t="e">
        <f t="shared" ca="1" si="0"/>
        <v>#NAME?</v>
      </c>
      <c r="K212" s="36" t="str">
        <f t="shared" si="1"/>
        <v/>
      </c>
      <c r="L212" s="37" t="str">
        <f t="shared" si="2"/>
        <v/>
      </c>
      <c r="M212" s="30"/>
      <c r="N212" s="38" t="b">
        <v>0</v>
      </c>
      <c r="O212" s="38" t="b">
        <v>0</v>
      </c>
      <c r="P212" s="39" t="e">
        <f>VLOOKUP($B212,'26년 1월 출석표'!$B$2:$BQ$497,10,0)/1</f>
        <v>#N/A</v>
      </c>
      <c r="Q212" s="40"/>
      <c r="R212" s="41" t="e">
        <f>VLOOKUP($B212,'26년 1월 출석표'!$B$2:$BQ$497,24,0)/5</f>
        <v>#N/A</v>
      </c>
      <c r="S212" s="40"/>
      <c r="T212" s="41" t="e">
        <f>VLOOKUP($B212,'26년 1월 출석표'!$B$2:$BQ$497,38,0)/5</f>
        <v>#N/A</v>
      </c>
      <c r="U212" s="40"/>
      <c r="V212" s="41" t="e">
        <f>VLOOKUP($B212,'26년 1월 출석표'!$B$2:$BQ$497,52,0)/5</f>
        <v>#N/A</v>
      </c>
      <c r="W212" s="42"/>
      <c r="X212" s="41" t="e">
        <f>VLOOKUP($B212,'26년 1월 출석표'!$B$2:$BQ$503,66,0)/5</f>
        <v>#N/A</v>
      </c>
      <c r="Y212" s="43"/>
    </row>
    <row r="213" spans="1:25" ht="16.5">
      <c r="A213" s="29"/>
      <c r="B213" s="52"/>
      <c r="C213" s="52"/>
      <c r="D213" s="53"/>
      <c r="E213" s="54"/>
      <c r="F213" s="52"/>
      <c r="G213" s="55"/>
      <c r="H213" s="56"/>
      <c r="I213" s="34" t="e">
        <f>VLOOKUP(B213,'26년 1월 출석표'!$B$7:$D$500,3,0)</f>
        <v>#N/A</v>
      </c>
      <c r="J213" s="35" t="e">
        <f t="shared" ca="1" si="0"/>
        <v>#NAME?</v>
      </c>
      <c r="K213" s="36" t="str">
        <f t="shared" si="1"/>
        <v/>
      </c>
      <c r="L213" s="37" t="str">
        <f t="shared" si="2"/>
        <v/>
      </c>
      <c r="M213" s="30"/>
      <c r="N213" s="38" t="b">
        <v>0</v>
      </c>
      <c r="O213" s="38" t="b">
        <v>0</v>
      </c>
      <c r="P213" s="39" t="e">
        <f>VLOOKUP($B213,'26년 1월 출석표'!$B$2:$BQ$497,10,0)/1</f>
        <v>#N/A</v>
      </c>
      <c r="Q213" s="40"/>
      <c r="R213" s="41" t="e">
        <f>VLOOKUP($B213,'26년 1월 출석표'!$B$2:$BQ$497,24,0)/5</f>
        <v>#N/A</v>
      </c>
      <c r="S213" s="40"/>
      <c r="T213" s="41" t="e">
        <f>VLOOKUP($B213,'26년 1월 출석표'!$B$2:$BQ$497,38,0)/5</f>
        <v>#N/A</v>
      </c>
      <c r="U213" s="40"/>
      <c r="V213" s="41" t="e">
        <f>VLOOKUP($B213,'26년 1월 출석표'!$B$2:$BQ$497,52,0)/5</f>
        <v>#N/A</v>
      </c>
      <c r="W213" s="42"/>
      <c r="X213" s="41" t="e">
        <f>VLOOKUP($B213,'26년 1월 출석표'!$B$2:$BQ$503,66,0)/5</f>
        <v>#N/A</v>
      </c>
      <c r="Y213" s="43"/>
    </row>
    <row r="214" spans="1:25" ht="16.5">
      <c r="A214" s="29"/>
      <c r="B214" s="52"/>
      <c r="C214" s="52"/>
      <c r="D214" s="53"/>
      <c r="E214" s="54"/>
      <c r="F214" s="52"/>
      <c r="G214" s="55"/>
      <c r="H214" s="56"/>
      <c r="I214" s="34" t="e">
        <f>VLOOKUP(B214,'26년 1월 출석표'!$B$7:$D$500,3,0)</f>
        <v>#N/A</v>
      </c>
      <c r="J214" s="35" t="e">
        <f t="shared" ca="1" si="0"/>
        <v>#NAME?</v>
      </c>
      <c r="K214" s="36" t="str">
        <f t="shared" si="1"/>
        <v/>
      </c>
      <c r="L214" s="37" t="str">
        <f t="shared" si="2"/>
        <v/>
      </c>
      <c r="M214" s="30"/>
      <c r="N214" s="38" t="b">
        <v>0</v>
      </c>
      <c r="O214" s="38" t="b">
        <v>0</v>
      </c>
      <c r="P214" s="39" t="e">
        <f>VLOOKUP($B214,'26년 1월 출석표'!$B$2:$BQ$497,10,0)/1</f>
        <v>#N/A</v>
      </c>
      <c r="Q214" s="40"/>
      <c r="R214" s="41" t="e">
        <f>VLOOKUP($B214,'26년 1월 출석표'!$B$2:$BQ$497,24,0)/5</f>
        <v>#N/A</v>
      </c>
      <c r="S214" s="40"/>
      <c r="T214" s="41" t="e">
        <f>VLOOKUP($B214,'26년 1월 출석표'!$B$2:$BQ$497,38,0)/5</f>
        <v>#N/A</v>
      </c>
      <c r="U214" s="40"/>
      <c r="V214" s="41" t="e">
        <f>VLOOKUP($B214,'26년 1월 출석표'!$B$2:$BQ$497,52,0)/5</f>
        <v>#N/A</v>
      </c>
      <c r="W214" s="42"/>
      <c r="X214" s="41" t="e">
        <f>VLOOKUP($B214,'26년 1월 출석표'!$B$2:$BQ$503,66,0)/5</f>
        <v>#N/A</v>
      </c>
      <c r="Y214" s="43"/>
    </row>
    <row r="215" spans="1:25" ht="16.5">
      <c r="A215" s="29"/>
      <c r="B215" s="52"/>
      <c r="C215" s="52"/>
      <c r="D215" s="53"/>
      <c r="E215" s="54"/>
      <c r="F215" s="52"/>
      <c r="G215" s="55"/>
      <c r="H215" s="56"/>
      <c r="I215" s="34" t="e">
        <f>VLOOKUP(B215,'26년 1월 출석표'!$B$7:$D$500,3,0)</f>
        <v>#N/A</v>
      </c>
      <c r="J215" s="35" t="e">
        <f t="shared" ca="1" si="0"/>
        <v>#NAME?</v>
      </c>
      <c r="K215" s="36" t="str">
        <f t="shared" si="1"/>
        <v/>
      </c>
      <c r="L215" s="37" t="str">
        <f t="shared" si="2"/>
        <v/>
      </c>
      <c r="M215" s="30"/>
      <c r="N215" s="38" t="b">
        <v>0</v>
      </c>
      <c r="O215" s="38" t="b">
        <v>0</v>
      </c>
      <c r="P215" s="39" t="e">
        <f>VLOOKUP($B215,'26년 1월 출석표'!$B$2:$BQ$497,10,0)/1</f>
        <v>#N/A</v>
      </c>
      <c r="Q215" s="40"/>
      <c r="R215" s="41" t="e">
        <f>VLOOKUP($B215,'26년 1월 출석표'!$B$2:$BQ$497,24,0)/5</f>
        <v>#N/A</v>
      </c>
      <c r="S215" s="40"/>
      <c r="T215" s="41" t="e">
        <f>VLOOKUP($B215,'26년 1월 출석표'!$B$2:$BQ$497,38,0)/5</f>
        <v>#N/A</v>
      </c>
      <c r="U215" s="40"/>
      <c r="V215" s="41" t="e">
        <f>VLOOKUP($B215,'26년 1월 출석표'!$B$2:$BQ$497,52,0)/5</f>
        <v>#N/A</v>
      </c>
      <c r="W215" s="42"/>
      <c r="X215" s="41" t="e">
        <f>VLOOKUP($B215,'26년 1월 출석표'!$B$2:$BQ$503,66,0)/5</f>
        <v>#N/A</v>
      </c>
      <c r="Y215" s="43"/>
    </row>
    <row r="216" spans="1:25" ht="16.5">
      <c r="A216" s="29"/>
      <c r="B216" s="52"/>
      <c r="C216" s="52"/>
      <c r="D216" s="53"/>
      <c r="E216" s="54"/>
      <c r="F216" s="52"/>
      <c r="G216" s="55"/>
      <c r="H216" s="56"/>
      <c r="I216" s="34" t="e">
        <f>VLOOKUP(B216,'26년 1월 출석표'!$B$7:$D$500,3,0)</f>
        <v>#N/A</v>
      </c>
      <c r="J216" s="35" t="e">
        <f t="shared" ca="1" si="0"/>
        <v>#NAME?</v>
      </c>
      <c r="K216" s="36" t="str">
        <f t="shared" si="1"/>
        <v/>
      </c>
      <c r="L216" s="37" t="str">
        <f t="shared" si="2"/>
        <v/>
      </c>
      <c r="M216" s="30"/>
      <c r="N216" s="38" t="b">
        <v>0</v>
      </c>
      <c r="O216" s="38" t="b">
        <v>0</v>
      </c>
      <c r="P216" s="39" t="e">
        <f>VLOOKUP($B216,'26년 1월 출석표'!$B$2:$BQ$497,10,0)/1</f>
        <v>#N/A</v>
      </c>
      <c r="Q216" s="40"/>
      <c r="R216" s="41" t="e">
        <f>VLOOKUP($B216,'26년 1월 출석표'!$B$2:$BQ$497,24,0)/5</f>
        <v>#N/A</v>
      </c>
      <c r="S216" s="40"/>
      <c r="T216" s="41" t="e">
        <f>VLOOKUP($B216,'26년 1월 출석표'!$B$2:$BQ$497,38,0)/5</f>
        <v>#N/A</v>
      </c>
      <c r="U216" s="40"/>
      <c r="V216" s="41" t="e">
        <f>VLOOKUP($B216,'26년 1월 출석표'!$B$2:$BQ$497,52,0)/5</f>
        <v>#N/A</v>
      </c>
      <c r="W216" s="42"/>
      <c r="X216" s="41" t="e">
        <f>VLOOKUP($B216,'26년 1월 출석표'!$B$2:$BQ$503,66,0)/5</f>
        <v>#N/A</v>
      </c>
      <c r="Y216" s="43"/>
    </row>
    <row r="217" spans="1:25" ht="16.5">
      <c r="A217" s="29"/>
      <c r="B217" s="52"/>
      <c r="C217" s="52"/>
      <c r="D217" s="53"/>
      <c r="E217" s="54"/>
      <c r="F217" s="52"/>
      <c r="G217" s="55"/>
      <c r="H217" s="56"/>
      <c r="I217" s="34" t="e">
        <f>VLOOKUP(B217,'26년 1월 출석표'!$B$7:$D$500,3,0)</f>
        <v>#N/A</v>
      </c>
      <c r="J217" s="35" t="e">
        <f t="shared" ca="1" si="0"/>
        <v>#NAME?</v>
      </c>
      <c r="K217" s="36" t="str">
        <f t="shared" si="1"/>
        <v/>
      </c>
      <c r="L217" s="37" t="str">
        <f t="shared" si="2"/>
        <v/>
      </c>
      <c r="M217" s="30"/>
      <c r="N217" s="38" t="b">
        <v>0</v>
      </c>
      <c r="O217" s="38" t="b">
        <v>0</v>
      </c>
      <c r="P217" s="39" t="e">
        <f>VLOOKUP($B217,'26년 1월 출석표'!$B$2:$BQ$497,10,0)/1</f>
        <v>#N/A</v>
      </c>
      <c r="Q217" s="40"/>
      <c r="R217" s="41" t="e">
        <f>VLOOKUP($B217,'26년 1월 출석표'!$B$2:$BQ$497,24,0)/5</f>
        <v>#N/A</v>
      </c>
      <c r="S217" s="40"/>
      <c r="T217" s="41" t="e">
        <f>VLOOKUP($B217,'26년 1월 출석표'!$B$2:$BQ$497,38,0)/5</f>
        <v>#N/A</v>
      </c>
      <c r="U217" s="40"/>
      <c r="V217" s="41" t="e">
        <f>VLOOKUP($B217,'26년 1월 출석표'!$B$2:$BQ$497,52,0)/5</f>
        <v>#N/A</v>
      </c>
      <c r="W217" s="42"/>
      <c r="X217" s="41" t="e">
        <f>VLOOKUP($B217,'26년 1월 출석표'!$B$2:$BQ$503,66,0)/5</f>
        <v>#N/A</v>
      </c>
      <c r="Y217" s="43"/>
    </row>
    <row r="218" spans="1:25" ht="16.5">
      <c r="A218" s="29"/>
      <c r="B218" s="52"/>
      <c r="C218" s="52"/>
      <c r="D218" s="53"/>
      <c r="E218" s="54"/>
      <c r="F218" s="52"/>
      <c r="G218" s="55"/>
      <c r="H218" s="56"/>
      <c r="I218" s="34" t="e">
        <f>VLOOKUP(B218,'26년 1월 출석표'!$B$7:$D$500,3,0)</f>
        <v>#N/A</v>
      </c>
      <c r="J218" s="35" t="e">
        <f t="shared" ca="1" si="0"/>
        <v>#NAME?</v>
      </c>
      <c r="K218" s="36" t="str">
        <f t="shared" si="1"/>
        <v/>
      </c>
      <c r="L218" s="37" t="str">
        <f t="shared" si="2"/>
        <v/>
      </c>
      <c r="M218" s="30"/>
      <c r="N218" s="38" t="b">
        <v>0</v>
      </c>
      <c r="O218" s="38" t="b">
        <v>0</v>
      </c>
      <c r="P218" s="39" t="e">
        <f>VLOOKUP($B218,'26년 1월 출석표'!$B$2:$BQ$497,10,0)/1</f>
        <v>#N/A</v>
      </c>
      <c r="Q218" s="40"/>
      <c r="R218" s="41" t="e">
        <f>VLOOKUP($B218,'26년 1월 출석표'!$B$2:$BQ$497,24,0)/5</f>
        <v>#N/A</v>
      </c>
      <c r="S218" s="40"/>
      <c r="T218" s="41" t="e">
        <f>VLOOKUP($B218,'26년 1월 출석표'!$B$2:$BQ$497,38,0)/5</f>
        <v>#N/A</v>
      </c>
      <c r="U218" s="40"/>
      <c r="V218" s="41" t="e">
        <f>VLOOKUP($B218,'26년 1월 출석표'!$B$2:$BQ$497,52,0)/5</f>
        <v>#N/A</v>
      </c>
      <c r="W218" s="42"/>
      <c r="X218" s="41" t="e">
        <f>VLOOKUP($B218,'26년 1월 출석표'!$B$2:$BQ$503,66,0)/5</f>
        <v>#N/A</v>
      </c>
      <c r="Y218" s="43"/>
    </row>
    <row r="219" spans="1:25" ht="16.5">
      <c r="A219" s="29"/>
      <c r="B219" s="52"/>
      <c r="C219" s="52"/>
      <c r="D219" s="53"/>
      <c r="E219" s="54"/>
      <c r="F219" s="52"/>
      <c r="G219" s="55"/>
      <c r="H219" s="56"/>
      <c r="I219" s="34" t="e">
        <f>VLOOKUP(B219,'26년 1월 출석표'!$B$7:$D$500,3,0)</f>
        <v>#N/A</v>
      </c>
      <c r="J219" s="35" t="e">
        <f t="shared" ca="1" si="0"/>
        <v>#NAME?</v>
      </c>
      <c r="K219" s="36" t="str">
        <f t="shared" si="1"/>
        <v/>
      </c>
      <c r="L219" s="37" t="str">
        <f t="shared" si="2"/>
        <v/>
      </c>
      <c r="M219" s="30"/>
      <c r="N219" s="38" t="b">
        <v>0</v>
      </c>
      <c r="O219" s="38" t="b">
        <v>0</v>
      </c>
      <c r="P219" s="39" t="e">
        <f>VLOOKUP($B219,'26년 1월 출석표'!$B$2:$BQ$497,10,0)/1</f>
        <v>#N/A</v>
      </c>
      <c r="Q219" s="40"/>
      <c r="R219" s="41" t="e">
        <f>VLOOKUP($B219,'26년 1월 출석표'!$B$2:$BQ$497,24,0)/5</f>
        <v>#N/A</v>
      </c>
      <c r="S219" s="40"/>
      <c r="T219" s="41" t="e">
        <f>VLOOKUP($B219,'26년 1월 출석표'!$B$2:$BQ$497,38,0)/5</f>
        <v>#N/A</v>
      </c>
      <c r="U219" s="40"/>
      <c r="V219" s="41" t="e">
        <f>VLOOKUP($B219,'26년 1월 출석표'!$B$2:$BQ$497,52,0)/5</f>
        <v>#N/A</v>
      </c>
      <c r="W219" s="42"/>
      <c r="X219" s="41" t="e">
        <f>VLOOKUP($B219,'26년 1월 출석표'!$B$2:$BQ$503,66,0)/5</f>
        <v>#N/A</v>
      </c>
      <c r="Y219" s="43"/>
    </row>
    <row r="220" spans="1:25" ht="16.5">
      <c r="A220" s="29"/>
      <c r="B220" s="52"/>
      <c r="C220" s="52"/>
      <c r="D220" s="53"/>
      <c r="E220" s="54"/>
      <c r="F220" s="52"/>
      <c r="G220" s="55"/>
      <c r="H220" s="56"/>
      <c r="I220" s="34" t="e">
        <f>VLOOKUP(B220,'26년 1월 출석표'!$B$7:$D$500,3,0)</f>
        <v>#N/A</v>
      </c>
      <c r="J220" s="35" t="e">
        <f t="shared" ca="1" si="0"/>
        <v>#NAME?</v>
      </c>
      <c r="K220" s="36" t="str">
        <f t="shared" si="1"/>
        <v/>
      </c>
      <c r="L220" s="37" t="str">
        <f t="shared" si="2"/>
        <v/>
      </c>
      <c r="M220" s="30"/>
      <c r="N220" s="38" t="b">
        <v>0</v>
      </c>
      <c r="O220" s="38" t="b">
        <v>0</v>
      </c>
      <c r="P220" s="39" t="e">
        <f>VLOOKUP($B220,'26년 1월 출석표'!$B$2:$BQ$497,10,0)/1</f>
        <v>#N/A</v>
      </c>
      <c r="Q220" s="40"/>
      <c r="R220" s="41" t="e">
        <f>VLOOKUP($B220,'26년 1월 출석표'!$B$2:$BQ$497,24,0)/5</f>
        <v>#N/A</v>
      </c>
      <c r="S220" s="40"/>
      <c r="T220" s="41" t="e">
        <f>VLOOKUP($B220,'26년 1월 출석표'!$B$2:$BQ$497,38,0)/5</f>
        <v>#N/A</v>
      </c>
      <c r="U220" s="40"/>
      <c r="V220" s="41" t="e">
        <f>VLOOKUP($B220,'26년 1월 출석표'!$B$2:$BQ$497,52,0)/5</f>
        <v>#N/A</v>
      </c>
      <c r="W220" s="42"/>
      <c r="X220" s="41" t="e">
        <f>VLOOKUP($B220,'26년 1월 출석표'!$B$2:$BQ$503,66,0)/5</f>
        <v>#N/A</v>
      </c>
      <c r="Y220" s="43"/>
    </row>
    <row r="221" spans="1:25" ht="16.5">
      <c r="A221" s="29"/>
      <c r="B221" s="52"/>
      <c r="C221" s="52"/>
      <c r="D221" s="53"/>
      <c r="E221" s="54"/>
      <c r="F221" s="52"/>
      <c r="G221" s="55"/>
      <c r="H221" s="56"/>
      <c r="I221" s="34" t="e">
        <f>VLOOKUP(B221,'26년 1월 출석표'!$B$7:$D$500,3,0)</f>
        <v>#N/A</v>
      </c>
      <c r="J221" s="35" t="e">
        <f t="shared" ca="1" si="0"/>
        <v>#NAME?</v>
      </c>
      <c r="K221" s="36" t="str">
        <f t="shared" si="1"/>
        <v/>
      </c>
      <c r="L221" s="37" t="str">
        <f t="shared" si="2"/>
        <v/>
      </c>
      <c r="M221" s="30"/>
      <c r="N221" s="38" t="b">
        <v>0</v>
      </c>
      <c r="O221" s="38" t="b">
        <v>0</v>
      </c>
      <c r="P221" s="39" t="e">
        <f>VLOOKUP($B221,'26년 1월 출석표'!$B$2:$BQ$497,10,0)/1</f>
        <v>#N/A</v>
      </c>
      <c r="Q221" s="40"/>
      <c r="R221" s="41" t="e">
        <f>VLOOKUP($B221,'26년 1월 출석표'!$B$2:$BQ$497,24,0)/5</f>
        <v>#N/A</v>
      </c>
      <c r="S221" s="40"/>
      <c r="T221" s="41" t="e">
        <f>VLOOKUP($B221,'26년 1월 출석표'!$B$2:$BQ$497,38,0)/5</f>
        <v>#N/A</v>
      </c>
      <c r="U221" s="40"/>
      <c r="V221" s="41" t="e">
        <f>VLOOKUP($B221,'26년 1월 출석표'!$B$2:$BQ$497,52,0)/5</f>
        <v>#N/A</v>
      </c>
      <c r="W221" s="42"/>
      <c r="X221" s="41" t="e">
        <f>VLOOKUP($B221,'26년 1월 출석표'!$B$2:$BQ$503,66,0)/5</f>
        <v>#N/A</v>
      </c>
      <c r="Y221" s="43"/>
    </row>
    <row r="222" spans="1:25" ht="16.5">
      <c r="A222" s="29"/>
      <c r="B222" s="52"/>
      <c r="C222" s="52"/>
      <c r="D222" s="53"/>
      <c r="E222" s="54"/>
      <c r="F222" s="52"/>
      <c r="G222" s="55"/>
      <c r="H222" s="56"/>
      <c r="I222" s="34" t="e">
        <f>VLOOKUP(B222,'26년 1월 출석표'!$B$7:$D$500,3,0)</f>
        <v>#N/A</v>
      </c>
      <c r="J222" s="35" t="e">
        <f t="shared" ca="1" si="0"/>
        <v>#NAME?</v>
      </c>
      <c r="K222" s="36" t="str">
        <f t="shared" si="1"/>
        <v/>
      </c>
      <c r="L222" s="37" t="str">
        <f t="shared" si="2"/>
        <v/>
      </c>
      <c r="M222" s="30"/>
      <c r="N222" s="38" t="b">
        <v>0</v>
      </c>
      <c r="O222" s="38" t="b">
        <v>0</v>
      </c>
      <c r="P222" s="39" t="e">
        <f>VLOOKUP($B222,'26년 1월 출석표'!$B$2:$BQ$497,10,0)/1</f>
        <v>#N/A</v>
      </c>
      <c r="Q222" s="40"/>
      <c r="R222" s="41" t="e">
        <f>VLOOKUP($B222,'26년 1월 출석표'!$B$2:$BQ$497,24,0)/5</f>
        <v>#N/A</v>
      </c>
      <c r="S222" s="40"/>
      <c r="T222" s="41" t="e">
        <f>VLOOKUP($B222,'26년 1월 출석표'!$B$2:$BQ$497,38,0)/5</f>
        <v>#N/A</v>
      </c>
      <c r="U222" s="40"/>
      <c r="V222" s="41" t="e">
        <f>VLOOKUP($B222,'26년 1월 출석표'!$B$2:$BQ$497,52,0)/5</f>
        <v>#N/A</v>
      </c>
      <c r="W222" s="42"/>
      <c r="X222" s="41" t="e">
        <f>VLOOKUP($B222,'26년 1월 출석표'!$B$2:$BQ$503,66,0)/5</f>
        <v>#N/A</v>
      </c>
      <c r="Y222" s="43"/>
    </row>
    <row r="223" spans="1:25" ht="16.5">
      <c r="A223" s="29"/>
      <c r="B223" s="52"/>
      <c r="C223" s="52"/>
      <c r="D223" s="53"/>
      <c r="E223" s="54"/>
      <c r="F223" s="52"/>
      <c r="G223" s="55"/>
      <c r="H223" s="56"/>
      <c r="I223" s="34" t="e">
        <f>VLOOKUP(B223,'26년 1월 출석표'!$B$7:$D$500,3,0)</f>
        <v>#N/A</v>
      </c>
      <c r="J223" s="35" t="e">
        <f t="shared" ca="1" si="0"/>
        <v>#NAME?</v>
      </c>
      <c r="K223" s="36" t="str">
        <f t="shared" si="1"/>
        <v/>
      </c>
      <c r="L223" s="37" t="str">
        <f t="shared" si="2"/>
        <v/>
      </c>
      <c r="M223" s="30"/>
      <c r="N223" s="38" t="b">
        <v>0</v>
      </c>
      <c r="O223" s="38" t="b">
        <v>0</v>
      </c>
      <c r="P223" s="39" t="e">
        <f>VLOOKUP($B223,'26년 1월 출석표'!$B$2:$BQ$497,10,0)/1</f>
        <v>#N/A</v>
      </c>
      <c r="Q223" s="40"/>
      <c r="R223" s="41" t="e">
        <f>VLOOKUP($B223,'26년 1월 출석표'!$B$2:$BQ$497,24,0)/5</f>
        <v>#N/A</v>
      </c>
      <c r="S223" s="40"/>
      <c r="T223" s="41" t="e">
        <f>VLOOKUP($B223,'26년 1월 출석표'!$B$2:$BQ$497,38,0)/5</f>
        <v>#N/A</v>
      </c>
      <c r="U223" s="40"/>
      <c r="V223" s="41" t="e">
        <f>VLOOKUP($B223,'26년 1월 출석표'!$B$2:$BQ$497,52,0)/5</f>
        <v>#N/A</v>
      </c>
      <c r="W223" s="42"/>
      <c r="X223" s="41" t="e">
        <f>VLOOKUP($B223,'26년 1월 출석표'!$B$2:$BQ$503,66,0)/5</f>
        <v>#N/A</v>
      </c>
      <c r="Y223" s="43"/>
    </row>
    <row r="224" spans="1:25" ht="16.5">
      <c r="A224" s="29"/>
      <c r="B224" s="52"/>
      <c r="C224" s="52"/>
      <c r="D224" s="53"/>
      <c r="E224" s="54"/>
      <c r="F224" s="52"/>
      <c r="G224" s="55"/>
      <c r="H224" s="56"/>
      <c r="I224" s="34" t="e">
        <f>VLOOKUP(B224,'26년 1월 출석표'!$B$7:$D$500,3,0)</f>
        <v>#N/A</v>
      </c>
      <c r="J224" s="35" t="e">
        <f t="shared" ca="1" si="0"/>
        <v>#NAME?</v>
      </c>
      <c r="K224" s="36" t="str">
        <f t="shared" si="1"/>
        <v/>
      </c>
      <c r="L224" s="37" t="str">
        <f t="shared" si="2"/>
        <v/>
      </c>
      <c r="M224" s="30"/>
      <c r="N224" s="38" t="b">
        <v>0</v>
      </c>
      <c r="O224" s="38" t="b">
        <v>0</v>
      </c>
      <c r="P224" s="39" t="e">
        <f>VLOOKUP($B224,'26년 1월 출석표'!$B$2:$BQ$497,10,0)/1</f>
        <v>#N/A</v>
      </c>
      <c r="Q224" s="40"/>
      <c r="R224" s="41" t="e">
        <f>VLOOKUP($B224,'26년 1월 출석표'!$B$2:$BQ$497,24,0)/5</f>
        <v>#N/A</v>
      </c>
      <c r="S224" s="40"/>
      <c r="T224" s="41" t="e">
        <f>VLOOKUP($B224,'26년 1월 출석표'!$B$2:$BQ$497,38,0)/5</f>
        <v>#N/A</v>
      </c>
      <c r="U224" s="40"/>
      <c r="V224" s="41" t="e">
        <f>VLOOKUP($B224,'26년 1월 출석표'!$B$2:$BQ$497,52,0)/5</f>
        <v>#N/A</v>
      </c>
      <c r="W224" s="42"/>
      <c r="X224" s="41" t="e">
        <f>VLOOKUP($B224,'26년 1월 출석표'!$B$2:$BQ$503,66,0)/5</f>
        <v>#N/A</v>
      </c>
      <c r="Y224" s="43"/>
    </row>
    <row r="225" spans="1:25" ht="16.5">
      <c r="A225" s="29"/>
      <c r="B225" s="52"/>
      <c r="C225" s="52"/>
      <c r="D225" s="53"/>
      <c r="E225" s="54"/>
      <c r="F225" s="52"/>
      <c r="G225" s="55"/>
      <c r="H225" s="56"/>
      <c r="I225" s="34" t="e">
        <f>VLOOKUP(B225,'26년 1월 출석표'!$B$7:$D$500,3,0)</f>
        <v>#N/A</v>
      </c>
      <c r="J225" s="35" t="e">
        <f t="shared" ca="1" si="0"/>
        <v>#NAME?</v>
      </c>
      <c r="K225" s="36" t="str">
        <f t="shared" si="1"/>
        <v/>
      </c>
      <c r="L225" s="37" t="str">
        <f t="shared" si="2"/>
        <v/>
      </c>
      <c r="M225" s="30"/>
      <c r="N225" s="38" t="b">
        <v>0</v>
      </c>
      <c r="O225" s="38" t="b">
        <v>0</v>
      </c>
      <c r="P225" s="39" t="e">
        <f>VLOOKUP($B225,'26년 1월 출석표'!$B$2:$BQ$497,10,0)/1</f>
        <v>#N/A</v>
      </c>
      <c r="Q225" s="40"/>
      <c r="R225" s="41" t="e">
        <f>VLOOKUP($B225,'26년 1월 출석표'!$B$2:$BQ$497,24,0)/5</f>
        <v>#N/A</v>
      </c>
      <c r="S225" s="40"/>
      <c r="T225" s="41" t="e">
        <f>VLOOKUP($B225,'26년 1월 출석표'!$B$2:$BQ$497,38,0)/5</f>
        <v>#N/A</v>
      </c>
      <c r="U225" s="40"/>
      <c r="V225" s="41" t="e">
        <f>VLOOKUP($B225,'26년 1월 출석표'!$B$2:$BQ$497,52,0)/5</f>
        <v>#N/A</v>
      </c>
      <c r="W225" s="42"/>
      <c r="X225" s="41" t="e">
        <f>VLOOKUP($B225,'26년 1월 출석표'!$B$2:$BQ$503,66,0)/5</f>
        <v>#N/A</v>
      </c>
      <c r="Y225" s="43"/>
    </row>
    <row r="226" spans="1:25" ht="16.5">
      <c r="A226" s="29"/>
      <c r="B226" s="52"/>
      <c r="C226" s="52"/>
      <c r="D226" s="53"/>
      <c r="E226" s="54"/>
      <c r="F226" s="52"/>
      <c r="G226" s="55"/>
      <c r="H226" s="56"/>
      <c r="I226" s="34" t="e">
        <f>VLOOKUP(B226,'26년 1월 출석표'!$B$7:$D$500,3,0)</f>
        <v>#N/A</v>
      </c>
      <c r="J226" s="35" t="e">
        <f t="shared" ca="1" si="0"/>
        <v>#NAME?</v>
      </c>
      <c r="K226" s="36" t="str">
        <f t="shared" si="1"/>
        <v/>
      </c>
      <c r="L226" s="37" t="str">
        <f t="shared" si="2"/>
        <v/>
      </c>
      <c r="M226" s="30"/>
      <c r="N226" s="38" t="b">
        <v>0</v>
      </c>
      <c r="O226" s="38" t="b">
        <v>0</v>
      </c>
      <c r="P226" s="39" t="e">
        <f>VLOOKUP($B226,'26년 1월 출석표'!$B$2:$BQ$497,10,0)/1</f>
        <v>#N/A</v>
      </c>
      <c r="Q226" s="40"/>
      <c r="R226" s="41" t="e">
        <f>VLOOKUP($B226,'26년 1월 출석표'!$B$2:$BQ$497,24,0)/5</f>
        <v>#N/A</v>
      </c>
      <c r="S226" s="40"/>
      <c r="T226" s="41" t="e">
        <f>VLOOKUP($B226,'26년 1월 출석표'!$B$2:$BQ$497,38,0)/5</f>
        <v>#N/A</v>
      </c>
      <c r="U226" s="40"/>
      <c r="V226" s="41" t="e">
        <f>VLOOKUP($B226,'26년 1월 출석표'!$B$2:$BQ$497,52,0)/5</f>
        <v>#N/A</v>
      </c>
      <c r="W226" s="42"/>
      <c r="X226" s="41" t="e">
        <f>VLOOKUP($B226,'26년 1월 출석표'!$B$2:$BQ$503,66,0)/5</f>
        <v>#N/A</v>
      </c>
      <c r="Y226" s="43"/>
    </row>
    <row r="227" spans="1:25" ht="16.5">
      <c r="A227" s="29"/>
      <c r="B227" s="52"/>
      <c r="C227" s="52"/>
      <c r="D227" s="53"/>
      <c r="E227" s="54"/>
      <c r="F227" s="52"/>
      <c r="G227" s="55"/>
      <c r="H227" s="56"/>
      <c r="I227" s="34" t="e">
        <f>VLOOKUP(B227,'26년 1월 출석표'!$B$7:$D$500,3,0)</f>
        <v>#N/A</v>
      </c>
      <c r="J227" s="35" t="e">
        <f t="shared" ca="1" si="0"/>
        <v>#NAME?</v>
      </c>
      <c r="K227" s="36" t="str">
        <f t="shared" si="1"/>
        <v/>
      </c>
      <c r="L227" s="37" t="str">
        <f t="shared" si="2"/>
        <v/>
      </c>
      <c r="M227" s="30"/>
      <c r="N227" s="38" t="b">
        <v>0</v>
      </c>
      <c r="O227" s="38" t="b">
        <v>0</v>
      </c>
      <c r="P227" s="39" t="e">
        <f>VLOOKUP($B227,'26년 1월 출석표'!$B$2:$BQ$497,10,0)/1</f>
        <v>#N/A</v>
      </c>
      <c r="Q227" s="40"/>
      <c r="R227" s="41" t="e">
        <f>VLOOKUP($B227,'26년 1월 출석표'!$B$2:$BQ$497,24,0)/5</f>
        <v>#N/A</v>
      </c>
      <c r="S227" s="40"/>
      <c r="T227" s="41" t="e">
        <f>VLOOKUP($B227,'26년 1월 출석표'!$B$2:$BQ$497,38,0)/5</f>
        <v>#N/A</v>
      </c>
      <c r="U227" s="40"/>
      <c r="V227" s="41" t="e">
        <f>VLOOKUP($B227,'26년 1월 출석표'!$B$2:$BQ$497,52,0)/5</f>
        <v>#N/A</v>
      </c>
      <c r="W227" s="42"/>
      <c r="X227" s="41" t="e">
        <f>VLOOKUP($B227,'26년 1월 출석표'!$B$2:$BQ$503,66,0)/5</f>
        <v>#N/A</v>
      </c>
      <c r="Y227" s="43"/>
    </row>
    <row r="228" spans="1:25" ht="16.5">
      <c r="A228" s="29"/>
      <c r="B228" s="52"/>
      <c r="C228" s="52"/>
      <c r="D228" s="53"/>
      <c r="E228" s="54"/>
      <c r="F228" s="52"/>
      <c r="G228" s="55"/>
      <c r="H228" s="56"/>
      <c r="I228" s="34" t="e">
        <f>VLOOKUP(B228,'26년 1월 출석표'!$B$7:$D$500,3,0)</f>
        <v>#N/A</v>
      </c>
      <c r="J228" s="35" t="e">
        <f t="shared" ca="1" si="0"/>
        <v>#NAME?</v>
      </c>
      <c r="K228" s="36" t="str">
        <f t="shared" si="1"/>
        <v/>
      </c>
      <c r="L228" s="37" t="str">
        <f t="shared" si="2"/>
        <v/>
      </c>
      <c r="M228" s="30"/>
      <c r="N228" s="38" t="b">
        <v>0</v>
      </c>
      <c r="O228" s="38" t="b">
        <v>0</v>
      </c>
      <c r="P228" s="39" t="e">
        <f>VLOOKUP($B228,'26년 1월 출석표'!$B$2:$BQ$497,10,0)/1</f>
        <v>#N/A</v>
      </c>
      <c r="Q228" s="40"/>
      <c r="R228" s="41" t="e">
        <f>VLOOKUP($B228,'26년 1월 출석표'!$B$2:$BQ$497,24,0)/5</f>
        <v>#N/A</v>
      </c>
      <c r="S228" s="40"/>
      <c r="T228" s="41" t="e">
        <f>VLOOKUP($B228,'26년 1월 출석표'!$B$2:$BQ$497,38,0)/5</f>
        <v>#N/A</v>
      </c>
      <c r="U228" s="40"/>
      <c r="V228" s="41" t="e">
        <f>VLOOKUP($B228,'26년 1월 출석표'!$B$2:$BQ$497,52,0)/5</f>
        <v>#N/A</v>
      </c>
      <c r="W228" s="42"/>
      <c r="X228" s="41" t="e">
        <f>VLOOKUP($B228,'26년 1월 출석표'!$B$2:$BQ$503,66,0)/5</f>
        <v>#N/A</v>
      </c>
      <c r="Y228" s="43"/>
    </row>
    <row r="229" spans="1:25" ht="16.5">
      <c r="A229" s="29"/>
      <c r="B229" s="52"/>
      <c r="C229" s="52"/>
      <c r="D229" s="53"/>
      <c r="E229" s="54"/>
      <c r="F229" s="52"/>
      <c r="G229" s="55"/>
      <c r="H229" s="56"/>
      <c r="I229" s="34" t="e">
        <f>VLOOKUP(B229,'26년 1월 출석표'!$B$7:$D$500,3,0)</f>
        <v>#N/A</v>
      </c>
      <c r="J229" s="35" t="e">
        <f t="shared" ca="1" si="0"/>
        <v>#NAME?</v>
      </c>
      <c r="K229" s="36" t="str">
        <f t="shared" si="1"/>
        <v/>
      </c>
      <c r="L229" s="37" t="str">
        <f t="shared" si="2"/>
        <v/>
      </c>
      <c r="M229" s="30"/>
      <c r="N229" s="38" t="b">
        <v>0</v>
      </c>
      <c r="O229" s="38" t="b">
        <v>0</v>
      </c>
      <c r="P229" s="39" t="e">
        <f>VLOOKUP($B229,'26년 1월 출석표'!$B$2:$BQ$497,10,0)/1</f>
        <v>#N/A</v>
      </c>
      <c r="Q229" s="40"/>
      <c r="R229" s="41" t="e">
        <f>VLOOKUP($B229,'26년 1월 출석표'!$B$2:$BQ$497,24,0)/5</f>
        <v>#N/A</v>
      </c>
      <c r="S229" s="40"/>
      <c r="T229" s="41" t="e">
        <f>VLOOKUP($B229,'26년 1월 출석표'!$B$2:$BQ$497,38,0)/5</f>
        <v>#N/A</v>
      </c>
      <c r="U229" s="40"/>
      <c r="V229" s="41" t="e">
        <f>VLOOKUP($B229,'26년 1월 출석표'!$B$2:$BQ$497,52,0)/5</f>
        <v>#N/A</v>
      </c>
      <c r="W229" s="42"/>
      <c r="X229" s="41" t="e">
        <f>VLOOKUP($B229,'26년 1월 출석표'!$B$2:$BQ$503,66,0)/5</f>
        <v>#N/A</v>
      </c>
      <c r="Y229" s="43"/>
    </row>
    <row r="230" spans="1:25" ht="16.5">
      <c r="A230" s="29"/>
      <c r="B230" s="52"/>
      <c r="C230" s="52"/>
      <c r="D230" s="53"/>
      <c r="E230" s="54"/>
      <c r="F230" s="52"/>
      <c r="G230" s="55"/>
      <c r="H230" s="56"/>
      <c r="I230" s="34" t="e">
        <f>VLOOKUP(B230,'26년 1월 출석표'!$B$7:$D$500,3,0)</f>
        <v>#N/A</v>
      </c>
      <c r="J230" s="35" t="e">
        <f t="shared" ca="1" si="0"/>
        <v>#NAME?</v>
      </c>
      <c r="K230" s="36" t="str">
        <f t="shared" si="1"/>
        <v/>
      </c>
      <c r="L230" s="37" t="str">
        <f t="shared" si="2"/>
        <v/>
      </c>
      <c r="M230" s="30"/>
      <c r="N230" s="38" t="b">
        <v>0</v>
      </c>
      <c r="O230" s="38" t="b">
        <v>0</v>
      </c>
      <c r="P230" s="39" t="e">
        <f>VLOOKUP($B230,'26년 1월 출석표'!$B$2:$BQ$497,10,0)/1</f>
        <v>#N/A</v>
      </c>
      <c r="Q230" s="40"/>
      <c r="R230" s="41" t="e">
        <f>VLOOKUP($B230,'26년 1월 출석표'!$B$2:$BQ$497,24,0)/5</f>
        <v>#N/A</v>
      </c>
      <c r="S230" s="40"/>
      <c r="T230" s="41" t="e">
        <f>VLOOKUP($B230,'26년 1월 출석표'!$B$2:$BQ$497,38,0)/5</f>
        <v>#N/A</v>
      </c>
      <c r="U230" s="40"/>
      <c r="V230" s="41" t="e">
        <f>VLOOKUP($B230,'26년 1월 출석표'!$B$2:$BQ$497,52,0)/5</f>
        <v>#N/A</v>
      </c>
      <c r="W230" s="42"/>
      <c r="X230" s="41" t="e">
        <f>VLOOKUP($B230,'26년 1월 출석표'!$B$2:$BQ$503,66,0)/5</f>
        <v>#N/A</v>
      </c>
      <c r="Y230" s="43"/>
    </row>
    <row r="231" spans="1:25" ht="16.5">
      <c r="A231" s="29"/>
      <c r="B231" s="52"/>
      <c r="C231" s="52"/>
      <c r="D231" s="53"/>
      <c r="E231" s="54"/>
      <c r="F231" s="52"/>
      <c r="G231" s="55"/>
      <c r="H231" s="56"/>
      <c r="I231" s="34" t="e">
        <f>VLOOKUP(B231,'26년 1월 출석표'!$B$7:$D$500,3,0)</f>
        <v>#N/A</v>
      </c>
      <c r="J231" s="35" t="e">
        <f t="shared" ca="1" si="0"/>
        <v>#NAME?</v>
      </c>
      <c r="K231" s="36" t="str">
        <f t="shared" si="1"/>
        <v/>
      </c>
      <c r="L231" s="37" t="str">
        <f t="shared" si="2"/>
        <v/>
      </c>
      <c r="M231" s="30"/>
      <c r="N231" s="38" t="b">
        <v>0</v>
      </c>
      <c r="O231" s="38" t="b">
        <v>0</v>
      </c>
      <c r="P231" s="39" t="e">
        <f>VLOOKUP($B231,'26년 1월 출석표'!$B$2:$BQ$497,10,0)/1</f>
        <v>#N/A</v>
      </c>
      <c r="Q231" s="40"/>
      <c r="R231" s="41" t="e">
        <f>VLOOKUP($B231,'26년 1월 출석표'!$B$2:$BQ$497,24,0)/5</f>
        <v>#N/A</v>
      </c>
      <c r="S231" s="40"/>
      <c r="T231" s="41" t="e">
        <f>VLOOKUP($B231,'26년 1월 출석표'!$B$2:$BQ$497,38,0)/5</f>
        <v>#N/A</v>
      </c>
      <c r="U231" s="40"/>
      <c r="V231" s="41" t="e">
        <f>VLOOKUP($B231,'26년 1월 출석표'!$B$2:$BQ$497,52,0)/5</f>
        <v>#N/A</v>
      </c>
      <c r="W231" s="42"/>
      <c r="X231" s="41" t="e">
        <f>VLOOKUP($B231,'26년 1월 출석표'!$B$2:$BQ$503,66,0)/5</f>
        <v>#N/A</v>
      </c>
      <c r="Y231" s="43"/>
    </row>
    <row r="232" spans="1:25" ht="16.5">
      <c r="A232" s="29"/>
      <c r="B232" s="52"/>
      <c r="C232" s="52"/>
      <c r="D232" s="53"/>
      <c r="E232" s="54"/>
      <c r="F232" s="52"/>
      <c r="G232" s="55"/>
      <c r="H232" s="56"/>
      <c r="I232" s="34" t="e">
        <f>VLOOKUP(B232,'26년 1월 출석표'!$B$7:$D$500,3,0)</f>
        <v>#N/A</v>
      </c>
      <c r="J232" s="35" t="e">
        <f t="shared" ca="1" si="0"/>
        <v>#NAME?</v>
      </c>
      <c r="K232" s="36" t="str">
        <f t="shared" si="1"/>
        <v/>
      </c>
      <c r="L232" s="37" t="str">
        <f t="shared" si="2"/>
        <v/>
      </c>
      <c r="M232" s="30"/>
      <c r="N232" s="38" t="b">
        <v>0</v>
      </c>
      <c r="O232" s="38" t="b">
        <v>0</v>
      </c>
      <c r="P232" s="39" t="e">
        <f>VLOOKUP($B232,'26년 1월 출석표'!$B$2:$BQ$497,10,0)/1</f>
        <v>#N/A</v>
      </c>
      <c r="Q232" s="40"/>
      <c r="R232" s="41" t="e">
        <f>VLOOKUP($B232,'26년 1월 출석표'!$B$2:$BQ$497,24,0)/5</f>
        <v>#N/A</v>
      </c>
      <c r="S232" s="40"/>
      <c r="T232" s="41" t="e">
        <f>VLOOKUP($B232,'26년 1월 출석표'!$B$2:$BQ$497,38,0)/5</f>
        <v>#N/A</v>
      </c>
      <c r="U232" s="40"/>
      <c r="V232" s="41" t="e">
        <f>VLOOKUP($B232,'26년 1월 출석표'!$B$2:$BQ$497,52,0)/5</f>
        <v>#N/A</v>
      </c>
      <c r="W232" s="42"/>
      <c r="X232" s="41" t="e">
        <f>VLOOKUP($B232,'26년 1월 출석표'!$B$2:$BQ$503,66,0)/5</f>
        <v>#N/A</v>
      </c>
      <c r="Y232" s="43"/>
    </row>
    <row r="233" spans="1:25" ht="16.5">
      <c r="A233" s="29"/>
      <c r="B233" s="52"/>
      <c r="C233" s="52"/>
      <c r="D233" s="53"/>
      <c r="E233" s="54"/>
      <c r="F233" s="52"/>
      <c r="G233" s="55"/>
      <c r="H233" s="56"/>
      <c r="I233" s="34" t="e">
        <f>VLOOKUP(B233,'26년 1월 출석표'!$B$7:$D$500,3,0)</f>
        <v>#N/A</v>
      </c>
      <c r="J233" s="35" t="e">
        <f t="shared" ca="1" si="0"/>
        <v>#NAME?</v>
      </c>
      <c r="K233" s="36" t="str">
        <f t="shared" si="1"/>
        <v/>
      </c>
      <c r="L233" s="37" t="str">
        <f t="shared" si="2"/>
        <v/>
      </c>
      <c r="M233" s="30"/>
      <c r="N233" s="38" t="b">
        <v>0</v>
      </c>
      <c r="O233" s="38" t="b">
        <v>0</v>
      </c>
      <c r="P233" s="39" t="e">
        <f>VLOOKUP($B233,'26년 1월 출석표'!$B$2:$BQ$497,10,0)/1</f>
        <v>#N/A</v>
      </c>
      <c r="Q233" s="40"/>
      <c r="R233" s="41" t="e">
        <f>VLOOKUP($B233,'26년 1월 출석표'!$B$2:$BQ$497,24,0)/5</f>
        <v>#N/A</v>
      </c>
      <c r="S233" s="40"/>
      <c r="T233" s="41" t="e">
        <f>VLOOKUP($B233,'26년 1월 출석표'!$B$2:$BQ$497,38,0)/5</f>
        <v>#N/A</v>
      </c>
      <c r="U233" s="40"/>
      <c r="V233" s="41" t="e">
        <f>VLOOKUP($B233,'26년 1월 출석표'!$B$2:$BQ$497,52,0)/5</f>
        <v>#N/A</v>
      </c>
      <c r="W233" s="42"/>
      <c r="X233" s="41" t="e">
        <f>VLOOKUP($B233,'26년 1월 출석표'!$B$2:$BQ$503,66,0)/5</f>
        <v>#N/A</v>
      </c>
      <c r="Y233" s="43"/>
    </row>
    <row r="234" spans="1:25" ht="16.5">
      <c r="A234" s="29"/>
      <c r="B234" s="52"/>
      <c r="C234" s="52"/>
      <c r="D234" s="53"/>
      <c r="E234" s="54"/>
      <c r="F234" s="52"/>
      <c r="G234" s="55"/>
      <c r="H234" s="56"/>
      <c r="I234" s="34" t="e">
        <f>VLOOKUP(B234,'26년 1월 출석표'!$B$7:$D$500,3,0)</f>
        <v>#N/A</v>
      </c>
      <c r="J234" s="35" t="e">
        <f t="shared" ca="1" si="0"/>
        <v>#NAME?</v>
      </c>
      <c r="K234" s="36" t="str">
        <f t="shared" si="1"/>
        <v/>
      </c>
      <c r="L234" s="37" t="str">
        <f t="shared" si="2"/>
        <v/>
      </c>
      <c r="M234" s="30"/>
      <c r="N234" s="38" t="b">
        <v>0</v>
      </c>
      <c r="O234" s="38" t="b">
        <v>0</v>
      </c>
      <c r="P234" s="39" t="e">
        <f>VLOOKUP($B234,'26년 1월 출석표'!$B$2:$BQ$497,10,0)/1</f>
        <v>#N/A</v>
      </c>
      <c r="Q234" s="40"/>
      <c r="R234" s="41" t="e">
        <f>VLOOKUP($B234,'26년 1월 출석표'!$B$2:$BQ$497,24,0)/5</f>
        <v>#N/A</v>
      </c>
      <c r="S234" s="40"/>
      <c r="T234" s="41" t="e">
        <f>VLOOKUP($B234,'26년 1월 출석표'!$B$2:$BQ$497,38,0)/5</f>
        <v>#N/A</v>
      </c>
      <c r="U234" s="40"/>
      <c r="V234" s="41" t="e">
        <f>VLOOKUP($B234,'26년 1월 출석표'!$B$2:$BQ$497,52,0)/5</f>
        <v>#N/A</v>
      </c>
      <c r="W234" s="42"/>
      <c r="X234" s="41" t="e">
        <f>VLOOKUP($B234,'26년 1월 출석표'!$B$2:$BQ$503,66,0)/5</f>
        <v>#N/A</v>
      </c>
      <c r="Y234" s="43"/>
    </row>
    <row r="235" spans="1:25" ht="16.5">
      <c r="A235" s="29"/>
      <c r="B235" s="52"/>
      <c r="C235" s="52"/>
      <c r="D235" s="53"/>
      <c r="E235" s="54"/>
      <c r="F235" s="52"/>
      <c r="G235" s="55"/>
      <c r="H235" s="56"/>
      <c r="I235" s="34" t="e">
        <f>VLOOKUP(B235,'26년 1월 출석표'!$B$7:$D$500,3,0)</f>
        <v>#N/A</v>
      </c>
      <c r="J235" s="35" t="e">
        <f t="shared" ca="1" si="0"/>
        <v>#NAME?</v>
      </c>
      <c r="K235" s="36" t="str">
        <f t="shared" si="1"/>
        <v/>
      </c>
      <c r="L235" s="37" t="str">
        <f t="shared" si="2"/>
        <v/>
      </c>
      <c r="M235" s="30"/>
      <c r="N235" s="38" t="b">
        <v>0</v>
      </c>
      <c r="O235" s="38" t="b">
        <v>0</v>
      </c>
      <c r="P235" s="39" t="e">
        <f>VLOOKUP($B235,'26년 1월 출석표'!$B$2:$BQ$497,10,0)/1</f>
        <v>#N/A</v>
      </c>
      <c r="Q235" s="40"/>
      <c r="R235" s="41" t="e">
        <f>VLOOKUP($B235,'26년 1월 출석표'!$B$2:$BQ$497,24,0)/5</f>
        <v>#N/A</v>
      </c>
      <c r="S235" s="40"/>
      <c r="T235" s="41" t="e">
        <f>VLOOKUP($B235,'26년 1월 출석표'!$B$2:$BQ$497,38,0)/5</f>
        <v>#N/A</v>
      </c>
      <c r="U235" s="40"/>
      <c r="V235" s="41" t="e">
        <f>VLOOKUP($B235,'26년 1월 출석표'!$B$2:$BQ$497,52,0)/5</f>
        <v>#N/A</v>
      </c>
      <c r="W235" s="42"/>
      <c r="X235" s="41" t="e">
        <f>VLOOKUP($B235,'26년 1월 출석표'!$B$2:$BQ$503,66,0)/5</f>
        <v>#N/A</v>
      </c>
      <c r="Y235" s="43"/>
    </row>
    <row r="236" spans="1:25" ht="16.5">
      <c r="A236" s="29"/>
      <c r="B236" s="52"/>
      <c r="C236" s="52"/>
      <c r="D236" s="53"/>
      <c r="E236" s="54"/>
      <c r="F236" s="52"/>
      <c r="G236" s="55"/>
      <c r="H236" s="56"/>
      <c r="I236" s="34" t="e">
        <f>VLOOKUP(B236,'26년 1월 출석표'!$B$7:$D$500,3,0)</f>
        <v>#N/A</v>
      </c>
      <c r="J236" s="35" t="e">
        <f t="shared" ca="1" si="0"/>
        <v>#NAME?</v>
      </c>
      <c r="K236" s="36" t="str">
        <f t="shared" si="1"/>
        <v/>
      </c>
      <c r="L236" s="37" t="str">
        <f t="shared" si="2"/>
        <v/>
      </c>
      <c r="M236" s="30"/>
      <c r="N236" s="38" t="b">
        <v>0</v>
      </c>
      <c r="O236" s="38" t="b">
        <v>0</v>
      </c>
      <c r="P236" s="39" t="e">
        <f>VLOOKUP($B236,'26년 1월 출석표'!$B$2:$BQ$497,10,0)/1</f>
        <v>#N/A</v>
      </c>
      <c r="Q236" s="40"/>
      <c r="R236" s="41" t="e">
        <f>VLOOKUP($B236,'26년 1월 출석표'!$B$2:$BQ$497,24,0)/5</f>
        <v>#N/A</v>
      </c>
      <c r="S236" s="40"/>
      <c r="T236" s="41" t="e">
        <f>VLOOKUP($B236,'26년 1월 출석표'!$B$2:$BQ$497,38,0)/5</f>
        <v>#N/A</v>
      </c>
      <c r="U236" s="40"/>
      <c r="V236" s="41" t="e">
        <f>VLOOKUP($B236,'26년 1월 출석표'!$B$2:$BQ$497,52,0)/5</f>
        <v>#N/A</v>
      </c>
      <c r="W236" s="42"/>
      <c r="X236" s="41" t="e">
        <f>VLOOKUP($B236,'26년 1월 출석표'!$B$2:$BQ$503,66,0)/5</f>
        <v>#N/A</v>
      </c>
      <c r="Y236" s="43"/>
    </row>
    <row r="237" spans="1:25" ht="16.5">
      <c r="A237" s="29"/>
      <c r="B237" s="52"/>
      <c r="C237" s="52"/>
      <c r="D237" s="53"/>
      <c r="E237" s="54"/>
      <c r="F237" s="52"/>
      <c r="G237" s="55"/>
      <c r="H237" s="56"/>
      <c r="I237" s="34" t="e">
        <f>VLOOKUP(B237,'26년 1월 출석표'!$B$7:$D$500,3,0)</f>
        <v>#N/A</v>
      </c>
      <c r="J237" s="35" t="e">
        <f t="shared" ca="1" si="0"/>
        <v>#NAME?</v>
      </c>
      <c r="K237" s="36" t="str">
        <f t="shared" si="1"/>
        <v/>
      </c>
      <c r="L237" s="37" t="str">
        <f t="shared" si="2"/>
        <v/>
      </c>
      <c r="M237" s="30"/>
      <c r="N237" s="38" t="b">
        <v>0</v>
      </c>
      <c r="O237" s="38" t="b">
        <v>0</v>
      </c>
      <c r="P237" s="39" t="e">
        <f>VLOOKUP($B237,'26년 1월 출석표'!$B$2:$BQ$497,10,0)/1</f>
        <v>#N/A</v>
      </c>
      <c r="Q237" s="40"/>
      <c r="R237" s="41" t="e">
        <f>VLOOKUP($B237,'26년 1월 출석표'!$B$2:$BQ$497,24,0)/5</f>
        <v>#N/A</v>
      </c>
      <c r="S237" s="40"/>
      <c r="T237" s="41" t="e">
        <f>VLOOKUP($B237,'26년 1월 출석표'!$B$2:$BQ$497,38,0)/5</f>
        <v>#N/A</v>
      </c>
      <c r="U237" s="40"/>
      <c r="V237" s="41" t="e">
        <f>VLOOKUP($B237,'26년 1월 출석표'!$B$2:$BQ$497,52,0)/5</f>
        <v>#N/A</v>
      </c>
      <c r="W237" s="42"/>
      <c r="X237" s="41" t="e">
        <f>VLOOKUP($B237,'26년 1월 출석표'!$B$2:$BQ$503,66,0)/5</f>
        <v>#N/A</v>
      </c>
      <c r="Y237" s="43"/>
    </row>
    <row r="238" spans="1:25" ht="16.5">
      <c r="A238" s="29"/>
      <c r="B238" s="52"/>
      <c r="C238" s="52"/>
      <c r="D238" s="53"/>
      <c r="E238" s="54"/>
      <c r="F238" s="52"/>
      <c r="G238" s="55"/>
      <c r="H238" s="56"/>
      <c r="I238" s="34" t="e">
        <f>VLOOKUP(B238,'26년 1월 출석표'!$B$7:$D$500,3,0)</f>
        <v>#N/A</v>
      </c>
      <c r="J238" s="35" t="e">
        <f t="shared" ca="1" si="0"/>
        <v>#NAME?</v>
      </c>
      <c r="K238" s="36" t="str">
        <f t="shared" si="1"/>
        <v/>
      </c>
      <c r="L238" s="37" t="str">
        <f t="shared" si="2"/>
        <v/>
      </c>
      <c r="M238" s="30"/>
      <c r="N238" s="38" t="b">
        <v>0</v>
      </c>
      <c r="O238" s="38" t="b">
        <v>0</v>
      </c>
      <c r="P238" s="39" t="e">
        <f>VLOOKUP($B238,'26년 1월 출석표'!$B$2:$BQ$497,10,0)/1</f>
        <v>#N/A</v>
      </c>
      <c r="Q238" s="40"/>
      <c r="R238" s="41" t="e">
        <f>VLOOKUP($B238,'26년 1월 출석표'!$B$2:$BQ$497,24,0)/5</f>
        <v>#N/A</v>
      </c>
      <c r="S238" s="40"/>
      <c r="T238" s="41" t="e">
        <f>VLOOKUP($B238,'26년 1월 출석표'!$B$2:$BQ$497,38,0)/5</f>
        <v>#N/A</v>
      </c>
      <c r="U238" s="40"/>
      <c r="V238" s="41" t="e">
        <f>VLOOKUP($B238,'26년 1월 출석표'!$B$2:$BQ$497,52,0)/5</f>
        <v>#N/A</v>
      </c>
      <c r="W238" s="42"/>
      <c r="X238" s="41" t="e">
        <f>VLOOKUP($B238,'26년 1월 출석표'!$B$2:$BQ$503,66,0)/5</f>
        <v>#N/A</v>
      </c>
      <c r="Y238" s="43"/>
    </row>
    <row r="239" spans="1:25" ht="16.5">
      <c r="A239" s="29"/>
      <c r="B239" s="52"/>
      <c r="C239" s="52"/>
      <c r="D239" s="53"/>
      <c r="E239" s="54"/>
      <c r="F239" s="52"/>
      <c r="G239" s="55"/>
      <c r="H239" s="56"/>
      <c r="I239" s="34" t="e">
        <f>VLOOKUP(B239,'26년 1월 출석표'!$B$7:$D$500,3,0)</f>
        <v>#N/A</v>
      </c>
      <c r="J239" s="35" t="e">
        <f t="shared" ca="1" si="0"/>
        <v>#NAME?</v>
      </c>
      <c r="K239" s="36" t="str">
        <f t="shared" si="1"/>
        <v/>
      </c>
      <c r="L239" s="37" t="str">
        <f t="shared" si="2"/>
        <v/>
      </c>
      <c r="M239" s="30"/>
      <c r="N239" s="38" t="b">
        <v>0</v>
      </c>
      <c r="O239" s="38" t="b">
        <v>0</v>
      </c>
      <c r="P239" s="39" t="e">
        <f>VLOOKUP($B239,'26년 1월 출석표'!$B$2:$BQ$497,10,0)/1</f>
        <v>#N/A</v>
      </c>
      <c r="Q239" s="40"/>
      <c r="R239" s="41" t="e">
        <f>VLOOKUP($B239,'26년 1월 출석표'!$B$2:$BQ$497,24,0)/5</f>
        <v>#N/A</v>
      </c>
      <c r="S239" s="40"/>
      <c r="T239" s="41" t="e">
        <f>VLOOKUP($B239,'26년 1월 출석표'!$B$2:$BQ$497,38,0)/5</f>
        <v>#N/A</v>
      </c>
      <c r="U239" s="40"/>
      <c r="V239" s="41" t="e">
        <f>VLOOKUP($B239,'26년 1월 출석표'!$B$2:$BQ$497,52,0)/5</f>
        <v>#N/A</v>
      </c>
      <c r="W239" s="42"/>
      <c r="X239" s="41" t="e">
        <f>VLOOKUP($B239,'26년 1월 출석표'!$B$2:$BQ$503,66,0)/5</f>
        <v>#N/A</v>
      </c>
      <c r="Y239" s="43"/>
    </row>
    <row r="240" spans="1:25" ht="16.5">
      <c r="A240" s="29"/>
      <c r="B240" s="52"/>
      <c r="C240" s="52"/>
      <c r="D240" s="53"/>
      <c r="E240" s="54"/>
      <c r="F240" s="52"/>
      <c r="G240" s="55"/>
      <c r="H240" s="56"/>
      <c r="I240" s="34" t="e">
        <f>VLOOKUP(B240,'26년 1월 출석표'!$B$7:$D$500,3,0)</f>
        <v>#N/A</v>
      </c>
      <c r="J240" s="35" t="e">
        <f t="shared" ca="1" si="0"/>
        <v>#NAME?</v>
      </c>
      <c r="K240" s="36" t="str">
        <f t="shared" si="1"/>
        <v/>
      </c>
      <c r="L240" s="37" t="str">
        <f t="shared" si="2"/>
        <v/>
      </c>
      <c r="M240" s="30"/>
      <c r="N240" s="38" t="b">
        <v>0</v>
      </c>
      <c r="O240" s="38" t="b">
        <v>0</v>
      </c>
      <c r="P240" s="39" t="e">
        <f>VLOOKUP($B240,'26년 1월 출석표'!$B$2:$BQ$497,10,0)/1</f>
        <v>#N/A</v>
      </c>
      <c r="Q240" s="40"/>
      <c r="R240" s="41" t="e">
        <f>VLOOKUP($B240,'26년 1월 출석표'!$B$2:$BQ$497,24,0)/5</f>
        <v>#N/A</v>
      </c>
      <c r="S240" s="40"/>
      <c r="T240" s="41" t="e">
        <f>VLOOKUP($B240,'26년 1월 출석표'!$B$2:$BQ$497,38,0)/5</f>
        <v>#N/A</v>
      </c>
      <c r="U240" s="40"/>
      <c r="V240" s="41" t="e">
        <f>VLOOKUP($B240,'26년 1월 출석표'!$B$2:$BQ$497,52,0)/5</f>
        <v>#N/A</v>
      </c>
      <c r="W240" s="42"/>
      <c r="X240" s="41" t="e">
        <f>VLOOKUP($B240,'26년 1월 출석표'!$B$2:$BQ$503,66,0)/5</f>
        <v>#N/A</v>
      </c>
      <c r="Y240" s="43"/>
    </row>
    <row r="241" spans="1:25" ht="16.5">
      <c r="A241" s="29"/>
      <c r="B241" s="52"/>
      <c r="C241" s="52"/>
      <c r="D241" s="53"/>
      <c r="E241" s="54"/>
      <c r="F241" s="52"/>
      <c r="G241" s="55"/>
      <c r="H241" s="56"/>
      <c r="I241" s="34" t="e">
        <f>VLOOKUP(B241,'26년 1월 출석표'!$B$7:$D$500,3,0)</f>
        <v>#N/A</v>
      </c>
      <c r="J241" s="35" t="e">
        <f t="shared" ca="1" si="0"/>
        <v>#NAME?</v>
      </c>
      <c r="K241" s="36" t="str">
        <f t="shared" si="1"/>
        <v/>
      </c>
      <c r="L241" s="37" t="str">
        <f t="shared" si="2"/>
        <v/>
      </c>
      <c r="M241" s="30"/>
      <c r="N241" s="38" t="b">
        <v>0</v>
      </c>
      <c r="O241" s="38" t="b">
        <v>0</v>
      </c>
      <c r="P241" s="39" t="e">
        <f>VLOOKUP($B241,'26년 1월 출석표'!$B$2:$BQ$497,10,0)/1</f>
        <v>#N/A</v>
      </c>
      <c r="Q241" s="40"/>
      <c r="R241" s="41" t="e">
        <f>VLOOKUP($B241,'26년 1월 출석표'!$B$2:$BQ$497,24,0)/5</f>
        <v>#N/A</v>
      </c>
      <c r="S241" s="40"/>
      <c r="T241" s="41" t="e">
        <f>VLOOKUP($B241,'26년 1월 출석표'!$B$2:$BQ$497,38,0)/5</f>
        <v>#N/A</v>
      </c>
      <c r="U241" s="40"/>
      <c r="V241" s="41" t="e">
        <f>VLOOKUP($B241,'26년 1월 출석표'!$B$2:$BQ$497,52,0)/5</f>
        <v>#N/A</v>
      </c>
      <c r="W241" s="42"/>
      <c r="X241" s="41" t="e">
        <f>VLOOKUP($B241,'26년 1월 출석표'!$B$2:$BQ$503,66,0)/5</f>
        <v>#N/A</v>
      </c>
      <c r="Y241" s="43"/>
    </row>
    <row r="242" spans="1:25" ht="16.5">
      <c r="A242" s="29"/>
      <c r="B242" s="52"/>
      <c r="C242" s="52"/>
      <c r="D242" s="53"/>
      <c r="E242" s="54"/>
      <c r="F242" s="52"/>
      <c r="G242" s="55"/>
      <c r="H242" s="56"/>
      <c r="I242" s="34" t="e">
        <f>VLOOKUP(B242,'26년 1월 출석표'!$B$7:$D$500,3,0)</f>
        <v>#N/A</v>
      </c>
      <c r="J242" s="35" t="e">
        <f t="shared" ca="1" si="0"/>
        <v>#NAME?</v>
      </c>
      <c r="K242" s="36" t="str">
        <f t="shared" si="1"/>
        <v/>
      </c>
      <c r="L242" s="37" t="str">
        <f t="shared" si="2"/>
        <v/>
      </c>
      <c r="M242" s="30"/>
      <c r="N242" s="38" t="b">
        <v>0</v>
      </c>
      <c r="O242" s="38" t="b">
        <v>0</v>
      </c>
      <c r="P242" s="39" t="e">
        <f>VLOOKUP($B242,'26년 1월 출석표'!$B$2:$BQ$497,10,0)/1</f>
        <v>#N/A</v>
      </c>
      <c r="Q242" s="40"/>
      <c r="R242" s="41" t="e">
        <f>VLOOKUP($B242,'26년 1월 출석표'!$B$2:$BQ$497,24,0)/5</f>
        <v>#N/A</v>
      </c>
      <c r="S242" s="40"/>
      <c r="T242" s="41" t="e">
        <f>VLOOKUP($B242,'26년 1월 출석표'!$B$2:$BQ$497,38,0)/5</f>
        <v>#N/A</v>
      </c>
      <c r="U242" s="40"/>
      <c r="V242" s="41" t="e">
        <f>VLOOKUP($B242,'26년 1월 출석표'!$B$2:$BQ$497,52,0)/5</f>
        <v>#N/A</v>
      </c>
      <c r="W242" s="42"/>
      <c r="X242" s="41" t="e">
        <f>VLOOKUP($B242,'26년 1월 출석표'!$B$2:$BQ$503,66,0)/5</f>
        <v>#N/A</v>
      </c>
      <c r="Y242" s="43"/>
    </row>
    <row r="243" spans="1:25" ht="16.5">
      <c r="A243" s="29"/>
      <c r="B243" s="52"/>
      <c r="C243" s="52"/>
      <c r="D243" s="53"/>
      <c r="E243" s="54"/>
      <c r="F243" s="52"/>
      <c r="G243" s="55"/>
      <c r="H243" s="56"/>
      <c r="I243" s="34" t="e">
        <f>VLOOKUP(B243,'26년 1월 출석표'!$B$7:$D$500,3,0)</f>
        <v>#N/A</v>
      </c>
      <c r="J243" s="35" t="e">
        <f t="shared" ca="1" si="0"/>
        <v>#NAME?</v>
      </c>
      <c r="K243" s="36" t="str">
        <f t="shared" si="1"/>
        <v/>
      </c>
      <c r="L243" s="37" t="str">
        <f t="shared" si="2"/>
        <v/>
      </c>
      <c r="M243" s="30"/>
      <c r="N243" s="38" t="b">
        <v>0</v>
      </c>
      <c r="O243" s="38" t="b">
        <v>0</v>
      </c>
      <c r="P243" s="39" t="e">
        <f>VLOOKUP($B243,'26년 1월 출석표'!$B$2:$BQ$497,10,0)/1</f>
        <v>#N/A</v>
      </c>
      <c r="Q243" s="40"/>
      <c r="R243" s="41" t="e">
        <f>VLOOKUP($B243,'26년 1월 출석표'!$B$2:$BQ$497,24,0)/5</f>
        <v>#N/A</v>
      </c>
      <c r="S243" s="40"/>
      <c r="T243" s="41" t="e">
        <f>VLOOKUP($B243,'26년 1월 출석표'!$B$2:$BQ$497,38,0)/5</f>
        <v>#N/A</v>
      </c>
      <c r="U243" s="40"/>
      <c r="V243" s="41" t="e">
        <f>VLOOKUP($B243,'26년 1월 출석표'!$B$2:$BQ$497,52,0)/5</f>
        <v>#N/A</v>
      </c>
      <c r="W243" s="42"/>
      <c r="X243" s="41" t="e">
        <f>VLOOKUP($B243,'26년 1월 출석표'!$B$2:$BQ$503,66,0)/5</f>
        <v>#N/A</v>
      </c>
      <c r="Y243" s="43"/>
    </row>
    <row r="244" spans="1:25" ht="16.5">
      <c r="A244" s="29"/>
      <c r="B244" s="52"/>
      <c r="C244" s="52"/>
      <c r="D244" s="53"/>
      <c r="E244" s="54"/>
      <c r="F244" s="52"/>
      <c r="G244" s="55"/>
      <c r="H244" s="56"/>
      <c r="I244" s="34" t="e">
        <f>VLOOKUP(B244,'26년 1월 출석표'!$B$7:$D$500,3,0)</f>
        <v>#N/A</v>
      </c>
      <c r="J244" s="35" t="e">
        <f t="shared" ca="1" si="0"/>
        <v>#NAME?</v>
      </c>
      <c r="K244" s="36" t="str">
        <f t="shared" si="1"/>
        <v/>
      </c>
      <c r="L244" s="37" t="str">
        <f t="shared" si="2"/>
        <v/>
      </c>
      <c r="M244" s="30"/>
      <c r="N244" s="38" t="b">
        <v>0</v>
      </c>
      <c r="O244" s="38" t="b">
        <v>0</v>
      </c>
      <c r="P244" s="39" t="e">
        <f>VLOOKUP($B244,'26년 1월 출석표'!$B$2:$BQ$497,10,0)/1</f>
        <v>#N/A</v>
      </c>
      <c r="Q244" s="40"/>
      <c r="R244" s="41" t="e">
        <f>VLOOKUP($B244,'26년 1월 출석표'!$B$2:$BQ$497,24,0)/5</f>
        <v>#N/A</v>
      </c>
      <c r="S244" s="40"/>
      <c r="T244" s="41" t="e">
        <f>VLOOKUP($B244,'26년 1월 출석표'!$B$2:$BQ$497,38,0)/5</f>
        <v>#N/A</v>
      </c>
      <c r="U244" s="40"/>
      <c r="V244" s="41" t="e">
        <f>VLOOKUP($B244,'26년 1월 출석표'!$B$2:$BQ$497,52,0)/5</f>
        <v>#N/A</v>
      </c>
      <c r="W244" s="42"/>
      <c r="X244" s="41" t="e">
        <f>VLOOKUP($B244,'26년 1월 출석표'!$B$2:$BQ$503,66,0)/5</f>
        <v>#N/A</v>
      </c>
      <c r="Y244" s="43"/>
    </row>
    <row r="245" spans="1:25" ht="16.5">
      <c r="A245" s="29"/>
      <c r="B245" s="52"/>
      <c r="C245" s="52"/>
      <c r="D245" s="53"/>
      <c r="E245" s="54"/>
      <c r="F245" s="52"/>
      <c r="G245" s="55"/>
      <c r="H245" s="56"/>
      <c r="I245" s="34" t="e">
        <f>VLOOKUP(B245,'26년 1월 출석표'!$B$7:$D$500,3,0)</f>
        <v>#N/A</v>
      </c>
      <c r="J245" s="35" t="e">
        <f t="shared" ca="1" si="0"/>
        <v>#NAME?</v>
      </c>
      <c r="K245" s="36" t="str">
        <f t="shared" si="1"/>
        <v/>
      </c>
      <c r="L245" s="37" t="str">
        <f t="shared" si="2"/>
        <v/>
      </c>
      <c r="M245" s="30"/>
      <c r="N245" s="38" t="b">
        <v>0</v>
      </c>
      <c r="O245" s="38" t="b">
        <v>0</v>
      </c>
      <c r="P245" s="39" t="e">
        <f>VLOOKUP($B245,'26년 1월 출석표'!$B$2:$BQ$497,10,0)/1</f>
        <v>#N/A</v>
      </c>
      <c r="Q245" s="40"/>
      <c r="R245" s="41" t="e">
        <f>VLOOKUP($B245,'26년 1월 출석표'!$B$2:$BQ$497,24,0)/5</f>
        <v>#N/A</v>
      </c>
      <c r="S245" s="40"/>
      <c r="T245" s="41" t="e">
        <f>VLOOKUP($B245,'26년 1월 출석표'!$B$2:$BQ$497,38,0)/5</f>
        <v>#N/A</v>
      </c>
      <c r="U245" s="40"/>
      <c r="V245" s="41" t="e">
        <f>VLOOKUP($B245,'26년 1월 출석표'!$B$2:$BQ$497,52,0)/5</f>
        <v>#N/A</v>
      </c>
      <c r="W245" s="42"/>
      <c r="X245" s="41" t="e">
        <f>VLOOKUP($B245,'26년 1월 출석표'!$B$2:$BQ$503,66,0)/5</f>
        <v>#N/A</v>
      </c>
      <c r="Y245" s="43"/>
    </row>
    <row r="246" spans="1:25" ht="16.5">
      <c r="A246" s="29"/>
      <c r="B246" s="52"/>
      <c r="C246" s="52"/>
      <c r="D246" s="53"/>
      <c r="E246" s="54"/>
      <c r="F246" s="52"/>
      <c r="G246" s="55"/>
      <c r="H246" s="56"/>
      <c r="I246" s="34" t="e">
        <f>VLOOKUP(B246,'26년 1월 출석표'!$B$7:$D$500,3,0)</f>
        <v>#N/A</v>
      </c>
      <c r="J246" s="35" t="e">
        <f t="shared" ca="1" si="0"/>
        <v>#NAME?</v>
      </c>
      <c r="K246" s="36" t="str">
        <f t="shared" si="1"/>
        <v/>
      </c>
      <c r="L246" s="37" t="str">
        <f t="shared" si="2"/>
        <v/>
      </c>
      <c r="M246" s="30"/>
      <c r="N246" s="38" t="b">
        <v>0</v>
      </c>
      <c r="O246" s="38" t="b">
        <v>0</v>
      </c>
      <c r="P246" s="39" t="e">
        <f>VLOOKUP($B246,'26년 1월 출석표'!$B$2:$BQ$497,10,0)/1</f>
        <v>#N/A</v>
      </c>
      <c r="Q246" s="40"/>
      <c r="R246" s="41" t="e">
        <f>VLOOKUP($B246,'26년 1월 출석표'!$B$2:$BQ$497,24,0)/5</f>
        <v>#N/A</v>
      </c>
      <c r="S246" s="40"/>
      <c r="T246" s="41" t="e">
        <f>VLOOKUP($B246,'26년 1월 출석표'!$B$2:$BQ$497,38,0)/5</f>
        <v>#N/A</v>
      </c>
      <c r="U246" s="40"/>
      <c r="V246" s="41" t="e">
        <f>VLOOKUP($B246,'26년 1월 출석표'!$B$2:$BQ$497,52,0)/5</f>
        <v>#N/A</v>
      </c>
      <c r="W246" s="42"/>
      <c r="X246" s="41" t="e">
        <f>VLOOKUP($B246,'26년 1월 출석표'!$B$2:$BQ$503,66,0)/5</f>
        <v>#N/A</v>
      </c>
      <c r="Y246" s="43"/>
    </row>
    <row r="247" spans="1:25" ht="16.5">
      <c r="A247" s="29"/>
      <c r="B247" s="52"/>
      <c r="C247" s="52"/>
      <c r="D247" s="53"/>
      <c r="E247" s="54"/>
      <c r="F247" s="52"/>
      <c r="G247" s="55"/>
      <c r="H247" s="56"/>
      <c r="I247" s="34" t="e">
        <f>VLOOKUP(B247,'26년 1월 출석표'!$B$7:$D$500,3,0)</f>
        <v>#N/A</v>
      </c>
      <c r="J247" s="35" t="e">
        <f t="shared" ca="1" si="0"/>
        <v>#NAME?</v>
      </c>
      <c r="K247" s="36" t="str">
        <f t="shared" si="1"/>
        <v/>
      </c>
      <c r="L247" s="37" t="str">
        <f t="shared" si="2"/>
        <v/>
      </c>
      <c r="M247" s="30"/>
      <c r="N247" s="38" t="b">
        <v>0</v>
      </c>
      <c r="O247" s="38" t="b">
        <v>0</v>
      </c>
      <c r="P247" s="39" t="e">
        <f>VLOOKUP($B247,'26년 1월 출석표'!$B$2:$BQ$497,10,0)/1</f>
        <v>#N/A</v>
      </c>
      <c r="Q247" s="40"/>
      <c r="R247" s="41" t="e">
        <f>VLOOKUP($B247,'26년 1월 출석표'!$B$2:$BQ$497,24,0)/5</f>
        <v>#N/A</v>
      </c>
      <c r="S247" s="40"/>
      <c r="T247" s="41" t="e">
        <f>VLOOKUP($B247,'26년 1월 출석표'!$B$2:$BQ$497,38,0)/5</f>
        <v>#N/A</v>
      </c>
      <c r="U247" s="40"/>
      <c r="V247" s="41" t="e">
        <f>VLOOKUP($B247,'26년 1월 출석표'!$B$2:$BQ$497,52,0)/5</f>
        <v>#N/A</v>
      </c>
      <c r="W247" s="42"/>
      <c r="X247" s="41" t="e">
        <f>VLOOKUP($B247,'26년 1월 출석표'!$B$2:$BQ$503,66,0)/5</f>
        <v>#N/A</v>
      </c>
      <c r="Y247" s="43"/>
    </row>
    <row r="248" spans="1:25" ht="16.5">
      <c r="A248" s="29"/>
      <c r="B248" s="52"/>
      <c r="C248" s="52"/>
      <c r="D248" s="53"/>
      <c r="E248" s="54"/>
      <c r="F248" s="52"/>
      <c r="G248" s="55"/>
      <c r="H248" s="56"/>
      <c r="I248" s="34" t="e">
        <f>VLOOKUP(B248,'26년 1월 출석표'!$B$7:$D$500,3,0)</f>
        <v>#N/A</v>
      </c>
      <c r="J248" s="35" t="e">
        <f t="shared" ca="1" si="0"/>
        <v>#NAME?</v>
      </c>
      <c r="K248" s="36" t="str">
        <f t="shared" si="1"/>
        <v/>
      </c>
      <c r="L248" s="37" t="str">
        <f t="shared" si="2"/>
        <v/>
      </c>
      <c r="M248" s="30"/>
      <c r="N248" s="38" t="b">
        <v>0</v>
      </c>
      <c r="O248" s="38" t="b">
        <v>0</v>
      </c>
      <c r="P248" s="39" t="e">
        <f>VLOOKUP($B248,'26년 1월 출석표'!$B$2:$BQ$497,10,0)/1</f>
        <v>#N/A</v>
      </c>
      <c r="Q248" s="40"/>
      <c r="R248" s="41" t="e">
        <f>VLOOKUP($B248,'26년 1월 출석표'!$B$2:$BQ$497,24,0)/5</f>
        <v>#N/A</v>
      </c>
      <c r="S248" s="40"/>
      <c r="T248" s="41" t="e">
        <f>VLOOKUP($B248,'26년 1월 출석표'!$B$2:$BQ$497,38,0)/5</f>
        <v>#N/A</v>
      </c>
      <c r="U248" s="40"/>
      <c r="V248" s="41" t="e">
        <f>VLOOKUP($B248,'26년 1월 출석표'!$B$2:$BQ$497,52,0)/5</f>
        <v>#N/A</v>
      </c>
      <c r="W248" s="42"/>
      <c r="X248" s="41" t="e">
        <f>VLOOKUP($B248,'26년 1월 출석표'!$B$2:$BQ$503,66,0)/5</f>
        <v>#N/A</v>
      </c>
      <c r="Y248" s="43"/>
    </row>
    <row r="249" spans="1:25" ht="16.5">
      <c r="A249" s="29"/>
      <c r="B249" s="52"/>
      <c r="C249" s="52"/>
      <c r="D249" s="53"/>
      <c r="E249" s="54"/>
      <c r="F249" s="52"/>
      <c r="G249" s="55"/>
      <c r="H249" s="56"/>
      <c r="I249" s="34" t="e">
        <f>VLOOKUP(B249,'26년 1월 출석표'!$B$7:$D$500,3,0)</f>
        <v>#N/A</v>
      </c>
      <c r="J249" s="35" t="e">
        <f t="shared" ca="1" si="0"/>
        <v>#NAME?</v>
      </c>
      <c r="K249" s="36" t="str">
        <f t="shared" si="1"/>
        <v/>
      </c>
      <c r="L249" s="37" t="str">
        <f t="shared" si="2"/>
        <v/>
      </c>
      <c r="M249" s="30"/>
      <c r="N249" s="38" t="b">
        <v>0</v>
      </c>
      <c r="O249" s="38" t="b">
        <v>0</v>
      </c>
      <c r="P249" s="39" t="e">
        <f>VLOOKUP($B249,'26년 1월 출석표'!$B$2:$BQ$497,10,0)/1</f>
        <v>#N/A</v>
      </c>
      <c r="Q249" s="40"/>
      <c r="R249" s="41" t="e">
        <f>VLOOKUP($B249,'26년 1월 출석표'!$B$2:$BQ$497,24,0)/5</f>
        <v>#N/A</v>
      </c>
      <c r="S249" s="40"/>
      <c r="T249" s="41" t="e">
        <f>VLOOKUP($B249,'26년 1월 출석표'!$B$2:$BQ$497,38,0)/5</f>
        <v>#N/A</v>
      </c>
      <c r="U249" s="40"/>
      <c r="V249" s="41" t="e">
        <f>VLOOKUP($B249,'26년 1월 출석표'!$B$2:$BQ$497,52,0)/5</f>
        <v>#N/A</v>
      </c>
      <c r="W249" s="42"/>
      <c r="X249" s="41" t="e">
        <f>VLOOKUP($B249,'26년 1월 출석표'!$B$2:$BQ$503,66,0)/5</f>
        <v>#N/A</v>
      </c>
      <c r="Y249" s="43"/>
    </row>
    <row r="250" spans="1:25" ht="16.5">
      <c r="A250" s="29"/>
      <c r="B250" s="52"/>
      <c r="C250" s="52"/>
      <c r="D250" s="53"/>
      <c r="E250" s="54"/>
      <c r="F250" s="52"/>
      <c r="G250" s="55"/>
      <c r="H250" s="56"/>
      <c r="I250" s="34" t="e">
        <f>VLOOKUP(B250,'26년 1월 출석표'!$B$7:$D$500,3,0)</f>
        <v>#N/A</v>
      </c>
      <c r="J250" s="35" t="e">
        <f t="shared" ca="1" si="0"/>
        <v>#NAME?</v>
      </c>
      <c r="K250" s="36" t="str">
        <f t="shared" si="1"/>
        <v/>
      </c>
      <c r="L250" s="37" t="str">
        <f t="shared" si="2"/>
        <v/>
      </c>
      <c r="M250" s="30"/>
      <c r="N250" s="38" t="b">
        <v>0</v>
      </c>
      <c r="O250" s="38" t="b">
        <v>0</v>
      </c>
      <c r="P250" s="39" t="e">
        <f>VLOOKUP($B250,'26년 1월 출석표'!$B$2:$BQ$497,10,0)/1</f>
        <v>#N/A</v>
      </c>
      <c r="Q250" s="40"/>
      <c r="R250" s="41" t="e">
        <f>VLOOKUP($B250,'26년 1월 출석표'!$B$2:$BQ$497,24,0)/5</f>
        <v>#N/A</v>
      </c>
      <c r="S250" s="40"/>
      <c r="T250" s="41" t="e">
        <f>VLOOKUP($B250,'26년 1월 출석표'!$B$2:$BQ$497,38,0)/5</f>
        <v>#N/A</v>
      </c>
      <c r="U250" s="40"/>
      <c r="V250" s="41" t="e">
        <f>VLOOKUP($B250,'26년 1월 출석표'!$B$2:$BQ$497,52,0)/5</f>
        <v>#N/A</v>
      </c>
      <c r="W250" s="42"/>
      <c r="X250" s="41" t="e">
        <f>VLOOKUP($B250,'26년 1월 출석표'!$B$2:$BQ$503,66,0)/5</f>
        <v>#N/A</v>
      </c>
      <c r="Y250" s="43"/>
    </row>
    <row r="251" spans="1:25" ht="16.5">
      <c r="A251" s="29"/>
      <c r="B251" s="52"/>
      <c r="C251" s="52"/>
      <c r="D251" s="53"/>
      <c r="E251" s="54"/>
      <c r="F251" s="52"/>
      <c r="G251" s="55"/>
      <c r="H251" s="56"/>
      <c r="I251" s="34" t="e">
        <f>VLOOKUP(B251,'26년 1월 출석표'!$B$7:$D$500,3,0)</f>
        <v>#N/A</v>
      </c>
      <c r="J251" s="35" t="e">
        <f t="shared" ca="1" si="0"/>
        <v>#NAME?</v>
      </c>
      <c r="K251" s="36" t="str">
        <f t="shared" si="1"/>
        <v/>
      </c>
      <c r="L251" s="37" t="str">
        <f t="shared" si="2"/>
        <v/>
      </c>
      <c r="M251" s="30"/>
      <c r="N251" s="38" t="b">
        <v>0</v>
      </c>
      <c r="O251" s="38" t="b">
        <v>0</v>
      </c>
      <c r="P251" s="39" t="e">
        <f>VLOOKUP($B251,'26년 1월 출석표'!$B$2:$BQ$497,10,0)/1</f>
        <v>#N/A</v>
      </c>
      <c r="Q251" s="40"/>
      <c r="R251" s="41" t="e">
        <f>VLOOKUP($B251,'26년 1월 출석표'!$B$2:$BQ$497,24,0)/5</f>
        <v>#N/A</v>
      </c>
      <c r="S251" s="40"/>
      <c r="T251" s="41" t="e">
        <f>VLOOKUP($B251,'26년 1월 출석표'!$B$2:$BQ$497,38,0)/5</f>
        <v>#N/A</v>
      </c>
      <c r="U251" s="40"/>
      <c r="V251" s="41" t="e">
        <f>VLOOKUP($B251,'26년 1월 출석표'!$B$2:$BQ$497,52,0)/5</f>
        <v>#N/A</v>
      </c>
      <c r="W251" s="42"/>
      <c r="X251" s="41" t="e">
        <f>VLOOKUP($B251,'26년 1월 출석표'!$B$2:$BQ$503,66,0)/5</f>
        <v>#N/A</v>
      </c>
      <c r="Y251" s="43"/>
    </row>
    <row r="252" spans="1:25" ht="16.5">
      <c r="A252" s="29"/>
      <c r="B252" s="52"/>
      <c r="C252" s="52"/>
      <c r="D252" s="53"/>
      <c r="E252" s="54"/>
      <c r="F252" s="52"/>
      <c r="G252" s="55"/>
      <c r="H252" s="56"/>
      <c r="I252" s="34" t="e">
        <f>VLOOKUP(B252,'26년 1월 출석표'!$B$7:$D$500,3,0)</f>
        <v>#N/A</v>
      </c>
      <c r="J252" s="35" t="e">
        <f t="shared" ca="1" si="0"/>
        <v>#NAME?</v>
      </c>
      <c r="K252" s="36" t="str">
        <f t="shared" si="1"/>
        <v/>
      </c>
      <c r="L252" s="37" t="str">
        <f t="shared" si="2"/>
        <v/>
      </c>
      <c r="M252" s="30"/>
      <c r="N252" s="38" t="b">
        <v>0</v>
      </c>
      <c r="O252" s="38" t="b">
        <v>0</v>
      </c>
      <c r="P252" s="39" t="e">
        <f>VLOOKUP($B252,'26년 1월 출석표'!$B$2:$BQ$497,10,0)/1</f>
        <v>#N/A</v>
      </c>
      <c r="Q252" s="40"/>
      <c r="R252" s="41" t="e">
        <f>VLOOKUP($B252,'26년 1월 출석표'!$B$2:$BQ$497,24,0)/5</f>
        <v>#N/A</v>
      </c>
      <c r="S252" s="40"/>
      <c r="T252" s="41" t="e">
        <f>VLOOKUP($B252,'26년 1월 출석표'!$B$2:$BQ$497,38,0)/5</f>
        <v>#N/A</v>
      </c>
      <c r="U252" s="40"/>
      <c r="V252" s="41" t="e">
        <f>VLOOKUP($B252,'26년 1월 출석표'!$B$2:$BQ$497,52,0)/5</f>
        <v>#N/A</v>
      </c>
      <c r="W252" s="42"/>
      <c r="X252" s="41" t="e">
        <f>VLOOKUP($B252,'26년 1월 출석표'!$B$2:$BQ$503,66,0)/5</f>
        <v>#N/A</v>
      </c>
      <c r="Y252" s="43"/>
    </row>
    <row r="253" spans="1:25" ht="16.5">
      <c r="A253" s="29"/>
      <c r="B253" s="52"/>
      <c r="C253" s="52"/>
      <c r="D253" s="53"/>
      <c r="E253" s="54"/>
      <c r="F253" s="52"/>
      <c r="G253" s="55"/>
      <c r="H253" s="56"/>
      <c r="I253" s="34" t="e">
        <f>VLOOKUP(B253,'26년 1월 출석표'!$B$7:$D$500,3,0)</f>
        <v>#N/A</v>
      </c>
      <c r="J253" s="35" t="e">
        <f t="shared" ca="1" si="0"/>
        <v>#NAME?</v>
      </c>
      <c r="K253" s="36" t="str">
        <f t="shared" si="1"/>
        <v/>
      </c>
      <c r="L253" s="37" t="str">
        <f t="shared" si="2"/>
        <v/>
      </c>
      <c r="M253" s="30"/>
      <c r="N253" s="38" t="b">
        <v>0</v>
      </c>
      <c r="O253" s="38" t="b">
        <v>0</v>
      </c>
      <c r="P253" s="39" t="e">
        <f>VLOOKUP($B253,'26년 1월 출석표'!$B$2:$BQ$497,10,0)/1</f>
        <v>#N/A</v>
      </c>
      <c r="Q253" s="40"/>
      <c r="R253" s="41" t="e">
        <f>VLOOKUP($B253,'26년 1월 출석표'!$B$2:$BQ$497,24,0)/5</f>
        <v>#N/A</v>
      </c>
      <c r="S253" s="40"/>
      <c r="T253" s="41" t="e">
        <f>VLOOKUP($B253,'26년 1월 출석표'!$B$2:$BQ$497,38,0)/5</f>
        <v>#N/A</v>
      </c>
      <c r="U253" s="40"/>
      <c r="V253" s="41" t="e">
        <f>VLOOKUP($B253,'26년 1월 출석표'!$B$2:$BQ$497,52,0)/5</f>
        <v>#N/A</v>
      </c>
      <c r="W253" s="42"/>
      <c r="X253" s="41" t="e">
        <f>VLOOKUP($B253,'26년 1월 출석표'!$B$2:$BQ$503,66,0)/5</f>
        <v>#N/A</v>
      </c>
      <c r="Y253" s="43"/>
    </row>
    <row r="254" spans="1:25" ht="16.5">
      <c r="A254" s="29"/>
      <c r="B254" s="52"/>
      <c r="C254" s="52"/>
      <c r="D254" s="53"/>
      <c r="E254" s="54"/>
      <c r="F254" s="52"/>
      <c r="G254" s="55"/>
      <c r="H254" s="56"/>
      <c r="I254" s="34" t="e">
        <f>VLOOKUP(B254,'26년 1월 출석표'!$B$7:$D$500,3,0)</f>
        <v>#N/A</v>
      </c>
      <c r="J254" s="35" t="e">
        <f t="shared" ca="1" si="0"/>
        <v>#NAME?</v>
      </c>
      <c r="K254" s="36" t="str">
        <f t="shared" si="1"/>
        <v/>
      </c>
      <c r="L254" s="37" t="str">
        <f t="shared" si="2"/>
        <v/>
      </c>
      <c r="M254" s="30"/>
      <c r="N254" s="38" t="b">
        <v>0</v>
      </c>
      <c r="O254" s="38" t="b">
        <v>0</v>
      </c>
      <c r="P254" s="39" t="e">
        <f>VLOOKUP($B254,'26년 1월 출석표'!$B$2:$BQ$497,10,0)/1</f>
        <v>#N/A</v>
      </c>
      <c r="Q254" s="40"/>
      <c r="R254" s="41" t="e">
        <f>VLOOKUP($B254,'26년 1월 출석표'!$B$2:$BQ$497,24,0)/5</f>
        <v>#N/A</v>
      </c>
      <c r="S254" s="40"/>
      <c r="T254" s="41" t="e">
        <f>VLOOKUP($B254,'26년 1월 출석표'!$B$2:$BQ$497,38,0)/5</f>
        <v>#N/A</v>
      </c>
      <c r="U254" s="40"/>
      <c r="V254" s="41" t="e">
        <f>VLOOKUP($B254,'26년 1월 출석표'!$B$2:$BQ$497,52,0)/5</f>
        <v>#N/A</v>
      </c>
      <c r="W254" s="42"/>
      <c r="X254" s="41" t="e">
        <f>VLOOKUP($B254,'26년 1월 출석표'!$B$2:$BQ$503,66,0)/5</f>
        <v>#N/A</v>
      </c>
      <c r="Y254" s="43"/>
    </row>
    <row r="255" spans="1:25" ht="16.5">
      <c r="A255" s="29"/>
      <c r="B255" s="52"/>
      <c r="C255" s="52"/>
      <c r="D255" s="53"/>
      <c r="E255" s="54"/>
      <c r="F255" s="52"/>
      <c r="G255" s="55"/>
      <c r="H255" s="56"/>
      <c r="I255" s="34" t="e">
        <f>VLOOKUP(B255,'26년 1월 출석표'!$B$7:$D$500,3,0)</f>
        <v>#N/A</v>
      </c>
      <c r="J255" s="35" t="e">
        <f t="shared" ca="1" si="0"/>
        <v>#NAME?</v>
      </c>
      <c r="K255" s="36" t="str">
        <f t="shared" si="1"/>
        <v/>
      </c>
      <c r="L255" s="37" t="str">
        <f t="shared" si="2"/>
        <v/>
      </c>
      <c r="M255" s="30"/>
      <c r="N255" s="38" t="b">
        <v>0</v>
      </c>
      <c r="O255" s="38" t="b">
        <v>0</v>
      </c>
      <c r="P255" s="39" t="e">
        <f>VLOOKUP($B255,'26년 1월 출석표'!$B$2:$BQ$497,10,0)/1</f>
        <v>#N/A</v>
      </c>
      <c r="Q255" s="40"/>
      <c r="R255" s="41" t="e">
        <f>VLOOKUP($B255,'26년 1월 출석표'!$B$2:$BQ$497,24,0)/5</f>
        <v>#N/A</v>
      </c>
      <c r="S255" s="40"/>
      <c r="T255" s="41" t="e">
        <f>VLOOKUP($B255,'26년 1월 출석표'!$B$2:$BQ$497,38,0)/5</f>
        <v>#N/A</v>
      </c>
      <c r="U255" s="40"/>
      <c r="V255" s="41" t="e">
        <f>VLOOKUP($B255,'26년 1월 출석표'!$B$2:$BQ$497,52,0)/5</f>
        <v>#N/A</v>
      </c>
      <c r="W255" s="42"/>
      <c r="X255" s="41" t="e">
        <f>VLOOKUP($B255,'26년 1월 출석표'!$B$2:$BQ$503,66,0)/5</f>
        <v>#N/A</v>
      </c>
      <c r="Y255" s="43"/>
    </row>
    <row r="256" spans="1:25" ht="16.5">
      <c r="A256" s="29"/>
      <c r="B256" s="52"/>
      <c r="C256" s="52"/>
      <c r="D256" s="53"/>
      <c r="E256" s="54"/>
      <c r="F256" s="52"/>
      <c r="G256" s="55"/>
      <c r="H256" s="56"/>
      <c r="I256" s="34" t="e">
        <f>VLOOKUP(B256,'26년 1월 출석표'!$B$7:$D$500,3,0)</f>
        <v>#N/A</v>
      </c>
      <c r="J256" s="35" t="e">
        <f t="shared" ca="1" si="0"/>
        <v>#NAME?</v>
      </c>
      <c r="K256" s="36" t="str">
        <f t="shared" si="1"/>
        <v/>
      </c>
      <c r="L256" s="37" t="str">
        <f t="shared" si="2"/>
        <v/>
      </c>
      <c r="M256" s="30"/>
      <c r="N256" s="38" t="b">
        <v>0</v>
      </c>
      <c r="O256" s="38" t="b">
        <v>0</v>
      </c>
      <c r="P256" s="39" t="e">
        <f>VLOOKUP($B256,'26년 1월 출석표'!$B$2:$BQ$497,10,0)/1</f>
        <v>#N/A</v>
      </c>
      <c r="Q256" s="40"/>
      <c r="R256" s="41" t="e">
        <f>VLOOKUP($B256,'26년 1월 출석표'!$B$2:$BQ$497,24,0)/5</f>
        <v>#N/A</v>
      </c>
      <c r="S256" s="40"/>
      <c r="T256" s="41" t="e">
        <f>VLOOKUP($B256,'26년 1월 출석표'!$B$2:$BQ$497,38,0)/5</f>
        <v>#N/A</v>
      </c>
      <c r="U256" s="40"/>
      <c r="V256" s="41" t="e">
        <f>VLOOKUP($B256,'26년 1월 출석표'!$B$2:$BQ$497,52,0)/5</f>
        <v>#N/A</v>
      </c>
      <c r="W256" s="42"/>
      <c r="X256" s="41" t="e">
        <f>VLOOKUP($B256,'26년 1월 출석표'!$B$2:$BQ$503,66,0)/5</f>
        <v>#N/A</v>
      </c>
      <c r="Y256" s="43"/>
    </row>
    <row r="257" spans="1:25" ht="16.5">
      <c r="A257" s="29"/>
      <c r="B257" s="52"/>
      <c r="C257" s="52"/>
      <c r="D257" s="53"/>
      <c r="E257" s="54"/>
      <c r="F257" s="52"/>
      <c r="G257" s="55"/>
      <c r="H257" s="56"/>
      <c r="I257" s="34" t="e">
        <f>VLOOKUP(B257,'26년 1월 출석표'!$B$7:$D$500,3,0)</f>
        <v>#N/A</v>
      </c>
      <c r="J257" s="35" t="e">
        <f t="shared" ca="1" si="0"/>
        <v>#NAME?</v>
      </c>
      <c r="K257" s="36" t="str">
        <f t="shared" si="1"/>
        <v/>
      </c>
      <c r="L257" s="37" t="str">
        <f t="shared" si="2"/>
        <v/>
      </c>
      <c r="M257" s="30"/>
      <c r="N257" s="38" t="b">
        <v>0</v>
      </c>
      <c r="O257" s="38" t="b">
        <v>0</v>
      </c>
      <c r="P257" s="39" t="e">
        <f>VLOOKUP($B257,'26년 1월 출석표'!$B$2:$BQ$497,10,0)/1</f>
        <v>#N/A</v>
      </c>
      <c r="Q257" s="40"/>
      <c r="R257" s="41" t="e">
        <f>VLOOKUP($B257,'26년 1월 출석표'!$B$2:$BQ$497,24,0)/5</f>
        <v>#N/A</v>
      </c>
      <c r="S257" s="40"/>
      <c r="T257" s="41" t="e">
        <f>VLOOKUP($B257,'26년 1월 출석표'!$B$2:$BQ$497,38,0)/5</f>
        <v>#N/A</v>
      </c>
      <c r="U257" s="40"/>
      <c r="V257" s="41" t="e">
        <f>VLOOKUP($B257,'26년 1월 출석표'!$B$2:$BQ$497,52,0)/5</f>
        <v>#N/A</v>
      </c>
      <c r="W257" s="42"/>
      <c r="X257" s="41" t="e">
        <f>VLOOKUP($B257,'26년 1월 출석표'!$B$2:$BQ$503,66,0)/5</f>
        <v>#N/A</v>
      </c>
      <c r="Y257" s="43"/>
    </row>
    <row r="258" spans="1:25" ht="16.5">
      <c r="A258" s="29"/>
      <c r="B258" s="52"/>
      <c r="C258" s="52"/>
      <c r="D258" s="53"/>
      <c r="E258" s="54"/>
      <c r="F258" s="52"/>
      <c r="G258" s="55"/>
      <c r="H258" s="56"/>
      <c r="I258" s="34" t="e">
        <f>VLOOKUP(B258,'26년 1월 출석표'!$B$7:$D$500,3,0)</f>
        <v>#N/A</v>
      </c>
      <c r="J258" s="35" t="e">
        <f t="shared" ca="1" si="0"/>
        <v>#NAME?</v>
      </c>
      <c r="K258" s="36" t="str">
        <f t="shared" si="1"/>
        <v/>
      </c>
      <c r="L258" s="37" t="str">
        <f t="shared" si="2"/>
        <v/>
      </c>
      <c r="M258" s="30"/>
      <c r="N258" s="38" t="b">
        <v>0</v>
      </c>
      <c r="O258" s="38" t="b">
        <v>0</v>
      </c>
      <c r="P258" s="39" t="e">
        <f>VLOOKUP($B258,'26년 1월 출석표'!$B$2:$BQ$497,10,0)/1</f>
        <v>#N/A</v>
      </c>
      <c r="Q258" s="40"/>
      <c r="R258" s="41" t="e">
        <f>VLOOKUP($B258,'26년 1월 출석표'!$B$2:$BQ$497,24,0)/5</f>
        <v>#N/A</v>
      </c>
      <c r="S258" s="40"/>
      <c r="T258" s="41" t="e">
        <f>VLOOKUP($B258,'26년 1월 출석표'!$B$2:$BQ$497,38,0)/5</f>
        <v>#N/A</v>
      </c>
      <c r="U258" s="40"/>
      <c r="V258" s="41" t="e">
        <f>VLOOKUP($B258,'26년 1월 출석표'!$B$2:$BQ$497,52,0)/5</f>
        <v>#N/A</v>
      </c>
      <c r="W258" s="42"/>
      <c r="X258" s="41" t="e">
        <f>VLOOKUP($B258,'26년 1월 출석표'!$B$2:$BQ$503,66,0)/5</f>
        <v>#N/A</v>
      </c>
      <c r="Y258" s="43"/>
    </row>
    <row r="259" spans="1:25" ht="16.5">
      <c r="A259" s="29"/>
      <c r="B259" s="52"/>
      <c r="C259" s="52"/>
      <c r="D259" s="53"/>
      <c r="E259" s="54"/>
      <c r="F259" s="52"/>
      <c r="G259" s="55"/>
      <c r="H259" s="56"/>
      <c r="I259" s="34" t="e">
        <f>VLOOKUP(B259,'26년 1월 출석표'!$B$7:$D$500,3,0)</f>
        <v>#N/A</v>
      </c>
      <c r="J259" s="35" t="e">
        <f t="shared" ca="1" si="0"/>
        <v>#NAME?</v>
      </c>
      <c r="K259" s="36" t="str">
        <f t="shared" si="1"/>
        <v/>
      </c>
      <c r="L259" s="37" t="str">
        <f t="shared" si="2"/>
        <v/>
      </c>
      <c r="M259" s="30"/>
      <c r="N259" s="38" t="b">
        <v>0</v>
      </c>
      <c r="O259" s="38" t="b">
        <v>0</v>
      </c>
      <c r="P259" s="39" t="e">
        <f>VLOOKUP($B259,'26년 1월 출석표'!$B$2:$BQ$497,10,0)/1</f>
        <v>#N/A</v>
      </c>
      <c r="Q259" s="40"/>
      <c r="R259" s="41" t="e">
        <f>VLOOKUP($B259,'26년 1월 출석표'!$B$2:$BQ$497,24,0)/5</f>
        <v>#N/A</v>
      </c>
      <c r="S259" s="40"/>
      <c r="T259" s="41" t="e">
        <f>VLOOKUP($B259,'26년 1월 출석표'!$B$2:$BQ$497,38,0)/5</f>
        <v>#N/A</v>
      </c>
      <c r="U259" s="40"/>
      <c r="V259" s="41" t="e">
        <f>VLOOKUP($B259,'26년 1월 출석표'!$B$2:$BQ$497,52,0)/5</f>
        <v>#N/A</v>
      </c>
      <c r="W259" s="42"/>
      <c r="X259" s="41" t="e">
        <f>VLOOKUP($B259,'26년 1월 출석표'!$B$2:$BQ$503,66,0)/5</f>
        <v>#N/A</v>
      </c>
      <c r="Y259" s="43"/>
    </row>
    <row r="260" spans="1:25" ht="16.5">
      <c r="A260" s="29"/>
      <c r="B260" s="52"/>
      <c r="C260" s="52"/>
      <c r="D260" s="53"/>
      <c r="E260" s="54"/>
      <c r="F260" s="52"/>
      <c r="G260" s="55"/>
      <c r="H260" s="56"/>
      <c r="I260" s="34" t="e">
        <f>VLOOKUP(B260,'26년 1월 출석표'!$B$7:$D$500,3,0)</f>
        <v>#N/A</v>
      </c>
      <c r="J260" s="35" t="e">
        <f t="shared" ca="1" si="0"/>
        <v>#NAME?</v>
      </c>
      <c r="K260" s="36" t="str">
        <f t="shared" si="1"/>
        <v/>
      </c>
      <c r="L260" s="37" t="str">
        <f t="shared" si="2"/>
        <v/>
      </c>
      <c r="M260" s="30"/>
      <c r="N260" s="38" t="b">
        <v>0</v>
      </c>
      <c r="O260" s="38" t="b">
        <v>0</v>
      </c>
      <c r="P260" s="39" t="e">
        <f>VLOOKUP($B260,'26년 1월 출석표'!$B$2:$BQ$497,10,0)/1</f>
        <v>#N/A</v>
      </c>
      <c r="Q260" s="40"/>
      <c r="R260" s="41" t="e">
        <f>VLOOKUP($B260,'26년 1월 출석표'!$B$2:$BQ$497,24,0)/5</f>
        <v>#N/A</v>
      </c>
      <c r="S260" s="40"/>
      <c r="T260" s="41" t="e">
        <f>VLOOKUP($B260,'26년 1월 출석표'!$B$2:$BQ$497,38,0)/5</f>
        <v>#N/A</v>
      </c>
      <c r="U260" s="40"/>
      <c r="V260" s="41" t="e">
        <f>VLOOKUP($B260,'26년 1월 출석표'!$B$2:$BQ$497,52,0)/5</f>
        <v>#N/A</v>
      </c>
      <c r="W260" s="42"/>
      <c r="X260" s="41" t="e">
        <f>VLOOKUP($B260,'26년 1월 출석표'!$B$2:$BQ$503,66,0)/5</f>
        <v>#N/A</v>
      </c>
      <c r="Y260" s="43"/>
    </row>
    <row r="261" spans="1:25" ht="16.5">
      <c r="A261" s="29"/>
      <c r="B261" s="52"/>
      <c r="C261" s="52"/>
      <c r="D261" s="53"/>
      <c r="E261" s="54"/>
      <c r="F261" s="52"/>
      <c r="G261" s="55"/>
      <c r="H261" s="56"/>
      <c r="I261" s="34" t="e">
        <f>VLOOKUP(B261,'26년 1월 출석표'!$B$7:$D$500,3,0)</f>
        <v>#N/A</v>
      </c>
      <c r="J261" s="35" t="e">
        <f t="shared" ca="1" si="0"/>
        <v>#NAME?</v>
      </c>
      <c r="K261" s="36" t="str">
        <f t="shared" si="1"/>
        <v/>
      </c>
      <c r="L261" s="37" t="str">
        <f t="shared" si="2"/>
        <v/>
      </c>
      <c r="M261" s="30"/>
      <c r="N261" s="38" t="b">
        <v>0</v>
      </c>
      <c r="O261" s="38" t="b">
        <v>0</v>
      </c>
      <c r="P261" s="39" t="e">
        <f>VLOOKUP($B261,'26년 1월 출석표'!$B$2:$BQ$497,10,0)/1</f>
        <v>#N/A</v>
      </c>
      <c r="Q261" s="40"/>
      <c r="R261" s="41" t="e">
        <f>VLOOKUP($B261,'26년 1월 출석표'!$B$2:$BQ$497,24,0)/5</f>
        <v>#N/A</v>
      </c>
      <c r="S261" s="40"/>
      <c r="T261" s="41" t="e">
        <f>VLOOKUP($B261,'26년 1월 출석표'!$B$2:$BQ$497,38,0)/5</f>
        <v>#N/A</v>
      </c>
      <c r="U261" s="40"/>
      <c r="V261" s="41" t="e">
        <f>VLOOKUP($B261,'26년 1월 출석표'!$B$2:$BQ$497,52,0)/5</f>
        <v>#N/A</v>
      </c>
      <c r="W261" s="42"/>
      <c r="X261" s="41" t="e">
        <f>VLOOKUP($B261,'26년 1월 출석표'!$B$2:$BQ$503,66,0)/5</f>
        <v>#N/A</v>
      </c>
      <c r="Y261" s="43"/>
    </row>
    <row r="262" spans="1:25" ht="16.5">
      <c r="A262" s="29"/>
      <c r="B262" s="52"/>
      <c r="C262" s="52"/>
      <c r="D262" s="53"/>
      <c r="E262" s="54"/>
      <c r="F262" s="52"/>
      <c r="G262" s="55"/>
      <c r="H262" s="56"/>
      <c r="I262" s="34" t="e">
        <f>VLOOKUP(B262,'26년 1월 출석표'!$B$7:$D$500,3,0)</f>
        <v>#N/A</v>
      </c>
      <c r="J262" s="35" t="e">
        <f t="shared" ca="1" si="0"/>
        <v>#NAME?</v>
      </c>
      <c r="K262" s="36" t="str">
        <f t="shared" si="1"/>
        <v/>
      </c>
      <c r="L262" s="37" t="str">
        <f t="shared" si="2"/>
        <v/>
      </c>
      <c r="M262" s="30"/>
      <c r="N262" s="38" t="b">
        <v>0</v>
      </c>
      <c r="O262" s="38" t="b">
        <v>0</v>
      </c>
      <c r="P262" s="39" t="e">
        <f>VLOOKUP($B262,'26년 1월 출석표'!$B$2:$BQ$497,10,0)/1</f>
        <v>#N/A</v>
      </c>
      <c r="Q262" s="40"/>
      <c r="R262" s="41" t="e">
        <f>VLOOKUP($B262,'26년 1월 출석표'!$B$2:$BQ$497,24,0)/5</f>
        <v>#N/A</v>
      </c>
      <c r="S262" s="40"/>
      <c r="T262" s="41" t="e">
        <f>VLOOKUP($B262,'26년 1월 출석표'!$B$2:$BQ$497,38,0)/5</f>
        <v>#N/A</v>
      </c>
      <c r="U262" s="40"/>
      <c r="V262" s="41" t="e">
        <f>VLOOKUP($B262,'26년 1월 출석표'!$B$2:$BQ$497,52,0)/5</f>
        <v>#N/A</v>
      </c>
      <c r="W262" s="42"/>
      <c r="X262" s="41" t="e">
        <f>VLOOKUP($B262,'26년 1월 출석표'!$B$2:$BQ$503,66,0)/5</f>
        <v>#N/A</v>
      </c>
      <c r="Y262" s="43"/>
    </row>
    <row r="263" spans="1:25" ht="16.5">
      <c r="A263" s="29"/>
      <c r="B263" s="52"/>
      <c r="C263" s="52"/>
      <c r="D263" s="53"/>
      <c r="E263" s="54"/>
      <c r="F263" s="52"/>
      <c r="G263" s="55"/>
      <c r="H263" s="56"/>
      <c r="I263" s="34" t="e">
        <f>VLOOKUP(B263,'26년 1월 출석표'!$B$7:$D$500,3,0)</f>
        <v>#N/A</v>
      </c>
      <c r="J263" s="35" t="e">
        <f t="shared" ca="1" si="0"/>
        <v>#NAME?</v>
      </c>
      <c r="K263" s="36" t="str">
        <f t="shared" si="1"/>
        <v/>
      </c>
      <c r="L263" s="37" t="str">
        <f t="shared" si="2"/>
        <v/>
      </c>
      <c r="M263" s="30"/>
      <c r="N263" s="38" t="b">
        <v>0</v>
      </c>
      <c r="O263" s="38" t="b">
        <v>0</v>
      </c>
      <c r="P263" s="39" t="e">
        <f>VLOOKUP($B263,'26년 1월 출석표'!$B$2:$BQ$497,10,0)/1</f>
        <v>#N/A</v>
      </c>
      <c r="Q263" s="40"/>
      <c r="R263" s="41" t="e">
        <f>VLOOKUP($B263,'26년 1월 출석표'!$B$2:$BQ$497,24,0)/5</f>
        <v>#N/A</v>
      </c>
      <c r="S263" s="40"/>
      <c r="T263" s="41" t="e">
        <f>VLOOKUP($B263,'26년 1월 출석표'!$B$2:$BQ$497,38,0)/5</f>
        <v>#N/A</v>
      </c>
      <c r="U263" s="40"/>
      <c r="V263" s="41" t="e">
        <f>VLOOKUP($B263,'26년 1월 출석표'!$B$2:$BQ$497,52,0)/5</f>
        <v>#N/A</v>
      </c>
      <c r="W263" s="42"/>
      <c r="X263" s="41" t="e">
        <f>VLOOKUP($B263,'26년 1월 출석표'!$B$2:$BQ$503,66,0)/5</f>
        <v>#N/A</v>
      </c>
      <c r="Y263" s="43"/>
    </row>
    <row r="264" spans="1:25" ht="16.5">
      <c r="A264" s="29"/>
      <c r="B264" s="52"/>
      <c r="C264" s="52"/>
      <c r="D264" s="53"/>
      <c r="E264" s="54"/>
      <c r="F264" s="52"/>
      <c r="G264" s="55"/>
      <c r="H264" s="56"/>
      <c r="I264" s="34" t="e">
        <f>VLOOKUP(B264,'26년 1월 출석표'!$B$7:$D$500,3,0)</f>
        <v>#N/A</v>
      </c>
      <c r="J264" s="35" t="e">
        <f t="shared" ca="1" si="0"/>
        <v>#NAME?</v>
      </c>
      <c r="K264" s="36" t="str">
        <f t="shared" si="1"/>
        <v/>
      </c>
      <c r="L264" s="37" t="str">
        <f t="shared" si="2"/>
        <v/>
      </c>
      <c r="M264" s="30"/>
      <c r="N264" s="38" t="b">
        <v>0</v>
      </c>
      <c r="O264" s="38" t="b">
        <v>0</v>
      </c>
      <c r="P264" s="39" t="e">
        <f>VLOOKUP($B264,'26년 1월 출석표'!$B$2:$BQ$497,10,0)/1</f>
        <v>#N/A</v>
      </c>
      <c r="Q264" s="40"/>
      <c r="R264" s="41" t="e">
        <f>VLOOKUP($B264,'26년 1월 출석표'!$B$2:$BQ$497,24,0)/5</f>
        <v>#N/A</v>
      </c>
      <c r="S264" s="40"/>
      <c r="T264" s="41" t="e">
        <f>VLOOKUP($B264,'26년 1월 출석표'!$B$2:$BQ$497,38,0)/5</f>
        <v>#N/A</v>
      </c>
      <c r="U264" s="40"/>
      <c r="V264" s="41" t="e">
        <f>VLOOKUP($B264,'26년 1월 출석표'!$B$2:$BQ$497,52,0)/5</f>
        <v>#N/A</v>
      </c>
      <c r="W264" s="42"/>
      <c r="X264" s="41" t="e">
        <f>VLOOKUP($B264,'26년 1월 출석표'!$B$2:$BQ$503,66,0)/5</f>
        <v>#N/A</v>
      </c>
      <c r="Y264" s="43"/>
    </row>
    <row r="265" spans="1:25" ht="16.5">
      <c r="A265" s="29"/>
      <c r="B265" s="52"/>
      <c r="C265" s="52"/>
      <c r="D265" s="53"/>
      <c r="E265" s="54"/>
      <c r="F265" s="52"/>
      <c r="G265" s="55"/>
      <c r="H265" s="56"/>
      <c r="I265" s="34" t="e">
        <f>VLOOKUP(B265,'26년 1월 출석표'!$B$7:$D$500,3,0)</f>
        <v>#N/A</v>
      </c>
      <c r="J265" s="35" t="e">
        <f t="shared" ca="1" si="0"/>
        <v>#NAME?</v>
      </c>
      <c r="K265" s="36" t="str">
        <f t="shared" si="1"/>
        <v/>
      </c>
      <c r="L265" s="37" t="str">
        <f t="shared" si="2"/>
        <v/>
      </c>
      <c r="M265" s="30"/>
      <c r="N265" s="38" t="b">
        <v>0</v>
      </c>
      <c r="O265" s="38" t="b">
        <v>0</v>
      </c>
      <c r="P265" s="39" t="e">
        <f>VLOOKUP($B265,'26년 1월 출석표'!$B$2:$BQ$497,10,0)/1</f>
        <v>#N/A</v>
      </c>
      <c r="Q265" s="40"/>
      <c r="R265" s="41" t="e">
        <f>VLOOKUP($B265,'26년 1월 출석표'!$B$2:$BQ$497,24,0)/5</f>
        <v>#N/A</v>
      </c>
      <c r="S265" s="40"/>
      <c r="T265" s="41" t="e">
        <f>VLOOKUP($B265,'26년 1월 출석표'!$B$2:$BQ$497,38,0)/5</f>
        <v>#N/A</v>
      </c>
      <c r="U265" s="40"/>
      <c r="V265" s="41" t="e">
        <f>VLOOKUP($B265,'26년 1월 출석표'!$B$2:$BQ$497,52,0)/5</f>
        <v>#N/A</v>
      </c>
      <c r="W265" s="42"/>
      <c r="X265" s="41" t="e">
        <f>VLOOKUP($B265,'26년 1월 출석표'!$B$2:$BQ$503,66,0)/5</f>
        <v>#N/A</v>
      </c>
      <c r="Y265" s="43"/>
    </row>
    <row r="266" spans="1:25" ht="16.5">
      <c r="A266" s="29"/>
      <c r="B266" s="52"/>
      <c r="C266" s="52"/>
      <c r="D266" s="53"/>
      <c r="E266" s="54"/>
      <c r="F266" s="52"/>
      <c r="G266" s="55"/>
      <c r="H266" s="56"/>
      <c r="I266" s="34" t="e">
        <f>VLOOKUP(B266,'26년 1월 출석표'!$B$7:$D$500,3,0)</f>
        <v>#N/A</v>
      </c>
      <c r="J266" s="35" t="e">
        <f t="shared" ca="1" si="0"/>
        <v>#NAME?</v>
      </c>
      <c r="K266" s="36" t="str">
        <f t="shared" si="1"/>
        <v/>
      </c>
      <c r="L266" s="37" t="str">
        <f t="shared" si="2"/>
        <v/>
      </c>
      <c r="M266" s="30"/>
      <c r="N266" s="38" t="b">
        <v>0</v>
      </c>
      <c r="O266" s="38" t="b">
        <v>0</v>
      </c>
      <c r="P266" s="39" t="e">
        <f>VLOOKUP($B266,'26년 1월 출석표'!$B$2:$BQ$497,10,0)/1</f>
        <v>#N/A</v>
      </c>
      <c r="Q266" s="40"/>
      <c r="R266" s="41" t="e">
        <f>VLOOKUP($B266,'26년 1월 출석표'!$B$2:$BQ$497,24,0)/5</f>
        <v>#N/A</v>
      </c>
      <c r="S266" s="40"/>
      <c r="T266" s="41" t="e">
        <f>VLOOKUP($B266,'26년 1월 출석표'!$B$2:$BQ$497,38,0)/5</f>
        <v>#N/A</v>
      </c>
      <c r="U266" s="40"/>
      <c r="V266" s="41" t="e">
        <f>VLOOKUP($B266,'26년 1월 출석표'!$B$2:$BQ$497,52,0)/5</f>
        <v>#N/A</v>
      </c>
      <c r="W266" s="42"/>
      <c r="X266" s="41" t="e">
        <f>VLOOKUP($B266,'26년 1월 출석표'!$B$2:$BQ$503,66,0)/5</f>
        <v>#N/A</v>
      </c>
      <c r="Y266" s="43"/>
    </row>
    <row r="267" spans="1:25" ht="16.5">
      <c r="A267" s="29"/>
      <c r="B267" s="52"/>
      <c r="C267" s="52"/>
      <c r="D267" s="53"/>
      <c r="E267" s="54"/>
      <c r="F267" s="52"/>
      <c r="G267" s="55"/>
      <c r="H267" s="56"/>
      <c r="I267" s="34" t="e">
        <f>VLOOKUP(B267,'26년 1월 출석표'!$B$7:$D$500,3,0)</f>
        <v>#N/A</v>
      </c>
      <c r="J267" s="35" t="e">
        <f t="shared" ca="1" si="0"/>
        <v>#NAME?</v>
      </c>
      <c r="K267" s="36" t="str">
        <f t="shared" si="1"/>
        <v/>
      </c>
      <c r="L267" s="37" t="str">
        <f t="shared" si="2"/>
        <v/>
      </c>
      <c r="M267" s="30"/>
      <c r="N267" s="38" t="b">
        <v>0</v>
      </c>
      <c r="O267" s="38" t="b">
        <v>0</v>
      </c>
      <c r="P267" s="39" t="e">
        <f>VLOOKUP($B267,'26년 1월 출석표'!$B$2:$BQ$497,10,0)/1</f>
        <v>#N/A</v>
      </c>
      <c r="Q267" s="40"/>
      <c r="R267" s="41" t="e">
        <f>VLOOKUP($B267,'26년 1월 출석표'!$B$2:$BQ$497,24,0)/5</f>
        <v>#N/A</v>
      </c>
      <c r="S267" s="40"/>
      <c r="T267" s="41" t="e">
        <f>VLOOKUP($B267,'26년 1월 출석표'!$B$2:$BQ$497,38,0)/5</f>
        <v>#N/A</v>
      </c>
      <c r="U267" s="40"/>
      <c r="V267" s="41" t="e">
        <f>VLOOKUP($B267,'26년 1월 출석표'!$B$2:$BQ$497,52,0)/5</f>
        <v>#N/A</v>
      </c>
      <c r="W267" s="42"/>
      <c r="X267" s="41" t="e">
        <f>VLOOKUP($B267,'26년 1월 출석표'!$B$2:$BQ$503,66,0)/5</f>
        <v>#N/A</v>
      </c>
      <c r="Y267" s="43"/>
    </row>
    <row r="268" spans="1:25" ht="16.5">
      <c r="A268" s="29"/>
      <c r="B268" s="52"/>
      <c r="C268" s="52"/>
      <c r="D268" s="53"/>
      <c r="E268" s="54"/>
      <c r="F268" s="52"/>
      <c r="G268" s="55"/>
      <c r="H268" s="56"/>
      <c r="I268" s="34" t="e">
        <f>VLOOKUP(B268,'26년 1월 출석표'!$B$7:$D$500,3,0)</f>
        <v>#N/A</v>
      </c>
      <c r="J268" s="35" t="e">
        <f t="shared" ca="1" si="0"/>
        <v>#NAME?</v>
      </c>
      <c r="K268" s="36" t="str">
        <f t="shared" si="1"/>
        <v/>
      </c>
      <c r="L268" s="37" t="str">
        <f t="shared" si="2"/>
        <v/>
      </c>
      <c r="M268" s="30"/>
      <c r="N268" s="38" t="b">
        <v>0</v>
      </c>
      <c r="O268" s="38" t="b">
        <v>0</v>
      </c>
      <c r="P268" s="39" t="e">
        <f>VLOOKUP($B268,'26년 1월 출석표'!$B$2:$BQ$497,10,0)/1</f>
        <v>#N/A</v>
      </c>
      <c r="Q268" s="40"/>
      <c r="R268" s="41" t="e">
        <f>VLOOKUP($B268,'26년 1월 출석표'!$B$2:$BQ$497,24,0)/5</f>
        <v>#N/A</v>
      </c>
      <c r="S268" s="40"/>
      <c r="T268" s="41" t="e">
        <f>VLOOKUP($B268,'26년 1월 출석표'!$B$2:$BQ$497,38,0)/5</f>
        <v>#N/A</v>
      </c>
      <c r="U268" s="40"/>
      <c r="V268" s="41" t="e">
        <f>VLOOKUP($B268,'26년 1월 출석표'!$B$2:$BQ$497,52,0)/5</f>
        <v>#N/A</v>
      </c>
      <c r="W268" s="42"/>
      <c r="X268" s="41" t="e">
        <f>VLOOKUP($B268,'26년 1월 출석표'!$B$2:$BQ$503,66,0)/5</f>
        <v>#N/A</v>
      </c>
      <c r="Y268" s="43"/>
    </row>
    <row r="269" spans="1:25" ht="16.5">
      <c r="A269" s="29"/>
      <c r="B269" s="52"/>
      <c r="C269" s="52"/>
      <c r="D269" s="53"/>
      <c r="E269" s="54"/>
      <c r="F269" s="52"/>
      <c r="G269" s="55"/>
      <c r="H269" s="56"/>
      <c r="I269" s="34" t="e">
        <f>VLOOKUP(B269,'26년 1월 출석표'!$B$7:$D$500,3,0)</f>
        <v>#N/A</v>
      </c>
      <c r="J269" s="35" t="e">
        <f t="shared" ca="1" si="0"/>
        <v>#NAME?</v>
      </c>
      <c r="K269" s="36" t="str">
        <f t="shared" si="1"/>
        <v/>
      </c>
      <c r="L269" s="37" t="str">
        <f t="shared" si="2"/>
        <v/>
      </c>
      <c r="M269" s="30"/>
      <c r="N269" s="38" t="b">
        <v>0</v>
      </c>
      <c r="O269" s="38" t="b">
        <v>0</v>
      </c>
      <c r="P269" s="39" t="e">
        <f>VLOOKUP($B269,'26년 1월 출석표'!$B$2:$BQ$497,10,0)/1</f>
        <v>#N/A</v>
      </c>
      <c r="Q269" s="40"/>
      <c r="R269" s="41" t="e">
        <f>VLOOKUP($B269,'26년 1월 출석표'!$B$2:$BQ$497,24,0)/5</f>
        <v>#N/A</v>
      </c>
      <c r="S269" s="40"/>
      <c r="T269" s="41" t="e">
        <f>VLOOKUP($B269,'26년 1월 출석표'!$B$2:$BQ$497,38,0)/5</f>
        <v>#N/A</v>
      </c>
      <c r="U269" s="40"/>
      <c r="V269" s="41" t="e">
        <f>VLOOKUP($B269,'26년 1월 출석표'!$B$2:$BQ$497,52,0)/5</f>
        <v>#N/A</v>
      </c>
      <c r="W269" s="42"/>
      <c r="X269" s="41" t="e">
        <f>VLOOKUP($B269,'26년 1월 출석표'!$B$2:$BQ$503,66,0)/5</f>
        <v>#N/A</v>
      </c>
      <c r="Y269" s="43"/>
    </row>
    <row r="270" spans="1:25" ht="16.5">
      <c r="A270" s="29"/>
      <c r="B270" s="52"/>
      <c r="C270" s="52"/>
      <c r="D270" s="53"/>
      <c r="E270" s="54"/>
      <c r="F270" s="52"/>
      <c r="G270" s="55"/>
      <c r="H270" s="56"/>
      <c r="I270" s="34" t="e">
        <f>VLOOKUP(B270,'26년 1월 출석표'!$B$7:$D$500,3,0)</f>
        <v>#N/A</v>
      </c>
      <c r="J270" s="35" t="e">
        <f t="shared" ca="1" si="0"/>
        <v>#NAME?</v>
      </c>
      <c r="K270" s="36" t="str">
        <f t="shared" si="1"/>
        <v/>
      </c>
      <c r="L270" s="37" t="str">
        <f t="shared" si="2"/>
        <v/>
      </c>
      <c r="M270" s="30"/>
      <c r="N270" s="38" t="b">
        <v>0</v>
      </c>
      <c r="O270" s="38" t="b">
        <v>0</v>
      </c>
      <c r="P270" s="39" t="e">
        <f>VLOOKUP($B270,'26년 1월 출석표'!$B$2:$BQ$497,10,0)/1</f>
        <v>#N/A</v>
      </c>
      <c r="Q270" s="40"/>
      <c r="R270" s="41" t="e">
        <f>VLOOKUP($B270,'26년 1월 출석표'!$B$2:$BQ$497,24,0)/5</f>
        <v>#N/A</v>
      </c>
      <c r="S270" s="40"/>
      <c r="T270" s="41" t="e">
        <f>VLOOKUP($B270,'26년 1월 출석표'!$B$2:$BQ$497,38,0)/5</f>
        <v>#N/A</v>
      </c>
      <c r="U270" s="40"/>
      <c r="V270" s="41" t="e">
        <f>VLOOKUP($B270,'26년 1월 출석표'!$B$2:$BQ$497,52,0)/5</f>
        <v>#N/A</v>
      </c>
      <c r="W270" s="42"/>
      <c r="X270" s="41" t="e">
        <f>VLOOKUP($B270,'26년 1월 출석표'!$B$2:$BQ$503,66,0)/5</f>
        <v>#N/A</v>
      </c>
      <c r="Y270" s="43"/>
    </row>
    <row r="271" spans="1:25" ht="16.5">
      <c r="A271" s="29"/>
      <c r="B271" s="52"/>
      <c r="C271" s="52"/>
      <c r="D271" s="53"/>
      <c r="E271" s="54"/>
      <c r="F271" s="52"/>
      <c r="G271" s="55"/>
      <c r="H271" s="56"/>
      <c r="I271" s="34" t="e">
        <f>VLOOKUP(B271,'26년 1월 출석표'!$B$7:$D$500,3,0)</f>
        <v>#N/A</v>
      </c>
      <c r="J271" s="35" t="e">
        <f t="shared" ca="1" si="0"/>
        <v>#NAME?</v>
      </c>
      <c r="K271" s="36" t="str">
        <f t="shared" si="1"/>
        <v/>
      </c>
      <c r="L271" s="37" t="str">
        <f t="shared" si="2"/>
        <v/>
      </c>
      <c r="M271" s="30"/>
      <c r="N271" s="38" t="b">
        <v>0</v>
      </c>
      <c r="O271" s="38" t="b">
        <v>0</v>
      </c>
      <c r="P271" s="39" t="e">
        <f>VLOOKUP($B271,'26년 1월 출석표'!$B$2:$BQ$497,10,0)/1</f>
        <v>#N/A</v>
      </c>
      <c r="Q271" s="40"/>
      <c r="R271" s="41" t="e">
        <f>VLOOKUP($B271,'26년 1월 출석표'!$B$2:$BQ$497,24,0)/5</f>
        <v>#N/A</v>
      </c>
      <c r="S271" s="40"/>
      <c r="T271" s="41" t="e">
        <f>VLOOKUP($B271,'26년 1월 출석표'!$B$2:$BQ$497,38,0)/5</f>
        <v>#N/A</v>
      </c>
      <c r="U271" s="40"/>
      <c r="V271" s="41" t="e">
        <f>VLOOKUP($B271,'26년 1월 출석표'!$B$2:$BQ$497,52,0)/5</f>
        <v>#N/A</v>
      </c>
      <c r="W271" s="42"/>
      <c r="X271" s="41" t="e">
        <f>VLOOKUP($B271,'26년 1월 출석표'!$B$2:$BQ$503,66,0)/5</f>
        <v>#N/A</v>
      </c>
      <c r="Y271" s="43"/>
    </row>
    <row r="272" spans="1:25" ht="16.5">
      <c r="A272" s="29"/>
      <c r="B272" s="52"/>
      <c r="C272" s="52"/>
      <c r="D272" s="53"/>
      <c r="E272" s="54"/>
      <c r="F272" s="52"/>
      <c r="G272" s="55"/>
      <c r="H272" s="56"/>
      <c r="I272" s="34" t="e">
        <f>VLOOKUP(B272,'26년 1월 출석표'!$B$7:$D$500,3,0)</f>
        <v>#N/A</v>
      </c>
      <c r="J272" s="35" t="e">
        <f t="shared" ca="1" si="0"/>
        <v>#NAME?</v>
      </c>
      <c r="K272" s="36" t="str">
        <f t="shared" si="1"/>
        <v/>
      </c>
      <c r="L272" s="37" t="str">
        <f t="shared" si="2"/>
        <v/>
      </c>
      <c r="M272" s="30"/>
      <c r="N272" s="38" t="b">
        <v>0</v>
      </c>
      <c r="O272" s="38" t="b">
        <v>0</v>
      </c>
      <c r="P272" s="39" t="e">
        <f>VLOOKUP($B272,'26년 1월 출석표'!$B$2:$BQ$497,10,0)/1</f>
        <v>#N/A</v>
      </c>
      <c r="Q272" s="40"/>
      <c r="R272" s="41" t="e">
        <f>VLOOKUP($B272,'26년 1월 출석표'!$B$2:$BQ$497,24,0)/5</f>
        <v>#N/A</v>
      </c>
      <c r="S272" s="40"/>
      <c r="T272" s="41" t="e">
        <f>VLOOKUP($B272,'26년 1월 출석표'!$B$2:$BQ$497,38,0)/5</f>
        <v>#N/A</v>
      </c>
      <c r="U272" s="40"/>
      <c r="V272" s="41" t="e">
        <f>VLOOKUP($B272,'26년 1월 출석표'!$B$2:$BQ$497,52,0)/5</f>
        <v>#N/A</v>
      </c>
      <c r="W272" s="42"/>
      <c r="X272" s="41" t="e">
        <f>VLOOKUP($B272,'26년 1월 출석표'!$B$2:$BQ$503,66,0)/5</f>
        <v>#N/A</v>
      </c>
      <c r="Y272" s="43"/>
    </row>
    <row r="273" spans="1:25" ht="16.5">
      <c r="A273" s="29"/>
      <c r="B273" s="52"/>
      <c r="C273" s="52"/>
      <c r="D273" s="53"/>
      <c r="E273" s="54"/>
      <c r="F273" s="52"/>
      <c r="G273" s="55"/>
      <c r="H273" s="56"/>
      <c r="I273" s="34" t="e">
        <f>VLOOKUP(B273,'26년 1월 출석표'!$B$7:$D$500,3,0)</f>
        <v>#N/A</v>
      </c>
      <c r="J273" s="35" t="e">
        <f t="shared" ca="1" si="0"/>
        <v>#NAME?</v>
      </c>
      <c r="K273" s="36" t="str">
        <f t="shared" si="1"/>
        <v/>
      </c>
      <c r="L273" s="37" t="str">
        <f t="shared" si="2"/>
        <v/>
      </c>
      <c r="M273" s="30"/>
      <c r="N273" s="38" t="b">
        <v>0</v>
      </c>
      <c r="O273" s="38" t="b">
        <v>0</v>
      </c>
      <c r="P273" s="39" t="e">
        <f>VLOOKUP($B273,'26년 1월 출석표'!$B$2:$BQ$497,10,0)/1</f>
        <v>#N/A</v>
      </c>
      <c r="Q273" s="40"/>
      <c r="R273" s="41" t="e">
        <f>VLOOKUP($B273,'26년 1월 출석표'!$B$2:$BQ$497,24,0)/5</f>
        <v>#N/A</v>
      </c>
      <c r="S273" s="40"/>
      <c r="T273" s="41" t="e">
        <f>VLOOKUP($B273,'26년 1월 출석표'!$B$2:$BQ$497,38,0)/5</f>
        <v>#N/A</v>
      </c>
      <c r="U273" s="40"/>
      <c r="V273" s="41" t="e">
        <f>VLOOKUP($B273,'26년 1월 출석표'!$B$2:$BQ$497,52,0)/5</f>
        <v>#N/A</v>
      </c>
      <c r="W273" s="42"/>
      <c r="X273" s="41" t="e">
        <f>VLOOKUP($B273,'26년 1월 출석표'!$B$2:$BQ$503,66,0)/5</f>
        <v>#N/A</v>
      </c>
      <c r="Y273" s="43"/>
    </row>
    <row r="274" spans="1:25" ht="16.5">
      <c r="A274" s="29"/>
      <c r="B274" s="52"/>
      <c r="C274" s="52"/>
      <c r="D274" s="53"/>
      <c r="E274" s="54"/>
      <c r="F274" s="52"/>
      <c r="G274" s="55"/>
      <c r="H274" s="56"/>
      <c r="I274" s="34" t="e">
        <f>VLOOKUP(B274,'26년 1월 출석표'!$B$7:$D$500,3,0)</f>
        <v>#N/A</v>
      </c>
      <c r="J274" s="35" t="e">
        <f t="shared" ca="1" si="0"/>
        <v>#NAME?</v>
      </c>
      <c r="K274" s="36" t="str">
        <f t="shared" si="1"/>
        <v/>
      </c>
      <c r="L274" s="37" t="str">
        <f t="shared" si="2"/>
        <v/>
      </c>
      <c r="M274" s="30"/>
      <c r="N274" s="38" t="b">
        <v>0</v>
      </c>
      <c r="O274" s="38" t="b">
        <v>0</v>
      </c>
      <c r="P274" s="39" t="e">
        <f>VLOOKUP($B274,'26년 1월 출석표'!$B$2:$BQ$497,10,0)/1</f>
        <v>#N/A</v>
      </c>
      <c r="Q274" s="40"/>
      <c r="R274" s="41" t="e">
        <f>VLOOKUP($B274,'26년 1월 출석표'!$B$2:$BQ$497,24,0)/5</f>
        <v>#N/A</v>
      </c>
      <c r="S274" s="40"/>
      <c r="T274" s="41" t="e">
        <f>VLOOKUP($B274,'26년 1월 출석표'!$B$2:$BQ$497,38,0)/5</f>
        <v>#N/A</v>
      </c>
      <c r="U274" s="40"/>
      <c r="V274" s="41" t="e">
        <f>VLOOKUP($B274,'26년 1월 출석표'!$B$2:$BQ$497,52,0)/5</f>
        <v>#N/A</v>
      </c>
      <c r="W274" s="42"/>
      <c r="X274" s="41" t="e">
        <f>VLOOKUP($B274,'26년 1월 출석표'!$B$2:$BQ$503,66,0)/5</f>
        <v>#N/A</v>
      </c>
      <c r="Y274" s="43"/>
    </row>
    <row r="275" spans="1:25" ht="16.5">
      <c r="A275" s="29"/>
      <c r="B275" s="52"/>
      <c r="C275" s="52"/>
      <c r="D275" s="53"/>
      <c r="E275" s="54"/>
      <c r="F275" s="52"/>
      <c r="G275" s="55"/>
      <c r="H275" s="56"/>
      <c r="I275" s="34" t="e">
        <f>VLOOKUP(B275,'26년 1월 출석표'!$B$7:$D$500,3,0)</f>
        <v>#N/A</v>
      </c>
      <c r="J275" s="35" t="e">
        <f t="shared" ca="1" si="0"/>
        <v>#NAME?</v>
      </c>
      <c r="K275" s="36" t="str">
        <f t="shared" si="1"/>
        <v/>
      </c>
      <c r="L275" s="37" t="str">
        <f t="shared" si="2"/>
        <v/>
      </c>
      <c r="M275" s="30"/>
      <c r="N275" s="38" t="b">
        <v>0</v>
      </c>
      <c r="O275" s="38" t="b">
        <v>0</v>
      </c>
      <c r="P275" s="39" t="e">
        <f>VLOOKUP($B275,'26년 1월 출석표'!$B$2:$BQ$497,10,0)/1</f>
        <v>#N/A</v>
      </c>
      <c r="Q275" s="40"/>
      <c r="R275" s="41" t="e">
        <f>VLOOKUP($B275,'26년 1월 출석표'!$B$2:$BQ$497,24,0)/5</f>
        <v>#N/A</v>
      </c>
      <c r="S275" s="40"/>
      <c r="T275" s="41" t="e">
        <f>VLOOKUP($B275,'26년 1월 출석표'!$B$2:$BQ$497,38,0)/5</f>
        <v>#N/A</v>
      </c>
      <c r="U275" s="40"/>
      <c r="V275" s="41" t="e">
        <f>VLOOKUP($B275,'26년 1월 출석표'!$B$2:$BQ$497,52,0)/5</f>
        <v>#N/A</v>
      </c>
      <c r="W275" s="42"/>
      <c r="X275" s="41" t="e">
        <f>VLOOKUP($B275,'26년 1월 출석표'!$B$2:$BQ$503,66,0)/5</f>
        <v>#N/A</v>
      </c>
      <c r="Y275" s="43"/>
    </row>
    <row r="276" spans="1:25" ht="16.5">
      <c r="A276" s="29"/>
      <c r="B276" s="52"/>
      <c r="C276" s="52"/>
      <c r="D276" s="53"/>
      <c r="E276" s="54"/>
      <c r="F276" s="52"/>
      <c r="G276" s="55"/>
      <c r="H276" s="56"/>
      <c r="I276" s="34" t="e">
        <f>VLOOKUP(B276,'26년 1월 출석표'!$B$7:$D$500,3,0)</f>
        <v>#N/A</v>
      </c>
      <c r="J276" s="35" t="e">
        <f t="shared" ca="1" si="0"/>
        <v>#NAME?</v>
      </c>
      <c r="K276" s="36" t="str">
        <f t="shared" si="1"/>
        <v/>
      </c>
      <c r="L276" s="37" t="str">
        <f t="shared" si="2"/>
        <v/>
      </c>
      <c r="M276" s="30"/>
      <c r="N276" s="38" t="b">
        <v>0</v>
      </c>
      <c r="O276" s="38" t="b">
        <v>0</v>
      </c>
      <c r="P276" s="39" t="e">
        <f>VLOOKUP($B276,'26년 1월 출석표'!$B$2:$BQ$497,10,0)/1</f>
        <v>#N/A</v>
      </c>
      <c r="Q276" s="40"/>
      <c r="R276" s="41" t="e">
        <f>VLOOKUP($B276,'26년 1월 출석표'!$B$2:$BQ$497,24,0)/5</f>
        <v>#N/A</v>
      </c>
      <c r="S276" s="40"/>
      <c r="T276" s="41" t="e">
        <f>VLOOKUP($B276,'26년 1월 출석표'!$B$2:$BQ$497,38,0)/5</f>
        <v>#N/A</v>
      </c>
      <c r="U276" s="40"/>
      <c r="V276" s="41" t="e">
        <f>VLOOKUP($B276,'26년 1월 출석표'!$B$2:$BQ$497,52,0)/5</f>
        <v>#N/A</v>
      </c>
      <c r="W276" s="42"/>
      <c r="X276" s="41" t="e">
        <f>VLOOKUP($B276,'26년 1월 출석표'!$B$2:$BQ$503,66,0)/5</f>
        <v>#N/A</v>
      </c>
      <c r="Y276" s="43"/>
    </row>
    <row r="277" spans="1:25" ht="16.5">
      <c r="A277" s="29"/>
      <c r="B277" s="52"/>
      <c r="C277" s="52"/>
      <c r="D277" s="53"/>
      <c r="E277" s="54"/>
      <c r="F277" s="52"/>
      <c r="G277" s="55"/>
      <c r="H277" s="56"/>
      <c r="I277" s="34" t="e">
        <f>VLOOKUP(B277,'26년 1월 출석표'!$B$7:$D$500,3,0)</f>
        <v>#N/A</v>
      </c>
      <c r="J277" s="35" t="e">
        <f t="shared" ca="1" si="0"/>
        <v>#NAME?</v>
      </c>
      <c r="K277" s="36" t="str">
        <f t="shared" si="1"/>
        <v/>
      </c>
      <c r="L277" s="37" t="str">
        <f t="shared" si="2"/>
        <v/>
      </c>
      <c r="M277" s="30"/>
      <c r="N277" s="38" t="b">
        <v>0</v>
      </c>
      <c r="O277" s="38" t="b">
        <v>0</v>
      </c>
      <c r="P277" s="39" t="e">
        <f>VLOOKUP($B277,'26년 1월 출석표'!$B$2:$BQ$497,10,0)/1</f>
        <v>#N/A</v>
      </c>
      <c r="Q277" s="40"/>
      <c r="R277" s="41" t="e">
        <f>VLOOKUP($B277,'26년 1월 출석표'!$B$2:$BQ$497,24,0)/5</f>
        <v>#N/A</v>
      </c>
      <c r="S277" s="40"/>
      <c r="T277" s="41" t="e">
        <f>VLOOKUP($B277,'26년 1월 출석표'!$B$2:$BQ$497,38,0)/5</f>
        <v>#N/A</v>
      </c>
      <c r="U277" s="40"/>
      <c r="V277" s="41" t="e">
        <f>VLOOKUP($B277,'26년 1월 출석표'!$B$2:$BQ$497,52,0)/5</f>
        <v>#N/A</v>
      </c>
      <c r="W277" s="42"/>
      <c r="X277" s="41" t="e">
        <f>VLOOKUP($B277,'26년 1월 출석표'!$B$2:$BQ$503,66,0)/5</f>
        <v>#N/A</v>
      </c>
      <c r="Y277" s="43"/>
    </row>
    <row r="278" spans="1:25" ht="16.5">
      <c r="A278" s="29"/>
      <c r="B278" s="52"/>
      <c r="C278" s="52"/>
      <c r="D278" s="53"/>
      <c r="E278" s="54"/>
      <c r="F278" s="52"/>
      <c r="G278" s="55"/>
      <c r="H278" s="56"/>
      <c r="I278" s="34" t="e">
        <f>VLOOKUP(B278,'26년 1월 출석표'!$B$7:$D$500,3,0)</f>
        <v>#N/A</v>
      </c>
      <c r="J278" s="35" t="e">
        <f t="shared" ca="1" si="0"/>
        <v>#NAME?</v>
      </c>
      <c r="K278" s="36" t="str">
        <f t="shared" si="1"/>
        <v/>
      </c>
      <c r="L278" s="37" t="str">
        <f t="shared" si="2"/>
        <v/>
      </c>
      <c r="M278" s="30"/>
      <c r="N278" s="38" t="b">
        <v>0</v>
      </c>
      <c r="O278" s="38" t="b">
        <v>0</v>
      </c>
      <c r="P278" s="39" t="e">
        <f>VLOOKUP($B278,'26년 1월 출석표'!$B$2:$BQ$497,10,0)/1</f>
        <v>#N/A</v>
      </c>
      <c r="Q278" s="40"/>
      <c r="R278" s="41" t="e">
        <f>VLOOKUP($B278,'26년 1월 출석표'!$B$2:$BQ$497,24,0)/5</f>
        <v>#N/A</v>
      </c>
      <c r="S278" s="40"/>
      <c r="T278" s="41" t="e">
        <f>VLOOKUP($B278,'26년 1월 출석표'!$B$2:$BQ$497,38,0)/5</f>
        <v>#N/A</v>
      </c>
      <c r="U278" s="40"/>
      <c r="V278" s="41" t="e">
        <f>VLOOKUP($B278,'26년 1월 출석표'!$B$2:$BQ$497,52,0)/5</f>
        <v>#N/A</v>
      </c>
      <c r="W278" s="42"/>
      <c r="X278" s="41" t="e">
        <f>VLOOKUP($B278,'26년 1월 출석표'!$B$2:$BQ$503,66,0)/5</f>
        <v>#N/A</v>
      </c>
      <c r="Y278" s="43"/>
    </row>
    <row r="279" spans="1:25" ht="16.5">
      <c r="A279" s="29"/>
      <c r="B279" s="52"/>
      <c r="C279" s="52"/>
      <c r="D279" s="53"/>
      <c r="E279" s="54"/>
      <c r="F279" s="52"/>
      <c r="G279" s="55"/>
      <c r="H279" s="56"/>
      <c r="I279" s="34" t="e">
        <f>VLOOKUP(B279,'26년 1월 출석표'!$B$7:$D$500,3,0)</f>
        <v>#N/A</v>
      </c>
      <c r="J279" s="35" t="e">
        <f t="shared" ca="1" si="0"/>
        <v>#NAME?</v>
      </c>
      <c r="K279" s="36" t="str">
        <f t="shared" si="1"/>
        <v/>
      </c>
      <c r="L279" s="37" t="str">
        <f t="shared" si="2"/>
        <v/>
      </c>
      <c r="M279" s="30"/>
      <c r="N279" s="38" t="b">
        <v>0</v>
      </c>
      <c r="O279" s="38" t="b">
        <v>0</v>
      </c>
      <c r="P279" s="39" t="e">
        <f>VLOOKUP($B279,'26년 1월 출석표'!$B$2:$BQ$497,10,0)/1</f>
        <v>#N/A</v>
      </c>
      <c r="Q279" s="40"/>
      <c r="R279" s="41" t="e">
        <f>VLOOKUP($B279,'26년 1월 출석표'!$B$2:$BQ$497,24,0)/5</f>
        <v>#N/A</v>
      </c>
      <c r="S279" s="40"/>
      <c r="T279" s="41" t="e">
        <f>VLOOKUP($B279,'26년 1월 출석표'!$B$2:$BQ$497,38,0)/5</f>
        <v>#N/A</v>
      </c>
      <c r="U279" s="40"/>
      <c r="V279" s="41" t="e">
        <f>VLOOKUP($B279,'26년 1월 출석표'!$B$2:$BQ$497,52,0)/5</f>
        <v>#N/A</v>
      </c>
      <c r="W279" s="42"/>
      <c r="X279" s="41" t="e">
        <f>VLOOKUP($B279,'26년 1월 출석표'!$B$2:$BQ$503,66,0)/5</f>
        <v>#N/A</v>
      </c>
      <c r="Y279" s="43"/>
    </row>
    <row r="280" spans="1:25" ht="16.5">
      <c r="A280" s="29"/>
      <c r="B280" s="52"/>
      <c r="C280" s="52"/>
      <c r="D280" s="53"/>
      <c r="E280" s="54"/>
      <c r="F280" s="52"/>
      <c r="G280" s="55"/>
      <c r="H280" s="56"/>
      <c r="I280" s="34" t="e">
        <f>VLOOKUP(B280,'26년 1월 출석표'!$B$7:$D$500,3,0)</f>
        <v>#N/A</v>
      </c>
      <c r="J280" s="35" t="e">
        <f t="shared" ca="1" si="0"/>
        <v>#NAME?</v>
      </c>
      <c r="K280" s="36" t="str">
        <f t="shared" si="1"/>
        <v/>
      </c>
      <c r="L280" s="37" t="str">
        <f t="shared" si="2"/>
        <v/>
      </c>
      <c r="M280" s="30"/>
      <c r="N280" s="38" t="b">
        <v>0</v>
      </c>
      <c r="O280" s="38" t="b">
        <v>0</v>
      </c>
      <c r="P280" s="39" t="e">
        <f>VLOOKUP($B280,'26년 1월 출석표'!$B$2:$BQ$497,10,0)/1</f>
        <v>#N/A</v>
      </c>
      <c r="Q280" s="40"/>
      <c r="R280" s="41" t="e">
        <f>VLOOKUP($B280,'26년 1월 출석표'!$B$2:$BQ$497,24,0)/5</f>
        <v>#N/A</v>
      </c>
      <c r="S280" s="40"/>
      <c r="T280" s="41" t="e">
        <f>VLOOKUP($B280,'26년 1월 출석표'!$B$2:$BQ$497,38,0)/5</f>
        <v>#N/A</v>
      </c>
      <c r="U280" s="40"/>
      <c r="V280" s="41" t="e">
        <f>VLOOKUP($B280,'26년 1월 출석표'!$B$2:$BQ$497,52,0)/5</f>
        <v>#N/A</v>
      </c>
      <c r="W280" s="42"/>
      <c r="X280" s="41" t="e">
        <f>VLOOKUP($B280,'26년 1월 출석표'!$B$2:$BQ$503,66,0)/5</f>
        <v>#N/A</v>
      </c>
      <c r="Y280" s="43"/>
    </row>
    <row r="281" spans="1:25" ht="16.5">
      <c r="A281" s="29"/>
      <c r="B281" s="52"/>
      <c r="C281" s="52"/>
      <c r="D281" s="53"/>
      <c r="E281" s="54"/>
      <c r="F281" s="52"/>
      <c r="G281" s="55"/>
      <c r="H281" s="56"/>
      <c r="I281" s="34" t="e">
        <f>VLOOKUP(B281,'26년 1월 출석표'!$B$7:$D$500,3,0)</f>
        <v>#N/A</v>
      </c>
      <c r="J281" s="35" t="e">
        <f t="shared" ca="1" si="0"/>
        <v>#NAME?</v>
      </c>
      <c r="K281" s="36" t="str">
        <f t="shared" si="1"/>
        <v/>
      </c>
      <c r="L281" s="37" t="str">
        <f t="shared" si="2"/>
        <v/>
      </c>
      <c r="M281" s="30"/>
      <c r="N281" s="38" t="b">
        <v>0</v>
      </c>
      <c r="O281" s="38" t="b">
        <v>0</v>
      </c>
      <c r="P281" s="39" t="e">
        <f>VLOOKUP($B281,'26년 1월 출석표'!$B$2:$BQ$497,10,0)/1</f>
        <v>#N/A</v>
      </c>
      <c r="Q281" s="40"/>
      <c r="R281" s="41" t="e">
        <f>VLOOKUP($B281,'26년 1월 출석표'!$B$2:$BQ$497,24,0)/5</f>
        <v>#N/A</v>
      </c>
      <c r="S281" s="40"/>
      <c r="T281" s="41" t="e">
        <f>VLOOKUP($B281,'26년 1월 출석표'!$B$2:$BQ$497,38,0)/5</f>
        <v>#N/A</v>
      </c>
      <c r="U281" s="40"/>
      <c r="V281" s="41" t="e">
        <f>VLOOKUP($B281,'26년 1월 출석표'!$B$2:$BQ$497,52,0)/5</f>
        <v>#N/A</v>
      </c>
      <c r="W281" s="42"/>
      <c r="X281" s="41" t="e">
        <f>VLOOKUP($B281,'26년 1월 출석표'!$B$2:$BQ$503,66,0)/5</f>
        <v>#N/A</v>
      </c>
      <c r="Y281" s="43"/>
    </row>
    <row r="282" spans="1:25" ht="16.5">
      <c r="A282" s="29"/>
      <c r="B282" s="52"/>
      <c r="C282" s="52"/>
      <c r="D282" s="53"/>
      <c r="E282" s="54"/>
      <c r="F282" s="52"/>
      <c r="G282" s="55"/>
      <c r="H282" s="56"/>
      <c r="I282" s="34" t="e">
        <f>VLOOKUP(B282,'26년 1월 출석표'!$B$7:$D$500,3,0)</f>
        <v>#N/A</v>
      </c>
      <c r="J282" s="35" t="e">
        <f t="shared" ca="1" si="0"/>
        <v>#NAME?</v>
      </c>
      <c r="K282" s="36" t="str">
        <f t="shared" si="1"/>
        <v/>
      </c>
      <c r="L282" s="37" t="str">
        <f t="shared" si="2"/>
        <v/>
      </c>
      <c r="M282" s="30"/>
      <c r="N282" s="38" t="b">
        <v>0</v>
      </c>
      <c r="O282" s="38" t="b">
        <v>0</v>
      </c>
      <c r="P282" s="39" t="e">
        <f>VLOOKUP($B282,'26년 1월 출석표'!$B$2:$BQ$497,10,0)/1</f>
        <v>#N/A</v>
      </c>
      <c r="Q282" s="40"/>
      <c r="R282" s="41" t="e">
        <f>VLOOKUP($B282,'26년 1월 출석표'!$B$2:$BQ$497,24,0)/5</f>
        <v>#N/A</v>
      </c>
      <c r="S282" s="40"/>
      <c r="T282" s="41" t="e">
        <f>VLOOKUP($B282,'26년 1월 출석표'!$B$2:$BQ$497,38,0)/5</f>
        <v>#N/A</v>
      </c>
      <c r="U282" s="40"/>
      <c r="V282" s="41" t="e">
        <f>VLOOKUP($B282,'26년 1월 출석표'!$B$2:$BQ$497,52,0)/5</f>
        <v>#N/A</v>
      </c>
      <c r="W282" s="42"/>
      <c r="X282" s="41" t="e">
        <f>VLOOKUP($B282,'26년 1월 출석표'!$B$2:$BQ$503,66,0)/5</f>
        <v>#N/A</v>
      </c>
      <c r="Y282" s="43"/>
    </row>
    <row r="283" spans="1:25" ht="16.5">
      <c r="A283" s="29"/>
      <c r="B283" s="52"/>
      <c r="C283" s="52"/>
      <c r="D283" s="53"/>
      <c r="E283" s="54"/>
      <c r="F283" s="52"/>
      <c r="G283" s="55"/>
      <c r="H283" s="56"/>
      <c r="I283" s="34" t="e">
        <f>VLOOKUP(B283,'26년 1월 출석표'!$B$7:$D$500,3,0)</f>
        <v>#N/A</v>
      </c>
      <c r="J283" s="35" t="e">
        <f t="shared" ca="1" si="0"/>
        <v>#NAME?</v>
      </c>
      <c r="K283" s="36" t="str">
        <f t="shared" si="1"/>
        <v/>
      </c>
      <c r="L283" s="37" t="str">
        <f t="shared" si="2"/>
        <v/>
      </c>
      <c r="M283" s="30"/>
      <c r="N283" s="38" t="b">
        <v>0</v>
      </c>
      <c r="O283" s="38" t="b">
        <v>0</v>
      </c>
      <c r="P283" s="39" t="e">
        <f>VLOOKUP($B283,'26년 1월 출석표'!$B$2:$BQ$497,10,0)/1</f>
        <v>#N/A</v>
      </c>
      <c r="Q283" s="40"/>
      <c r="R283" s="41" t="e">
        <f>VLOOKUP($B283,'26년 1월 출석표'!$B$2:$BQ$497,24,0)/5</f>
        <v>#N/A</v>
      </c>
      <c r="S283" s="40"/>
      <c r="T283" s="41" t="e">
        <f>VLOOKUP($B283,'26년 1월 출석표'!$B$2:$BQ$497,38,0)/5</f>
        <v>#N/A</v>
      </c>
      <c r="U283" s="40"/>
      <c r="V283" s="41" t="e">
        <f>VLOOKUP($B283,'26년 1월 출석표'!$B$2:$BQ$497,52,0)/5</f>
        <v>#N/A</v>
      </c>
      <c r="W283" s="42"/>
      <c r="X283" s="41" t="e">
        <f>VLOOKUP($B283,'26년 1월 출석표'!$B$2:$BQ$503,66,0)/5</f>
        <v>#N/A</v>
      </c>
      <c r="Y283" s="43"/>
    </row>
    <row r="284" spans="1:25" ht="16.5">
      <c r="A284" s="29"/>
      <c r="B284" s="52"/>
      <c r="C284" s="52"/>
      <c r="D284" s="53"/>
      <c r="E284" s="54"/>
      <c r="F284" s="52"/>
      <c r="G284" s="55"/>
      <c r="H284" s="56"/>
      <c r="I284" s="34" t="e">
        <f>VLOOKUP(B284,'26년 1월 출석표'!$B$7:$D$500,3,0)</f>
        <v>#N/A</v>
      </c>
      <c r="J284" s="35" t="e">
        <f t="shared" ca="1" si="0"/>
        <v>#NAME?</v>
      </c>
      <c r="K284" s="36" t="str">
        <f t="shared" si="1"/>
        <v/>
      </c>
      <c r="L284" s="37" t="str">
        <f t="shared" si="2"/>
        <v/>
      </c>
      <c r="M284" s="30"/>
      <c r="N284" s="38" t="b">
        <v>0</v>
      </c>
      <c r="O284" s="38" t="b">
        <v>0</v>
      </c>
      <c r="P284" s="39" t="e">
        <f>VLOOKUP($B284,'26년 1월 출석표'!$B$2:$BQ$497,10,0)/1</f>
        <v>#N/A</v>
      </c>
      <c r="Q284" s="40"/>
      <c r="R284" s="41" t="e">
        <f>VLOOKUP($B284,'26년 1월 출석표'!$B$2:$BQ$497,24,0)/5</f>
        <v>#N/A</v>
      </c>
      <c r="S284" s="40"/>
      <c r="T284" s="41" t="e">
        <f>VLOOKUP($B284,'26년 1월 출석표'!$B$2:$BQ$497,38,0)/5</f>
        <v>#N/A</v>
      </c>
      <c r="U284" s="40"/>
      <c r="V284" s="41" t="e">
        <f>VLOOKUP($B284,'26년 1월 출석표'!$B$2:$BQ$497,52,0)/5</f>
        <v>#N/A</v>
      </c>
      <c r="W284" s="42"/>
      <c r="X284" s="41" t="e">
        <f>VLOOKUP($B284,'26년 1월 출석표'!$B$2:$BQ$503,66,0)/5</f>
        <v>#N/A</v>
      </c>
      <c r="Y284" s="43"/>
    </row>
    <row r="285" spans="1:25" ht="16.5">
      <c r="A285" s="29"/>
      <c r="B285" s="52"/>
      <c r="C285" s="52"/>
      <c r="D285" s="53"/>
      <c r="E285" s="54"/>
      <c r="F285" s="52"/>
      <c r="G285" s="55"/>
      <c r="H285" s="56"/>
      <c r="I285" s="34" t="e">
        <f>VLOOKUP(B285,'26년 1월 출석표'!$B$7:$D$500,3,0)</f>
        <v>#N/A</v>
      </c>
      <c r="J285" s="35" t="e">
        <f t="shared" ca="1" si="0"/>
        <v>#NAME?</v>
      </c>
      <c r="K285" s="36" t="str">
        <f t="shared" si="1"/>
        <v/>
      </c>
      <c r="L285" s="37" t="str">
        <f t="shared" si="2"/>
        <v/>
      </c>
      <c r="M285" s="30"/>
      <c r="N285" s="38" t="b">
        <v>0</v>
      </c>
      <c r="O285" s="38" t="b">
        <v>0</v>
      </c>
      <c r="P285" s="39" t="e">
        <f>VLOOKUP($B285,'26년 1월 출석표'!$B$2:$BQ$497,10,0)/1</f>
        <v>#N/A</v>
      </c>
      <c r="Q285" s="40"/>
      <c r="R285" s="41" t="e">
        <f>VLOOKUP($B285,'26년 1월 출석표'!$B$2:$BQ$497,24,0)/5</f>
        <v>#N/A</v>
      </c>
      <c r="S285" s="40"/>
      <c r="T285" s="41" t="e">
        <f>VLOOKUP($B285,'26년 1월 출석표'!$B$2:$BQ$497,38,0)/5</f>
        <v>#N/A</v>
      </c>
      <c r="U285" s="40"/>
      <c r="V285" s="41" t="e">
        <f>VLOOKUP($B285,'26년 1월 출석표'!$B$2:$BQ$497,52,0)/5</f>
        <v>#N/A</v>
      </c>
      <c r="W285" s="42"/>
      <c r="X285" s="41" t="e">
        <f>VLOOKUP($B285,'26년 1월 출석표'!$B$2:$BQ$503,66,0)/5</f>
        <v>#N/A</v>
      </c>
      <c r="Y285" s="43"/>
    </row>
    <row r="286" spans="1:25" ht="16.5">
      <c r="A286" s="29"/>
      <c r="B286" s="52"/>
      <c r="C286" s="52"/>
      <c r="D286" s="53"/>
      <c r="E286" s="54"/>
      <c r="F286" s="52"/>
      <c r="G286" s="55"/>
      <c r="H286" s="56"/>
      <c r="I286" s="34" t="e">
        <f>VLOOKUP(B286,'26년 1월 출석표'!$B$7:$D$500,3,0)</f>
        <v>#N/A</v>
      </c>
      <c r="J286" s="35" t="e">
        <f t="shared" ca="1" si="0"/>
        <v>#NAME?</v>
      </c>
      <c r="K286" s="36" t="str">
        <f t="shared" si="1"/>
        <v/>
      </c>
      <c r="L286" s="37" t="str">
        <f t="shared" si="2"/>
        <v/>
      </c>
      <c r="M286" s="30"/>
      <c r="N286" s="38" t="b">
        <v>0</v>
      </c>
      <c r="O286" s="38" t="b">
        <v>0</v>
      </c>
      <c r="P286" s="39" t="e">
        <f>VLOOKUP($B286,'26년 1월 출석표'!$B$2:$BQ$497,10,0)/1</f>
        <v>#N/A</v>
      </c>
      <c r="Q286" s="40"/>
      <c r="R286" s="41" t="e">
        <f>VLOOKUP($B286,'26년 1월 출석표'!$B$2:$BQ$497,24,0)/5</f>
        <v>#N/A</v>
      </c>
      <c r="S286" s="40"/>
      <c r="T286" s="41" t="e">
        <f>VLOOKUP($B286,'26년 1월 출석표'!$B$2:$BQ$497,38,0)/5</f>
        <v>#N/A</v>
      </c>
      <c r="U286" s="40"/>
      <c r="V286" s="41" t="e">
        <f>VLOOKUP($B286,'26년 1월 출석표'!$B$2:$BQ$497,52,0)/5</f>
        <v>#N/A</v>
      </c>
      <c r="W286" s="42"/>
      <c r="X286" s="41" t="e">
        <f>VLOOKUP($B286,'26년 1월 출석표'!$B$2:$BQ$503,66,0)/5</f>
        <v>#N/A</v>
      </c>
      <c r="Y286" s="43"/>
    </row>
    <row r="287" spans="1:25" ht="16.5">
      <c r="A287" s="29"/>
      <c r="B287" s="52"/>
      <c r="C287" s="52"/>
      <c r="D287" s="53"/>
      <c r="E287" s="54"/>
      <c r="F287" s="52"/>
      <c r="G287" s="55"/>
      <c r="H287" s="56"/>
      <c r="I287" s="34" t="e">
        <f>VLOOKUP(B287,'26년 1월 출석표'!$B$7:$D$500,3,0)</f>
        <v>#N/A</v>
      </c>
      <c r="J287" s="35" t="e">
        <f t="shared" ca="1" si="0"/>
        <v>#NAME?</v>
      </c>
      <c r="K287" s="36" t="str">
        <f t="shared" si="1"/>
        <v/>
      </c>
      <c r="L287" s="37" t="str">
        <f t="shared" si="2"/>
        <v/>
      </c>
      <c r="M287" s="30"/>
      <c r="N287" s="38" t="b">
        <v>0</v>
      </c>
      <c r="O287" s="38" t="b">
        <v>0</v>
      </c>
      <c r="P287" s="39" t="e">
        <f>VLOOKUP($B287,'26년 1월 출석표'!$B$2:$BQ$497,10,0)/1</f>
        <v>#N/A</v>
      </c>
      <c r="Q287" s="40"/>
      <c r="R287" s="41" t="e">
        <f>VLOOKUP($B287,'26년 1월 출석표'!$B$2:$BQ$497,24,0)/5</f>
        <v>#N/A</v>
      </c>
      <c r="S287" s="40"/>
      <c r="T287" s="41" t="e">
        <f>VLOOKUP($B287,'26년 1월 출석표'!$B$2:$BQ$497,38,0)/5</f>
        <v>#N/A</v>
      </c>
      <c r="U287" s="40"/>
      <c r="V287" s="41" t="e">
        <f>VLOOKUP($B287,'26년 1월 출석표'!$B$2:$BQ$497,52,0)/5</f>
        <v>#N/A</v>
      </c>
      <c r="W287" s="42"/>
      <c r="X287" s="41" t="e">
        <f>VLOOKUP($B287,'26년 1월 출석표'!$B$2:$BQ$503,66,0)/5</f>
        <v>#N/A</v>
      </c>
      <c r="Y287" s="43"/>
    </row>
    <row r="288" spans="1:25" ht="16.5">
      <c r="A288" s="29"/>
      <c r="B288" s="52"/>
      <c r="C288" s="52"/>
      <c r="D288" s="53"/>
      <c r="E288" s="54"/>
      <c r="F288" s="52"/>
      <c r="G288" s="55"/>
      <c r="H288" s="56"/>
      <c r="I288" s="34" t="e">
        <f>VLOOKUP(B288,'26년 1월 출석표'!$B$7:$D$500,3,0)</f>
        <v>#N/A</v>
      </c>
      <c r="J288" s="35" t="e">
        <f t="shared" ca="1" si="0"/>
        <v>#NAME?</v>
      </c>
      <c r="K288" s="36" t="str">
        <f t="shared" si="1"/>
        <v/>
      </c>
      <c r="L288" s="37" t="str">
        <f t="shared" si="2"/>
        <v/>
      </c>
      <c r="M288" s="30"/>
      <c r="N288" s="38" t="b">
        <v>0</v>
      </c>
      <c r="O288" s="38" t="b">
        <v>0</v>
      </c>
      <c r="P288" s="39" t="e">
        <f>VLOOKUP($B288,'26년 1월 출석표'!$B$2:$BQ$497,10,0)/1</f>
        <v>#N/A</v>
      </c>
      <c r="Q288" s="40"/>
      <c r="R288" s="41" t="e">
        <f>VLOOKUP($B288,'26년 1월 출석표'!$B$2:$BQ$497,24,0)/5</f>
        <v>#N/A</v>
      </c>
      <c r="S288" s="40"/>
      <c r="T288" s="41" t="e">
        <f>VLOOKUP($B288,'26년 1월 출석표'!$B$2:$BQ$497,38,0)/5</f>
        <v>#N/A</v>
      </c>
      <c r="U288" s="40"/>
      <c r="V288" s="41" t="e">
        <f>VLOOKUP($B288,'26년 1월 출석표'!$B$2:$BQ$497,52,0)/5</f>
        <v>#N/A</v>
      </c>
      <c r="W288" s="42"/>
      <c r="X288" s="41" t="e">
        <f>VLOOKUP($B288,'26년 1월 출석표'!$B$2:$BQ$503,66,0)/5</f>
        <v>#N/A</v>
      </c>
      <c r="Y288" s="43"/>
    </row>
    <row r="289" spans="1:25" ht="16.5">
      <c r="A289" s="29"/>
      <c r="B289" s="52"/>
      <c r="C289" s="52"/>
      <c r="D289" s="53"/>
      <c r="E289" s="54"/>
      <c r="F289" s="52"/>
      <c r="G289" s="55"/>
      <c r="H289" s="56"/>
      <c r="I289" s="34" t="e">
        <f>VLOOKUP(B289,'26년 1월 출석표'!$B$7:$D$500,3,0)</f>
        <v>#N/A</v>
      </c>
      <c r="J289" s="35" t="e">
        <f t="shared" ca="1" si="0"/>
        <v>#NAME?</v>
      </c>
      <c r="K289" s="36" t="str">
        <f t="shared" si="1"/>
        <v/>
      </c>
      <c r="L289" s="37" t="str">
        <f t="shared" si="2"/>
        <v/>
      </c>
      <c r="M289" s="30"/>
      <c r="N289" s="38" t="b">
        <v>0</v>
      </c>
      <c r="O289" s="38" t="b">
        <v>0</v>
      </c>
      <c r="P289" s="39" t="e">
        <f>VLOOKUP($B289,'26년 1월 출석표'!$B$2:$BQ$497,10,0)/1</f>
        <v>#N/A</v>
      </c>
      <c r="Q289" s="40"/>
      <c r="R289" s="41" t="e">
        <f>VLOOKUP($B289,'26년 1월 출석표'!$B$2:$BQ$497,24,0)/5</f>
        <v>#N/A</v>
      </c>
      <c r="S289" s="40"/>
      <c r="T289" s="41" t="e">
        <f>VLOOKUP($B289,'26년 1월 출석표'!$B$2:$BQ$497,38,0)/5</f>
        <v>#N/A</v>
      </c>
      <c r="U289" s="40"/>
      <c r="V289" s="41" t="e">
        <f>VLOOKUP($B289,'26년 1월 출석표'!$B$2:$BQ$497,52,0)/5</f>
        <v>#N/A</v>
      </c>
      <c r="W289" s="42"/>
      <c r="X289" s="41" t="e">
        <f>VLOOKUP($B289,'26년 1월 출석표'!$B$2:$BQ$503,66,0)/5</f>
        <v>#N/A</v>
      </c>
      <c r="Y289" s="43"/>
    </row>
    <row r="290" spans="1:25" ht="16.5">
      <c r="A290" s="29"/>
      <c r="B290" s="52"/>
      <c r="C290" s="52"/>
      <c r="D290" s="53"/>
      <c r="E290" s="54"/>
      <c r="F290" s="52"/>
      <c r="G290" s="55"/>
      <c r="H290" s="56"/>
      <c r="I290" s="34" t="e">
        <f>VLOOKUP(B290,'26년 1월 출석표'!$B$7:$D$500,3,0)</f>
        <v>#N/A</v>
      </c>
      <c r="J290" s="35" t="e">
        <f t="shared" ca="1" si="0"/>
        <v>#NAME?</v>
      </c>
      <c r="K290" s="36" t="str">
        <f t="shared" si="1"/>
        <v/>
      </c>
      <c r="L290" s="37" t="str">
        <f t="shared" si="2"/>
        <v/>
      </c>
      <c r="M290" s="30"/>
      <c r="N290" s="38" t="b">
        <v>0</v>
      </c>
      <c r="O290" s="38" t="b">
        <v>0</v>
      </c>
      <c r="P290" s="39" t="e">
        <f>VLOOKUP($B290,'26년 1월 출석표'!$B$2:$BQ$497,10,0)/1</f>
        <v>#N/A</v>
      </c>
      <c r="Q290" s="40"/>
      <c r="R290" s="41" t="e">
        <f>VLOOKUP($B290,'26년 1월 출석표'!$B$2:$BQ$497,24,0)/5</f>
        <v>#N/A</v>
      </c>
      <c r="S290" s="40"/>
      <c r="T290" s="41" t="e">
        <f>VLOOKUP($B290,'26년 1월 출석표'!$B$2:$BQ$497,38,0)/5</f>
        <v>#N/A</v>
      </c>
      <c r="U290" s="40"/>
      <c r="V290" s="41" t="e">
        <f>VLOOKUP($B290,'26년 1월 출석표'!$B$2:$BQ$497,52,0)/5</f>
        <v>#N/A</v>
      </c>
      <c r="W290" s="42"/>
      <c r="X290" s="41" t="e">
        <f>VLOOKUP($B290,'26년 1월 출석표'!$B$2:$BQ$503,66,0)/5</f>
        <v>#N/A</v>
      </c>
      <c r="Y290" s="43"/>
    </row>
    <row r="291" spans="1:25" ht="16.5">
      <c r="A291" s="29"/>
      <c r="B291" s="52"/>
      <c r="C291" s="52"/>
      <c r="D291" s="53"/>
      <c r="E291" s="54"/>
      <c r="F291" s="52"/>
      <c r="G291" s="55"/>
      <c r="H291" s="56"/>
      <c r="I291" s="34" t="e">
        <f>VLOOKUP(B291,'26년 1월 출석표'!$B$7:$D$500,3,0)</f>
        <v>#N/A</v>
      </c>
      <c r="J291" s="35" t="e">
        <f t="shared" ca="1" si="0"/>
        <v>#NAME?</v>
      </c>
      <c r="K291" s="36" t="str">
        <f t="shared" si="1"/>
        <v/>
      </c>
      <c r="L291" s="37" t="str">
        <f t="shared" si="2"/>
        <v/>
      </c>
      <c r="M291" s="30"/>
      <c r="N291" s="38" t="b">
        <v>0</v>
      </c>
      <c r="O291" s="38" t="b">
        <v>0</v>
      </c>
      <c r="P291" s="39" t="e">
        <f>VLOOKUP($B291,'26년 1월 출석표'!$B$2:$BQ$497,10,0)/1</f>
        <v>#N/A</v>
      </c>
      <c r="Q291" s="40"/>
      <c r="R291" s="41" t="e">
        <f>VLOOKUP($B291,'26년 1월 출석표'!$B$2:$BQ$497,24,0)/5</f>
        <v>#N/A</v>
      </c>
      <c r="S291" s="40"/>
      <c r="T291" s="41" t="e">
        <f>VLOOKUP($B291,'26년 1월 출석표'!$B$2:$BQ$497,38,0)/5</f>
        <v>#N/A</v>
      </c>
      <c r="U291" s="40"/>
      <c r="V291" s="41" t="e">
        <f>VLOOKUP($B291,'26년 1월 출석표'!$B$2:$BQ$497,52,0)/5</f>
        <v>#N/A</v>
      </c>
      <c r="W291" s="42"/>
      <c r="X291" s="41" t="e">
        <f>VLOOKUP($B291,'26년 1월 출석표'!$B$2:$BQ$503,66,0)/5</f>
        <v>#N/A</v>
      </c>
      <c r="Y291" s="43"/>
    </row>
    <row r="292" spans="1:25" ht="16.5">
      <c r="A292" s="29"/>
      <c r="B292" s="52"/>
      <c r="C292" s="52"/>
      <c r="D292" s="53"/>
      <c r="E292" s="54"/>
      <c r="F292" s="52"/>
      <c r="G292" s="55"/>
      <c r="H292" s="56"/>
      <c r="I292" s="34" t="e">
        <f>VLOOKUP(B292,'26년 1월 출석표'!$B$7:$D$500,3,0)</f>
        <v>#N/A</v>
      </c>
      <c r="J292" s="35" t="e">
        <f t="shared" ca="1" si="0"/>
        <v>#NAME?</v>
      </c>
      <c r="K292" s="36" t="str">
        <f t="shared" si="1"/>
        <v/>
      </c>
      <c r="L292" s="37" t="str">
        <f t="shared" si="2"/>
        <v/>
      </c>
      <c r="M292" s="30"/>
      <c r="N292" s="38" t="b">
        <v>0</v>
      </c>
      <c r="O292" s="38" t="b">
        <v>0</v>
      </c>
      <c r="P292" s="39" t="e">
        <f>VLOOKUP($B292,'26년 1월 출석표'!$B$2:$BQ$497,10,0)/1</f>
        <v>#N/A</v>
      </c>
      <c r="Q292" s="40"/>
      <c r="R292" s="41" t="e">
        <f>VLOOKUP($B292,'26년 1월 출석표'!$B$2:$BQ$497,24,0)/5</f>
        <v>#N/A</v>
      </c>
      <c r="S292" s="40"/>
      <c r="T292" s="41" t="e">
        <f>VLOOKUP($B292,'26년 1월 출석표'!$B$2:$BQ$497,38,0)/5</f>
        <v>#N/A</v>
      </c>
      <c r="U292" s="40"/>
      <c r="V292" s="41" t="e">
        <f>VLOOKUP($B292,'26년 1월 출석표'!$B$2:$BQ$497,52,0)/5</f>
        <v>#N/A</v>
      </c>
      <c r="W292" s="42"/>
      <c r="X292" s="41" t="e">
        <f>VLOOKUP($B292,'26년 1월 출석표'!$B$2:$BQ$503,66,0)/5</f>
        <v>#N/A</v>
      </c>
      <c r="Y292" s="43"/>
    </row>
    <row r="293" spans="1:25" ht="16.5">
      <c r="A293" s="29"/>
      <c r="B293" s="52"/>
      <c r="C293" s="52"/>
      <c r="D293" s="53"/>
      <c r="E293" s="54"/>
      <c r="F293" s="52"/>
      <c r="G293" s="55"/>
      <c r="H293" s="56"/>
      <c r="I293" s="34" t="e">
        <f>VLOOKUP(B293,'26년 1월 출석표'!$B$7:$D$500,3,0)</f>
        <v>#N/A</v>
      </c>
      <c r="J293" s="35" t="e">
        <f t="shared" ca="1" si="0"/>
        <v>#NAME?</v>
      </c>
      <c r="K293" s="36" t="str">
        <f t="shared" si="1"/>
        <v/>
      </c>
      <c r="L293" s="37" t="str">
        <f t="shared" si="2"/>
        <v/>
      </c>
      <c r="M293" s="30"/>
      <c r="N293" s="38" t="b">
        <v>0</v>
      </c>
      <c r="O293" s="38" t="b">
        <v>0</v>
      </c>
      <c r="P293" s="39" t="e">
        <f>VLOOKUP($B293,'26년 1월 출석표'!$B$2:$BQ$497,10,0)/1</f>
        <v>#N/A</v>
      </c>
      <c r="Q293" s="40"/>
      <c r="R293" s="41" t="e">
        <f>VLOOKUP($B293,'26년 1월 출석표'!$B$2:$BQ$497,24,0)/5</f>
        <v>#N/A</v>
      </c>
      <c r="S293" s="40"/>
      <c r="T293" s="41" t="e">
        <f>VLOOKUP($B293,'26년 1월 출석표'!$B$2:$BQ$497,38,0)/5</f>
        <v>#N/A</v>
      </c>
      <c r="U293" s="40"/>
      <c r="V293" s="41" t="e">
        <f>VLOOKUP($B293,'26년 1월 출석표'!$B$2:$BQ$497,52,0)/5</f>
        <v>#N/A</v>
      </c>
      <c r="W293" s="42"/>
      <c r="X293" s="41" t="e">
        <f>VLOOKUP($B293,'26년 1월 출석표'!$B$2:$BQ$503,66,0)/5</f>
        <v>#N/A</v>
      </c>
      <c r="Y293" s="43"/>
    </row>
    <row r="294" spans="1:25" ht="16.5">
      <c r="A294" s="29"/>
      <c r="B294" s="52"/>
      <c r="C294" s="52"/>
      <c r="D294" s="53"/>
      <c r="E294" s="54"/>
      <c r="F294" s="52"/>
      <c r="G294" s="55"/>
      <c r="H294" s="56"/>
      <c r="I294" s="34" t="e">
        <f>VLOOKUP(B294,'26년 1월 출석표'!$B$7:$D$500,3,0)</f>
        <v>#N/A</v>
      </c>
      <c r="J294" s="35" t="e">
        <f t="shared" ca="1" si="0"/>
        <v>#NAME?</v>
      </c>
      <c r="K294" s="36" t="str">
        <f t="shared" si="1"/>
        <v/>
      </c>
      <c r="L294" s="37" t="str">
        <f t="shared" si="2"/>
        <v/>
      </c>
      <c r="M294" s="30"/>
      <c r="N294" s="38" t="b">
        <v>0</v>
      </c>
      <c r="O294" s="38" t="b">
        <v>0</v>
      </c>
      <c r="P294" s="39" t="e">
        <f>VLOOKUP($B294,'26년 1월 출석표'!$B$2:$BQ$497,10,0)/1</f>
        <v>#N/A</v>
      </c>
      <c r="Q294" s="40"/>
      <c r="R294" s="41" t="e">
        <f>VLOOKUP($B294,'26년 1월 출석표'!$B$2:$BQ$497,24,0)/5</f>
        <v>#N/A</v>
      </c>
      <c r="S294" s="40"/>
      <c r="T294" s="41" t="e">
        <f>VLOOKUP($B294,'26년 1월 출석표'!$B$2:$BQ$497,38,0)/5</f>
        <v>#N/A</v>
      </c>
      <c r="U294" s="40"/>
      <c r="V294" s="41" t="e">
        <f>VLOOKUP($B294,'26년 1월 출석표'!$B$2:$BQ$497,52,0)/5</f>
        <v>#N/A</v>
      </c>
      <c r="W294" s="42"/>
      <c r="X294" s="41" t="e">
        <f>VLOOKUP($B294,'26년 1월 출석표'!$B$2:$BQ$503,66,0)/5</f>
        <v>#N/A</v>
      </c>
      <c r="Y294" s="43"/>
    </row>
    <row r="295" spans="1:25" ht="16.5">
      <c r="A295" s="29"/>
      <c r="B295" s="52"/>
      <c r="C295" s="52"/>
      <c r="D295" s="53"/>
      <c r="E295" s="54"/>
      <c r="F295" s="52"/>
      <c r="G295" s="55"/>
      <c r="H295" s="56"/>
      <c r="I295" s="34" t="e">
        <f>VLOOKUP(B295,'26년 1월 출석표'!$B$7:$D$500,3,0)</f>
        <v>#N/A</v>
      </c>
      <c r="J295" s="35" t="e">
        <f t="shared" ca="1" si="0"/>
        <v>#NAME?</v>
      </c>
      <c r="K295" s="36" t="str">
        <f t="shared" si="1"/>
        <v/>
      </c>
      <c r="L295" s="37" t="str">
        <f t="shared" si="2"/>
        <v/>
      </c>
      <c r="M295" s="30"/>
      <c r="N295" s="38" t="b">
        <v>0</v>
      </c>
      <c r="O295" s="38" t="b">
        <v>0</v>
      </c>
      <c r="P295" s="39" t="e">
        <f>VLOOKUP($B295,'26년 1월 출석표'!$B$2:$BQ$497,10,0)/1</f>
        <v>#N/A</v>
      </c>
      <c r="Q295" s="40"/>
      <c r="R295" s="41" t="e">
        <f>VLOOKUP($B295,'26년 1월 출석표'!$B$2:$BQ$497,24,0)/5</f>
        <v>#N/A</v>
      </c>
      <c r="S295" s="40"/>
      <c r="T295" s="41" t="e">
        <f>VLOOKUP($B295,'26년 1월 출석표'!$B$2:$BQ$497,38,0)/5</f>
        <v>#N/A</v>
      </c>
      <c r="U295" s="40"/>
      <c r="V295" s="41" t="e">
        <f>VLOOKUP($B295,'26년 1월 출석표'!$B$2:$BQ$497,52,0)/5</f>
        <v>#N/A</v>
      </c>
      <c r="W295" s="42"/>
      <c r="X295" s="41" t="e">
        <f>VLOOKUP($B295,'26년 1월 출석표'!$B$2:$BQ$503,66,0)/5</f>
        <v>#N/A</v>
      </c>
      <c r="Y295" s="43"/>
    </row>
    <row r="296" spans="1:25" ht="16.5">
      <c r="A296" s="29"/>
      <c r="B296" s="52"/>
      <c r="C296" s="52"/>
      <c r="D296" s="53"/>
      <c r="E296" s="54"/>
      <c r="F296" s="52"/>
      <c r="G296" s="55"/>
      <c r="H296" s="56"/>
      <c r="I296" s="34" t="e">
        <f>VLOOKUP(B296,'26년 1월 출석표'!$B$7:$D$500,3,0)</f>
        <v>#N/A</v>
      </c>
      <c r="J296" s="35" t="e">
        <f t="shared" ca="1" si="0"/>
        <v>#NAME?</v>
      </c>
      <c r="K296" s="36" t="str">
        <f t="shared" si="1"/>
        <v/>
      </c>
      <c r="L296" s="37" t="str">
        <f t="shared" si="2"/>
        <v/>
      </c>
      <c r="M296" s="30"/>
      <c r="N296" s="38" t="b">
        <v>0</v>
      </c>
      <c r="O296" s="38" t="b">
        <v>0</v>
      </c>
      <c r="P296" s="39" t="e">
        <f>VLOOKUP($B296,'26년 1월 출석표'!$B$2:$BQ$497,10,0)/1</f>
        <v>#N/A</v>
      </c>
      <c r="Q296" s="40"/>
      <c r="R296" s="41" t="e">
        <f>VLOOKUP($B296,'26년 1월 출석표'!$B$2:$BQ$497,24,0)/5</f>
        <v>#N/A</v>
      </c>
      <c r="S296" s="40"/>
      <c r="T296" s="41" t="e">
        <f>VLOOKUP($B296,'26년 1월 출석표'!$B$2:$BQ$497,38,0)/5</f>
        <v>#N/A</v>
      </c>
      <c r="U296" s="40"/>
      <c r="V296" s="41" t="e">
        <f>VLOOKUP($B296,'26년 1월 출석표'!$B$2:$BQ$497,52,0)/5</f>
        <v>#N/A</v>
      </c>
      <c r="W296" s="42"/>
      <c r="X296" s="41" t="e">
        <f>VLOOKUP($B296,'26년 1월 출석표'!$B$2:$BQ$503,66,0)/5</f>
        <v>#N/A</v>
      </c>
      <c r="Y296" s="43"/>
    </row>
    <row r="297" spans="1:25" ht="16.5">
      <c r="A297" s="29"/>
      <c r="B297" s="52"/>
      <c r="C297" s="52"/>
      <c r="D297" s="53"/>
      <c r="E297" s="54"/>
      <c r="F297" s="52"/>
      <c r="G297" s="55"/>
      <c r="H297" s="56"/>
      <c r="I297" s="34" t="e">
        <f>VLOOKUP(B297,'26년 1월 출석표'!$B$7:$D$500,3,0)</f>
        <v>#N/A</v>
      </c>
      <c r="J297" s="35" t="e">
        <f t="shared" ca="1" si="0"/>
        <v>#NAME?</v>
      </c>
      <c r="K297" s="36" t="str">
        <f t="shared" si="1"/>
        <v/>
      </c>
      <c r="L297" s="37" t="str">
        <f t="shared" si="2"/>
        <v/>
      </c>
      <c r="M297" s="30"/>
      <c r="N297" s="38" t="b">
        <v>0</v>
      </c>
      <c r="O297" s="38" t="b">
        <v>0</v>
      </c>
      <c r="P297" s="39" t="e">
        <f>VLOOKUP($B297,'26년 1월 출석표'!$B$2:$BQ$497,10,0)/1</f>
        <v>#N/A</v>
      </c>
      <c r="Q297" s="40"/>
      <c r="R297" s="41" t="e">
        <f>VLOOKUP($B297,'26년 1월 출석표'!$B$2:$BQ$497,24,0)/5</f>
        <v>#N/A</v>
      </c>
      <c r="S297" s="40"/>
      <c r="T297" s="41" t="e">
        <f>VLOOKUP($B297,'26년 1월 출석표'!$B$2:$BQ$497,38,0)/5</f>
        <v>#N/A</v>
      </c>
      <c r="U297" s="40"/>
      <c r="V297" s="41" t="e">
        <f>VLOOKUP($B297,'26년 1월 출석표'!$B$2:$BQ$497,52,0)/5</f>
        <v>#N/A</v>
      </c>
      <c r="W297" s="42"/>
      <c r="X297" s="41" t="e">
        <f>VLOOKUP($B297,'26년 1월 출석표'!$B$2:$BQ$503,66,0)/5</f>
        <v>#N/A</v>
      </c>
      <c r="Y297" s="43"/>
    </row>
    <row r="298" spans="1:25" ht="16.5">
      <c r="A298" s="29"/>
      <c r="B298" s="52"/>
      <c r="C298" s="52"/>
      <c r="D298" s="53"/>
      <c r="E298" s="54"/>
      <c r="F298" s="52"/>
      <c r="G298" s="55"/>
      <c r="H298" s="56"/>
      <c r="I298" s="34" t="e">
        <f>VLOOKUP(B298,'26년 1월 출석표'!$B$7:$D$500,3,0)</f>
        <v>#N/A</v>
      </c>
      <c r="J298" s="35" t="e">
        <f t="shared" ca="1" si="0"/>
        <v>#NAME?</v>
      </c>
      <c r="K298" s="36" t="str">
        <f t="shared" si="1"/>
        <v/>
      </c>
      <c r="L298" s="37" t="str">
        <f t="shared" si="2"/>
        <v/>
      </c>
      <c r="M298" s="30"/>
      <c r="N298" s="38" t="b">
        <v>0</v>
      </c>
      <c r="O298" s="38" t="b">
        <v>0</v>
      </c>
      <c r="P298" s="39" t="e">
        <f>VLOOKUP($B298,'26년 1월 출석표'!$B$2:$BQ$497,10,0)/1</f>
        <v>#N/A</v>
      </c>
      <c r="Q298" s="40"/>
      <c r="R298" s="41" t="e">
        <f>VLOOKUP($B298,'26년 1월 출석표'!$B$2:$BQ$497,24,0)/5</f>
        <v>#N/A</v>
      </c>
      <c r="S298" s="40"/>
      <c r="T298" s="41" t="e">
        <f>VLOOKUP($B298,'26년 1월 출석표'!$B$2:$BQ$497,38,0)/5</f>
        <v>#N/A</v>
      </c>
      <c r="U298" s="40"/>
      <c r="V298" s="41" t="e">
        <f>VLOOKUP($B298,'26년 1월 출석표'!$B$2:$BQ$497,52,0)/5</f>
        <v>#N/A</v>
      </c>
      <c r="W298" s="42"/>
      <c r="X298" s="41" t="e">
        <f>VLOOKUP($B298,'26년 1월 출석표'!$B$2:$BQ$503,66,0)/5</f>
        <v>#N/A</v>
      </c>
      <c r="Y298" s="43"/>
    </row>
    <row r="299" spans="1:25" ht="16.5">
      <c r="A299" s="29"/>
      <c r="B299" s="52"/>
      <c r="C299" s="52"/>
      <c r="D299" s="53"/>
      <c r="E299" s="54"/>
      <c r="F299" s="52"/>
      <c r="G299" s="55"/>
      <c r="H299" s="56"/>
      <c r="I299" s="34" t="e">
        <f>VLOOKUP(B299,'26년 1월 출석표'!$B$7:$D$500,3,0)</f>
        <v>#N/A</v>
      </c>
      <c r="J299" s="35" t="e">
        <f t="shared" ca="1" si="0"/>
        <v>#NAME?</v>
      </c>
      <c r="K299" s="36" t="str">
        <f t="shared" si="1"/>
        <v/>
      </c>
      <c r="L299" s="37" t="str">
        <f t="shared" si="2"/>
        <v/>
      </c>
      <c r="M299" s="30"/>
      <c r="N299" s="38" t="b">
        <v>0</v>
      </c>
      <c r="O299" s="38" t="b">
        <v>0</v>
      </c>
      <c r="P299" s="39" t="e">
        <f>VLOOKUP($B299,'26년 1월 출석표'!$B$2:$BQ$497,10,0)/1</f>
        <v>#N/A</v>
      </c>
      <c r="Q299" s="40"/>
      <c r="R299" s="41" t="e">
        <f>VLOOKUP($B299,'26년 1월 출석표'!$B$2:$BQ$497,24,0)/5</f>
        <v>#N/A</v>
      </c>
      <c r="S299" s="40"/>
      <c r="T299" s="41" t="e">
        <f>VLOOKUP($B299,'26년 1월 출석표'!$B$2:$BQ$497,38,0)/5</f>
        <v>#N/A</v>
      </c>
      <c r="U299" s="40"/>
      <c r="V299" s="41" t="e">
        <f>VLOOKUP($B299,'26년 1월 출석표'!$B$2:$BQ$497,52,0)/5</f>
        <v>#N/A</v>
      </c>
      <c r="W299" s="42"/>
      <c r="X299" s="41" t="e">
        <f>VLOOKUP($B299,'26년 1월 출석표'!$B$2:$BQ$503,66,0)/5</f>
        <v>#N/A</v>
      </c>
      <c r="Y299" s="43"/>
    </row>
    <row r="300" spans="1:25" ht="16.5">
      <c r="A300" s="29"/>
      <c r="B300" s="52"/>
      <c r="C300" s="52"/>
      <c r="D300" s="53"/>
      <c r="E300" s="54"/>
      <c r="F300" s="52"/>
      <c r="G300" s="55"/>
      <c r="H300" s="56"/>
      <c r="I300" s="34" t="e">
        <f>VLOOKUP(B300,'26년 1월 출석표'!$B$7:$D$500,3,0)</f>
        <v>#N/A</v>
      </c>
      <c r="J300" s="35" t="e">
        <f t="shared" ca="1" si="0"/>
        <v>#NAME?</v>
      </c>
      <c r="K300" s="36" t="str">
        <f t="shared" si="1"/>
        <v/>
      </c>
      <c r="L300" s="37" t="str">
        <f t="shared" si="2"/>
        <v/>
      </c>
      <c r="M300" s="30"/>
      <c r="N300" s="38" t="b">
        <v>0</v>
      </c>
      <c r="O300" s="38" t="b">
        <v>0</v>
      </c>
      <c r="P300" s="39" t="e">
        <f>VLOOKUP($B300,'26년 1월 출석표'!$B$2:$BQ$497,10,0)/1</f>
        <v>#N/A</v>
      </c>
      <c r="Q300" s="40"/>
      <c r="R300" s="41" t="e">
        <f>VLOOKUP($B300,'26년 1월 출석표'!$B$2:$BQ$497,24,0)/5</f>
        <v>#N/A</v>
      </c>
      <c r="S300" s="40"/>
      <c r="T300" s="41" t="e">
        <f>VLOOKUP($B300,'26년 1월 출석표'!$B$2:$BQ$497,38,0)/5</f>
        <v>#N/A</v>
      </c>
      <c r="U300" s="40"/>
      <c r="V300" s="41" t="e">
        <f>VLOOKUP($B300,'26년 1월 출석표'!$B$2:$BQ$497,52,0)/5</f>
        <v>#N/A</v>
      </c>
      <c r="W300" s="42"/>
      <c r="X300" s="41" t="e">
        <f>VLOOKUP($B300,'26년 1월 출석표'!$B$2:$BQ$503,66,0)/5</f>
        <v>#N/A</v>
      </c>
      <c r="Y300" s="43"/>
    </row>
    <row r="301" spans="1:25" ht="16.5">
      <c r="A301" s="29"/>
      <c r="B301" s="52"/>
      <c r="C301" s="52"/>
      <c r="D301" s="53"/>
      <c r="E301" s="54"/>
      <c r="F301" s="52"/>
      <c r="G301" s="55"/>
      <c r="H301" s="56"/>
      <c r="I301" s="34" t="e">
        <f>VLOOKUP(B301,'26년 1월 출석표'!$B$7:$D$500,3,0)</f>
        <v>#N/A</v>
      </c>
      <c r="J301" s="35" t="e">
        <f t="shared" ca="1" si="0"/>
        <v>#NAME?</v>
      </c>
      <c r="K301" s="36" t="str">
        <f t="shared" si="1"/>
        <v/>
      </c>
      <c r="L301" s="37" t="str">
        <f t="shared" si="2"/>
        <v/>
      </c>
      <c r="M301" s="30"/>
      <c r="N301" s="38" t="b">
        <v>0</v>
      </c>
      <c r="O301" s="38" t="b">
        <v>0</v>
      </c>
      <c r="P301" s="39" t="e">
        <f>VLOOKUP($B301,'26년 1월 출석표'!$B$2:$BQ$497,10,0)/1</f>
        <v>#N/A</v>
      </c>
      <c r="Q301" s="40"/>
      <c r="R301" s="41" t="e">
        <f>VLOOKUP($B301,'26년 1월 출석표'!$B$2:$BQ$497,24,0)/5</f>
        <v>#N/A</v>
      </c>
      <c r="S301" s="40"/>
      <c r="T301" s="41" t="e">
        <f>VLOOKUP($B301,'26년 1월 출석표'!$B$2:$BQ$497,38,0)/5</f>
        <v>#N/A</v>
      </c>
      <c r="U301" s="40"/>
      <c r="V301" s="41" t="e">
        <f>VLOOKUP($B301,'26년 1월 출석표'!$B$2:$BQ$497,52,0)/5</f>
        <v>#N/A</v>
      </c>
      <c r="W301" s="42"/>
      <c r="X301" s="41" t="e">
        <f>VLOOKUP($B301,'26년 1월 출석표'!$B$2:$BQ$503,66,0)/5</f>
        <v>#N/A</v>
      </c>
      <c r="Y301" s="43"/>
    </row>
    <row r="302" spans="1:25" ht="16.5">
      <c r="A302" s="29"/>
      <c r="B302" s="52"/>
      <c r="C302" s="52"/>
      <c r="D302" s="53"/>
      <c r="E302" s="54"/>
      <c r="F302" s="52"/>
      <c r="G302" s="55"/>
      <c r="H302" s="56"/>
      <c r="I302" s="34" t="e">
        <f>VLOOKUP(B302,'26년 1월 출석표'!$B$7:$D$500,3,0)</f>
        <v>#N/A</v>
      </c>
      <c r="J302" s="35" t="e">
        <f t="shared" ca="1" si="0"/>
        <v>#NAME?</v>
      </c>
      <c r="K302" s="36" t="str">
        <f t="shared" si="1"/>
        <v/>
      </c>
      <c r="L302" s="37" t="str">
        <f t="shared" si="2"/>
        <v/>
      </c>
      <c r="M302" s="30"/>
      <c r="N302" s="38" t="b">
        <v>0</v>
      </c>
      <c r="O302" s="38" t="b">
        <v>0</v>
      </c>
      <c r="P302" s="39" t="e">
        <f>VLOOKUP($B302,'26년 1월 출석표'!$B$2:$BQ$497,10,0)/1</f>
        <v>#N/A</v>
      </c>
      <c r="Q302" s="40"/>
      <c r="R302" s="41" t="e">
        <f>VLOOKUP($B302,'26년 1월 출석표'!$B$2:$BQ$497,24,0)/5</f>
        <v>#N/A</v>
      </c>
      <c r="S302" s="40"/>
      <c r="T302" s="41" t="e">
        <f>VLOOKUP($B302,'26년 1월 출석표'!$B$2:$BQ$497,38,0)/5</f>
        <v>#N/A</v>
      </c>
      <c r="U302" s="40"/>
      <c r="V302" s="41" t="e">
        <f>VLOOKUP($B302,'26년 1월 출석표'!$B$2:$BQ$497,52,0)/5</f>
        <v>#N/A</v>
      </c>
      <c r="W302" s="42"/>
      <c r="X302" s="41" t="e">
        <f>VLOOKUP($B302,'26년 1월 출석표'!$B$2:$BQ$503,66,0)/5</f>
        <v>#N/A</v>
      </c>
      <c r="Y302" s="43"/>
    </row>
    <row r="303" spans="1:25" ht="16.5">
      <c r="A303" s="29"/>
      <c r="B303" s="52"/>
      <c r="C303" s="52"/>
      <c r="D303" s="53"/>
      <c r="E303" s="54"/>
      <c r="F303" s="52"/>
      <c r="G303" s="55"/>
      <c r="H303" s="56"/>
      <c r="I303" s="34" t="e">
        <f>VLOOKUP(B303,'26년 1월 출석표'!$B$7:$D$500,3,0)</f>
        <v>#N/A</v>
      </c>
      <c r="J303" s="35" t="e">
        <f t="shared" ca="1" si="0"/>
        <v>#NAME?</v>
      </c>
      <c r="K303" s="36" t="str">
        <f t="shared" si="1"/>
        <v/>
      </c>
      <c r="L303" s="37" t="str">
        <f t="shared" si="2"/>
        <v/>
      </c>
      <c r="M303" s="30"/>
      <c r="N303" s="38" t="b">
        <v>0</v>
      </c>
      <c r="O303" s="38" t="b">
        <v>0</v>
      </c>
      <c r="P303" s="39" t="e">
        <f>VLOOKUP($B303,'26년 1월 출석표'!$B$2:$BQ$497,10,0)/1</f>
        <v>#N/A</v>
      </c>
      <c r="Q303" s="40"/>
      <c r="R303" s="41" t="e">
        <f>VLOOKUP($B303,'26년 1월 출석표'!$B$2:$BQ$497,24,0)/5</f>
        <v>#N/A</v>
      </c>
      <c r="S303" s="40"/>
      <c r="T303" s="41" t="e">
        <f>VLOOKUP($B303,'26년 1월 출석표'!$B$2:$BQ$497,38,0)/5</f>
        <v>#N/A</v>
      </c>
      <c r="U303" s="40"/>
      <c r="V303" s="41" t="e">
        <f>VLOOKUP($B303,'26년 1월 출석표'!$B$2:$BQ$497,52,0)/5</f>
        <v>#N/A</v>
      </c>
      <c r="W303" s="42"/>
      <c r="X303" s="41" t="e">
        <f>VLOOKUP($B303,'26년 1월 출석표'!$B$2:$BQ$503,66,0)/5</f>
        <v>#N/A</v>
      </c>
      <c r="Y303" s="43"/>
    </row>
    <row r="304" spans="1:25" ht="16.5">
      <c r="A304" s="29"/>
      <c r="B304" s="52"/>
      <c r="C304" s="52"/>
      <c r="D304" s="53"/>
      <c r="E304" s="54"/>
      <c r="F304" s="52"/>
      <c r="G304" s="55"/>
      <c r="H304" s="56"/>
      <c r="I304" s="34" t="e">
        <f>VLOOKUP(B304,'26년 1월 출석표'!$B$7:$D$500,3,0)</f>
        <v>#N/A</v>
      </c>
      <c r="J304" s="35" t="e">
        <f t="shared" ca="1" si="0"/>
        <v>#NAME?</v>
      </c>
      <c r="K304" s="36" t="str">
        <f t="shared" si="1"/>
        <v/>
      </c>
      <c r="L304" s="37" t="str">
        <f t="shared" si="2"/>
        <v/>
      </c>
      <c r="M304" s="30"/>
      <c r="N304" s="38" t="b">
        <v>0</v>
      </c>
      <c r="O304" s="38" t="b">
        <v>0</v>
      </c>
      <c r="P304" s="39" t="e">
        <f>VLOOKUP($B304,'26년 1월 출석표'!$B$2:$BQ$497,10,0)/1</f>
        <v>#N/A</v>
      </c>
      <c r="Q304" s="40"/>
      <c r="R304" s="41" t="e">
        <f>VLOOKUP($B304,'26년 1월 출석표'!$B$2:$BQ$497,24,0)/5</f>
        <v>#N/A</v>
      </c>
      <c r="S304" s="40"/>
      <c r="T304" s="41" t="e">
        <f>VLOOKUP($B304,'26년 1월 출석표'!$B$2:$BQ$497,38,0)/5</f>
        <v>#N/A</v>
      </c>
      <c r="U304" s="40"/>
      <c r="V304" s="41" t="e">
        <f>VLOOKUP($B304,'26년 1월 출석표'!$B$2:$BQ$497,52,0)/5</f>
        <v>#N/A</v>
      </c>
      <c r="W304" s="42"/>
      <c r="X304" s="41" t="e">
        <f>VLOOKUP($B304,'26년 1월 출석표'!$B$2:$BQ$503,66,0)/5</f>
        <v>#N/A</v>
      </c>
      <c r="Y304" s="43"/>
    </row>
    <row r="305" spans="1:25" ht="16.5">
      <c r="A305" s="29"/>
      <c r="B305" s="52"/>
      <c r="C305" s="52"/>
      <c r="D305" s="53"/>
      <c r="E305" s="54"/>
      <c r="F305" s="52"/>
      <c r="G305" s="55"/>
      <c r="H305" s="56"/>
      <c r="I305" s="34" t="e">
        <f>VLOOKUP(B305,'26년 1월 출석표'!$B$7:$D$500,3,0)</f>
        <v>#N/A</v>
      </c>
      <c r="J305" s="35" t="e">
        <f t="shared" ca="1" si="0"/>
        <v>#NAME?</v>
      </c>
      <c r="K305" s="36" t="str">
        <f t="shared" si="1"/>
        <v/>
      </c>
      <c r="L305" s="37" t="str">
        <f t="shared" si="2"/>
        <v/>
      </c>
      <c r="M305" s="30"/>
      <c r="N305" s="38" t="b">
        <v>0</v>
      </c>
      <c r="O305" s="38" t="b">
        <v>0</v>
      </c>
      <c r="P305" s="39" t="e">
        <f>VLOOKUP($B305,'26년 1월 출석표'!$B$2:$BQ$497,10,0)/1</f>
        <v>#N/A</v>
      </c>
      <c r="Q305" s="40"/>
      <c r="R305" s="41" t="e">
        <f>VLOOKUP($B305,'26년 1월 출석표'!$B$2:$BQ$497,24,0)/5</f>
        <v>#N/A</v>
      </c>
      <c r="S305" s="40"/>
      <c r="T305" s="41" t="e">
        <f>VLOOKUP($B305,'26년 1월 출석표'!$B$2:$BQ$497,38,0)/5</f>
        <v>#N/A</v>
      </c>
      <c r="U305" s="40"/>
      <c r="V305" s="41" t="e">
        <f>VLOOKUP($B305,'26년 1월 출석표'!$B$2:$BQ$497,52,0)/5</f>
        <v>#N/A</v>
      </c>
      <c r="W305" s="42"/>
      <c r="X305" s="41" t="e">
        <f>VLOOKUP($B305,'26년 1월 출석표'!$B$2:$BQ$503,66,0)/5</f>
        <v>#N/A</v>
      </c>
      <c r="Y305" s="43"/>
    </row>
    <row r="306" spans="1:25" ht="16.5">
      <c r="A306" s="29"/>
      <c r="B306" s="52"/>
      <c r="C306" s="52"/>
      <c r="D306" s="53"/>
      <c r="E306" s="54"/>
      <c r="F306" s="52"/>
      <c r="G306" s="55"/>
      <c r="H306" s="56"/>
      <c r="I306" s="34" t="e">
        <f>VLOOKUP(B306,'26년 1월 출석표'!$B$7:$D$500,3,0)</f>
        <v>#N/A</v>
      </c>
      <c r="J306" s="35" t="e">
        <f t="shared" ca="1" si="0"/>
        <v>#NAME?</v>
      </c>
      <c r="K306" s="36" t="str">
        <f t="shared" si="1"/>
        <v/>
      </c>
      <c r="L306" s="37" t="str">
        <f t="shared" si="2"/>
        <v/>
      </c>
      <c r="M306" s="30"/>
      <c r="N306" s="38" t="b">
        <v>0</v>
      </c>
      <c r="O306" s="38" t="b">
        <v>0</v>
      </c>
      <c r="P306" s="39" t="e">
        <f>VLOOKUP($B306,'26년 1월 출석표'!$B$2:$BQ$497,10,0)/1</f>
        <v>#N/A</v>
      </c>
      <c r="Q306" s="40"/>
      <c r="R306" s="41" t="e">
        <f>VLOOKUP($B306,'26년 1월 출석표'!$B$2:$BQ$497,24,0)/5</f>
        <v>#N/A</v>
      </c>
      <c r="S306" s="40"/>
      <c r="T306" s="41" t="e">
        <f>VLOOKUP($B306,'26년 1월 출석표'!$B$2:$BQ$497,38,0)/5</f>
        <v>#N/A</v>
      </c>
      <c r="U306" s="40"/>
      <c r="V306" s="41" t="e">
        <f>VLOOKUP($B306,'26년 1월 출석표'!$B$2:$BQ$497,52,0)/5</f>
        <v>#N/A</v>
      </c>
      <c r="W306" s="42"/>
      <c r="X306" s="41" t="e">
        <f>VLOOKUP($B306,'26년 1월 출석표'!$B$2:$BQ$503,66,0)/5</f>
        <v>#N/A</v>
      </c>
      <c r="Y306" s="43"/>
    </row>
    <row r="307" spans="1:25" ht="16.5">
      <c r="A307" s="29"/>
      <c r="B307" s="52"/>
      <c r="C307" s="52"/>
      <c r="D307" s="53"/>
      <c r="E307" s="54"/>
      <c r="F307" s="52"/>
      <c r="G307" s="55"/>
      <c r="H307" s="56"/>
      <c r="I307" s="34" t="e">
        <f>VLOOKUP(B307,'26년 1월 출석표'!$B$7:$D$500,3,0)</f>
        <v>#N/A</v>
      </c>
      <c r="J307" s="35" t="e">
        <f t="shared" ca="1" si="0"/>
        <v>#NAME?</v>
      </c>
      <c r="K307" s="36" t="str">
        <f t="shared" si="1"/>
        <v/>
      </c>
      <c r="L307" s="37" t="str">
        <f t="shared" si="2"/>
        <v/>
      </c>
      <c r="M307" s="30"/>
      <c r="N307" s="38" t="b">
        <v>0</v>
      </c>
      <c r="O307" s="38" t="b">
        <v>0</v>
      </c>
      <c r="P307" s="39" t="e">
        <f>VLOOKUP($B307,'26년 1월 출석표'!$B$2:$BQ$497,10,0)/1</f>
        <v>#N/A</v>
      </c>
      <c r="Q307" s="40"/>
      <c r="R307" s="41" t="e">
        <f>VLOOKUP($B307,'26년 1월 출석표'!$B$2:$BQ$497,24,0)/5</f>
        <v>#N/A</v>
      </c>
      <c r="S307" s="40"/>
      <c r="T307" s="41" t="e">
        <f>VLOOKUP($B307,'26년 1월 출석표'!$B$2:$BQ$497,38,0)/5</f>
        <v>#N/A</v>
      </c>
      <c r="U307" s="40"/>
      <c r="V307" s="41" t="e">
        <f>VLOOKUP($B307,'26년 1월 출석표'!$B$2:$BQ$497,52,0)/5</f>
        <v>#N/A</v>
      </c>
      <c r="W307" s="42"/>
      <c r="X307" s="41" t="e">
        <f>VLOOKUP($B307,'26년 1월 출석표'!$B$2:$BQ$503,66,0)/5</f>
        <v>#N/A</v>
      </c>
      <c r="Y307" s="43"/>
    </row>
    <row r="308" spans="1:25" ht="16.5">
      <c r="A308" s="29"/>
      <c r="B308" s="52"/>
      <c r="C308" s="52"/>
      <c r="D308" s="53"/>
      <c r="E308" s="54"/>
      <c r="F308" s="52"/>
      <c r="G308" s="55"/>
      <c r="H308" s="56"/>
      <c r="I308" s="34" t="e">
        <f>VLOOKUP(B308,'26년 1월 출석표'!$B$7:$D$500,3,0)</f>
        <v>#N/A</v>
      </c>
      <c r="J308" s="35" t="e">
        <f t="shared" ca="1" si="0"/>
        <v>#NAME?</v>
      </c>
      <c r="K308" s="36" t="str">
        <f t="shared" si="1"/>
        <v/>
      </c>
      <c r="L308" s="37" t="str">
        <f t="shared" si="2"/>
        <v/>
      </c>
      <c r="M308" s="30"/>
      <c r="N308" s="38" t="b">
        <v>0</v>
      </c>
      <c r="O308" s="38" t="b">
        <v>0</v>
      </c>
      <c r="P308" s="39" t="e">
        <f>VLOOKUP($B308,'26년 1월 출석표'!$B$2:$BQ$497,10,0)/1</f>
        <v>#N/A</v>
      </c>
      <c r="Q308" s="40"/>
      <c r="R308" s="41" t="e">
        <f>VLOOKUP($B308,'26년 1월 출석표'!$B$2:$BQ$497,24,0)/5</f>
        <v>#N/A</v>
      </c>
      <c r="S308" s="40"/>
      <c r="T308" s="41" t="e">
        <f>VLOOKUP($B308,'26년 1월 출석표'!$B$2:$BQ$497,38,0)/5</f>
        <v>#N/A</v>
      </c>
      <c r="U308" s="40"/>
      <c r="V308" s="41" t="e">
        <f>VLOOKUP($B308,'26년 1월 출석표'!$B$2:$BQ$497,52,0)/5</f>
        <v>#N/A</v>
      </c>
      <c r="W308" s="42"/>
      <c r="X308" s="41" t="e">
        <f>VLOOKUP($B308,'26년 1월 출석표'!$B$2:$BQ$503,66,0)/5</f>
        <v>#N/A</v>
      </c>
      <c r="Y308" s="43"/>
    </row>
    <row r="309" spans="1:25" ht="16.5">
      <c r="A309" s="29"/>
      <c r="B309" s="52"/>
      <c r="C309" s="52"/>
      <c r="D309" s="53"/>
      <c r="E309" s="54"/>
      <c r="F309" s="52"/>
      <c r="G309" s="55"/>
      <c r="H309" s="56"/>
      <c r="I309" s="34" t="e">
        <f>VLOOKUP(B309,'26년 1월 출석표'!$B$7:$D$500,3,0)</f>
        <v>#N/A</v>
      </c>
      <c r="J309" s="35" t="e">
        <f t="shared" ca="1" si="0"/>
        <v>#NAME?</v>
      </c>
      <c r="K309" s="36" t="str">
        <f t="shared" si="1"/>
        <v/>
      </c>
      <c r="L309" s="37" t="str">
        <f t="shared" si="2"/>
        <v/>
      </c>
      <c r="M309" s="30"/>
      <c r="N309" s="38" t="b">
        <v>0</v>
      </c>
      <c r="O309" s="38" t="b">
        <v>0</v>
      </c>
      <c r="P309" s="39" t="e">
        <f>VLOOKUP($B309,'26년 1월 출석표'!$B$2:$BQ$497,10,0)/1</f>
        <v>#N/A</v>
      </c>
      <c r="Q309" s="40"/>
      <c r="R309" s="41" t="e">
        <f>VLOOKUP($B309,'26년 1월 출석표'!$B$2:$BQ$497,24,0)/5</f>
        <v>#N/A</v>
      </c>
      <c r="S309" s="40"/>
      <c r="T309" s="41" t="e">
        <f>VLOOKUP($B309,'26년 1월 출석표'!$B$2:$BQ$497,38,0)/5</f>
        <v>#N/A</v>
      </c>
      <c r="U309" s="40"/>
      <c r="V309" s="41" t="e">
        <f>VLOOKUP($B309,'26년 1월 출석표'!$B$2:$BQ$497,52,0)/5</f>
        <v>#N/A</v>
      </c>
      <c r="W309" s="42"/>
      <c r="X309" s="41" t="e">
        <f>VLOOKUP($B309,'26년 1월 출석표'!$B$2:$BQ$503,66,0)/5</f>
        <v>#N/A</v>
      </c>
      <c r="Y309" s="43"/>
    </row>
    <row r="310" spans="1:25" ht="16.5">
      <c r="A310" s="29"/>
      <c r="B310" s="52"/>
      <c r="C310" s="52"/>
      <c r="D310" s="53"/>
      <c r="E310" s="54"/>
      <c r="F310" s="52"/>
      <c r="G310" s="55"/>
      <c r="H310" s="56"/>
      <c r="I310" s="34" t="e">
        <f>VLOOKUP(B310,'26년 1월 출석표'!$B$7:$D$500,3,0)</f>
        <v>#N/A</v>
      </c>
      <c r="J310" s="35" t="e">
        <f t="shared" ca="1" si="0"/>
        <v>#NAME?</v>
      </c>
      <c r="K310" s="36" t="str">
        <f t="shared" si="1"/>
        <v/>
      </c>
      <c r="L310" s="37" t="str">
        <f t="shared" si="2"/>
        <v/>
      </c>
      <c r="M310" s="30"/>
      <c r="N310" s="38" t="b">
        <v>0</v>
      </c>
      <c r="O310" s="38" t="b">
        <v>0</v>
      </c>
      <c r="P310" s="39" t="e">
        <f>VLOOKUP($B310,'26년 1월 출석표'!$B$2:$BQ$497,10,0)/1</f>
        <v>#N/A</v>
      </c>
      <c r="Q310" s="40"/>
      <c r="R310" s="41" t="e">
        <f>VLOOKUP($B310,'26년 1월 출석표'!$B$2:$BQ$497,24,0)/5</f>
        <v>#N/A</v>
      </c>
      <c r="S310" s="40"/>
      <c r="T310" s="41" t="e">
        <f>VLOOKUP($B310,'26년 1월 출석표'!$B$2:$BQ$497,38,0)/5</f>
        <v>#N/A</v>
      </c>
      <c r="U310" s="40"/>
      <c r="V310" s="41" t="e">
        <f>VLOOKUP($B310,'26년 1월 출석표'!$B$2:$BQ$497,52,0)/5</f>
        <v>#N/A</v>
      </c>
      <c r="W310" s="42"/>
      <c r="X310" s="41" t="e">
        <f>VLOOKUP($B310,'26년 1월 출석표'!$B$2:$BQ$503,66,0)/5</f>
        <v>#N/A</v>
      </c>
      <c r="Y310" s="43"/>
    </row>
    <row r="311" spans="1:25" ht="16.5">
      <c r="A311" s="29"/>
      <c r="B311" s="52"/>
      <c r="C311" s="52"/>
      <c r="D311" s="53"/>
      <c r="E311" s="54"/>
      <c r="F311" s="52"/>
      <c r="G311" s="55"/>
      <c r="H311" s="56"/>
      <c r="I311" s="34" t="e">
        <f>VLOOKUP(B311,'26년 1월 출석표'!$B$7:$D$500,3,0)</f>
        <v>#N/A</v>
      </c>
      <c r="J311" s="35" t="e">
        <f t="shared" ca="1" si="0"/>
        <v>#NAME?</v>
      </c>
      <c r="K311" s="36" t="str">
        <f t="shared" si="1"/>
        <v/>
      </c>
      <c r="L311" s="37" t="str">
        <f t="shared" si="2"/>
        <v/>
      </c>
      <c r="M311" s="30"/>
      <c r="N311" s="38" t="b">
        <v>0</v>
      </c>
      <c r="O311" s="38" t="b">
        <v>0</v>
      </c>
      <c r="P311" s="39" t="e">
        <f>VLOOKUP($B311,'26년 1월 출석표'!$B$2:$BQ$497,10,0)/1</f>
        <v>#N/A</v>
      </c>
      <c r="Q311" s="40"/>
      <c r="R311" s="41" t="e">
        <f>VLOOKUP($B311,'26년 1월 출석표'!$B$2:$BQ$497,24,0)/5</f>
        <v>#N/A</v>
      </c>
      <c r="S311" s="40"/>
      <c r="T311" s="41" t="e">
        <f>VLOOKUP($B311,'26년 1월 출석표'!$B$2:$BQ$497,38,0)/5</f>
        <v>#N/A</v>
      </c>
      <c r="U311" s="40"/>
      <c r="V311" s="41" t="e">
        <f>VLOOKUP($B311,'26년 1월 출석표'!$B$2:$BQ$497,52,0)/5</f>
        <v>#N/A</v>
      </c>
      <c r="W311" s="42"/>
      <c r="X311" s="41" t="e">
        <f>VLOOKUP($B311,'26년 1월 출석표'!$B$2:$BQ$503,66,0)/5</f>
        <v>#N/A</v>
      </c>
      <c r="Y311" s="43"/>
    </row>
    <row r="312" spans="1:25" ht="16.5">
      <c r="A312" s="29"/>
      <c r="B312" s="52"/>
      <c r="C312" s="52"/>
      <c r="D312" s="53"/>
      <c r="E312" s="54"/>
      <c r="F312" s="52"/>
      <c r="G312" s="55"/>
      <c r="H312" s="56"/>
      <c r="I312" s="34" t="e">
        <f>VLOOKUP(B312,'26년 1월 출석표'!$B$7:$D$500,3,0)</f>
        <v>#N/A</v>
      </c>
      <c r="J312" s="35" t="e">
        <f t="shared" ca="1" si="0"/>
        <v>#NAME?</v>
      </c>
      <c r="K312" s="36" t="str">
        <f t="shared" si="1"/>
        <v/>
      </c>
      <c r="L312" s="37" t="str">
        <f t="shared" si="2"/>
        <v/>
      </c>
      <c r="M312" s="30"/>
      <c r="N312" s="38" t="b">
        <v>0</v>
      </c>
      <c r="O312" s="38" t="b">
        <v>0</v>
      </c>
      <c r="P312" s="39" t="e">
        <f>VLOOKUP($B312,'26년 1월 출석표'!$B$2:$BQ$497,10,0)/1</f>
        <v>#N/A</v>
      </c>
      <c r="Q312" s="40"/>
      <c r="R312" s="41" t="e">
        <f>VLOOKUP($B312,'26년 1월 출석표'!$B$2:$BQ$497,24,0)/5</f>
        <v>#N/A</v>
      </c>
      <c r="S312" s="40"/>
      <c r="T312" s="41" t="e">
        <f>VLOOKUP($B312,'26년 1월 출석표'!$B$2:$BQ$497,38,0)/5</f>
        <v>#N/A</v>
      </c>
      <c r="U312" s="40"/>
      <c r="V312" s="41" t="e">
        <f>VLOOKUP($B312,'26년 1월 출석표'!$B$2:$BQ$497,52,0)/5</f>
        <v>#N/A</v>
      </c>
      <c r="W312" s="42"/>
      <c r="X312" s="41" t="e">
        <f>VLOOKUP($B312,'26년 1월 출석표'!$B$2:$BQ$503,66,0)/5</f>
        <v>#N/A</v>
      </c>
      <c r="Y312" s="43"/>
    </row>
    <row r="313" spans="1:25" ht="16.5">
      <c r="A313" s="29"/>
      <c r="B313" s="52"/>
      <c r="C313" s="52"/>
      <c r="D313" s="53"/>
      <c r="E313" s="54"/>
      <c r="F313" s="52"/>
      <c r="G313" s="55"/>
      <c r="H313" s="56"/>
      <c r="I313" s="34" t="e">
        <f>VLOOKUP(B313,'26년 1월 출석표'!$B$7:$D$500,3,0)</f>
        <v>#N/A</v>
      </c>
      <c r="J313" s="35" t="e">
        <f t="shared" ca="1" si="0"/>
        <v>#NAME?</v>
      </c>
      <c r="K313" s="36" t="str">
        <f t="shared" si="1"/>
        <v/>
      </c>
      <c r="L313" s="37" t="str">
        <f t="shared" si="2"/>
        <v/>
      </c>
      <c r="M313" s="30"/>
      <c r="N313" s="38" t="b">
        <v>0</v>
      </c>
      <c r="O313" s="38" t="b">
        <v>0</v>
      </c>
      <c r="P313" s="39" t="e">
        <f>VLOOKUP($B313,'26년 1월 출석표'!$B$2:$BQ$497,10,0)/1</f>
        <v>#N/A</v>
      </c>
      <c r="Q313" s="40"/>
      <c r="R313" s="41" t="e">
        <f>VLOOKUP($B313,'26년 1월 출석표'!$B$2:$BQ$497,24,0)/5</f>
        <v>#N/A</v>
      </c>
      <c r="S313" s="40"/>
      <c r="T313" s="41" t="e">
        <f>VLOOKUP($B313,'26년 1월 출석표'!$B$2:$BQ$497,38,0)/5</f>
        <v>#N/A</v>
      </c>
      <c r="U313" s="40"/>
      <c r="V313" s="41" t="e">
        <f>VLOOKUP($B313,'26년 1월 출석표'!$B$2:$BQ$497,52,0)/5</f>
        <v>#N/A</v>
      </c>
      <c r="W313" s="42"/>
      <c r="X313" s="41" t="e">
        <f>VLOOKUP($B313,'26년 1월 출석표'!$B$2:$BQ$503,66,0)/5</f>
        <v>#N/A</v>
      </c>
      <c r="Y313" s="43"/>
    </row>
    <row r="314" spans="1:25" ht="16.5">
      <c r="A314" s="29"/>
      <c r="B314" s="52"/>
      <c r="C314" s="52"/>
      <c r="D314" s="53"/>
      <c r="E314" s="54"/>
      <c r="F314" s="52"/>
      <c r="G314" s="55"/>
      <c r="H314" s="56"/>
      <c r="I314" s="34" t="e">
        <f>VLOOKUP(B314,'26년 1월 출석표'!$B$7:$D$500,3,0)</f>
        <v>#N/A</v>
      </c>
      <c r="J314" s="35" t="e">
        <f t="shared" ca="1" si="0"/>
        <v>#NAME?</v>
      </c>
      <c r="K314" s="36" t="str">
        <f t="shared" si="1"/>
        <v/>
      </c>
      <c r="L314" s="37" t="str">
        <f t="shared" si="2"/>
        <v/>
      </c>
      <c r="M314" s="30"/>
      <c r="N314" s="38" t="b">
        <v>0</v>
      </c>
      <c r="O314" s="38" t="b">
        <v>0</v>
      </c>
      <c r="P314" s="39" t="e">
        <f>VLOOKUP($B314,'26년 1월 출석표'!$B$2:$BQ$497,10,0)/1</f>
        <v>#N/A</v>
      </c>
      <c r="Q314" s="40"/>
      <c r="R314" s="41" t="e">
        <f>VLOOKUP($B314,'26년 1월 출석표'!$B$2:$BQ$497,24,0)/5</f>
        <v>#N/A</v>
      </c>
      <c r="S314" s="40"/>
      <c r="T314" s="41" t="e">
        <f>VLOOKUP($B314,'26년 1월 출석표'!$B$2:$BQ$497,38,0)/5</f>
        <v>#N/A</v>
      </c>
      <c r="U314" s="40"/>
      <c r="V314" s="41" t="e">
        <f>VLOOKUP($B314,'26년 1월 출석표'!$B$2:$BQ$497,52,0)/5</f>
        <v>#N/A</v>
      </c>
      <c r="W314" s="42"/>
      <c r="X314" s="41" t="e">
        <f>VLOOKUP($B314,'26년 1월 출석표'!$B$2:$BQ$503,66,0)/5</f>
        <v>#N/A</v>
      </c>
      <c r="Y314" s="43"/>
    </row>
    <row r="315" spans="1:25" ht="16.5" customHeight="1">
      <c r="A315" s="29"/>
      <c r="B315" s="52"/>
      <c r="C315" s="52"/>
      <c r="D315" s="53"/>
      <c r="E315" s="54"/>
      <c r="F315" s="52"/>
      <c r="G315" s="55"/>
      <c r="H315" s="56"/>
      <c r="I315" s="34" t="e">
        <f>VLOOKUP(B315,'26년 1월 출석표'!$B$7:$D$500,3,0)</f>
        <v>#N/A</v>
      </c>
      <c r="J315" s="35" t="e">
        <f t="shared" ca="1" si="0"/>
        <v>#NAME?</v>
      </c>
      <c r="K315" s="36" t="str">
        <f t="shared" si="1"/>
        <v/>
      </c>
      <c r="L315" s="37" t="str">
        <f t="shared" si="2"/>
        <v/>
      </c>
      <c r="M315" s="30"/>
      <c r="N315" s="38" t="b">
        <v>0</v>
      </c>
      <c r="O315" s="38" t="b">
        <v>0</v>
      </c>
      <c r="P315" s="39" t="e">
        <f>VLOOKUP($B315,'26년 1월 출석표'!$B$2:$BQ$497,10,0)/1</f>
        <v>#N/A</v>
      </c>
      <c r="Q315" s="40"/>
      <c r="R315" s="41" t="e">
        <f>VLOOKUP($B315,'26년 1월 출석표'!$B$2:$BQ$497,24,0)/5</f>
        <v>#N/A</v>
      </c>
      <c r="S315" s="40"/>
      <c r="T315" s="41" t="e">
        <f>VLOOKUP($B315,'26년 1월 출석표'!$B$2:$BQ$497,38,0)/5</f>
        <v>#N/A</v>
      </c>
      <c r="U315" s="40"/>
      <c r="V315" s="41" t="e">
        <f>VLOOKUP($B315,'26년 1월 출석표'!$B$2:$BQ$497,52,0)/5</f>
        <v>#N/A</v>
      </c>
      <c r="W315" s="42"/>
      <c r="X315" s="41" t="e">
        <f>VLOOKUP($B315,'26년 1월 출석표'!$B$2:$BQ$503,66,0)/5</f>
        <v>#N/A</v>
      </c>
      <c r="Y315" s="43"/>
    </row>
    <row r="316" spans="1:25" ht="16.5">
      <c r="A316" s="29"/>
      <c r="B316" s="52"/>
      <c r="C316" s="52"/>
      <c r="D316" s="53"/>
      <c r="E316" s="54"/>
      <c r="F316" s="52"/>
      <c r="G316" s="55"/>
      <c r="H316" s="56"/>
      <c r="I316" s="34" t="e">
        <f>VLOOKUP(B316,'26년 1월 출석표'!$B$7:$D$500,3,0)</f>
        <v>#N/A</v>
      </c>
      <c r="J316" s="35" t="e">
        <f t="shared" ca="1" si="0"/>
        <v>#NAME?</v>
      </c>
      <c r="K316" s="36" t="str">
        <f t="shared" si="1"/>
        <v/>
      </c>
      <c r="L316" s="37" t="str">
        <f t="shared" si="2"/>
        <v/>
      </c>
      <c r="M316" s="30"/>
      <c r="N316" s="38" t="b">
        <v>0</v>
      </c>
      <c r="O316" s="38" t="b">
        <v>0</v>
      </c>
      <c r="P316" s="39" t="e">
        <f>VLOOKUP($B316,'26년 1월 출석표'!$B$2:$BQ$497,10,0)/1</f>
        <v>#N/A</v>
      </c>
      <c r="Q316" s="40"/>
      <c r="R316" s="41" t="e">
        <f>VLOOKUP($B316,'26년 1월 출석표'!$B$2:$BQ$497,24,0)/5</f>
        <v>#N/A</v>
      </c>
      <c r="S316" s="40"/>
      <c r="T316" s="41" t="e">
        <f>VLOOKUP($B316,'26년 1월 출석표'!$B$2:$BQ$497,38,0)/5</f>
        <v>#N/A</v>
      </c>
      <c r="U316" s="40"/>
      <c r="V316" s="41" t="e">
        <f>VLOOKUP($B316,'26년 1월 출석표'!$B$2:$BQ$497,52,0)/5</f>
        <v>#N/A</v>
      </c>
      <c r="W316" s="42"/>
      <c r="X316" s="41" t="e">
        <f>VLOOKUP($B316,'26년 1월 출석표'!$B$2:$BQ$503,66,0)/5</f>
        <v>#N/A</v>
      </c>
      <c r="Y316" s="43"/>
    </row>
    <row r="317" spans="1:25" ht="16.5">
      <c r="A317" s="29"/>
      <c r="B317" s="52"/>
      <c r="C317" s="52"/>
      <c r="D317" s="53"/>
      <c r="E317" s="54"/>
      <c r="F317" s="52"/>
      <c r="G317" s="55"/>
      <c r="H317" s="56"/>
      <c r="I317" s="34" t="e">
        <f>VLOOKUP(B317,'26년 1월 출석표'!$B$7:$D$500,3,0)</f>
        <v>#N/A</v>
      </c>
      <c r="J317" s="35" t="e">
        <f t="shared" ca="1" si="0"/>
        <v>#NAME?</v>
      </c>
      <c r="K317" s="36" t="str">
        <f t="shared" si="1"/>
        <v/>
      </c>
      <c r="L317" s="37" t="str">
        <f t="shared" si="2"/>
        <v/>
      </c>
      <c r="M317" s="30"/>
      <c r="N317" s="38" t="b">
        <v>0</v>
      </c>
      <c r="O317" s="38" t="b">
        <v>0</v>
      </c>
      <c r="P317" s="39" t="e">
        <f>VLOOKUP($B317,'26년 1월 출석표'!$B$2:$BQ$497,10,0)/1</f>
        <v>#N/A</v>
      </c>
      <c r="Q317" s="40"/>
      <c r="R317" s="41" t="e">
        <f>VLOOKUP($B317,'26년 1월 출석표'!$B$2:$BQ$497,24,0)/5</f>
        <v>#N/A</v>
      </c>
      <c r="S317" s="40"/>
      <c r="T317" s="41" t="e">
        <f>VLOOKUP($B317,'26년 1월 출석표'!$B$2:$BQ$497,38,0)/5</f>
        <v>#N/A</v>
      </c>
      <c r="U317" s="40"/>
      <c r="V317" s="41" t="e">
        <f>VLOOKUP($B317,'26년 1월 출석표'!$B$2:$BQ$497,52,0)/5</f>
        <v>#N/A</v>
      </c>
      <c r="W317" s="42"/>
      <c r="X317" s="41" t="e">
        <f>VLOOKUP($B317,'26년 1월 출석표'!$B$2:$BQ$503,66,0)/5</f>
        <v>#N/A</v>
      </c>
      <c r="Y317" s="43"/>
    </row>
    <row r="318" spans="1:25" ht="16.5">
      <c r="A318" s="29"/>
      <c r="B318" s="52"/>
      <c r="C318" s="52"/>
      <c r="D318" s="53"/>
      <c r="E318" s="54"/>
      <c r="F318" s="52"/>
      <c r="G318" s="55"/>
      <c r="H318" s="56"/>
      <c r="I318" s="34" t="e">
        <f>VLOOKUP(B318,'26년 1월 출석표'!$B$7:$D$500,3,0)</f>
        <v>#N/A</v>
      </c>
      <c r="J318" s="35" t="e">
        <f t="shared" ca="1" si="0"/>
        <v>#NAME?</v>
      </c>
      <c r="K318" s="36" t="str">
        <f t="shared" si="1"/>
        <v/>
      </c>
      <c r="L318" s="37" t="str">
        <f t="shared" si="2"/>
        <v/>
      </c>
      <c r="M318" s="30"/>
      <c r="N318" s="38" t="b">
        <v>0</v>
      </c>
      <c r="O318" s="38" t="b">
        <v>0</v>
      </c>
      <c r="P318" s="39" t="e">
        <f>VLOOKUP($B318,'26년 1월 출석표'!$B$2:$BQ$497,10,0)/1</f>
        <v>#N/A</v>
      </c>
      <c r="Q318" s="40"/>
      <c r="R318" s="41" t="e">
        <f>VLOOKUP($B318,'26년 1월 출석표'!$B$2:$BQ$497,24,0)/5</f>
        <v>#N/A</v>
      </c>
      <c r="S318" s="40"/>
      <c r="T318" s="41" t="e">
        <f>VLOOKUP($B318,'26년 1월 출석표'!$B$2:$BQ$497,38,0)/5</f>
        <v>#N/A</v>
      </c>
      <c r="U318" s="40"/>
      <c r="V318" s="41" t="e">
        <f>VLOOKUP($B318,'26년 1월 출석표'!$B$2:$BQ$497,52,0)/5</f>
        <v>#N/A</v>
      </c>
      <c r="W318" s="42"/>
      <c r="X318" s="41" t="e">
        <f>VLOOKUP($B318,'26년 1월 출석표'!$B$2:$BQ$503,66,0)/5</f>
        <v>#N/A</v>
      </c>
      <c r="Y318" s="43"/>
    </row>
    <row r="319" spans="1:25" ht="16.5">
      <c r="A319" s="29"/>
      <c r="B319" s="52"/>
      <c r="C319" s="52"/>
      <c r="D319" s="53"/>
      <c r="E319" s="54"/>
      <c r="F319" s="52"/>
      <c r="G319" s="55"/>
      <c r="H319" s="56"/>
      <c r="I319" s="34" t="e">
        <f>VLOOKUP(B319,'26년 1월 출석표'!$B$7:$D$500,3,0)</f>
        <v>#N/A</v>
      </c>
      <c r="J319" s="35" t="e">
        <f t="shared" ca="1" si="0"/>
        <v>#NAME?</v>
      </c>
      <c r="K319" s="36" t="str">
        <f t="shared" si="1"/>
        <v/>
      </c>
      <c r="L319" s="37" t="str">
        <f t="shared" si="2"/>
        <v/>
      </c>
      <c r="M319" s="30"/>
      <c r="N319" s="38" t="b">
        <v>0</v>
      </c>
      <c r="O319" s="38" t="b">
        <v>0</v>
      </c>
      <c r="P319" s="39" t="e">
        <f>VLOOKUP($B319,'26년 1월 출석표'!$B$2:$BQ$497,10,0)/1</f>
        <v>#N/A</v>
      </c>
      <c r="Q319" s="40"/>
      <c r="R319" s="41" t="e">
        <f>VLOOKUP($B319,'26년 1월 출석표'!$B$2:$BQ$497,24,0)/5</f>
        <v>#N/A</v>
      </c>
      <c r="S319" s="40"/>
      <c r="T319" s="41" t="e">
        <f>VLOOKUP($B319,'26년 1월 출석표'!$B$2:$BQ$497,38,0)/5</f>
        <v>#N/A</v>
      </c>
      <c r="U319" s="40"/>
      <c r="V319" s="41" t="e">
        <f>VLOOKUP($B319,'26년 1월 출석표'!$B$2:$BQ$497,52,0)/5</f>
        <v>#N/A</v>
      </c>
      <c r="W319" s="42"/>
      <c r="X319" s="41" t="e">
        <f>VLOOKUP($B319,'26년 1월 출석표'!$B$2:$BQ$503,66,0)/5</f>
        <v>#N/A</v>
      </c>
      <c r="Y319" s="43"/>
    </row>
    <row r="320" spans="1:25" ht="16.5">
      <c r="A320" s="29"/>
      <c r="B320" s="52"/>
      <c r="C320" s="52"/>
      <c r="D320" s="53"/>
      <c r="E320" s="54"/>
      <c r="F320" s="52"/>
      <c r="G320" s="55"/>
      <c r="H320" s="56"/>
      <c r="I320" s="34" t="e">
        <f>VLOOKUP(B320,'26년 1월 출석표'!$B$7:$D$500,3,0)</f>
        <v>#N/A</v>
      </c>
      <c r="J320" s="35" t="e">
        <f t="shared" ca="1" si="0"/>
        <v>#NAME?</v>
      </c>
      <c r="K320" s="36" t="str">
        <f t="shared" si="1"/>
        <v/>
      </c>
      <c r="L320" s="37" t="str">
        <f t="shared" si="2"/>
        <v/>
      </c>
      <c r="M320" s="30"/>
      <c r="N320" s="38" t="b">
        <v>0</v>
      </c>
      <c r="O320" s="38" t="b">
        <v>0</v>
      </c>
      <c r="P320" s="39" t="e">
        <f>VLOOKUP($B320,'26년 1월 출석표'!$B$2:$BQ$497,10,0)/1</f>
        <v>#N/A</v>
      </c>
      <c r="Q320" s="40"/>
      <c r="R320" s="41" t="e">
        <f>VLOOKUP($B320,'26년 1월 출석표'!$B$2:$BQ$497,24,0)/5</f>
        <v>#N/A</v>
      </c>
      <c r="S320" s="40"/>
      <c r="T320" s="41" t="e">
        <f>VLOOKUP($B320,'26년 1월 출석표'!$B$2:$BQ$497,38,0)/5</f>
        <v>#N/A</v>
      </c>
      <c r="U320" s="40"/>
      <c r="V320" s="41" t="e">
        <f>VLOOKUP($B320,'26년 1월 출석표'!$B$2:$BQ$497,52,0)/5</f>
        <v>#N/A</v>
      </c>
      <c r="W320" s="42"/>
      <c r="X320" s="41" t="e">
        <f>VLOOKUP($B320,'26년 1월 출석표'!$B$2:$BQ$503,66,0)/5</f>
        <v>#N/A</v>
      </c>
      <c r="Y320" s="43"/>
    </row>
    <row r="321" spans="1:25" ht="16.5">
      <c r="A321" s="29"/>
      <c r="B321" s="52"/>
      <c r="C321" s="52"/>
      <c r="D321" s="53"/>
      <c r="E321" s="54"/>
      <c r="F321" s="52"/>
      <c r="G321" s="55"/>
      <c r="H321" s="56"/>
      <c r="I321" s="34" t="e">
        <f>VLOOKUP(B321,'26년 1월 출석표'!$B$7:$D$500,3,0)</f>
        <v>#N/A</v>
      </c>
      <c r="J321" s="35" t="e">
        <f t="shared" ca="1" si="0"/>
        <v>#NAME?</v>
      </c>
      <c r="K321" s="36" t="str">
        <f t="shared" si="1"/>
        <v/>
      </c>
      <c r="L321" s="37" t="str">
        <f t="shared" si="2"/>
        <v/>
      </c>
      <c r="M321" s="30"/>
      <c r="N321" s="38" t="b">
        <v>0</v>
      </c>
      <c r="O321" s="38" t="b">
        <v>0</v>
      </c>
      <c r="P321" s="39" t="e">
        <f>VLOOKUP($B321,'26년 1월 출석표'!$B$2:$BQ$497,10,0)/1</f>
        <v>#N/A</v>
      </c>
      <c r="Q321" s="40"/>
      <c r="R321" s="41" t="e">
        <f>VLOOKUP($B321,'26년 1월 출석표'!$B$2:$BQ$497,24,0)/5</f>
        <v>#N/A</v>
      </c>
      <c r="S321" s="40"/>
      <c r="T321" s="41" t="e">
        <f>VLOOKUP($B321,'26년 1월 출석표'!$B$2:$BQ$497,38,0)/5</f>
        <v>#N/A</v>
      </c>
      <c r="U321" s="40"/>
      <c r="V321" s="41" t="e">
        <f>VLOOKUP($B321,'26년 1월 출석표'!$B$2:$BQ$497,52,0)/5</f>
        <v>#N/A</v>
      </c>
      <c r="W321" s="42"/>
      <c r="X321" s="41" t="e">
        <f>VLOOKUP($B321,'26년 1월 출석표'!$B$2:$BQ$503,66,0)/5</f>
        <v>#N/A</v>
      </c>
      <c r="Y321" s="43"/>
    </row>
    <row r="322" spans="1:25" ht="16.5">
      <c r="A322" s="29"/>
      <c r="B322" s="52"/>
      <c r="C322" s="52"/>
      <c r="D322" s="53"/>
      <c r="E322" s="54"/>
      <c r="F322" s="52"/>
      <c r="G322" s="55"/>
      <c r="H322" s="56"/>
      <c r="I322" s="34" t="e">
        <f>VLOOKUP(B322,'26년 1월 출석표'!$B$7:$D$500,3,0)</f>
        <v>#N/A</v>
      </c>
      <c r="J322" s="35" t="e">
        <f t="shared" ca="1" si="0"/>
        <v>#NAME?</v>
      </c>
      <c r="K322" s="36" t="str">
        <f t="shared" si="1"/>
        <v/>
      </c>
      <c r="L322" s="37" t="str">
        <f t="shared" si="2"/>
        <v/>
      </c>
      <c r="M322" s="30"/>
      <c r="N322" s="38" t="b">
        <v>0</v>
      </c>
      <c r="O322" s="38" t="b">
        <v>0</v>
      </c>
      <c r="P322" s="39" t="e">
        <f>VLOOKUP($B322,'26년 1월 출석표'!$B$2:$BQ$497,10,0)/1</f>
        <v>#N/A</v>
      </c>
      <c r="Q322" s="40"/>
      <c r="R322" s="41" t="e">
        <f>VLOOKUP($B322,'26년 1월 출석표'!$B$2:$BQ$497,24,0)/5</f>
        <v>#N/A</v>
      </c>
      <c r="S322" s="40"/>
      <c r="T322" s="41" t="e">
        <f>VLOOKUP($B322,'26년 1월 출석표'!$B$2:$BQ$497,38,0)/5</f>
        <v>#N/A</v>
      </c>
      <c r="U322" s="40"/>
      <c r="V322" s="41" t="e">
        <f>VLOOKUP($B322,'26년 1월 출석표'!$B$2:$BQ$497,52,0)/5</f>
        <v>#N/A</v>
      </c>
      <c r="W322" s="42"/>
      <c r="X322" s="41" t="e">
        <f>VLOOKUP($B322,'26년 1월 출석표'!$B$2:$BQ$503,66,0)/5</f>
        <v>#N/A</v>
      </c>
      <c r="Y322" s="43"/>
    </row>
    <row r="323" spans="1:25" ht="16.5">
      <c r="A323" s="29"/>
      <c r="B323" s="52"/>
      <c r="C323" s="52"/>
      <c r="D323" s="53"/>
      <c r="E323" s="54"/>
      <c r="F323" s="52"/>
      <c r="G323" s="55"/>
      <c r="H323" s="56"/>
      <c r="I323" s="34" t="e">
        <f>VLOOKUP(B323,'26년 1월 출석표'!$B$7:$D$500,3,0)</f>
        <v>#N/A</v>
      </c>
      <c r="J323" s="35" t="e">
        <f t="shared" ca="1" si="0"/>
        <v>#NAME?</v>
      </c>
      <c r="K323" s="36" t="str">
        <f t="shared" si="1"/>
        <v/>
      </c>
      <c r="L323" s="37" t="str">
        <f t="shared" si="2"/>
        <v/>
      </c>
      <c r="M323" s="30"/>
      <c r="N323" s="38" t="b">
        <v>0</v>
      </c>
      <c r="O323" s="38" t="b">
        <v>0</v>
      </c>
      <c r="P323" s="39" t="e">
        <f>VLOOKUP($B323,'26년 1월 출석표'!$B$2:$BQ$497,10,0)/1</f>
        <v>#N/A</v>
      </c>
      <c r="Q323" s="40"/>
      <c r="R323" s="41" t="e">
        <f>VLOOKUP($B323,'26년 1월 출석표'!$B$2:$BQ$497,24,0)/5</f>
        <v>#N/A</v>
      </c>
      <c r="S323" s="40"/>
      <c r="T323" s="41" t="e">
        <f>VLOOKUP($B323,'26년 1월 출석표'!$B$2:$BQ$497,38,0)/5</f>
        <v>#N/A</v>
      </c>
      <c r="U323" s="40"/>
      <c r="V323" s="41" t="e">
        <f>VLOOKUP($B323,'26년 1월 출석표'!$B$2:$BQ$497,52,0)/5</f>
        <v>#N/A</v>
      </c>
      <c r="W323" s="42"/>
      <c r="X323" s="41" t="e">
        <f>VLOOKUP($B323,'26년 1월 출석표'!$B$2:$BQ$503,66,0)/5</f>
        <v>#N/A</v>
      </c>
      <c r="Y323" s="43"/>
    </row>
    <row r="324" spans="1:25" ht="16.5">
      <c r="A324" s="29"/>
      <c r="B324" s="52"/>
      <c r="C324" s="52"/>
      <c r="D324" s="53"/>
      <c r="E324" s="54"/>
      <c r="F324" s="52"/>
      <c r="G324" s="55"/>
      <c r="H324" s="56"/>
      <c r="I324" s="34" t="e">
        <f>VLOOKUP(B324,'26년 1월 출석표'!$B$7:$D$500,3,0)</f>
        <v>#N/A</v>
      </c>
      <c r="J324" s="35" t="e">
        <f t="shared" ca="1" si="0"/>
        <v>#NAME?</v>
      </c>
      <c r="K324" s="36" t="str">
        <f t="shared" si="1"/>
        <v/>
      </c>
      <c r="L324" s="37" t="str">
        <f t="shared" si="2"/>
        <v/>
      </c>
      <c r="M324" s="30"/>
      <c r="N324" s="38" t="b">
        <v>0</v>
      </c>
      <c r="O324" s="38" t="b">
        <v>0</v>
      </c>
      <c r="P324" s="39" t="e">
        <f>VLOOKUP($B324,'26년 1월 출석표'!$B$2:$BQ$497,10,0)/1</f>
        <v>#N/A</v>
      </c>
      <c r="Q324" s="40"/>
      <c r="R324" s="41" t="e">
        <f>VLOOKUP($B324,'26년 1월 출석표'!$B$2:$BQ$497,24,0)/5</f>
        <v>#N/A</v>
      </c>
      <c r="S324" s="40"/>
      <c r="T324" s="41" t="e">
        <f>VLOOKUP($B324,'26년 1월 출석표'!$B$2:$BQ$497,38,0)/5</f>
        <v>#N/A</v>
      </c>
      <c r="U324" s="40"/>
      <c r="V324" s="41" t="e">
        <f>VLOOKUP($B324,'26년 1월 출석표'!$B$2:$BQ$497,52,0)/5</f>
        <v>#N/A</v>
      </c>
      <c r="W324" s="42"/>
      <c r="X324" s="41" t="e">
        <f>VLOOKUP($B324,'26년 1월 출석표'!$B$2:$BQ$503,66,0)/5</f>
        <v>#N/A</v>
      </c>
      <c r="Y324" s="43"/>
    </row>
    <row r="325" spans="1:25" ht="16.5">
      <c r="A325" s="29"/>
      <c r="B325" s="52"/>
      <c r="C325" s="52"/>
      <c r="D325" s="53"/>
      <c r="E325" s="54"/>
      <c r="F325" s="52"/>
      <c r="G325" s="55"/>
      <c r="H325" s="56"/>
      <c r="I325" s="34" t="e">
        <f>VLOOKUP(B325,'26년 1월 출석표'!$B$7:$D$500,3,0)</f>
        <v>#N/A</v>
      </c>
      <c r="J325" s="35" t="e">
        <f t="shared" ca="1" si="0"/>
        <v>#NAME?</v>
      </c>
      <c r="K325" s="36" t="str">
        <f t="shared" si="1"/>
        <v/>
      </c>
      <c r="L325" s="37" t="str">
        <f t="shared" si="2"/>
        <v/>
      </c>
      <c r="M325" s="30"/>
      <c r="N325" s="38" t="b">
        <v>0</v>
      </c>
      <c r="O325" s="38" t="b">
        <v>0</v>
      </c>
      <c r="P325" s="39" t="e">
        <f>VLOOKUP($B325,'26년 1월 출석표'!$B$2:$BQ$497,10,0)/1</f>
        <v>#N/A</v>
      </c>
      <c r="Q325" s="40"/>
      <c r="R325" s="41" t="e">
        <f>VLOOKUP($B325,'26년 1월 출석표'!$B$2:$BQ$497,24,0)/5</f>
        <v>#N/A</v>
      </c>
      <c r="S325" s="40"/>
      <c r="T325" s="41" t="e">
        <f>VLOOKUP($B325,'26년 1월 출석표'!$B$2:$BQ$497,38,0)/5</f>
        <v>#N/A</v>
      </c>
      <c r="U325" s="40"/>
      <c r="V325" s="41" t="e">
        <f>VLOOKUP($B325,'26년 1월 출석표'!$B$2:$BQ$497,52,0)/5</f>
        <v>#N/A</v>
      </c>
      <c r="W325" s="42"/>
      <c r="X325" s="41" t="e">
        <f>VLOOKUP($B325,'26년 1월 출석표'!$B$2:$BQ$503,66,0)/5</f>
        <v>#N/A</v>
      </c>
      <c r="Y325" s="43"/>
    </row>
    <row r="326" spans="1:25" ht="16.5">
      <c r="A326" s="29"/>
      <c r="B326" s="52"/>
      <c r="C326" s="52"/>
      <c r="D326" s="53"/>
      <c r="E326" s="54"/>
      <c r="F326" s="52"/>
      <c r="G326" s="55"/>
      <c r="H326" s="56"/>
      <c r="I326" s="34" t="e">
        <f>VLOOKUP(B326,'26년 1월 출석표'!$B$7:$D$500,3,0)</f>
        <v>#N/A</v>
      </c>
      <c r="J326" s="35" t="e">
        <f t="shared" ca="1" si="0"/>
        <v>#NAME?</v>
      </c>
      <c r="K326" s="36" t="str">
        <f t="shared" si="1"/>
        <v/>
      </c>
      <c r="L326" s="37" t="str">
        <f t="shared" si="2"/>
        <v/>
      </c>
      <c r="M326" s="30"/>
      <c r="N326" s="38" t="b">
        <v>0</v>
      </c>
      <c r="O326" s="38" t="b">
        <v>0</v>
      </c>
      <c r="P326" s="39" t="e">
        <f>VLOOKUP($B326,'26년 1월 출석표'!$B$2:$BQ$497,10,0)/1</f>
        <v>#N/A</v>
      </c>
      <c r="Q326" s="40"/>
      <c r="R326" s="41" t="e">
        <f>VLOOKUP($B326,'26년 1월 출석표'!$B$2:$BQ$497,24,0)/5</f>
        <v>#N/A</v>
      </c>
      <c r="S326" s="40"/>
      <c r="T326" s="41" t="e">
        <f>VLOOKUP($B326,'26년 1월 출석표'!$B$2:$BQ$497,38,0)/5</f>
        <v>#N/A</v>
      </c>
      <c r="U326" s="40"/>
      <c r="V326" s="41" t="e">
        <f>VLOOKUP($B326,'26년 1월 출석표'!$B$2:$BQ$497,52,0)/5</f>
        <v>#N/A</v>
      </c>
      <c r="W326" s="42"/>
      <c r="X326" s="41" t="e">
        <f>VLOOKUP($B326,'26년 1월 출석표'!$B$2:$BQ$503,66,0)/5</f>
        <v>#N/A</v>
      </c>
      <c r="Y326" s="43"/>
    </row>
    <row r="327" spans="1:25" ht="16.5">
      <c r="A327" s="29"/>
      <c r="B327" s="52"/>
      <c r="C327" s="52"/>
      <c r="D327" s="53"/>
      <c r="E327" s="54"/>
      <c r="F327" s="52"/>
      <c r="G327" s="55"/>
      <c r="H327" s="56"/>
      <c r="I327" s="34" t="e">
        <f>VLOOKUP(B327,'26년 1월 출석표'!$B$7:$D$500,3,0)</f>
        <v>#N/A</v>
      </c>
      <c r="J327" s="35" t="e">
        <f t="shared" ca="1" si="0"/>
        <v>#NAME?</v>
      </c>
      <c r="K327" s="36" t="str">
        <f t="shared" si="1"/>
        <v/>
      </c>
      <c r="L327" s="37" t="str">
        <f t="shared" si="2"/>
        <v/>
      </c>
      <c r="M327" s="30"/>
      <c r="N327" s="38" t="b">
        <v>0</v>
      </c>
      <c r="O327" s="38" t="b">
        <v>0</v>
      </c>
      <c r="P327" s="39" t="e">
        <f>VLOOKUP($B327,'26년 1월 출석표'!$B$2:$BQ$497,10,0)/1</f>
        <v>#N/A</v>
      </c>
      <c r="Q327" s="40"/>
      <c r="R327" s="41" t="e">
        <f>VLOOKUP($B327,'26년 1월 출석표'!$B$2:$BQ$497,24,0)/5</f>
        <v>#N/A</v>
      </c>
      <c r="S327" s="40"/>
      <c r="T327" s="41" t="e">
        <f>VLOOKUP($B327,'26년 1월 출석표'!$B$2:$BQ$497,38,0)/5</f>
        <v>#N/A</v>
      </c>
      <c r="U327" s="40"/>
      <c r="V327" s="41" t="e">
        <f>VLOOKUP($B327,'26년 1월 출석표'!$B$2:$BQ$497,52,0)/5</f>
        <v>#N/A</v>
      </c>
      <c r="W327" s="42"/>
      <c r="X327" s="41" t="e">
        <f>VLOOKUP($B327,'26년 1월 출석표'!$B$2:$BQ$503,66,0)/5</f>
        <v>#N/A</v>
      </c>
      <c r="Y327" s="43"/>
    </row>
    <row r="328" spans="1:25" ht="16.5">
      <c r="A328" s="29"/>
      <c r="B328" s="52"/>
      <c r="C328" s="52"/>
      <c r="D328" s="53"/>
      <c r="E328" s="54"/>
      <c r="F328" s="52"/>
      <c r="G328" s="55"/>
      <c r="H328" s="56"/>
      <c r="I328" s="34" t="e">
        <f>VLOOKUP(B328,'26년 1월 출석표'!$B$7:$D$500,3,0)</f>
        <v>#N/A</v>
      </c>
      <c r="J328" s="35" t="e">
        <f t="shared" ca="1" si="0"/>
        <v>#NAME?</v>
      </c>
      <c r="K328" s="36" t="str">
        <f t="shared" si="1"/>
        <v/>
      </c>
      <c r="L328" s="37" t="str">
        <f t="shared" si="2"/>
        <v/>
      </c>
      <c r="M328" s="30"/>
      <c r="N328" s="38" t="b">
        <v>0</v>
      </c>
      <c r="O328" s="38" t="b">
        <v>0</v>
      </c>
      <c r="P328" s="39" t="e">
        <f>VLOOKUP($B328,'26년 1월 출석표'!$B$2:$BQ$497,10,0)/1</f>
        <v>#N/A</v>
      </c>
      <c r="Q328" s="40"/>
      <c r="R328" s="41" t="e">
        <f>VLOOKUP($B328,'26년 1월 출석표'!$B$2:$BQ$497,24,0)/5</f>
        <v>#N/A</v>
      </c>
      <c r="S328" s="40"/>
      <c r="T328" s="41" t="e">
        <f>VLOOKUP($B328,'26년 1월 출석표'!$B$2:$BQ$497,38,0)/5</f>
        <v>#N/A</v>
      </c>
      <c r="U328" s="40"/>
      <c r="V328" s="41" t="e">
        <f>VLOOKUP($B328,'26년 1월 출석표'!$B$2:$BQ$497,52,0)/5</f>
        <v>#N/A</v>
      </c>
      <c r="W328" s="42"/>
      <c r="X328" s="41" t="e">
        <f>VLOOKUP($B328,'26년 1월 출석표'!$B$2:$BQ$503,66,0)/5</f>
        <v>#N/A</v>
      </c>
      <c r="Y328" s="43"/>
    </row>
    <row r="329" spans="1:25" ht="16.5">
      <c r="A329" s="29"/>
      <c r="B329" s="52"/>
      <c r="C329" s="52"/>
      <c r="D329" s="53"/>
      <c r="E329" s="54"/>
      <c r="F329" s="52"/>
      <c r="G329" s="55"/>
      <c r="H329" s="56"/>
      <c r="I329" s="34" t="e">
        <f>VLOOKUP(B329,'26년 1월 출석표'!$B$7:$D$500,3,0)</f>
        <v>#N/A</v>
      </c>
      <c r="J329" s="35" t="e">
        <f t="shared" ca="1" si="0"/>
        <v>#NAME?</v>
      </c>
      <c r="K329" s="36" t="str">
        <f t="shared" si="1"/>
        <v/>
      </c>
      <c r="L329" s="37" t="str">
        <f t="shared" si="2"/>
        <v/>
      </c>
      <c r="M329" s="30"/>
      <c r="N329" s="38" t="b">
        <v>0</v>
      </c>
      <c r="O329" s="38" t="b">
        <v>0</v>
      </c>
      <c r="P329" s="39" t="e">
        <f>VLOOKUP($B329,'26년 1월 출석표'!$B$2:$BQ$497,10,0)/1</f>
        <v>#N/A</v>
      </c>
      <c r="Q329" s="40"/>
      <c r="R329" s="41" t="e">
        <f>VLOOKUP($B329,'26년 1월 출석표'!$B$2:$BQ$497,24,0)/5</f>
        <v>#N/A</v>
      </c>
      <c r="S329" s="40"/>
      <c r="T329" s="41" t="e">
        <f>VLOOKUP($B329,'26년 1월 출석표'!$B$2:$BQ$497,38,0)/5</f>
        <v>#N/A</v>
      </c>
      <c r="U329" s="40"/>
      <c r="V329" s="41" t="e">
        <f>VLOOKUP($B329,'26년 1월 출석표'!$B$2:$BQ$497,52,0)/5</f>
        <v>#N/A</v>
      </c>
      <c r="W329" s="42"/>
      <c r="X329" s="41" t="e">
        <f>VLOOKUP($B329,'26년 1월 출석표'!$B$2:$BQ$503,66,0)/5</f>
        <v>#N/A</v>
      </c>
      <c r="Y329" s="43"/>
    </row>
    <row r="330" spans="1:25" ht="16.5">
      <c r="A330" s="29"/>
      <c r="B330" s="52"/>
      <c r="C330" s="52"/>
      <c r="D330" s="53"/>
      <c r="E330" s="54"/>
      <c r="F330" s="52"/>
      <c r="G330" s="55"/>
      <c r="H330" s="56"/>
      <c r="I330" s="34" t="e">
        <f>VLOOKUP(B330,'26년 1월 출석표'!$B$7:$D$500,3,0)</f>
        <v>#N/A</v>
      </c>
      <c r="J330" s="35" t="e">
        <f t="shared" ca="1" si="0"/>
        <v>#NAME?</v>
      </c>
      <c r="K330" s="36" t="str">
        <f t="shared" si="1"/>
        <v/>
      </c>
      <c r="L330" s="37" t="str">
        <f t="shared" si="2"/>
        <v/>
      </c>
      <c r="M330" s="30"/>
      <c r="N330" s="38" t="b">
        <v>0</v>
      </c>
      <c r="O330" s="38" t="b">
        <v>0</v>
      </c>
      <c r="P330" s="39" t="e">
        <f>VLOOKUP($B330,'26년 1월 출석표'!$B$2:$BQ$497,10,0)/1</f>
        <v>#N/A</v>
      </c>
      <c r="Q330" s="40"/>
      <c r="R330" s="41" t="e">
        <f>VLOOKUP($B330,'26년 1월 출석표'!$B$2:$BQ$497,24,0)/5</f>
        <v>#N/A</v>
      </c>
      <c r="S330" s="40"/>
      <c r="T330" s="41" t="e">
        <f>VLOOKUP($B330,'26년 1월 출석표'!$B$2:$BQ$497,38,0)/5</f>
        <v>#N/A</v>
      </c>
      <c r="U330" s="40"/>
      <c r="V330" s="41" t="e">
        <f>VLOOKUP($B330,'26년 1월 출석표'!$B$2:$BQ$497,52,0)/5</f>
        <v>#N/A</v>
      </c>
      <c r="W330" s="42"/>
      <c r="X330" s="41" t="e">
        <f>VLOOKUP($B330,'26년 1월 출석표'!$B$2:$BQ$503,66,0)/5</f>
        <v>#N/A</v>
      </c>
      <c r="Y330" s="43"/>
    </row>
    <row r="331" spans="1:25" ht="16.5">
      <c r="A331" s="29"/>
      <c r="B331" s="52"/>
      <c r="C331" s="52"/>
      <c r="D331" s="53"/>
      <c r="E331" s="54"/>
      <c r="F331" s="52"/>
      <c r="G331" s="55"/>
      <c r="H331" s="56"/>
      <c r="I331" s="34" t="e">
        <f>VLOOKUP(B331,'26년 1월 출석표'!$B$7:$D$500,3,0)</f>
        <v>#N/A</v>
      </c>
      <c r="J331" s="35" t="e">
        <f t="shared" ca="1" si="0"/>
        <v>#NAME?</v>
      </c>
      <c r="K331" s="36" t="str">
        <f t="shared" si="1"/>
        <v/>
      </c>
      <c r="L331" s="37" t="str">
        <f t="shared" si="2"/>
        <v/>
      </c>
      <c r="M331" s="30"/>
      <c r="N331" s="38" t="b">
        <v>0</v>
      </c>
      <c r="O331" s="38" t="b">
        <v>0</v>
      </c>
      <c r="P331" s="39" t="e">
        <f>VLOOKUP($B331,'26년 1월 출석표'!$B$2:$BQ$497,10,0)/1</f>
        <v>#N/A</v>
      </c>
      <c r="Q331" s="40"/>
      <c r="R331" s="41" t="e">
        <f>VLOOKUP($B331,'26년 1월 출석표'!$B$2:$BQ$497,24,0)/5</f>
        <v>#N/A</v>
      </c>
      <c r="S331" s="40"/>
      <c r="T331" s="41" t="e">
        <f>VLOOKUP($B331,'26년 1월 출석표'!$B$2:$BQ$497,38,0)/5</f>
        <v>#N/A</v>
      </c>
      <c r="U331" s="40"/>
      <c r="V331" s="41" t="e">
        <f>VLOOKUP($B331,'26년 1월 출석표'!$B$2:$BQ$497,52,0)/5</f>
        <v>#N/A</v>
      </c>
      <c r="W331" s="42"/>
      <c r="X331" s="41" t="e">
        <f>VLOOKUP($B331,'26년 1월 출석표'!$B$2:$BQ$503,66,0)/5</f>
        <v>#N/A</v>
      </c>
      <c r="Y331" s="43"/>
    </row>
    <row r="332" spans="1:25" ht="16.5">
      <c r="A332" s="29"/>
      <c r="B332" s="52"/>
      <c r="C332" s="52"/>
      <c r="D332" s="53"/>
      <c r="E332" s="54"/>
      <c r="F332" s="52"/>
      <c r="G332" s="55"/>
      <c r="H332" s="56"/>
      <c r="I332" s="34" t="e">
        <f>VLOOKUP(B332,'26년 1월 출석표'!$B$7:$D$500,3,0)</f>
        <v>#N/A</v>
      </c>
      <c r="J332" s="35" t="e">
        <f t="shared" ca="1" si="0"/>
        <v>#NAME?</v>
      </c>
      <c r="K332" s="36" t="str">
        <f t="shared" si="1"/>
        <v/>
      </c>
      <c r="L332" s="37" t="str">
        <f t="shared" si="2"/>
        <v/>
      </c>
      <c r="M332" s="30"/>
      <c r="N332" s="38" t="b">
        <v>0</v>
      </c>
      <c r="O332" s="38" t="b">
        <v>0</v>
      </c>
      <c r="P332" s="39" t="e">
        <f>VLOOKUP($B332,'26년 1월 출석표'!$B$2:$BQ$497,10,0)/1</f>
        <v>#N/A</v>
      </c>
      <c r="Q332" s="40"/>
      <c r="R332" s="41" t="e">
        <f>VLOOKUP($B332,'26년 1월 출석표'!$B$2:$BQ$497,24,0)/5</f>
        <v>#N/A</v>
      </c>
      <c r="S332" s="40"/>
      <c r="T332" s="41" t="e">
        <f>VLOOKUP($B332,'26년 1월 출석표'!$B$2:$BQ$497,38,0)/5</f>
        <v>#N/A</v>
      </c>
      <c r="U332" s="40"/>
      <c r="V332" s="41" t="e">
        <f>VLOOKUP($B332,'26년 1월 출석표'!$B$2:$BQ$497,52,0)/5</f>
        <v>#N/A</v>
      </c>
      <c r="W332" s="42"/>
      <c r="X332" s="41" t="e">
        <f>VLOOKUP($B332,'26년 1월 출석표'!$B$2:$BQ$503,66,0)/5</f>
        <v>#N/A</v>
      </c>
      <c r="Y332" s="43"/>
    </row>
    <row r="333" spans="1:25" ht="16.5">
      <c r="A333" s="29"/>
      <c r="B333" s="52"/>
      <c r="C333" s="52"/>
      <c r="D333" s="53"/>
      <c r="E333" s="54"/>
      <c r="F333" s="52"/>
      <c r="G333" s="55"/>
      <c r="H333" s="56"/>
      <c r="I333" s="34" t="e">
        <f>VLOOKUP(B333,'26년 1월 출석표'!$B$7:$D$500,3,0)</f>
        <v>#N/A</v>
      </c>
      <c r="J333" s="35" t="e">
        <f t="shared" ca="1" si="0"/>
        <v>#NAME?</v>
      </c>
      <c r="K333" s="36" t="str">
        <f t="shared" si="1"/>
        <v/>
      </c>
      <c r="L333" s="37" t="str">
        <f t="shared" si="2"/>
        <v/>
      </c>
      <c r="M333" s="30"/>
      <c r="N333" s="38" t="b">
        <v>0</v>
      </c>
      <c r="O333" s="38" t="b">
        <v>0</v>
      </c>
      <c r="P333" s="39" t="e">
        <f>VLOOKUP($B333,'26년 1월 출석표'!$B$2:$BQ$497,10,0)/1</f>
        <v>#N/A</v>
      </c>
      <c r="Q333" s="40"/>
      <c r="R333" s="41" t="e">
        <f>VLOOKUP($B333,'26년 1월 출석표'!$B$2:$BQ$497,24,0)/5</f>
        <v>#N/A</v>
      </c>
      <c r="S333" s="40"/>
      <c r="T333" s="41" t="e">
        <f>VLOOKUP($B333,'26년 1월 출석표'!$B$2:$BQ$497,38,0)/5</f>
        <v>#N/A</v>
      </c>
      <c r="U333" s="40"/>
      <c r="V333" s="41" t="e">
        <f>VLOOKUP($B333,'26년 1월 출석표'!$B$2:$BQ$497,52,0)/5</f>
        <v>#N/A</v>
      </c>
      <c r="W333" s="42"/>
      <c r="X333" s="41" t="e">
        <f>VLOOKUP($B333,'26년 1월 출석표'!$B$2:$BQ$503,66,0)/5</f>
        <v>#N/A</v>
      </c>
      <c r="Y333" s="43"/>
    </row>
    <row r="334" spans="1:25" ht="16.5">
      <c r="A334" s="29"/>
      <c r="B334" s="52"/>
      <c r="C334" s="52"/>
      <c r="D334" s="53"/>
      <c r="E334" s="54"/>
      <c r="F334" s="52"/>
      <c r="G334" s="55"/>
      <c r="H334" s="56"/>
      <c r="I334" s="34" t="e">
        <f>VLOOKUP(B334,'26년 1월 출석표'!$B$7:$D$500,3,0)</f>
        <v>#N/A</v>
      </c>
      <c r="J334" s="35" t="e">
        <f t="shared" ca="1" si="0"/>
        <v>#NAME?</v>
      </c>
      <c r="K334" s="36" t="str">
        <f t="shared" si="1"/>
        <v/>
      </c>
      <c r="L334" s="37" t="str">
        <f t="shared" si="2"/>
        <v/>
      </c>
      <c r="M334" s="30"/>
      <c r="N334" s="38" t="b">
        <v>0</v>
      </c>
      <c r="O334" s="38" t="b">
        <v>0</v>
      </c>
      <c r="P334" s="39" t="e">
        <f>VLOOKUP($B334,'26년 1월 출석표'!$B$2:$BQ$497,10,0)/1</f>
        <v>#N/A</v>
      </c>
      <c r="Q334" s="40"/>
      <c r="R334" s="41" t="e">
        <f>VLOOKUP($B334,'26년 1월 출석표'!$B$2:$BQ$497,24,0)/5</f>
        <v>#N/A</v>
      </c>
      <c r="S334" s="40"/>
      <c r="T334" s="41" t="e">
        <f>VLOOKUP($B334,'26년 1월 출석표'!$B$2:$BQ$497,38,0)/5</f>
        <v>#N/A</v>
      </c>
      <c r="U334" s="40"/>
      <c r="V334" s="41" t="e">
        <f>VLOOKUP($B334,'26년 1월 출석표'!$B$2:$BQ$497,52,0)/5</f>
        <v>#N/A</v>
      </c>
      <c r="W334" s="42"/>
      <c r="X334" s="41" t="e">
        <f>VLOOKUP($B334,'26년 1월 출석표'!$B$2:$BQ$503,66,0)/5</f>
        <v>#N/A</v>
      </c>
      <c r="Y334" s="43"/>
    </row>
    <row r="335" spans="1:25" ht="16.5">
      <c r="A335" s="29"/>
      <c r="B335" s="52"/>
      <c r="C335" s="52"/>
      <c r="D335" s="53"/>
      <c r="E335" s="54"/>
      <c r="F335" s="52"/>
      <c r="G335" s="55"/>
      <c r="H335" s="56"/>
      <c r="I335" s="34" t="e">
        <f>VLOOKUP(B335,'26년 1월 출석표'!$B$7:$D$500,3,0)</f>
        <v>#N/A</v>
      </c>
      <c r="J335" s="35" t="e">
        <f t="shared" ca="1" si="0"/>
        <v>#NAME?</v>
      </c>
      <c r="K335" s="36" t="str">
        <f t="shared" si="1"/>
        <v/>
      </c>
      <c r="L335" s="37" t="str">
        <f t="shared" si="2"/>
        <v/>
      </c>
      <c r="M335" s="30"/>
      <c r="N335" s="38" t="b">
        <v>0</v>
      </c>
      <c r="O335" s="38" t="b">
        <v>0</v>
      </c>
      <c r="P335" s="39" t="e">
        <f>VLOOKUP($B335,'26년 1월 출석표'!$B$2:$BQ$497,10,0)/1</f>
        <v>#N/A</v>
      </c>
      <c r="Q335" s="40"/>
      <c r="R335" s="41" t="e">
        <f>VLOOKUP($B335,'26년 1월 출석표'!$B$2:$BQ$497,24,0)/5</f>
        <v>#N/A</v>
      </c>
      <c r="S335" s="40"/>
      <c r="T335" s="41" t="e">
        <f>VLOOKUP($B335,'26년 1월 출석표'!$B$2:$BQ$497,38,0)/5</f>
        <v>#N/A</v>
      </c>
      <c r="U335" s="40"/>
      <c r="V335" s="41" t="e">
        <f>VLOOKUP($B335,'26년 1월 출석표'!$B$2:$BQ$497,52,0)/5</f>
        <v>#N/A</v>
      </c>
      <c r="W335" s="42"/>
      <c r="X335" s="41" t="e">
        <f>VLOOKUP($B335,'26년 1월 출석표'!$B$2:$BQ$503,66,0)/5</f>
        <v>#N/A</v>
      </c>
      <c r="Y335" s="43"/>
    </row>
    <row r="336" spans="1:25" ht="16.5">
      <c r="A336" s="29"/>
      <c r="B336" s="52"/>
      <c r="C336" s="52"/>
      <c r="D336" s="53"/>
      <c r="E336" s="54"/>
      <c r="F336" s="52"/>
      <c r="G336" s="55"/>
      <c r="H336" s="56"/>
      <c r="I336" s="34" t="e">
        <f>VLOOKUP(B336,'26년 1월 출석표'!$B$7:$D$500,3,0)</f>
        <v>#N/A</v>
      </c>
      <c r="J336" s="35" t="e">
        <f t="shared" ca="1" si="0"/>
        <v>#NAME?</v>
      </c>
      <c r="K336" s="36" t="str">
        <f t="shared" si="1"/>
        <v/>
      </c>
      <c r="L336" s="37" t="str">
        <f t="shared" si="2"/>
        <v/>
      </c>
      <c r="M336" s="30"/>
      <c r="N336" s="38" t="b">
        <v>0</v>
      </c>
      <c r="O336" s="38" t="b">
        <v>0</v>
      </c>
      <c r="P336" s="39" t="e">
        <f>VLOOKUP($B336,'26년 1월 출석표'!$B$2:$BQ$497,10,0)/1</f>
        <v>#N/A</v>
      </c>
      <c r="Q336" s="40"/>
      <c r="R336" s="41" t="e">
        <f>VLOOKUP($B336,'26년 1월 출석표'!$B$2:$BQ$497,24,0)/5</f>
        <v>#N/A</v>
      </c>
      <c r="S336" s="40"/>
      <c r="T336" s="41" t="e">
        <f>VLOOKUP($B336,'26년 1월 출석표'!$B$2:$BQ$497,38,0)/5</f>
        <v>#N/A</v>
      </c>
      <c r="U336" s="40"/>
      <c r="V336" s="41" t="e">
        <f>VLOOKUP($B336,'26년 1월 출석표'!$B$2:$BQ$497,52,0)/5</f>
        <v>#N/A</v>
      </c>
      <c r="W336" s="42"/>
      <c r="X336" s="41" t="e">
        <f>VLOOKUP($B336,'26년 1월 출석표'!$B$2:$BQ$503,66,0)/5</f>
        <v>#N/A</v>
      </c>
      <c r="Y336" s="43"/>
    </row>
    <row r="337" spans="1:25" ht="16.5">
      <c r="A337" s="29"/>
      <c r="B337" s="52"/>
      <c r="C337" s="52"/>
      <c r="D337" s="53"/>
      <c r="E337" s="54"/>
      <c r="F337" s="52"/>
      <c r="G337" s="55"/>
      <c r="H337" s="56"/>
      <c r="I337" s="34" t="e">
        <f>VLOOKUP(B337,'26년 1월 출석표'!$B$7:$D$500,3,0)</f>
        <v>#N/A</v>
      </c>
      <c r="J337" s="35" t="e">
        <f t="shared" ca="1" si="0"/>
        <v>#NAME?</v>
      </c>
      <c r="K337" s="36" t="str">
        <f t="shared" si="1"/>
        <v/>
      </c>
      <c r="L337" s="37" t="str">
        <f t="shared" si="2"/>
        <v/>
      </c>
      <c r="M337" s="30"/>
      <c r="N337" s="38" t="b">
        <v>0</v>
      </c>
      <c r="O337" s="38" t="b">
        <v>0</v>
      </c>
      <c r="P337" s="39" t="e">
        <f>VLOOKUP($B337,'26년 1월 출석표'!$B$2:$BQ$497,10,0)/1</f>
        <v>#N/A</v>
      </c>
      <c r="Q337" s="40"/>
      <c r="R337" s="41" t="e">
        <f>VLOOKUP($B337,'26년 1월 출석표'!$B$2:$BQ$497,24,0)/5</f>
        <v>#N/A</v>
      </c>
      <c r="S337" s="40"/>
      <c r="T337" s="41" t="e">
        <f>VLOOKUP($B337,'26년 1월 출석표'!$B$2:$BQ$497,38,0)/5</f>
        <v>#N/A</v>
      </c>
      <c r="U337" s="40"/>
      <c r="V337" s="41" t="e">
        <f>VLOOKUP($B337,'26년 1월 출석표'!$B$2:$BQ$497,52,0)/5</f>
        <v>#N/A</v>
      </c>
      <c r="W337" s="42"/>
      <c r="X337" s="41" t="e">
        <f>VLOOKUP($B337,'26년 1월 출석표'!$B$2:$BQ$503,66,0)/5</f>
        <v>#N/A</v>
      </c>
      <c r="Y337" s="43"/>
    </row>
    <row r="338" spans="1:25" ht="16.5">
      <c r="A338" s="29"/>
      <c r="B338" s="52"/>
      <c r="C338" s="52"/>
      <c r="D338" s="53"/>
      <c r="E338" s="54"/>
      <c r="F338" s="52"/>
      <c r="G338" s="55"/>
      <c r="H338" s="56"/>
      <c r="I338" s="34" t="e">
        <f>VLOOKUP(B338,'26년 1월 출석표'!$B$7:$D$500,3,0)</f>
        <v>#N/A</v>
      </c>
      <c r="J338" s="35" t="e">
        <f t="shared" ca="1" si="0"/>
        <v>#NAME?</v>
      </c>
      <c r="K338" s="36" t="str">
        <f t="shared" si="1"/>
        <v/>
      </c>
      <c r="L338" s="37" t="str">
        <f t="shared" si="2"/>
        <v/>
      </c>
      <c r="M338" s="30"/>
      <c r="N338" s="38" t="b">
        <v>0</v>
      </c>
      <c r="O338" s="38" t="b">
        <v>0</v>
      </c>
      <c r="P338" s="39" t="e">
        <f>VLOOKUP($B338,'26년 1월 출석표'!$B$2:$BQ$497,10,0)/1</f>
        <v>#N/A</v>
      </c>
      <c r="Q338" s="40"/>
      <c r="R338" s="41" t="e">
        <f>VLOOKUP($B338,'26년 1월 출석표'!$B$2:$BQ$497,24,0)/5</f>
        <v>#N/A</v>
      </c>
      <c r="S338" s="40"/>
      <c r="T338" s="41" t="e">
        <f>VLOOKUP($B338,'26년 1월 출석표'!$B$2:$BQ$497,38,0)/5</f>
        <v>#N/A</v>
      </c>
      <c r="U338" s="40"/>
      <c r="V338" s="41" t="e">
        <f>VLOOKUP($B338,'26년 1월 출석표'!$B$2:$BQ$497,52,0)/5</f>
        <v>#N/A</v>
      </c>
      <c r="W338" s="42"/>
      <c r="X338" s="41" t="e">
        <f>VLOOKUP($B338,'26년 1월 출석표'!$B$2:$BQ$503,66,0)/5</f>
        <v>#N/A</v>
      </c>
      <c r="Y338" s="43"/>
    </row>
    <row r="339" spans="1:25" ht="16.5">
      <c r="A339" s="29"/>
      <c r="B339" s="52"/>
      <c r="C339" s="52"/>
      <c r="D339" s="53"/>
      <c r="E339" s="54"/>
      <c r="F339" s="52"/>
      <c r="G339" s="55"/>
      <c r="H339" s="56"/>
      <c r="I339" s="34" t="e">
        <f>VLOOKUP(B339,'26년 1월 출석표'!$B$7:$D$500,3,0)</f>
        <v>#N/A</v>
      </c>
      <c r="J339" s="35" t="e">
        <f t="shared" ca="1" si="0"/>
        <v>#NAME?</v>
      </c>
      <c r="K339" s="36" t="str">
        <f t="shared" si="1"/>
        <v/>
      </c>
      <c r="L339" s="37" t="str">
        <f t="shared" si="2"/>
        <v/>
      </c>
      <c r="M339" s="30"/>
      <c r="N339" s="38" t="b">
        <v>0</v>
      </c>
      <c r="O339" s="38" t="b">
        <v>0</v>
      </c>
      <c r="P339" s="39" t="e">
        <f>VLOOKUP($B339,'26년 1월 출석표'!$B$2:$BQ$497,10,0)/1</f>
        <v>#N/A</v>
      </c>
      <c r="Q339" s="40"/>
      <c r="R339" s="41" t="e">
        <f>VLOOKUP($B339,'26년 1월 출석표'!$B$2:$BQ$497,24,0)/5</f>
        <v>#N/A</v>
      </c>
      <c r="S339" s="40"/>
      <c r="T339" s="41" t="e">
        <f>VLOOKUP($B339,'26년 1월 출석표'!$B$2:$BQ$497,38,0)/5</f>
        <v>#N/A</v>
      </c>
      <c r="U339" s="40"/>
      <c r="V339" s="41" t="e">
        <f>VLOOKUP($B339,'26년 1월 출석표'!$B$2:$BQ$497,52,0)/5</f>
        <v>#N/A</v>
      </c>
      <c r="W339" s="42"/>
      <c r="X339" s="41" t="e">
        <f>VLOOKUP($B339,'26년 1월 출석표'!$B$2:$BQ$503,66,0)/5</f>
        <v>#N/A</v>
      </c>
      <c r="Y339" s="43"/>
    </row>
    <row r="340" spans="1:25" ht="16.5">
      <c r="A340" s="29"/>
      <c r="B340" s="52"/>
      <c r="C340" s="52"/>
      <c r="D340" s="53"/>
      <c r="E340" s="54"/>
      <c r="F340" s="52"/>
      <c r="G340" s="55"/>
      <c r="H340" s="56"/>
      <c r="I340" s="34" t="e">
        <f>VLOOKUP(B340,'26년 1월 출석표'!$B$7:$D$500,3,0)</f>
        <v>#N/A</v>
      </c>
      <c r="J340" s="35" t="e">
        <f t="shared" ca="1" si="0"/>
        <v>#NAME?</v>
      </c>
      <c r="K340" s="36" t="str">
        <f t="shared" si="1"/>
        <v/>
      </c>
      <c r="L340" s="37" t="str">
        <f t="shared" si="2"/>
        <v/>
      </c>
      <c r="M340" s="30"/>
      <c r="N340" s="38" t="b">
        <v>0</v>
      </c>
      <c r="O340" s="38" t="b">
        <v>0</v>
      </c>
      <c r="P340" s="39" t="e">
        <f>VLOOKUP($B340,'26년 1월 출석표'!$B$2:$BQ$497,10,0)/1</f>
        <v>#N/A</v>
      </c>
      <c r="Q340" s="40"/>
      <c r="R340" s="41" t="e">
        <f>VLOOKUP($B340,'26년 1월 출석표'!$B$2:$BQ$497,24,0)/5</f>
        <v>#N/A</v>
      </c>
      <c r="S340" s="40"/>
      <c r="T340" s="41" t="e">
        <f>VLOOKUP($B340,'26년 1월 출석표'!$B$2:$BQ$497,38,0)/5</f>
        <v>#N/A</v>
      </c>
      <c r="U340" s="40"/>
      <c r="V340" s="41" t="e">
        <f>VLOOKUP($B340,'26년 1월 출석표'!$B$2:$BQ$497,52,0)/5</f>
        <v>#N/A</v>
      </c>
      <c r="W340" s="42"/>
      <c r="X340" s="41" t="e">
        <f>VLOOKUP($B340,'26년 1월 출석표'!$B$2:$BQ$503,66,0)/5</f>
        <v>#N/A</v>
      </c>
      <c r="Y340" s="43"/>
    </row>
    <row r="341" spans="1:25" ht="16.5">
      <c r="A341" s="29"/>
      <c r="B341" s="52"/>
      <c r="C341" s="52"/>
      <c r="D341" s="53"/>
      <c r="E341" s="54"/>
      <c r="F341" s="52"/>
      <c r="G341" s="55"/>
      <c r="H341" s="56"/>
      <c r="I341" s="34" t="e">
        <f>VLOOKUP(B341,'26년 1월 출석표'!$B$7:$D$500,3,0)</f>
        <v>#N/A</v>
      </c>
      <c r="J341" s="35" t="e">
        <f t="shared" ca="1" si="0"/>
        <v>#NAME?</v>
      </c>
      <c r="K341" s="36" t="str">
        <f t="shared" si="1"/>
        <v/>
      </c>
      <c r="L341" s="37" t="str">
        <f t="shared" si="2"/>
        <v/>
      </c>
      <c r="M341" s="30"/>
      <c r="N341" s="38" t="b">
        <v>0</v>
      </c>
      <c r="O341" s="38" t="b">
        <v>0</v>
      </c>
      <c r="P341" s="39" t="e">
        <f>VLOOKUP($B341,'26년 1월 출석표'!$B$2:$BQ$497,10,0)/1</f>
        <v>#N/A</v>
      </c>
      <c r="Q341" s="40"/>
      <c r="R341" s="41" t="e">
        <f>VLOOKUP($B341,'26년 1월 출석표'!$B$2:$BQ$497,24,0)/5</f>
        <v>#N/A</v>
      </c>
      <c r="S341" s="40"/>
      <c r="T341" s="41" t="e">
        <f>VLOOKUP($B341,'26년 1월 출석표'!$B$2:$BQ$497,38,0)/5</f>
        <v>#N/A</v>
      </c>
      <c r="U341" s="40"/>
      <c r="V341" s="41" t="e">
        <f>VLOOKUP($B341,'26년 1월 출석표'!$B$2:$BQ$497,52,0)/5</f>
        <v>#N/A</v>
      </c>
      <c r="W341" s="42"/>
      <c r="X341" s="41" t="e">
        <f>VLOOKUP($B341,'26년 1월 출석표'!$B$2:$BQ$503,66,0)/5</f>
        <v>#N/A</v>
      </c>
      <c r="Y341" s="43"/>
    </row>
    <row r="342" spans="1:25" ht="16.5">
      <c r="A342" s="29"/>
      <c r="B342" s="52"/>
      <c r="C342" s="52"/>
      <c r="D342" s="53"/>
      <c r="E342" s="54"/>
      <c r="F342" s="52"/>
      <c r="G342" s="55"/>
      <c r="H342" s="56"/>
      <c r="I342" s="34" t="e">
        <f>VLOOKUP(B342,'26년 1월 출석표'!$B$7:$D$500,3,0)</f>
        <v>#N/A</v>
      </c>
      <c r="J342" s="35" t="e">
        <f t="shared" ca="1" si="0"/>
        <v>#NAME?</v>
      </c>
      <c r="K342" s="36" t="str">
        <f t="shared" si="1"/>
        <v/>
      </c>
      <c r="L342" s="37" t="str">
        <f t="shared" si="2"/>
        <v/>
      </c>
      <c r="M342" s="30"/>
      <c r="N342" s="38" t="b">
        <v>0</v>
      </c>
      <c r="O342" s="38" t="b">
        <v>0</v>
      </c>
      <c r="P342" s="39" t="e">
        <f>VLOOKUP($B342,'26년 1월 출석표'!$B$2:$BQ$497,10,0)/1</f>
        <v>#N/A</v>
      </c>
      <c r="Q342" s="40"/>
      <c r="R342" s="41" t="e">
        <f>VLOOKUP($B342,'26년 1월 출석표'!$B$2:$BQ$497,24,0)/5</f>
        <v>#N/A</v>
      </c>
      <c r="S342" s="40"/>
      <c r="T342" s="41" t="e">
        <f>VLOOKUP($B342,'26년 1월 출석표'!$B$2:$BQ$497,38,0)/5</f>
        <v>#N/A</v>
      </c>
      <c r="U342" s="40"/>
      <c r="V342" s="41" t="e">
        <f>VLOOKUP($B342,'26년 1월 출석표'!$B$2:$BQ$497,52,0)/5</f>
        <v>#N/A</v>
      </c>
      <c r="W342" s="42"/>
      <c r="X342" s="41" t="e">
        <f>VLOOKUP($B342,'26년 1월 출석표'!$B$2:$BQ$503,66,0)/5</f>
        <v>#N/A</v>
      </c>
      <c r="Y342" s="43"/>
    </row>
    <row r="343" spans="1:25" ht="16.5">
      <c r="A343" s="29"/>
      <c r="B343" s="52"/>
      <c r="C343" s="52"/>
      <c r="D343" s="53"/>
      <c r="E343" s="54"/>
      <c r="F343" s="52"/>
      <c r="G343" s="55"/>
      <c r="H343" s="56"/>
      <c r="I343" s="34" t="e">
        <f>VLOOKUP(B343,'26년 1월 출석표'!$B$7:$D$500,3,0)</f>
        <v>#N/A</v>
      </c>
      <c r="J343" s="35" t="e">
        <f t="shared" ca="1" si="0"/>
        <v>#NAME?</v>
      </c>
      <c r="K343" s="36" t="str">
        <f t="shared" si="1"/>
        <v/>
      </c>
      <c r="L343" s="37" t="str">
        <f t="shared" si="2"/>
        <v/>
      </c>
      <c r="M343" s="30"/>
      <c r="N343" s="38" t="b">
        <v>0</v>
      </c>
      <c r="O343" s="38" t="b">
        <v>0</v>
      </c>
      <c r="P343" s="39" t="e">
        <f>VLOOKUP($B343,'26년 1월 출석표'!$B$2:$BQ$497,10,0)/1</f>
        <v>#N/A</v>
      </c>
      <c r="Q343" s="40"/>
      <c r="R343" s="41" t="e">
        <f>VLOOKUP($B343,'26년 1월 출석표'!$B$2:$BQ$497,24,0)/5</f>
        <v>#N/A</v>
      </c>
      <c r="S343" s="40"/>
      <c r="T343" s="41" t="e">
        <f>VLOOKUP($B343,'26년 1월 출석표'!$B$2:$BQ$497,38,0)/5</f>
        <v>#N/A</v>
      </c>
      <c r="U343" s="40"/>
      <c r="V343" s="41" t="e">
        <f>VLOOKUP($B343,'26년 1월 출석표'!$B$2:$BQ$497,52,0)/5</f>
        <v>#N/A</v>
      </c>
      <c r="W343" s="42"/>
      <c r="X343" s="41" t="e">
        <f>VLOOKUP($B343,'26년 1월 출석표'!$B$2:$BQ$503,66,0)/5</f>
        <v>#N/A</v>
      </c>
      <c r="Y343" s="43"/>
    </row>
    <row r="344" spans="1:25" ht="16.5">
      <c r="A344" s="29"/>
      <c r="B344" s="52"/>
      <c r="C344" s="52"/>
      <c r="D344" s="53"/>
      <c r="E344" s="54"/>
      <c r="F344" s="52"/>
      <c r="G344" s="55"/>
      <c r="H344" s="56"/>
      <c r="I344" s="34" t="e">
        <f>VLOOKUP(B344,'26년 1월 출석표'!$B$7:$D$500,3,0)</f>
        <v>#N/A</v>
      </c>
      <c r="J344" s="35" t="e">
        <f t="shared" ca="1" si="0"/>
        <v>#NAME?</v>
      </c>
      <c r="K344" s="36" t="str">
        <f t="shared" si="1"/>
        <v/>
      </c>
      <c r="L344" s="37" t="str">
        <f t="shared" si="2"/>
        <v/>
      </c>
      <c r="M344" s="30"/>
      <c r="N344" s="38" t="b">
        <v>0</v>
      </c>
      <c r="O344" s="38" t="b">
        <v>0</v>
      </c>
      <c r="P344" s="39" t="e">
        <f>VLOOKUP($B344,'26년 1월 출석표'!$B$2:$BQ$497,10,0)/1</f>
        <v>#N/A</v>
      </c>
      <c r="Q344" s="40"/>
      <c r="R344" s="41" t="e">
        <f>VLOOKUP($B344,'26년 1월 출석표'!$B$2:$BQ$497,24,0)/5</f>
        <v>#N/A</v>
      </c>
      <c r="S344" s="40"/>
      <c r="T344" s="41" t="e">
        <f>VLOOKUP($B344,'26년 1월 출석표'!$B$2:$BQ$497,38,0)/5</f>
        <v>#N/A</v>
      </c>
      <c r="U344" s="40"/>
      <c r="V344" s="41" t="e">
        <f>VLOOKUP($B344,'26년 1월 출석표'!$B$2:$BQ$497,52,0)/5</f>
        <v>#N/A</v>
      </c>
      <c r="W344" s="42"/>
      <c r="X344" s="41" t="e">
        <f>VLOOKUP($B344,'26년 1월 출석표'!$B$2:$BQ$503,66,0)/5</f>
        <v>#N/A</v>
      </c>
      <c r="Y344" s="43"/>
    </row>
    <row r="345" spans="1:25" ht="16.5">
      <c r="A345" s="29"/>
      <c r="B345" s="52"/>
      <c r="C345" s="52"/>
      <c r="D345" s="53"/>
      <c r="E345" s="54"/>
      <c r="F345" s="52"/>
      <c r="G345" s="55"/>
      <c r="H345" s="56"/>
      <c r="I345" s="34" t="e">
        <f>VLOOKUP(B345,'26년 1월 출석표'!$B$7:$D$500,3,0)</f>
        <v>#N/A</v>
      </c>
      <c r="J345" s="35" t="e">
        <f t="shared" ca="1" si="0"/>
        <v>#NAME?</v>
      </c>
      <c r="K345" s="36" t="str">
        <f t="shared" si="1"/>
        <v/>
      </c>
      <c r="L345" s="37" t="str">
        <f t="shared" si="2"/>
        <v/>
      </c>
      <c r="M345" s="30"/>
      <c r="N345" s="38" t="b">
        <v>0</v>
      </c>
      <c r="O345" s="38" t="b">
        <v>0</v>
      </c>
      <c r="P345" s="39" t="e">
        <f>VLOOKUP($B345,'26년 1월 출석표'!$B$2:$BQ$497,10,0)/1</f>
        <v>#N/A</v>
      </c>
      <c r="Q345" s="40"/>
      <c r="R345" s="41" t="e">
        <f>VLOOKUP($B345,'26년 1월 출석표'!$B$2:$BQ$497,24,0)/5</f>
        <v>#N/A</v>
      </c>
      <c r="S345" s="40"/>
      <c r="T345" s="41" t="e">
        <f>VLOOKUP($B345,'26년 1월 출석표'!$B$2:$BQ$497,38,0)/5</f>
        <v>#N/A</v>
      </c>
      <c r="U345" s="40"/>
      <c r="V345" s="41" t="e">
        <f>VLOOKUP($B345,'26년 1월 출석표'!$B$2:$BQ$497,52,0)/5</f>
        <v>#N/A</v>
      </c>
      <c r="W345" s="42"/>
      <c r="X345" s="41" t="e">
        <f>VLOOKUP($B345,'26년 1월 출석표'!$B$2:$BQ$503,66,0)/5</f>
        <v>#N/A</v>
      </c>
      <c r="Y345" s="43"/>
    </row>
    <row r="346" spans="1:25" ht="16.5">
      <c r="A346" s="29"/>
      <c r="B346" s="52"/>
      <c r="C346" s="52"/>
      <c r="D346" s="53"/>
      <c r="E346" s="54"/>
      <c r="F346" s="52"/>
      <c r="G346" s="55"/>
      <c r="H346" s="56"/>
      <c r="I346" s="34" t="e">
        <f>VLOOKUP(B346,'26년 1월 출석표'!$B$7:$D$500,3,0)</f>
        <v>#N/A</v>
      </c>
      <c r="J346" s="35" t="e">
        <f t="shared" ca="1" si="0"/>
        <v>#NAME?</v>
      </c>
      <c r="K346" s="36" t="str">
        <f t="shared" si="1"/>
        <v/>
      </c>
      <c r="L346" s="37" t="str">
        <f t="shared" si="2"/>
        <v/>
      </c>
      <c r="M346" s="30"/>
      <c r="N346" s="38" t="b">
        <v>0</v>
      </c>
      <c r="O346" s="38" t="b">
        <v>0</v>
      </c>
      <c r="P346" s="39" t="e">
        <f>VLOOKUP($B346,'26년 1월 출석표'!$B$2:$BQ$497,10,0)/1</f>
        <v>#N/A</v>
      </c>
      <c r="Q346" s="40"/>
      <c r="R346" s="41" t="e">
        <f>VLOOKUP($B346,'26년 1월 출석표'!$B$2:$BQ$497,24,0)/5</f>
        <v>#N/A</v>
      </c>
      <c r="S346" s="40"/>
      <c r="T346" s="41" t="e">
        <f>VLOOKUP($B346,'26년 1월 출석표'!$B$2:$BQ$497,38,0)/5</f>
        <v>#N/A</v>
      </c>
      <c r="U346" s="40"/>
      <c r="V346" s="41" t="e">
        <f>VLOOKUP($B346,'26년 1월 출석표'!$B$2:$BQ$497,52,0)/5</f>
        <v>#N/A</v>
      </c>
      <c r="W346" s="42"/>
      <c r="X346" s="41" t="e">
        <f>VLOOKUP($B346,'26년 1월 출석표'!$B$2:$BQ$503,66,0)/5</f>
        <v>#N/A</v>
      </c>
      <c r="Y346" s="43"/>
    </row>
    <row r="347" spans="1:25" ht="16.5">
      <c r="A347" s="29"/>
      <c r="B347" s="52"/>
      <c r="C347" s="52"/>
      <c r="D347" s="53"/>
      <c r="E347" s="54"/>
      <c r="F347" s="52"/>
      <c r="G347" s="55"/>
      <c r="H347" s="56"/>
      <c r="I347" s="34" t="e">
        <f>VLOOKUP(B347,'26년 1월 출석표'!$B$7:$D$500,3,0)</f>
        <v>#N/A</v>
      </c>
      <c r="J347" s="35" t="e">
        <f t="shared" ca="1" si="0"/>
        <v>#NAME?</v>
      </c>
      <c r="K347" s="36" t="str">
        <f t="shared" si="1"/>
        <v/>
      </c>
      <c r="L347" s="37" t="str">
        <f t="shared" si="2"/>
        <v/>
      </c>
      <c r="M347" s="30"/>
      <c r="N347" s="38" t="b">
        <v>0</v>
      </c>
      <c r="O347" s="38" t="b">
        <v>0</v>
      </c>
      <c r="P347" s="39" t="e">
        <f>VLOOKUP($B347,'26년 1월 출석표'!$B$2:$BQ$497,10,0)/1</f>
        <v>#N/A</v>
      </c>
      <c r="Q347" s="40"/>
      <c r="R347" s="41" t="e">
        <f>VLOOKUP($B347,'26년 1월 출석표'!$B$2:$BQ$497,24,0)/5</f>
        <v>#N/A</v>
      </c>
      <c r="S347" s="40"/>
      <c r="T347" s="41" t="e">
        <f>VLOOKUP($B347,'26년 1월 출석표'!$B$2:$BQ$497,38,0)/5</f>
        <v>#N/A</v>
      </c>
      <c r="U347" s="40"/>
      <c r="V347" s="41" t="e">
        <f>VLOOKUP($B347,'26년 1월 출석표'!$B$2:$BQ$497,52,0)/5</f>
        <v>#N/A</v>
      </c>
      <c r="W347" s="42"/>
      <c r="X347" s="41" t="e">
        <f>VLOOKUP($B347,'26년 1월 출석표'!$B$2:$BQ$503,66,0)/5</f>
        <v>#N/A</v>
      </c>
      <c r="Y347" s="43"/>
    </row>
    <row r="348" spans="1:25" ht="16.5">
      <c r="A348" s="29"/>
      <c r="B348" s="52"/>
      <c r="C348" s="52"/>
      <c r="D348" s="53"/>
      <c r="E348" s="54"/>
      <c r="F348" s="52"/>
      <c r="G348" s="55"/>
      <c r="H348" s="56"/>
      <c r="I348" s="34" t="e">
        <f>VLOOKUP(B348,'26년 1월 출석표'!$B$7:$D$500,3,0)</f>
        <v>#N/A</v>
      </c>
      <c r="J348" s="35" t="e">
        <f t="shared" ca="1" si="0"/>
        <v>#NAME?</v>
      </c>
      <c r="K348" s="36" t="str">
        <f t="shared" si="1"/>
        <v/>
      </c>
      <c r="L348" s="37" t="str">
        <f t="shared" si="2"/>
        <v/>
      </c>
      <c r="M348" s="30"/>
      <c r="N348" s="38" t="b">
        <v>0</v>
      </c>
      <c r="O348" s="38" t="b">
        <v>0</v>
      </c>
      <c r="P348" s="39" t="e">
        <f>VLOOKUP($B348,'26년 1월 출석표'!$B$2:$BQ$497,10,0)/1</f>
        <v>#N/A</v>
      </c>
      <c r="Q348" s="40"/>
      <c r="R348" s="41" t="e">
        <f>VLOOKUP($B348,'26년 1월 출석표'!$B$2:$BQ$497,24,0)/5</f>
        <v>#N/A</v>
      </c>
      <c r="S348" s="40"/>
      <c r="T348" s="41" t="e">
        <f>VLOOKUP($B348,'26년 1월 출석표'!$B$2:$BQ$497,38,0)/5</f>
        <v>#N/A</v>
      </c>
      <c r="U348" s="40"/>
      <c r="V348" s="41" t="e">
        <f>VLOOKUP($B348,'26년 1월 출석표'!$B$2:$BQ$497,52,0)/5</f>
        <v>#N/A</v>
      </c>
      <c r="W348" s="42"/>
      <c r="X348" s="41" t="e">
        <f>VLOOKUP($B348,'26년 1월 출석표'!$B$2:$BQ$503,66,0)/5</f>
        <v>#N/A</v>
      </c>
      <c r="Y348" s="43"/>
    </row>
    <row r="349" spans="1:25" ht="16.5">
      <c r="A349" s="29"/>
      <c r="B349" s="52"/>
      <c r="C349" s="52"/>
      <c r="D349" s="53"/>
      <c r="E349" s="54"/>
      <c r="F349" s="52"/>
      <c r="G349" s="55"/>
      <c r="H349" s="56"/>
      <c r="I349" s="34" t="e">
        <f>VLOOKUP(B349,'26년 1월 출석표'!$B$7:$D$500,3,0)</f>
        <v>#N/A</v>
      </c>
      <c r="J349" s="35" t="e">
        <f t="shared" ca="1" si="0"/>
        <v>#NAME?</v>
      </c>
      <c r="K349" s="36" t="str">
        <f t="shared" si="1"/>
        <v/>
      </c>
      <c r="L349" s="37" t="str">
        <f t="shared" si="2"/>
        <v/>
      </c>
      <c r="M349" s="30"/>
      <c r="N349" s="38" t="b">
        <v>0</v>
      </c>
      <c r="O349" s="38" t="b">
        <v>0</v>
      </c>
      <c r="P349" s="39" t="e">
        <f>VLOOKUP($B349,'26년 1월 출석표'!$B$2:$BQ$497,10,0)/1</f>
        <v>#N/A</v>
      </c>
      <c r="Q349" s="40"/>
      <c r="R349" s="41" t="e">
        <f>VLOOKUP($B349,'26년 1월 출석표'!$B$2:$BQ$497,24,0)/5</f>
        <v>#N/A</v>
      </c>
      <c r="S349" s="40"/>
      <c r="T349" s="41" t="e">
        <f>VLOOKUP($B349,'26년 1월 출석표'!$B$2:$BQ$497,38,0)/5</f>
        <v>#N/A</v>
      </c>
      <c r="U349" s="40"/>
      <c r="V349" s="41" t="e">
        <f>VLOOKUP($B349,'26년 1월 출석표'!$B$2:$BQ$497,52,0)/5</f>
        <v>#N/A</v>
      </c>
      <c r="W349" s="42"/>
      <c r="X349" s="41" t="e">
        <f>VLOOKUP($B349,'26년 1월 출석표'!$B$2:$BQ$503,66,0)/5</f>
        <v>#N/A</v>
      </c>
      <c r="Y349" s="43"/>
    </row>
    <row r="350" spans="1:25" ht="16.5">
      <c r="A350" s="29"/>
      <c r="B350" s="52"/>
      <c r="C350" s="52"/>
      <c r="D350" s="53"/>
      <c r="E350" s="54"/>
      <c r="F350" s="52"/>
      <c r="G350" s="55"/>
      <c r="H350" s="56"/>
      <c r="I350" s="34" t="e">
        <f>VLOOKUP(B350,'26년 1월 출석표'!$B$7:$D$500,3,0)</f>
        <v>#N/A</v>
      </c>
      <c r="J350" s="35" t="e">
        <f t="shared" ca="1" si="0"/>
        <v>#NAME?</v>
      </c>
      <c r="K350" s="36" t="str">
        <f t="shared" si="1"/>
        <v/>
      </c>
      <c r="L350" s="37" t="str">
        <f t="shared" si="2"/>
        <v/>
      </c>
      <c r="M350" s="30"/>
      <c r="N350" s="38" t="b">
        <v>0</v>
      </c>
      <c r="O350" s="38" t="b">
        <v>0</v>
      </c>
      <c r="P350" s="39" t="e">
        <f>VLOOKUP($B350,'26년 1월 출석표'!$B$2:$BQ$497,10,0)/1</f>
        <v>#N/A</v>
      </c>
      <c r="Q350" s="40"/>
      <c r="R350" s="41" t="e">
        <f>VLOOKUP($B350,'26년 1월 출석표'!$B$2:$BQ$497,24,0)/5</f>
        <v>#N/A</v>
      </c>
      <c r="S350" s="40"/>
      <c r="T350" s="41" t="e">
        <f>VLOOKUP($B350,'26년 1월 출석표'!$B$2:$BQ$497,38,0)/5</f>
        <v>#N/A</v>
      </c>
      <c r="U350" s="40"/>
      <c r="V350" s="41" t="e">
        <f>VLOOKUP($B350,'26년 1월 출석표'!$B$2:$BQ$497,52,0)/5</f>
        <v>#N/A</v>
      </c>
      <c r="W350" s="42"/>
      <c r="X350" s="41" t="e">
        <f>VLOOKUP($B350,'26년 1월 출석표'!$B$2:$BQ$503,66,0)/5</f>
        <v>#N/A</v>
      </c>
      <c r="Y350" s="43"/>
    </row>
    <row r="351" spans="1:25" ht="16.5">
      <c r="A351" s="29"/>
      <c r="B351" s="52"/>
      <c r="C351" s="52"/>
      <c r="D351" s="53"/>
      <c r="E351" s="54"/>
      <c r="F351" s="52"/>
      <c r="G351" s="55"/>
      <c r="H351" s="56"/>
      <c r="I351" s="34" t="e">
        <f>VLOOKUP(B351,'26년 1월 출석표'!$B$7:$D$500,3,0)</f>
        <v>#N/A</v>
      </c>
      <c r="J351" s="35" t="e">
        <f t="shared" ca="1" si="0"/>
        <v>#NAME?</v>
      </c>
      <c r="K351" s="36" t="str">
        <f t="shared" si="1"/>
        <v/>
      </c>
      <c r="L351" s="37" t="str">
        <f t="shared" si="2"/>
        <v/>
      </c>
      <c r="M351" s="30"/>
      <c r="N351" s="38" t="b">
        <v>0</v>
      </c>
      <c r="O351" s="38" t="b">
        <v>0</v>
      </c>
      <c r="P351" s="39" t="e">
        <f>VLOOKUP($B351,'26년 1월 출석표'!$B$2:$BQ$497,10,0)/1</f>
        <v>#N/A</v>
      </c>
      <c r="Q351" s="40"/>
      <c r="R351" s="41" t="e">
        <f>VLOOKUP($B351,'26년 1월 출석표'!$B$2:$BQ$497,24,0)/5</f>
        <v>#N/A</v>
      </c>
      <c r="S351" s="40"/>
      <c r="T351" s="41" t="e">
        <f>VLOOKUP($B351,'26년 1월 출석표'!$B$2:$BQ$497,38,0)/5</f>
        <v>#N/A</v>
      </c>
      <c r="U351" s="40"/>
      <c r="V351" s="41" t="e">
        <f>VLOOKUP($B351,'26년 1월 출석표'!$B$2:$BQ$497,52,0)/5</f>
        <v>#N/A</v>
      </c>
      <c r="W351" s="42"/>
      <c r="X351" s="41" t="e">
        <f>VLOOKUP($B351,'26년 1월 출석표'!$B$2:$BQ$503,66,0)/5</f>
        <v>#N/A</v>
      </c>
      <c r="Y351" s="43"/>
    </row>
    <row r="352" spans="1:25" ht="16.5">
      <c r="A352" s="29"/>
      <c r="B352" s="52"/>
      <c r="C352" s="52"/>
      <c r="D352" s="53"/>
      <c r="E352" s="54"/>
      <c r="F352" s="52"/>
      <c r="G352" s="55"/>
      <c r="H352" s="56"/>
      <c r="I352" s="34" t="e">
        <f>VLOOKUP(B352,'26년 1월 출석표'!$B$7:$D$500,3,0)</f>
        <v>#N/A</v>
      </c>
      <c r="J352" s="35" t="e">
        <f t="shared" ca="1" si="0"/>
        <v>#NAME?</v>
      </c>
      <c r="K352" s="36" t="str">
        <f t="shared" si="1"/>
        <v/>
      </c>
      <c r="L352" s="37" t="str">
        <f t="shared" si="2"/>
        <v/>
      </c>
      <c r="M352" s="30"/>
      <c r="N352" s="38" t="b">
        <v>0</v>
      </c>
      <c r="O352" s="38" t="b">
        <v>0</v>
      </c>
      <c r="P352" s="39" t="e">
        <f>VLOOKUP($B352,'26년 1월 출석표'!$B$2:$BQ$497,10,0)/1</f>
        <v>#N/A</v>
      </c>
      <c r="Q352" s="40"/>
      <c r="R352" s="41" t="e">
        <f>VLOOKUP($B352,'26년 1월 출석표'!$B$2:$BQ$497,24,0)/5</f>
        <v>#N/A</v>
      </c>
      <c r="S352" s="40"/>
      <c r="T352" s="41" t="e">
        <f>VLOOKUP($B352,'26년 1월 출석표'!$B$2:$BQ$497,38,0)/5</f>
        <v>#N/A</v>
      </c>
      <c r="U352" s="40"/>
      <c r="V352" s="41" t="e">
        <f>VLOOKUP($B352,'26년 1월 출석표'!$B$2:$BQ$497,52,0)/5</f>
        <v>#N/A</v>
      </c>
      <c r="W352" s="42"/>
      <c r="X352" s="41" t="e">
        <f>VLOOKUP($B352,'26년 1월 출석표'!$B$2:$BQ$503,66,0)/5</f>
        <v>#N/A</v>
      </c>
      <c r="Y352" s="43"/>
    </row>
    <row r="353" spans="1:25" ht="16.5">
      <c r="A353" s="29"/>
      <c r="B353" s="52"/>
      <c r="C353" s="52"/>
      <c r="D353" s="53"/>
      <c r="E353" s="54"/>
      <c r="F353" s="52"/>
      <c r="G353" s="55"/>
      <c r="H353" s="56"/>
      <c r="I353" s="34" t="e">
        <f>VLOOKUP(B353,'26년 1월 출석표'!$B$7:$D$500,3,0)</f>
        <v>#N/A</v>
      </c>
      <c r="J353" s="35" t="e">
        <f t="shared" ca="1" si="0"/>
        <v>#NAME?</v>
      </c>
      <c r="K353" s="36" t="str">
        <f t="shared" si="1"/>
        <v/>
      </c>
      <c r="L353" s="37" t="str">
        <f t="shared" si="2"/>
        <v/>
      </c>
      <c r="M353" s="30"/>
      <c r="N353" s="38" t="b">
        <v>0</v>
      </c>
      <c r="O353" s="38" t="b">
        <v>0</v>
      </c>
      <c r="P353" s="39" t="e">
        <f>VLOOKUP($B353,'26년 1월 출석표'!$B$2:$BQ$497,10,0)/1</f>
        <v>#N/A</v>
      </c>
      <c r="Q353" s="40"/>
      <c r="R353" s="41" t="e">
        <f>VLOOKUP($B353,'26년 1월 출석표'!$B$2:$BQ$497,24,0)/5</f>
        <v>#N/A</v>
      </c>
      <c r="S353" s="40"/>
      <c r="T353" s="41" t="e">
        <f>VLOOKUP($B353,'26년 1월 출석표'!$B$2:$BQ$497,38,0)/5</f>
        <v>#N/A</v>
      </c>
      <c r="U353" s="40"/>
      <c r="V353" s="41" t="e">
        <f>VLOOKUP($B353,'26년 1월 출석표'!$B$2:$BQ$497,52,0)/5</f>
        <v>#N/A</v>
      </c>
      <c r="W353" s="42"/>
      <c r="X353" s="41" t="e">
        <f>VLOOKUP($B353,'26년 1월 출석표'!$B$2:$BQ$503,66,0)/5</f>
        <v>#N/A</v>
      </c>
      <c r="Y353" s="43"/>
    </row>
    <row r="354" spans="1:25" ht="16.5">
      <c r="A354" s="29"/>
      <c r="B354" s="52"/>
      <c r="C354" s="52"/>
      <c r="D354" s="53"/>
      <c r="E354" s="54"/>
      <c r="F354" s="52"/>
      <c r="G354" s="55"/>
      <c r="H354" s="56"/>
      <c r="I354" s="34" t="e">
        <f>VLOOKUP(B354,'26년 1월 출석표'!$B$7:$D$500,3,0)</f>
        <v>#N/A</v>
      </c>
      <c r="J354" s="35" t="e">
        <f t="shared" ca="1" si="0"/>
        <v>#NAME?</v>
      </c>
      <c r="K354" s="36" t="str">
        <f t="shared" si="1"/>
        <v/>
      </c>
      <c r="L354" s="37" t="str">
        <f t="shared" si="2"/>
        <v/>
      </c>
      <c r="M354" s="30"/>
      <c r="N354" s="38" t="b">
        <v>0</v>
      </c>
      <c r="O354" s="38" t="b">
        <v>0</v>
      </c>
      <c r="P354" s="39" t="e">
        <f>VLOOKUP($B354,'26년 1월 출석표'!$B$2:$BQ$497,10,0)/1</f>
        <v>#N/A</v>
      </c>
      <c r="Q354" s="40"/>
      <c r="R354" s="41" t="e">
        <f>VLOOKUP($B354,'26년 1월 출석표'!$B$2:$BQ$497,24,0)/5</f>
        <v>#N/A</v>
      </c>
      <c r="S354" s="40"/>
      <c r="T354" s="41" t="e">
        <f>VLOOKUP($B354,'26년 1월 출석표'!$B$2:$BQ$497,38,0)/5</f>
        <v>#N/A</v>
      </c>
      <c r="U354" s="40"/>
      <c r="V354" s="41" t="e">
        <f>VLOOKUP($B354,'26년 1월 출석표'!$B$2:$BQ$497,52,0)/5</f>
        <v>#N/A</v>
      </c>
      <c r="W354" s="42"/>
      <c r="X354" s="41" t="e">
        <f>VLOOKUP($B354,'26년 1월 출석표'!$B$2:$BQ$503,66,0)/5</f>
        <v>#N/A</v>
      </c>
      <c r="Y354" s="43"/>
    </row>
    <row r="355" spans="1:25" ht="16.5">
      <c r="A355" s="29"/>
      <c r="B355" s="52"/>
      <c r="C355" s="52"/>
      <c r="D355" s="53"/>
      <c r="E355" s="54"/>
      <c r="F355" s="52"/>
      <c r="G355" s="55"/>
      <c r="H355" s="56"/>
      <c r="I355" s="34" t="e">
        <f>VLOOKUP(B355,'26년 1월 출석표'!$B$7:$D$500,3,0)</f>
        <v>#N/A</v>
      </c>
      <c r="J355" s="35" t="e">
        <f t="shared" ca="1" si="0"/>
        <v>#NAME?</v>
      </c>
      <c r="K355" s="36" t="str">
        <f t="shared" si="1"/>
        <v/>
      </c>
      <c r="L355" s="37" t="str">
        <f t="shared" si="2"/>
        <v/>
      </c>
      <c r="M355" s="30"/>
      <c r="N355" s="38" t="b">
        <v>0</v>
      </c>
      <c r="O355" s="38" t="b">
        <v>0</v>
      </c>
      <c r="P355" s="39" t="e">
        <f>VLOOKUP($B355,'26년 1월 출석표'!$B$2:$BQ$497,10,0)/1</f>
        <v>#N/A</v>
      </c>
      <c r="Q355" s="40"/>
      <c r="R355" s="41" t="e">
        <f>VLOOKUP($B355,'26년 1월 출석표'!$B$2:$BQ$497,24,0)/5</f>
        <v>#N/A</v>
      </c>
      <c r="S355" s="40"/>
      <c r="T355" s="41" t="e">
        <f>VLOOKUP($B355,'26년 1월 출석표'!$B$2:$BQ$497,38,0)/5</f>
        <v>#N/A</v>
      </c>
      <c r="U355" s="40"/>
      <c r="V355" s="41" t="e">
        <f>VLOOKUP($B355,'26년 1월 출석표'!$B$2:$BQ$497,52,0)/5</f>
        <v>#N/A</v>
      </c>
      <c r="W355" s="42"/>
      <c r="X355" s="41" t="e">
        <f>VLOOKUP($B355,'26년 1월 출석표'!$B$2:$BQ$503,66,0)/5</f>
        <v>#N/A</v>
      </c>
      <c r="Y355" s="43"/>
    </row>
    <row r="356" spans="1:25" ht="16.5">
      <c r="A356" s="29"/>
      <c r="B356" s="52"/>
      <c r="C356" s="52"/>
      <c r="D356" s="53"/>
      <c r="E356" s="54"/>
      <c r="F356" s="52"/>
      <c r="G356" s="55"/>
      <c r="H356" s="56"/>
      <c r="I356" s="34" t="e">
        <f>VLOOKUP(B356,'26년 1월 출석표'!$B$7:$D$500,3,0)</f>
        <v>#N/A</v>
      </c>
      <c r="J356" s="35" t="e">
        <f t="shared" ca="1" si="0"/>
        <v>#NAME?</v>
      </c>
      <c r="K356" s="36" t="str">
        <f t="shared" si="1"/>
        <v/>
      </c>
      <c r="L356" s="37" t="str">
        <f t="shared" si="2"/>
        <v/>
      </c>
      <c r="M356" s="30"/>
      <c r="N356" s="38" t="b">
        <v>0</v>
      </c>
      <c r="O356" s="38" t="b">
        <v>0</v>
      </c>
      <c r="P356" s="39" t="e">
        <f>VLOOKUP($B356,'26년 1월 출석표'!$B$2:$BQ$497,10,0)/1</f>
        <v>#N/A</v>
      </c>
      <c r="Q356" s="40"/>
      <c r="R356" s="41" t="e">
        <f>VLOOKUP($B356,'26년 1월 출석표'!$B$2:$BQ$497,24,0)/5</f>
        <v>#N/A</v>
      </c>
      <c r="S356" s="40"/>
      <c r="T356" s="41" t="e">
        <f>VLOOKUP($B356,'26년 1월 출석표'!$B$2:$BQ$497,38,0)/5</f>
        <v>#N/A</v>
      </c>
      <c r="U356" s="40"/>
      <c r="V356" s="41" t="e">
        <f>VLOOKUP($B356,'26년 1월 출석표'!$B$2:$BQ$497,52,0)/5</f>
        <v>#N/A</v>
      </c>
      <c r="W356" s="42"/>
      <c r="X356" s="41" t="e">
        <f>VLOOKUP($B356,'26년 1월 출석표'!$B$2:$BQ$503,66,0)/5</f>
        <v>#N/A</v>
      </c>
      <c r="Y356" s="43"/>
    </row>
    <row r="357" spans="1:25" ht="16.5">
      <c r="A357" s="29"/>
      <c r="B357" s="52"/>
      <c r="C357" s="52"/>
      <c r="D357" s="53"/>
      <c r="E357" s="54"/>
      <c r="F357" s="52"/>
      <c r="G357" s="55"/>
      <c r="H357" s="56"/>
      <c r="I357" s="34" t="e">
        <f>VLOOKUP(B357,'26년 1월 출석표'!$B$7:$D$500,3,0)</f>
        <v>#N/A</v>
      </c>
      <c r="J357" s="35" t="e">
        <f t="shared" ca="1" si="0"/>
        <v>#NAME?</v>
      </c>
      <c r="K357" s="36" t="str">
        <f t="shared" si="1"/>
        <v/>
      </c>
      <c r="L357" s="37" t="str">
        <f t="shared" si="2"/>
        <v/>
      </c>
      <c r="M357" s="30"/>
      <c r="N357" s="38" t="b">
        <v>0</v>
      </c>
      <c r="O357" s="38" t="b">
        <v>0</v>
      </c>
      <c r="P357" s="39" t="e">
        <f>VLOOKUP($B357,'26년 1월 출석표'!$B$2:$BQ$497,10,0)/1</f>
        <v>#N/A</v>
      </c>
      <c r="Q357" s="40"/>
      <c r="R357" s="41" t="e">
        <f>VLOOKUP($B357,'26년 1월 출석표'!$B$2:$BQ$497,24,0)/5</f>
        <v>#N/A</v>
      </c>
      <c r="S357" s="40"/>
      <c r="T357" s="41" t="e">
        <f>VLOOKUP($B357,'26년 1월 출석표'!$B$2:$BQ$497,38,0)/5</f>
        <v>#N/A</v>
      </c>
      <c r="U357" s="40"/>
      <c r="V357" s="41" t="e">
        <f>VLOOKUP($B357,'26년 1월 출석표'!$B$2:$BQ$497,52,0)/5</f>
        <v>#N/A</v>
      </c>
      <c r="W357" s="42"/>
      <c r="X357" s="41" t="e">
        <f>VLOOKUP($B357,'26년 1월 출석표'!$B$2:$BQ$503,66,0)/5</f>
        <v>#N/A</v>
      </c>
      <c r="Y357" s="43"/>
    </row>
    <row r="358" spans="1:25" ht="16.5">
      <c r="A358" s="29"/>
      <c r="B358" s="52"/>
      <c r="C358" s="52"/>
      <c r="D358" s="53"/>
      <c r="E358" s="54"/>
      <c r="F358" s="52"/>
      <c r="G358" s="55"/>
      <c r="H358" s="56"/>
      <c r="I358" s="34" t="e">
        <f>VLOOKUP(B358,'26년 1월 출석표'!$B$7:$D$500,3,0)</f>
        <v>#N/A</v>
      </c>
      <c r="J358" s="35" t="e">
        <f t="shared" ca="1" si="0"/>
        <v>#NAME?</v>
      </c>
      <c r="K358" s="36" t="str">
        <f t="shared" si="1"/>
        <v/>
      </c>
      <c r="L358" s="37" t="str">
        <f t="shared" si="2"/>
        <v/>
      </c>
      <c r="M358" s="30"/>
      <c r="N358" s="38" t="b">
        <v>0</v>
      </c>
      <c r="O358" s="38" t="b">
        <v>0</v>
      </c>
      <c r="P358" s="39" t="e">
        <f>VLOOKUP($B358,'26년 1월 출석표'!$B$2:$BQ$497,10,0)/1</f>
        <v>#N/A</v>
      </c>
      <c r="Q358" s="40"/>
      <c r="R358" s="41" t="e">
        <f>VLOOKUP($B358,'26년 1월 출석표'!$B$2:$BQ$497,24,0)/5</f>
        <v>#N/A</v>
      </c>
      <c r="S358" s="40"/>
      <c r="T358" s="41" t="e">
        <f>VLOOKUP($B358,'26년 1월 출석표'!$B$2:$BQ$497,38,0)/5</f>
        <v>#N/A</v>
      </c>
      <c r="U358" s="40"/>
      <c r="V358" s="41" t="e">
        <f>VLOOKUP($B358,'26년 1월 출석표'!$B$2:$BQ$497,52,0)/5</f>
        <v>#N/A</v>
      </c>
      <c r="W358" s="42"/>
      <c r="X358" s="41" t="e">
        <f>VLOOKUP($B358,'26년 1월 출석표'!$B$2:$BQ$503,66,0)/5</f>
        <v>#N/A</v>
      </c>
      <c r="Y358" s="43"/>
    </row>
    <row r="359" spans="1:25" ht="16.5">
      <c r="A359" s="29"/>
      <c r="B359" s="52"/>
      <c r="C359" s="52"/>
      <c r="D359" s="53"/>
      <c r="E359" s="54"/>
      <c r="F359" s="52"/>
      <c r="G359" s="55"/>
      <c r="H359" s="56"/>
      <c r="I359" s="34" t="e">
        <f>VLOOKUP(B359,'26년 1월 출석표'!$B$7:$D$500,3,0)</f>
        <v>#N/A</v>
      </c>
      <c r="J359" s="35" t="e">
        <f t="shared" ca="1" si="0"/>
        <v>#NAME?</v>
      </c>
      <c r="K359" s="36" t="str">
        <f t="shared" si="1"/>
        <v/>
      </c>
      <c r="L359" s="37" t="str">
        <f t="shared" si="2"/>
        <v/>
      </c>
      <c r="M359" s="30"/>
      <c r="N359" s="38" t="b">
        <v>0</v>
      </c>
      <c r="O359" s="38" t="b">
        <v>0</v>
      </c>
      <c r="P359" s="39" t="e">
        <f>VLOOKUP($B359,'26년 1월 출석표'!$B$2:$BQ$497,10,0)/1</f>
        <v>#N/A</v>
      </c>
      <c r="Q359" s="40"/>
      <c r="R359" s="41" t="e">
        <f>VLOOKUP($B359,'26년 1월 출석표'!$B$2:$BQ$497,24,0)/5</f>
        <v>#N/A</v>
      </c>
      <c r="S359" s="40"/>
      <c r="T359" s="41" t="e">
        <f>VLOOKUP($B359,'26년 1월 출석표'!$B$2:$BQ$497,38,0)/5</f>
        <v>#N/A</v>
      </c>
      <c r="U359" s="40"/>
      <c r="V359" s="41" t="e">
        <f>VLOOKUP($B359,'26년 1월 출석표'!$B$2:$BQ$497,52,0)/5</f>
        <v>#N/A</v>
      </c>
      <c r="W359" s="42"/>
      <c r="X359" s="41" t="e">
        <f>VLOOKUP($B359,'26년 1월 출석표'!$B$2:$BQ$503,66,0)/5</f>
        <v>#N/A</v>
      </c>
      <c r="Y359" s="43"/>
    </row>
    <row r="360" spans="1:25" ht="16.5">
      <c r="A360" s="29"/>
      <c r="B360" s="52"/>
      <c r="C360" s="52"/>
      <c r="D360" s="53"/>
      <c r="E360" s="54"/>
      <c r="F360" s="52"/>
      <c r="G360" s="55"/>
      <c r="H360" s="56"/>
      <c r="I360" s="34" t="e">
        <f>VLOOKUP(B360,'26년 1월 출석표'!$B$7:$D$500,3,0)</f>
        <v>#N/A</v>
      </c>
      <c r="J360" s="35" t="e">
        <f t="shared" ca="1" si="0"/>
        <v>#NAME?</v>
      </c>
      <c r="K360" s="36" t="str">
        <f t="shared" si="1"/>
        <v/>
      </c>
      <c r="L360" s="37" t="str">
        <f t="shared" si="2"/>
        <v/>
      </c>
      <c r="M360" s="30"/>
      <c r="N360" s="38" t="b">
        <v>0</v>
      </c>
      <c r="O360" s="38" t="b">
        <v>0</v>
      </c>
      <c r="P360" s="39" t="e">
        <f>VLOOKUP($B360,'26년 1월 출석표'!$B$2:$BQ$497,10,0)/1</f>
        <v>#N/A</v>
      </c>
      <c r="Q360" s="40"/>
      <c r="R360" s="41" t="e">
        <f>VLOOKUP($B360,'26년 1월 출석표'!$B$2:$BQ$497,24,0)/5</f>
        <v>#N/A</v>
      </c>
      <c r="S360" s="40"/>
      <c r="T360" s="41" t="e">
        <f>VLOOKUP($B360,'26년 1월 출석표'!$B$2:$BQ$497,38,0)/5</f>
        <v>#N/A</v>
      </c>
      <c r="U360" s="40"/>
      <c r="V360" s="41" t="e">
        <f>VLOOKUP($B360,'26년 1월 출석표'!$B$2:$BQ$497,52,0)/5</f>
        <v>#N/A</v>
      </c>
      <c r="W360" s="42"/>
      <c r="X360" s="41" t="e">
        <f>VLOOKUP($B360,'26년 1월 출석표'!$B$2:$BQ$503,66,0)/5</f>
        <v>#N/A</v>
      </c>
      <c r="Y360" s="43"/>
    </row>
    <row r="361" spans="1:25" ht="16.5">
      <c r="A361" s="29"/>
      <c r="B361" s="52"/>
      <c r="C361" s="52"/>
      <c r="D361" s="53"/>
      <c r="E361" s="54"/>
      <c r="F361" s="52"/>
      <c r="G361" s="55"/>
      <c r="H361" s="56"/>
      <c r="I361" s="34" t="e">
        <f>VLOOKUP(B361,'26년 1월 출석표'!$B$7:$D$500,3,0)</f>
        <v>#N/A</v>
      </c>
      <c r="J361" s="35" t="e">
        <f t="shared" ca="1" si="0"/>
        <v>#NAME?</v>
      </c>
      <c r="K361" s="36" t="str">
        <f t="shared" si="1"/>
        <v/>
      </c>
      <c r="L361" s="37" t="str">
        <f t="shared" si="2"/>
        <v/>
      </c>
      <c r="M361" s="30"/>
      <c r="N361" s="38" t="b">
        <v>0</v>
      </c>
      <c r="O361" s="38" t="b">
        <v>0</v>
      </c>
      <c r="P361" s="39" t="e">
        <f>VLOOKUP($B361,'26년 1월 출석표'!$B$2:$BQ$497,10,0)/1</f>
        <v>#N/A</v>
      </c>
      <c r="Q361" s="40"/>
      <c r="R361" s="41" t="e">
        <f>VLOOKUP($B361,'26년 1월 출석표'!$B$2:$BQ$497,24,0)/5</f>
        <v>#N/A</v>
      </c>
      <c r="S361" s="40"/>
      <c r="T361" s="41" t="e">
        <f>VLOOKUP($B361,'26년 1월 출석표'!$B$2:$BQ$497,38,0)/5</f>
        <v>#N/A</v>
      </c>
      <c r="U361" s="40"/>
      <c r="V361" s="41" t="e">
        <f>VLOOKUP($B361,'26년 1월 출석표'!$B$2:$BQ$497,52,0)/5</f>
        <v>#N/A</v>
      </c>
      <c r="W361" s="42"/>
      <c r="X361" s="41" t="e">
        <f>VLOOKUP($B361,'26년 1월 출석표'!$B$2:$BQ$503,66,0)/5</f>
        <v>#N/A</v>
      </c>
      <c r="Y361" s="43"/>
    </row>
    <row r="362" spans="1:25" ht="16.5">
      <c r="A362" s="29"/>
      <c r="B362" s="52"/>
      <c r="C362" s="52"/>
      <c r="D362" s="53"/>
      <c r="E362" s="54"/>
      <c r="F362" s="52"/>
      <c r="G362" s="55"/>
      <c r="H362" s="56"/>
      <c r="I362" s="34" t="e">
        <f>VLOOKUP(B362,'26년 1월 출석표'!$B$7:$D$500,3,0)</f>
        <v>#N/A</v>
      </c>
      <c r="J362" s="35" t="e">
        <f t="shared" ca="1" si="0"/>
        <v>#NAME?</v>
      </c>
      <c r="K362" s="36" t="str">
        <f t="shared" si="1"/>
        <v/>
      </c>
      <c r="L362" s="37" t="str">
        <f t="shared" si="2"/>
        <v/>
      </c>
      <c r="M362" s="30"/>
      <c r="N362" s="38" t="b">
        <v>0</v>
      </c>
      <c r="O362" s="38" t="b">
        <v>0</v>
      </c>
      <c r="P362" s="39" t="e">
        <f>VLOOKUP($B362,'26년 1월 출석표'!$B$2:$BQ$497,10,0)/1</f>
        <v>#N/A</v>
      </c>
      <c r="Q362" s="40"/>
      <c r="R362" s="41" t="e">
        <f>VLOOKUP($B362,'26년 1월 출석표'!$B$2:$BQ$497,24,0)/5</f>
        <v>#N/A</v>
      </c>
      <c r="S362" s="40"/>
      <c r="T362" s="41" t="e">
        <f>VLOOKUP($B362,'26년 1월 출석표'!$B$2:$BQ$497,38,0)/5</f>
        <v>#N/A</v>
      </c>
      <c r="U362" s="40"/>
      <c r="V362" s="41" t="e">
        <f>VLOOKUP($B362,'26년 1월 출석표'!$B$2:$BQ$497,52,0)/5</f>
        <v>#N/A</v>
      </c>
      <c r="W362" s="42"/>
      <c r="X362" s="41" t="e">
        <f>VLOOKUP($B362,'26년 1월 출석표'!$B$2:$BQ$503,66,0)/5</f>
        <v>#N/A</v>
      </c>
      <c r="Y362" s="43"/>
    </row>
    <row r="363" spans="1:25" ht="16.5">
      <c r="A363" s="29"/>
      <c r="B363" s="52"/>
      <c r="C363" s="52"/>
      <c r="D363" s="53"/>
      <c r="E363" s="54"/>
      <c r="F363" s="52"/>
      <c r="G363" s="55"/>
      <c r="H363" s="56"/>
      <c r="I363" s="34" t="e">
        <f>VLOOKUP(B363,'26년 1월 출석표'!$B$7:$D$500,3,0)</f>
        <v>#N/A</v>
      </c>
      <c r="J363" s="35" t="e">
        <f t="shared" ca="1" si="0"/>
        <v>#NAME?</v>
      </c>
      <c r="K363" s="36" t="str">
        <f t="shared" si="1"/>
        <v/>
      </c>
      <c r="L363" s="37" t="str">
        <f t="shared" si="2"/>
        <v/>
      </c>
      <c r="M363" s="30"/>
      <c r="N363" s="38" t="b">
        <v>0</v>
      </c>
      <c r="O363" s="38" t="b">
        <v>0</v>
      </c>
      <c r="P363" s="39" t="e">
        <f>VLOOKUP($B363,'26년 1월 출석표'!$B$2:$BQ$497,10,0)/1</f>
        <v>#N/A</v>
      </c>
      <c r="Q363" s="40"/>
      <c r="R363" s="41" t="e">
        <f>VLOOKUP($B363,'26년 1월 출석표'!$B$2:$BQ$497,24,0)/5</f>
        <v>#N/A</v>
      </c>
      <c r="S363" s="40"/>
      <c r="T363" s="41" t="e">
        <f>VLOOKUP($B363,'26년 1월 출석표'!$B$2:$BQ$497,38,0)/5</f>
        <v>#N/A</v>
      </c>
      <c r="U363" s="40"/>
      <c r="V363" s="41" t="e">
        <f>VLOOKUP($B363,'26년 1월 출석표'!$B$2:$BQ$497,52,0)/5</f>
        <v>#N/A</v>
      </c>
      <c r="W363" s="42"/>
      <c r="X363" s="41" t="e">
        <f>VLOOKUP($B363,'26년 1월 출석표'!$B$2:$BQ$503,66,0)/5</f>
        <v>#N/A</v>
      </c>
      <c r="Y363" s="43"/>
    </row>
    <row r="364" spans="1:25" ht="16.5">
      <c r="A364" s="29"/>
      <c r="B364" s="52"/>
      <c r="C364" s="52"/>
      <c r="D364" s="53"/>
      <c r="E364" s="54"/>
      <c r="F364" s="52"/>
      <c r="G364" s="55"/>
      <c r="H364" s="56"/>
      <c r="I364" s="34" t="e">
        <f>VLOOKUP(B364,'26년 1월 출석표'!$B$7:$D$500,3,0)</f>
        <v>#N/A</v>
      </c>
      <c r="J364" s="35" t="e">
        <f t="shared" ca="1" si="0"/>
        <v>#NAME?</v>
      </c>
      <c r="K364" s="36" t="str">
        <f t="shared" si="1"/>
        <v/>
      </c>
      <c r="L364" s="37" t="str">
        <f t="shared" si="2"/>
        <v/>
      </c>
      <c r="M364" s="30"/>
      <c r="N364" s="38" t="b">
        <v>0</v>
      </c>
      <c r="O364" s="38" t="b">
        <v>0</v>
      </c>
      <c r="P364" s="39" t="e">
        <f>VLOOKUP($B364,'26년 1월 출석표'!$B$2:$BQ$497,10,0)/1</f>
        <v>#N/A</v>
      </c>
      <c r="Q364" s="40"/>
      <c r="R364" s="41" t="e">
        <f>VLOOKUP($B364,'26년 1월 출석표'!$B$2:$BQ$497,24,0)/5</f>
        <v>#N/A</v>
      </c>
      <c r="S364" s="40"/>
      <c r="T364" s="41" t="e">
        <f>VLOOKUP($B364,'26년 1월 출석표'!$B$2:$BQ$497,38,0)/5</f>
        <v>#N/A</v>
      </c>
      <c r="U364" s="40"/>
      <c r="V364" s="41" t="e">
        <f>VLOOKUP($B364,'26년 1월 출석표'!$B$2:$BQ$497,52,0)/5</f>
        <v>#N/A</v>
      </c>
      <c r="W364" s="42"/>
      <c r="X364" s="41" t="e">
        <f>VLOOKUP($B364,'26년 1월 출석표'!$B$2:$BQ$503,66,0)/5</f>
        <v>#N/A</v>
      </c>
      <c r="Y364" s="43"/>
    </row>
    <row r="365" spans="1:25" ht="16.5">
      <c r="A365" s="29"/>
      <c r="B365" s="52"/>
      <c r="C365" s="52"/>
      <c r="D365" s="53"/>
      <c r="E365" s="54"/>
      <c r="F365" s="52"/>
      <c r="G365" s="55"/>
      <c r="H365" s="56"/>
      <c r="I365" s="34" t="e">
        <f>VLOOKUP(B365,'26년 1월 출석표'!$B$7:$D$500,3,0)</f>
        <v>#N/A</v>
      </c>
      <c r="J365" s="35" t="e">
        <f t="shared" ca="1" si="0"/>
        <v>#NAME?</v>
      </c>
      <c r="K365" s="36" t="str">
        <f t="shared" si="1"/>
        <v/>
      </c>
      <c r="L365" s="37" t="str">
        <f t="shared" si="2"/>
        <v/>
      </c>
      <c r="M365" s="30"/>
      <c r="N365" s="38" t="b">
        <v>0</v>
      </c>
      <c r="O365" s="38" t="b">
        <v>0</v>
      </c>
      <c r="P365" s="39" t="e">
        <f>VLOOKUP($B365,'26년 1월 출석표'!$B$2:$BQ$497,10,0)/1</f>
        <v>#N/A</v>
      </c>
      <c r="Q365" s="40"/>
      <c r="R365" s="41" t="e">
        <f>VLOOKUP($B365,'26년 1월 출석표'!$B$2:$BQ$497,24,0)/5</f>
        <v>#N/A</v>
      </c>
      <c r="S365" s="40"/>
      <c r="T365" s="41" t="e">
        <f>VLOOKUP($B365,'26년 1월 출석표'!$B$2:$BQ$497,38,0)/5</f>
        <v>#N/A</v>
      </c>
      <c r="U365" s="40"/>
      <c r="V365" s="41" t="e">
        <f>VLOOKUP($B365,'26년 1월 출석표'!$B$2:$BQ$497,52,0)/5</f>
        <v>#N/A</v>
      </c>
      <c r="W365" s="42"/>
      <c r="X365" s="41" t="e">
        <f>VLOOKUP($B365,'26년 1월 출석표'!$B$2:$BQ$503,66,0)/5</f>
        <v>#N/A</v>
      </c>
      <c r="Y365" s="43"/>
    </row>
    <row r="366" spans="1:25" ht="16.5">
      <c r="A366" s="29"/>
      <c r="B366" s="52"/>
      <c r="C366" s="52"/>
      <c r="D366" s="53"/>
      <c r="E366" s="54"/>
      <c r="F366" s="52"/>
      <c r="G366" s="55"/>
      <c r="H366" s="56"/>
      <c r="I366" s="34" t="e">
        <f>VLOOKUP(B366,'26년 1월 출석표'!$B$7:$D$500,3,0)</f>
        <v>#N/A</v>
      </c>
      <c r="J366" s="35" t="e">
        <f t="shared" ca="1" si="0"/>
        <v>#NAME?</v>
      </c>
      <c r="K366" s="36" t="str">
        <f t="shared" si="1"/>
        <v/>
      </c>
      <c r="L366" s="37" t="str">
        <f t="shared" si="2"/>
        <v/>
      </c>
      <c r="M366" s="30"/>
      <c r="N366" s="38" t="b">
        <v>0</v>
      </c>
      <c r="O366" s="38" t="b">
        <v>0</v>
      </c>
      <c r="P366" s="39" t="e">
        <f>VLOOKUP($B366,'26년 1월 출석표'!$B$2:$BQ$497,10,0)/1</f>
        <v>#N/A</v>
      </c>
      <c r="Q366" s="40"/>
      <c r="R366" s="41" t="e">
        <f>VLOOKUP($B366,'26년 1월 출석표'!$B$2:$BQ$497,24,0)/5</f>
        <v>#N/A</v>
      </c>
      <c r="S366" s="40"/>
      <c r="T366" s="41" t="e">
        <f>VLOOKUP($B366,'26년 1월 출석표'!$B$2:$BQ$497,38,0)/5</f>
        <v>#N/A</v>
      </c>
      <c r="U366" s="40"/>
      <c r="V366" s="41" t="e">
        <f>VLOOKUP($B366,'26년 1월 출석표'!$B$2:$BQ$497,52,0)/5</f>
        <v>#N/A</v>
      </c>
      <c r="W366" s="42"/>
      <c r="X366" s="41" t="e">
        <f>VLOOKUP($B366,'26년 1월 출석표'!$B$2:$BQ$503,66,0)/5</f>
        <v>#N/A</v>
      </c>
      <c r="Y366" s="43"/>
    </row>
    <row r="367" spans="1:25" ht="16.5">
      <c r="A367" s="29"/>
      <c r="B367" s="52"/>
      <c r="C367" s="52"/>
      <c r="D367" s="53"/>
      <c r="E367" s="54"/>
      <c r="F367" s="52"/>
      <c r="G367" s="55"/>
      <c r="H367" s="56"/>
      <c r="I367" s="34" t="e">
        <f>VLOOKUP(B367,'26년 1월 출석표'!$B$7:$D$500,3,0)</f>
        <v>#N/A</v>
      </c>
      <c r="J367" s="35" t="e">
        <f t="shared" ca="1" si="0"/>
        <v>#NAME?</v>
      </c>
      <c r="K367" s="36" t="str">
        <f t="shared" si="1"/>
        <v/>
      </c>
      <c r="L367" s="37" t="str">
        <f t="shared" si="2"/>
        <v/>
      </c>
      <c r="M367" s="30"/>
      <c r="N367" s="38" t="b">
        <v>0</v>
      </c>
      <c r="O367" s="38" t="b">
        <v>0</v>
      </c>
      <c r="P367" s="39" t="e">
        <f>VLOOKUP($B367,'26년 1월 출석표'!$B$2:$BQ$497,10,0)/1</f>
        <v>#N/A</v>
      </c>
      <c r="Q367" s="40"/>
      <c r="R367" s="41" t="e">
        <f>VLOOKUP($B367,'26년 1월 출석표'!$B$2:$BQ$497,24,0)/5</f>
        <v>#N/A</v>
      </c>
      <c r="S367" s="40"/>
      <c r="T367" s="41" t="e">
        <f>VLOOKUP($B367,'26년 1월 출석표'!$B$2:$BQ$497,38,0)/5</f>
        <v>#N/A</v>
      </c>
      <c r="U367" s="40"/>
      <c r="V367" s="41" t="e">
        <f>VLOOKUP($B367,'26년 1월 출석표'!$B$2:$BQ$497,52,0)/5</f>
        <v>#N/A</v>
      </c>
      <c r="W367" s="42"/>
      <c r="X367" s="41" t="e">
        <f>VLOOKUP($B367,'26년 1월 출석표'!$B$2:$BQ$503,66,0)/5</f>
        <v>#N/A</v>
      </c>
      <c r="Y367" s="43"/>
    </row>
    <row r="368" spans="1:25" ht="16.5">
      <c r="A368" s="29"/>
      <c r="B368" s="52"/>
      <c r="C368" s="52"/>
      <c r="D368" s="53"/>
      <c r="E368" s="54"/>
      <c r="F368" s="52"/>
      <c r="G368" s="55"/>
      <c r="H368" s="56"/>
      <c r="I368" s="34" t="e">
        <f>VLOOKUP(B368,'26년 1월 출석표'!$B$7:$D$500,3,0)</f>
        <v>#N/A</v>
      </c>
      <c r="J368" s="35" t="e">
        <f t="shared" ca="1" si="0"/>
        <v>#NAME?</v>
      </c>
      <c r="K368" s="36" t="str">
        <f t="shared" si="1"/>
        <v/>
      </c>
      <c r="L368" s="37" t="str">
        <f t="shared" si="2"/>
        <v/>
      </c>
      <c r="M368" s="30"/>
      <c r="N368" s="38" t="b">
        <v>0</v>
      </c>
      <c r="O368" s="38" t="b">
        <v>0</v>
      </c>
      <c r="P368" s="39" t="e">
        <f>VLOOKUP($B368,'26년 1월 출석표'!$B$2:$BQ$497,10,0)/1</f>
        <v>#N/A</v>
      </c>
      <c r="Q368" s="40"/>
      <c r="R368" s="41" t="e">
        <f>VLOOKUP($B368,'26년 1월 출석표'!$B$2:$BQ$497,24,0)/5</f>
        <v>#N/A</v>
      </c>
      <c r="S368" s="40"/>
      <c r="T368" s="41" t="e">
        <f>VLOOKUP($B368,'26년 1월 출석표'!$B$2:$BQ$497,38,0)/5</f>
        <v>#N/A</v>
      </c>
      <c r="U368" s="40"/>
      <c r="V368" s="41" t="e">
        <f>VLOOKUP($B368,'26년 1월 출석표'!$B$2:$BQ$497,52,0)/5</f>
        <v>#N/A</v>
      </c>
      <c r="W368" s="42"/>
      <c r="X368" s="41" t="e">
        <f>VLOOKUP($B368,'26년 1월 출석표'!$B$2:$BQ$503,66,0)/5</f>
        <v>#N/A</v>
      </c>
      <c r="Y368" s="43"/>
    </row>
    <row r="369" spans="1:25" ht="16.5">
      <c r="A369" s="29"/>
      <c r="B369" s="52"/>
      <c r="C369" s="52"/>
      <c r="D369" s="53"/>
      <c r="E369" s="54"/>
      <c r="F369" s="52"/>
      <c r="G369" s="55"/>
      <c r="H369" s="56"/>
      <c r="I369" s="34" t="e">
        <f>VLOOKUP(B369,'26년 1월 출석표'!$B$7:$D$500,3,0)</f>
        <v>#N/A</v>
      </c>
      <c r="J369" s="35" t="e">
        <f t="shared" ca="1" si="0"/>
        <v>#NAME?</v>
      </c>
      <c r="K369" s="36" t="str">
        <f t="shared" si="1"/>
        <v/>
      </c>
      <c r="L369" s="37" t="str">
        <f t="shared" si="2"/>
        <v/>
      </c>
      <c r="M369" s="30"/>
      <c r="N369" s="38" t="b">
        <v>0</v>
      </c>
      <c r="O369" s="38" t="b">
        <v>0</v>
      </c>
      <c r="P369" s="39" t="e">
        <f>VLOOKUP($B369,'26년 1월 출석표'!$B$2:$BQ$497,10,0)/1</f>
        <v>#N/A</v>
      </c>
      <c r="Q369" s="40"/>
      <c r="R369" s="41" t="e">
        <f>VLOOKUP($B369,'26년 1월 출석표'!$B$2:$BQ$497,24,0)/5</f>
        <v>#N/A</v>
      </c>
      <c r="S369" s="40"/>
      <c r="T369" s="41" t="e">
        <f>VLOOKUP($B369,'26년 1월 출석표'!$B$2:$BQ$497,38,0)/5</f>
        <v>#N/A</v>
      </c>
      <c r="U369" s="40"/>
      <c r="V369" s="41" t="e">
        <f>VLOOKUP($B369,'26년 1월 출석표'!$B$2:$BQ$497,52,0)/5</f>
        <v>#N/A</v>
      </c>
      <c r="W369" s="42"/>
      <c r="X369" s="41" t="e">
        <f>VLOOKUP($B369,'26년 1월 출석표'!$B$2:$BQ$503,66,0)/5</f>
        <v>#N/A</v>
      </c>
      <c r="Y369" s="43"/>
    </row>
    <row r="370" spans="1:25" ht="16.5">
      <c r="A370" s="29"/>
      <c r="B370" s="52"/>
      <c r="C370" s="52"/>
      <c r="D370" s="53"/>
      <c r="E370" s="54"/>
      <c r="F370" s="52"/>
      <c r="G370" s="55"/>
      <c r="H370" s="56"/>
      <c r="I370" s="34" t="e">
        <f>VLOOKUP(B370,'26년 1월 출석표'!$B$7:$D$500,3,0)</f>
        <v>#N/A</v>
      </c>
      <c r="J370" s="35" t="e">
        <f t="shared" ca="1" si="0"/>
        <v>#NAME?</v>
      </c>
      <c r="K370" s="36" t="str">
        <f t="shared" si="1"/>
        <v/>
      </c>
      <c r="L370" s="37" t="str">
        <f t="shared" si="2"/>
        <v/>
      </c>
      <c r="M370" s="30"/>
      <c r="N370" s="38" t="b">
        <v>0</v>
      </c>
      <c r="O370" s="38" t="b">
        <v>0</v>
      </c>
      <c r="P370" s="39" t="e">
        <f>VLOOKUP($B370,'26년 1월 출석표'!$B$2:$BQ$497,10,0)/1</f>
        <v>#N/A</v>
      </c>
      <c r="Q370" s="40"/>
      <c r="R370" s="41" t="e">
        <f>VLOOKUP($B370,'26년 1월 출석표'!$B$2:$BQ$497,24,0)/5</f>
        <v>#N/A</v>
      </c>
      <c r="S370" s="40"/>
      <c r="T370" s="41" t="e">
        <f>VLOOKUP($B370,'26년 1월 출석표'!$B$2:$BQ$497,38,0)/5</f>
        <v>#N/A</v>
      </c>
      <c r="U370" s="40"/>
      <c r="V370" s="41" t="e">
        <f>VLOOKUP($B370,'26년 1월 출석표'!$B$2:$BQ$497,52,0)/5</f>
        <v>#N/A</v>
      </c>
      <c r="W370" s="42"/>
      <c r="X370" s="41" t="e">
        <f>VLOOKUP($B370,'26년 1월 출석표'!$B$2:$BQ$503,66,0)/5</f>
        <v>#N/A</v>
      </c>
      <c r="Y370" s="43"/>
    </row>
    <row r="371" spans="1:25" ht="16.5">
      <c r="A371" s="29"/>
      <c r="B371" s="52"/>
      <c r="C371" s="52"/>
      <c r="D371" s="53"/>
      <c r="E371" s="54"/>
      <c r="F371" s="52"/>
      <c r="G371" s="55"/>
      <c r="H371" s="56"/>
      <c r="I371" s="34" t="e">
        <f>VLOOKUP(B371,'26년 1월 출석표'!$B$7:$D$500,3,0)</f>
        <v>#N/A</v>
      </c>
      <c r="J371" s="35" t="e">
        <f t="shared" ca="1" si="0"/>
        <v>#NAME?</v>
      </c>
      <c r="K371" s="36" t="str">
        <f t="shared" si="1"/>
        <v/>
      </c>
      <c r="L371" s="37" t="str">
        <f t="shared" si="2"/>
        <v/>
      </c>
      <c r="M371" s="30"/>
      <c r="N371" s="38" t="b">
        <v>0</v>
      </c>
      <c r="O371" s="38" t="b">
        <v>0</v>
      </c>
      <c r="P371" s="39" t="e">
        <f>VLOOKUP($B371,'26년 1월 출석표'!$B$2:$BQ$497,10,0)/1</f>
        <v>#N/A</v>
      </c>
      <c r="Q371" s="40"/>
      <c r="R371" s="41" t="e">
        <f>VLOOKUP($B371,'26년 1월 출석표'!$B$2:$BQ$497,24,0)/5</f>
        <v>#N/A</v>
      </c>
      <c r="S371" s="40"/>
      <c r="T371" s="41" t="e">
        <f>VLOOKUP($B371,'26년 1월 출석표'!$B$2:$BQ$497,38,0)/5</f>
        <v>#N/A</v>
      </c>
      <c r="U371" s="40"/>
      <c r="V371" s="41" t="e">
        <f>VLOOKUP($B371,'26년 1월 출석표'!$B$2:$BQ$497,52,0)/5</f>
        <v>#N/A</v>
      </c>
      <c r="W371" s="42"/>
      <c r="X371" s="41" t="e">
        <f>VLOOKUP($B371,'26년 1월 출석표'!$B$2:$BQ$503,66,0)/5</f>
        <v>#N/A</v>
      </c>
      <c r="Y371" s="43"/>
    </row>
    <row r="372" spans="1:25" ht="16.5">
      <c r="A372" s="29"/>
      <c r="B372" s="52"/>
      <c r="C372" s="52"/>
      <c r="D372" s="53"/>
      <c r="E372" s="54"/>
      <c r="F372" s="52"/>
      <c r="G372" s="55"/>
      <c r="H372" s="56"/>
      <c r="I372" s="34" t="e">
        <f>VLOOKUP(B372,'26년 1월 출석표'!$B$7:$D$500,3,0)</f>
        <v>#N/A</v>
      </c>
      <c r="J372" s="35" t="e">
        <f t="shared" ca="1" si="0"/>
        <v>#NAME?</v>
      </c>
      <c r="K372" s="36" t="str">
        <f t="shared" si="1"/>
        <v/>
      </c>
      <c r="L372" s="37" t="str">
        <f t="shared" si="2"/>
        <v/>
      </c>
      <c r="M372" s="30"/>
      <c r="N372" s="38" t="b">
        <v>0</v>
      </c>
      <c r="O372" s="38" t="b">
        <v>0</v>
      </c>
      <c r="P372" s="39" t="e">
        <f>VLOOKUP($B372,'26년 1월 출석표'!$B$2:$BQ$497,10,0)/1</f>
        <v>#N/A</v>
      </c>
      <c r="Q372" s="40"/>
      <c r="R372" s="41" t="e">
        <f>VLOOKUP($B372,'26년 1월 출석표'!$B$2:$BQ$497,24,0)/5</f>
        <v>#N/A</v>
      </c>
      <c r="S372" s="40"/>
      <c r="T372" s="41" t="e">
        <f>VLOOKUP($B372,'26년 1월 출석표'!$B$2:$BQ$497,38,0)/5</f>
        <v>#N/A</v>
      </c>
      <c r="U372" s="40"/>
      <c r="V372" s="41" t="e">
        <f>VLOOKUP($B372,'26년 1월 출석표'!$B$2:$BQ$497,52,0)/5</f>
        <v>#N/A</v>
      </c>
      <c r="W372" s="42"/>
      <c r="X372" s="41" t="e">
        <f>VLOOKUP($B372,'26년 1월 출석표'!$B$2:$BQ$503,66,0)/5</f>
        <v>#N/A</v>
      </c>
      <c r="Y372" s="43"/>
    </row>
    <row r="373" spans="1:25" ht="16.5">
      <c r="A373" s="29"/>
      <c r="B373" s="52"/>
      <c r="C373" s="52"/>
      <c r="D373" s="53"/>
      <c r="E373" s="54"/>
      <c r="F373" s="52"/>
      <c r="G373" s="55"/>
      <c r="H373" s="56"/>
      <c r="I373" s="34" t="e">
        <f>VLOOKUP(B373,'26년 1월 출석표'!$B$7:$D$500,3,0)</f>
        <v>#N/A</v>
      </c>
      <c r="J373" s="35" t="e">
        <f t="shared" ca="1" si="0"/>
        <v>#NAME?</v>
      </c>
      <c r="K373" s="36" t="str">
        <f t="shared" si="1"/>
        <v/>
      </c>
      <c r="L373" s="37" t="str">
        <f t="shared" si="2"/>
        <v/>
      </c>
      <c r="M373" s="30"/>
      <c r="N373" s="38" t="b">
        <v>0</v>
      </c>
      <c r="O373" s="38" t="b">
        <v>0</v>
      </c>
      <c r="P373" s="39" t="e">
        <f>VLOOKUP($B373,'26년 1월 출석표'!$B$2:$BQ$497,10,0)/1</f>
        <v>#N/A</v>
      </c>
      <c r="Q373" s="40"/>
      <c r="R373" s="41" t="e">
        <f>VLOOKUP($B373,'26년 1월 출석표'!$B$2:$BQ$497,24,0)/5</f>
        <v>#N/A</v>
      </c>
      <c r="S373" s="40"/>
      <c r="T373" s="41" t="e">
        <f>VLOOKUP($B373,'26년 1월 출석표'!$B$2:$BQ$497,38,0)/5</f>
        <v>#N/A</v>
      </c>
      <c r="U373" s="40"/>
      <c r="V373" s="41" t="e">
        <f>VLOOKUP($B373,'26년 1월 출석표'!$B$2:$BQ$497,52,0)/5</f>
        <v>#N/A</v>
      </c>
      <c r="W373" s="42"/>
      <c r="X373" s="41" t="e">
        <f>VLOOKUP($B373,'26년 1월 출석표'!$B$2:$BQ$503,66,0)/5</f>
        <v>#N/A</v>
      </c>
      <c r="Y373" s="43"/>
    </row>
    <row r="374" spans="1:25" ht="16.5">
      <c r="A374" s="29"/>
      <c r="B374" s="52"/>
      <c r="C374" s="52"/>
      <c r="D374" s="53"/>
      <c r="E374" s="54"/>
      <c r="F374" s="52"/>
      <c r="G374" s="55"/>
      <c r="H374" s="56"/>
      <c r="I374" s="34" t="e">
        <f>VLOOKUP(B374,'26년 1월 출석표'!$B$7:$D$500,3,0)</f>
        <v>#N/A</v>
      </c>
      <c r="J374" s="35" t="e">
        <f t="shared" ca="1" si="0"/>
        <v>#NAME?</v>
      </c>
      <c r="K374" s="36" t="str">
        <f t="shared" si="1"/>
        <v/>
      </c>
      <c r="L374" s="37" t="str">
        <f t="shared" si="2"/>
        <v/>
      </c>
      <c r="M374" s="30"/>
      <c r="N374" s="38" t="b">
        <v>0</v>
      </c>
      <c r="O374" s="38" t="b">
        <v>0</v>
      </c>
      <c r="P374" s="39" t="e">
        <f>VLOOKUP($B374,'26년 1월 출석표'!$B$2:$BQ$497,10,0)/1</f>
        <v>#N/A</v>
      </c>
      <c r="Q374" s="40"/>
      <c r="R374" s="41" t="e">
        <f>VLOOKUP($B374,'26년 1월 출석표'!$B$2:$BQ$497,24,0)/5</f>
        <v>#N/A</v>
      </c>
      <c r="S374" s="40"/>
      <c r="T374" s="41" t="e">
        <f>VLOOKUP($B374,'26년 1월 출석표'!$B$2:$BQ$497,38,0)/5</f>
        <v>#N/A</v>
      </c>
      <c r="U374" s="40"/>
      <c r="V374" s="41" t="e">
        <f>VLOOKUP($B374,'26년 1월 출석표'!$B$2:$BQ$497,52,0)/5</f>
        <v>#N/A</v>
      </c>
      <c r="W374" s="42"/>
      <c r="X374" s="41" t="e">
        <f>VLOOKUP($B374,'26년 1월 출석표'!$B$2:$BQ$503,66,0)/5</f>
        <v>#N/A</v>
      </c>
      <c r="Y374" s="43"/>
    </row>
    <row r="375" spans="1:25" ht="16.5">
      <c r="A375" s="29"/>
      <c r="B375" s="52"/>
      <c r="C375" s="52"/>
      <c r="D375" s="53"/>
      <c r="E375" s="54"/>
      <c r="F375" s="52"/>
      <c r="G375" s="55"/>
      <c r="H375" s="56"/>
      <c r="I375" s="34" t="e">
        <f>VLOOKUP(B375,'26년 1월 출석표'!$B$7:$D$500,3,0)</f>
        <v>#N/A</v>
      </c>
      <c r="J375" s="35" t="e">
        <f t="shared" ca="1" si="0"/>
        <v>#NAME?</v>
      </c>
      <c r="K375" s="36" t="str">
        <f t="shared" si="1"/>
        <v/>
      </c>
      <c r="L375" s="37" t="str">
        <f t="shared" si="2"/>
        <v/>
      </c>
      <c r="M375" s="30"/>
      <c r="N375" s="38" t="b">
        <v>0</v>
      </c>
      <c r="O375" s="38" t="b">
        <v>0</v>
      </c>
      <c r="P375" s="39" t="e">
        <f>VLOOKUP($B375,'26년 1월 출석표'!$B$2:$BQ$497,10,0)/1</f>
        <v>#N/A</v>
      </c>
      <c r="Q375" s="40"/>
      <c r="R375" s="41" t="e">
        <f>VLOOKUP($B375,'26년 1월 출석표'!$B$2:$BQ$497,24,0)/5</f>
        <v>#N/A</v>
      </c>
      <c r="S375" s="40"/>
      <c r="T375" s="41" t="e">
        <f>VLOOKUP($B375,'26년 1월 출석표'!$B$2:$BQ$497,38,0)/5</f>
        <v>#N/A</v>
      </c>
      <c r="U375" s="40"/>
      <c r="V375" s="41" t="e">
        <f>VLOOKUP($B375,'26년 1월 출석표'!$B$2:$BQ$497,52,0)/5</f>
        <v>#N/A</v>
      </c>
      <c r="W375" s="42"/>
      <c r="X375" s="41" t="e">
        <f>VLOOKUP($B375,'26년 1월 출석표'!$B$2:$BQ$503,66,0)/5</f>
        <v>#N/A</v>
      </c>
      <c r="Y375" s="43"/>
    </row>
    <row r="376" spans="1:25" ht="16.5">
      <c r="A376" s="29"/>
      <c r="B376" s="52"/>
      <c r="C376" s="52"/>
      <c r="D376" s="53"/>
      <c r="E376" s="54"/>
      <c r="F376" s="52"/>
      <c r="G376" s="55"/>
      <c r="H376" s="56"/>
      <c r="I376" s="34" t="e">
        <f>VLOOKUP(B376,'26년 1월 출석표'!$B$7:$D$500,3,0)</f>
        <v>#N/A</v>
      </c>
      <c r="J376" s="35" t="e">
        <f t="shared" ca="1" si="0"/>
        <v>#NAME?</v>
      </c>
      <c r="K376" s="36" t="str">
        <f t="shared" si="1"/>
        <v/>
      </c>
      <c r="L376" s="37" t="str">
        <f t="shared" si="2"/>
        <v/>
      </c>
      <c r="M376" s="30"/>
      <c r="N376" s="38" t="b">
        <v>0</v>
      </c>
      <c r="O376" s="38" t="b">
        <v>0</v>
      </c>
      <c r="P376" s="39" t="e">
        <f>VLOOKUP($B376,'26년 1월 출석표'!$B$2:$BQ$497,10,0)/1</f>
        <v>#N/A</v>
      </c>
      <c r="Q376" s="40"/>
      <c r="R376" s="41" t="e">
        <f>VLOOKUP($B376,'26년 1월 출석표'!$B$2:$BQ$497,24,0)/5</f>
        <v>#N/A</v>
      </c>
      <c r="S376" s="40"/>
      <c r="T376" s="41" t="e">
        <f>VLOOKUP($B376,'26년 1월 출석표'!$B$2:$BQ$497,38,0)/5</f>
        <v>#N/A</v>
      </c>
      <c r="U376" s="40"/>
      <c r="V376" s="41" t="e">
        <f>VLOOKUP($B376,'26년 1월 출석표'!$B$2:$BQ$497,52,0)/5</f>
        <v>#N/A</v>
      </c>
      <c r="W376" s="42"/>
      <c r="X376" s="41" t="e">
        <f>VLOOKUP($B376,'26년 1월 출석표'!$B$2:$BQ$503,66,0)/5</f>
        <v>#N/A</v>
      </c>
      <c r="Y376" s="43"/>
    </row>
    <row r="377" spans="1:25" ht="16.5">
      <c r="A377" s="29"/>
      <c r="B377" s="52"/>
      <c r="C377" s="52"/>
      <c r="D377" s="53"/>
      <c r="E377" s="54"/>
      <c r="F377" s="52"/>
      <c r="G377" s="55"/>
      <c r="H377" s="56"/>
      <c r="I377" s="34" t="e">
        <f>VLOOKUP(B377,'26년 1월 출석표'!$B$7:$D$500,3,0)</f>
        <v>#N/A</v>
      </c>
      <c r="J377" s="35" t="e">
        <f t="shared" ca="1" si="0"/>
        <v>#NAME?</v>
      </c>
      <c r="K377" s="36" t="str">
        <f t="shared" si="1"/>
        <v/>
      </c>
      <c r="L377" s="37" t="str">
        <f t="shared" si="2"/>
        <v/>
      </c>
      <c r="M377" s="30"/>
      <c r="N377" s="38" t="b">
        <v>0</v>
      </c>
      <c r="O377" s="38" t="b">
        <v>0</v>
      </c>
      <c r="P377" s="39" t="e">
        <f>VLOOKUP($B377,'26년 1월 출석표'!$B$2:$BQ$497,10,0)/1</f>
        <v>#N/A</v>
      </c>
      <c r="Q377" s="40"/>
      <c r="R377" s="41" t="e">
        <f>VLOOKUP($B377,'26년 1월 출석표'!$B$2:$BQ$497,24,0)/5</f>
        <v>#N/A</v>
      </c>
      <c r="S377" s="40"/>
      <c r="T377" s="41" t="e">
        <f>VLOOKUP($B377,'26년 1월 출석표'!$B$2:$BQ$497,38,0)/5</f>
        <v>#N/A</v>
      </c>
      <c r="U377" s="40"/>
      <c r="V377" s="41" t="e">
        <f>VLOOKUP($B377,'26년 1월 출석표'!$B$2:$BQ$497,52,0)/5</f>
        <v>#N/A</v>
      </c>
      <c r="W377" s="42"/>
      <c r="X377" s="41" t="e">
        <f>VLOOKUP($B377,'26년 1월 출석표'!$B$2:$BQ$503,66,0)/5</f>
        <v>#N/A</v>
      </c>
      <c r="Y377" s="43"/>
    </row>
    <row r="378" spans="1:25" ht="16.5">
      <c r="A378" s="29"/>
      <c r="B378" s="52"/>
      <c r="C378" s="52"/>
      <c r="D378" s="53"/>
      <c r="E378" s="54"/>
      <c r="F378" s="52"/>
      <c r="G378" s="55"/>
      <c r="H378" s="56"/>
      <c r="I378" s="34" t="e">
        <f>VLOOKUP(B378,'26년 1월 출석표'!$B$7:$D$500,3,0)</f>
        <v>#N/A</v>
      </c>
      <c r="J378" s="35" t="e">
        <f t="shared" ca="1" si="0"/>
        <v>#NAME?</v>
      </c>
      <c r="K378" s="36" t="str">
        <f t="shared" si="1"/>
        <v/>
      </c>
      <c r="L378" s="37" t="str">
        <f t="shared" si="2"/>
        <v/>
      </c>
      <c r="M378" s="30"/>
      <c r="N378" s="38" t="b">
        <v>0</v>
      </c>
      <c r="O378" s="38" t="b">
        <v>0</v>
      </c>
      <c r="P378" s="39" t="e">
        <f>VLOOKUP($B378,'26년 1월 출석표'!$B$2:$BQ$497,10,0)/1</f>
        <v>#N/A</v>
      </c>
      <c r="Q378" s="40"/>
      <c r="R378" s="41" t="e">
        <f>VLOOKUP($B378,'26년 1월 출석표'!$B$2:$BQ$497,24,0)/5</f>
        <v>#N/A</v>
      </c>
      <c r="S378" s="40"/>
      <c r="T378" s="41" t="e">
        <f>VLOOKUP($B378,'26년 1월 출석표'!$B$2:$BQ$497,38,0)/5</f>
        <v>#N/A</v>
      </c>
      <c r="U378" s="40"/>
      <c r="V378" s="41" t="e">
        <f>VLOOKUP($B378,'26년 1월 출석표'!$B$2:$BQ$497,52,0)/5</f>
        <v>#N/A</v>
      </c>
      <c r="W378" s="42"/>
      <c r="X378" s="41" t="e">
        <f>VLOOKUP($B378,'26년 1월 출석표'!$B$2:$BQ$503,66,0)/5</f>
        <v>#N/A</v>
      </c>
      <c r="Y378" s="43"/>
    </row>
    <row r="379" spans="1:25" ht="16.5">
      <c r="A379" s="29"/>
      <c r="B379" s="52"/>
      <c r="C379" s="52"/>
      <c r="D379" s="53"/>
      <c r="E379" s="54"/>
      <c r="F379" s="52"/>
      <c r="G379" s="55"/>
      <c r="H379" s="56"/>
      <c r="I379" s="34" t="e">
        <f>VLOOKUP(B379,'26년 1월 출석표'!$B$7:$D$500,3,0)</f>
        <v>#N/A</v>
      </c>
      <c r="J379" s="35" t="e">
        <f t="shared" ca="1" si="0"/>
        <v>#NAME?</v>
      </c>
      <c r="K379" s="36" t="str">
        <f t="shared" si="1"/>
        <v/>
      </c>
      <c r="L379" s="37" t="str">
        <f t="shared" si="2"/>
        <v/>
      </c>
      <c r="M379" s="30"/>
      <c r="N379" s="38" t="b">
        <v>0</v>
      </c>
      <c r="O379" s="38" t="b">
        <v>0</v>
      </c>
      <c r="P379" s="39" t="e">
        <f>VLOOKUP($B379,'26년 1월 출석표'!$B$2:$BQ$497,10,0)/1</f>
        <v>#N/A</v>
      </c>
      <c r="Q379" s="40"/>
      <c r="R379" s="41" t="e">
        <f>VLOOKUP($B379,'26년 1월 출석표'!$B$2:$BQ$497,24,0)/5</f>
        <v>#N/A</v>
      </c>
      <c r="S379" s="40"/>
      <c r="T379" s="41" t="e">
        <f>VLOOKUP($B379,'26년 1월 출석표'!$B$2:$BQ$497,38,0)/5</f>
        <v>#N/A</v>
      </c>
      <c r="U379" s="40"/>
      <c r="V379" s="41" t="e">
        <f>VLOOKUP($B379,'26년 1월 출석표'!$B$2:$BQ$497,52,0)/5</f>
        <v>#N/A</v>
      </c>
      <c r="W379" s="42"/>
      <c r="X379" s="41" t="e">
        <f>VLOOKUP($B379,'26년 1월 출석표'!$B$2:$BQ$503,66,0)/5</f>
        <v>#N/A</v>
      </c>
      <c r="Y379" s="43"/>
    </row>
    <row r="380" spans="1:25" ht="16.5">
      <c r="A380" s="29"/>
      <c r="B380" s="52"/>
      <c r="C380" s="52"/>
      <c r="D380" s="53"/>
      <c r="E380" s="54"/>
      <c r="F380" s="52"/>
      <c r="G380" s="55"/>
      <c r="H380" s="56"/>
      <c r="I380" s="34" t="e">
        <f>VLOOKUP(B380,'26년 1월 출석표'!$B$7:$D$500,3,0)</f>
        <v>#N/A</v>
      </c>
      <c r="J380" s="35" t="e">
        <f t="shared" ca="1" si="0"/>
        <v>#NAME?</v>
      </c>
      <c r="K380" s="36" t="str">
        <f t="shared" si="1"/>
        <v/>
      </c>
      <c r="L380" s="37" t="str">
        <f t="shared" si="2"/>
        <v/>
      </c>
      <c r="M380" s="30"/>
      <c r="N380" s="38" t="b">
        <v>0</v>
      </c>
      <c r="O380" s="38" t="b">
        <v>0</v>
      </c>
      <c r="P380" s="39" t="e">
        <f>VLOOKUP($B380,'26년 1월 출석표'!$B$2:$BQ$497,10,0)/1</f>
        <v>#N/A</v>
      </c>
      <c r="Q380" s="40"/>
      <c r="R380" s="41" t="e">
        <f>VLOOKUP($B380,'26년 1월 출석표'!$B$2:$BQ$497,24,0)/5</f>
        <v>#N/A</v>
      </c>
      <c r="S380" s="40"/>
      <c r="T380" s="41" t="e">
        <f>VLOOKUP($B380,'26년 1월 출석표'!$B$2:$BQ$497,38,0)/5</f>
        <v>#N/A</v>
      </c>
      <c r="U380" s="40"/>
      <c r="V380" s="41" t="e">
        <f>VLOOKUP($B380,'26년 1월 출석표'!$B$2:$BQ$497,52,0)/5</f>
        <v>#N/A</v>
      </c>
      <c r="W380" s="42"/>
      <c r="X380" s="41" t="e">
        <f>VLOOKUP($B380,'26년 1월 출석표'!$B$2:$BQ$503,66,0)/5</f>
        <v>#N/A</v>
      </c>
      <c r="Y380" s="43"/>
    </row>
    <row r="381" spans="1:25" ht="16.5">
      <c r="A381" s="29"/>
      <c r="B381" s="52"/>
      <c r="C381" s="52"/>
      <c r="D381" s="53"/>
      <c r="E381" s="54"/>
      <c r="F381" s="52"/>
      <c r="G381" s="55"/>
      <c r="H381" s="56"/>
      <c r="I381" s="34" t="e">
        <f>VLOOKUP(B381,'26년 1월 출석표'!$B$7:$D$500,3,0)</f>
        <v>#N/A</v>
      </c>
      <c r="J381" s="35" t="e">
        <f t="shared" ca="1" si="0"/>
        <v>#NAME?</v>
      </c>
      <c r="K381" s="36" t="str">
        <f t="shared" si="1"/>
        <v/>
      </c>
      <c r="L381" s="37" t="str">
        <f t="shared" si="2"/>
        <v/>
      </c>
      <c r="M381" s="30"/>
      <c r="N381" s="38" t="b">
        <v>0</v>
      </c>
      <c r="O381" s="38" t="b">
        <v>0</v>
      </c>
      <c r="P381" s="39" t="e">
        <f>VLOOKUP($B381,'26년 1월 출석표'!$B$2:$BQ$497,10,0)/1</f>
        <v>#N/A</v>
      </c>
      <c r="Q381" s="40"/>
      <c r="R381" s="41" t="e">
        <f>VLOOKUP($B381,'26년 1월 출석표'!$B$2:$BQ$497,24,0)/5</f>
        <v>#N/A</v>
      </c>
      <c r="S381" s="40"/>
      <c r="T381" s="41" t="e">
        <f>VLOOKUP($B381,'26년 1월 출석표'!$B$2:$BQ$497,38,0)/5</f>
        <v>#N/A</v>
      </c>
      <c r="U381" s="40"/>
      <c r="V381" s="41" t="e">
        <f>VLOOKUP($B381,'26년 1월 출석표'!$B$2:$BQ$497,52,0)/5</f>
        <v>#N/A</v>
      </c>
      <c r="W381" s="42"/>
      <c r="X381" s="41" t="e">
        <f>VLOOKUP($B381,'26년 1월 출석표'!$B$2:$BQ$503,66,0)/5</f>
        <v>#N/A</v>
      </c>
      <c r="Y381" s="43"/>
    </row>
    <row r="382" spans="1:25" ht="16.5">
      <c r="A382" s="29"/>
      <c r="B382" s="52"/>
      <c r="C382" s="52"/>
      <c r="D382" s="53"/>
      <c r="E382" s="54"/>
      <c r="F382" s="52"/>
      <c r="G382" s="55"/>
      <c r="H382" s="56"/>
      <c r="I382" s="34" t="e">
        <f>VLOOKUP(B382,'26년 1월 출석표'!$B$7:$D$500,3,0)</f>
        <v>#N/A</v>
      </c>
      <c r="J382" s="35" t="e">
        <f t="shared" ca="1" si="0"/>
        <v>#NAME?</v>
      </c>
      <c r="K382" s="36" t="str">
        <f t="shared" si="1"/>
        <v/>
      </c>
      <c r="L382" s="37" t="str">
        <f t="shared" si="2"/>
        <v/>
      </c>
      <c r="M382" s="30"/>
      <c r="N382" s="38" t="b">
        <v>0</v>
      </c>
      <c r="O382" s="38" t="b">
        <v>0</v>
      </c>
      <c r="P382" s="39" t="e">
        <f>VLOOKUP($B382,'26년 1월 출석표'!$B$2:$BQ$497,10,0)/1</f>
        <v>#N/A</v>
      </c>
      <c r="Q382" s="40"/>
      <c r="R382" s="41" t="e">
        <f>VLOOKUP($B382,'26년 1월 출석표'!$B$2:$BQ$497,24,0)/5</f>
        <v>#N/A</v>
      </c>
      <c r="S382" s="40"/>
      <c r="T382" s="41" t="e">
        <f>VLOOKUP($B382,'26년 1월 출석표'!$B$2:$BQ$497,38,0)/5</f>
        <v>#N/A</v>
      </c>
      <c r="U382" s="40"/>
      <c r="V382" s="41" t="e">
        <f>VLOOKUP($B382,'26년 1월 출석표'!$B$2:$BQ$497,52,0)/5</f>
        <v>#N/A</v>
      </c>
      <c r="W382" s="42"/>
      <c r="X382" s="41" t="e">
        <f>VLOOKUP($B382,'26년 1월 출석표'!$B$2:$BQ$503,66,0)/5</f>
        <v>#N/A</v>
      </c>
      <c r="Y382" s="43"/>
    </row>
    <row r="383" spans="1:25" ht="16.5">
      <c r="A383" s="29"/>
      <c r="B383" s="52"/>
      <c r="C383" s="52"/>
      <c r="D383" s="53"/>
      <c r="E383" s="54"/>
      <c r="F383" s="52"/>
      <c r="G383" s="55"/>
      <c r="H383" s="56"/>
      <c r="I383" s="34" t="e">
        <f>VLOOKUP(B383,'26년 1월 출석표'!$B$7:$D$500,3,0)</f>
        <v>#N/A</v>
      </c>
      <c r="J383" s="35" t="e">
        <f t="shared" ca="1" si="0"/>
        <v>#NAME?</v>
      </c>
      <c r="K383" s="36" t="str">
        <f t="shared" si="1"/>
        <v/>
      </c>
      <c r="L383" s="37" t="str">
        <f t="shared" si="2"/>
        <v/>
      </c>
      <c r="M383" s="30"/>
      <c r="N383" s="38" t="b">
        <v>0</v>
      </c>
      <c r="O383" s="38" t="b">
        <v>0</v>
      </c>
      <c r="P383" s="39" t="e">
        <f>VLOOKUP($B383,'26년 1월 출석표'!$B$2:$BQ$497,10,0)/1</f>
        <v>#N/A</v>
      </c>
      <c r="Q383" s="40"/>
      <c r="R383" s="41" t="e">
        <f>VLOOKUP($B383,'26년 1월 출석표'!$B$2:$BQ$497,24,0)/5</f>
        <v>#N/A</v>
      </c>
      <c r="S383" s="40"/>
      <c r="T383" s="41" t="e">
        <f>VLOOKUP($B383,'26년 1월 출석표'!$B$2:$BQ$497,38,0)/5</f>
        <v>#N/A</v>
      </c>
      <c r="U383" s="40"/>
      <c r="V383" s="41" t="e">
        <f>VLOOKUP($B383,'26년 1월 출석표'!$B$2:$BQ$497,52,0)/5</f>
        <v>#N/A</v>
      </c>
      <c r="W383" s="42"/>
      <c r="X383" s="41" t="e">
        <f>VLOOKUP($B383,'26년 1월 출석표'!$B$2:$BQ$503,66,0)/5</f>
        <v>#N/A</v>
      </c>
      <c r="Y383" s="43"/>
    </row>
    <row r="384" spans="1:25" ht="16.5">
      <c r="A384" s="29"/>
      <c r="B384" s="52"/>
      <c r="C384" s="52"/>
      <c r="D384" s="53"/>
      <c r="E384" s="54"/>
      <c r="F384" s="52"/>
      <c r="G384" s="55"/>
      <c r="H384" s="56"/>
      <c r="I384" s="34" t="e">
        <f>VLOOKUP(B384,'26년 1월 출석표'!$B$7:$D$500,3,0)</f>
        <v>#N/A</v>
      </c>
      <c r="J384" s="35" t="e">
        <f t="shared" ca="1" si="0"/>
        <v>#NAME?</v>
      </c>
      <c r="K384" s="36" t="str">
        <f t="shared" si="1"/>
        <v/>
      </c>
      <c r="L384" s="37" t="str">
        <f t="shared" si="2"/>
        <v/>
      </c>
      <c r="M384" s="30"/>
      <c r="N384" s="38" t="b">
        <v>0</v>
      </c>
      <c r="O384" s="38" t="b">
        <v>0</v>
      </c>
      <c r="P384" s="39" t="e">
        <f>VLOOKUP($B384,'26년 1월 출석표'!$B$2:$BQ$497,10,0)/1</f>
        <v>#N/A</v>
      </c>
      <c r="Q384" s="40"/>
      <c r="R384" s="41" t="e">
        <f>VLOOKUP($B384,'26년 1월 출석표'!$B$2:$BQ$497,24,0)/5</f>
        <v>#N/A</v>
      </c>
      <c r="S384" s="40"/>
      <c r="T384" s="41" t="e">
        <f>VLOOKUP($B384,'26년 1월 출석표'!$B$2:$BQ$497,38,0)/5</f>
        <v>#N/A</v>
      </c>
      <c r="U384" s="40"/>
      <c r="V384" s="41" t="e">
        <f>VLOOKUP($B384,'26년 1월 출석표'!$B$2:$BQ$497,52,0)/5</f>
        <v>#N/A</v>
      </c>
      <c r="W384" s="42"/>
      <c r="X384" s="41" t="e">
        <f>VLOOKUP($B384,'26년 1월 출석표'!$B$2:$BQ$503,66,0)/5</f>
        <v>#N/A</v>
      </c>
      <c r="Y384" s="43"/>
    </row>
    <row r="385" spans="1:25" ht="16.5">
      <c r="A385" s="29"/>
      <c r="B385" s="52"/>
      <c r="C385" s="52"/>
      <c r="D385" s="53"/>
      <c r="E385" s="54"/>
      <c r="F385" s="52"/>
      <c r="G385" s="55"/>
      <c r="H385" s="56"/>
      <c r="I385" s="34" t="e">
        <f>VLOOKUP(B385,'26년 1월 출석표'!$B$7:$D$500,3,0)</f>
        <v>#N/A</v>
      </c>
      <c r="J385" s="35" t="e">
        <f t="shared" ca="1" si="0"/>
        <v>#NAME?</v>
      </c>
      <c r="K385" s="36" t="str">
        <f t="shared" si="1"/>
        <v/>
      </c>
      <c r="L385" s="37" t="str">
        <f t="shared" si="2"/>
        <v/>
      </c>
      <c r="M385" s="30"/>
      <c r="N385" s="38" t="b">
        <v>0</v>
      </c>
      <c r="O385" s="38" t="b">
        <v>0</v>
      </c>
      <c r="P385" s="39" t="e">
        <f>VLOOKUP($B385,'26년 1월 출석표'!$B$2:$BQ$497,10,0)/1</f>
        <v>#N/A</v>
      </c>
      <c r="Q385" s="40"/>
      <c r="R385" s="41" t="e">
        <f>VLOOKUP($B385,'26년 1월 출석표'!$B$2:$BQ$497,24,0)/5</f>
        <v>#N/A</v>
      </c>
      <c r="S385" s="40"/>
      <c r="T385" s="41" t="e">
        <f>VLOOKUP($B385,'26년 1월 출석표'!$B$2:$BQ$497,38,0)/5</f>
        <v>#N/A</v>
      </c>
      <c r="U385" s="40"/>
      <c r="V385" s="41" t="e">
        <f>VLOOKUP($B385,'26년 1월 출석표'!$B$2:$BQ$497,52,0)/5</f>
        <v>#N/A</v>
      </c>
      <c r="W385" s="42"/>
      <c r="X385" s="41" t="e">
        <f>VLOOKUP($B385,'26년 1월 출석표'!$B$2:$BQ$503,66,0)/5</f>
        <v>#N/A</v>
      </c>
      <c r="Y385" s="43"/>
    </row>
    <row r="386" spans="1:25" ht="16.5">
      <c r="A386" s="29"/>
      <c r="B386" s="52"/>
      <c r="C386" s="52"/>
      <c r="D386" s="53"/>
      <c r="E386" s="54"/>
      <c r="F386" s="52"/>
      <c r="G386" s="55"/>
      <c r="H386" s="56"/>
      <c r="I386" s="34" t="e">
        <f>VLOOKUP(B386,'26년 1월 출석표'!$B$7:$D$500,3,0)</f>
        <v>#N/A</v>
      </c>
      <c r="J386" s="35" t="e">
        <f t="shared" ca="1" si="0"/>
        <v>#NAME?</v>
      </c>
      <c r="K386" s="36" t="str">
        <f t="shared" si="1"/>
        <v/>
      </c>
      <c r="L386" s="37" t="str">
        <f t="shared" si="2"/>
        <v/>
      </c>
      <c r="M386" s="30"/>
      <c r="N386" s="38" t="b">
        <v>0</v>
      </c>
      <c r="O386" s="38" t="b">
        <v>0</v>
      </c>
      <c r="P386" s="39" t="e">
        <f>VLOOKUP($B386,'26년 1월 출석표'!$B$2:$BQ$497,10,0)/1</f>
        <v>#N/A</v>
      </c>
      <c r="Q386" s="40"/>
      <c r="R386" s="41" t="e">
        <f>VLOOKUP($B386,'26년 1월 출석표'!$B$2:$BQ$497,24,0)/5</f>
        <v>#N/A</v>
      </c>
      <c r="S386" s="40"/>
      <c r="T386" s="41" t="e">
        <f>VLOOKUP($B386,'26년 1월 출석표'!$B$2:$BQ$497,38,0)/5</f>
        <v>#N/A</v>
      </c>
      <c r="U386" s="40"/>
      <c r="V386" s="41" t="e">
        <f>VLOOKUP($B386,'26년 1월 출석표'!$B$2:$BQ$497,52,0)/5</f>
        <v>#N/A</v>
      </c>
      <c r="W386" s="42"/>
      <c r="X386" s="41" t="e">
        <f>VLOOKUP($B386,'26년 1월 출석표'!$B$2:$BQ$503,66,0)/5</f>
        <v>#N/A</v>
      </c>
      <c r="Y386" s="43"/>
    </row>
    <row r="387" spans="1:25" ht="16.5">
      <c r="A387" s="29"/>
      <c r="B387" s="52"/>
      <c r="C387" s="52"/>
      <c r="D387" s="53"/>
      <c r="E387" s="54"/>
      <c r="F387" s="52"/>
      <c r="G387" s="55"/>
      <c r="H387" s="56"/>
      <c r="I387" s="34" t="e">
        <f>VLOOKUP(B387,'26년 1월 출석표'!$B$7:$D$500,3,0)</f>
        <v>#N/A</v>
      </c>
      <c r="J387" s="35" t="e">
        <f t="shared" ca="1" si="0"/>
        <v>#NAME?</v>
      </c>
      <c r="K387" s="36" t="str">
        <f t="shared" si="1"/>
        <v/>
      </c>
      <c r="L387" s="37" t="str">
        <f t="shared" si="2"/>
        <v/>
      </c>
      <c r="M387" s="30"/>
      <c r="N387" s="38" t="b">
        <v>0</v>
      </c>
      <c r="O387" s="38" t="b">
        <v>0</v>
      </c>
      <c r="P387" s="39" t="e">
        <f>VLOOKUP($B387,'26년 1월 출석표'!$B$2:$BQ$497,10,0)/1</f>
        <v>#N/A</v>
      </c>
      <c r="Q387" s="40"/>
      <c r="R387" s="41" t="e">
        <f>VLOOKUP($B387,'26년 1월 출석표'!$B$2:$BQ$497,24,0)/5</f>
        <v>#N/A</v>
      </c>
      <c r="S387" s="40"/>
      <c r="T387" s="41" t="e">
        <f>VLOOKUP($B387,'26년 1월 출석표'!$B$2:$BQ$497,38,0)/5</f>
        <v>#N/A</v>
      </c>
      <c r="U387" s="40"/>
      <c r="V387" s="41" t="e">
        <f>VLOOKUP($B387,'26년 1월 출석표'!$B$2:$BQ$497,52,0)/5</f>
        <v>#N/A</v>
      </c>
      <c r="W387" s="42"/>
      <c r="X387" s="41" t="e">
        <f>VLOOKUP($B387,'26년 1월 출석표'!$B$2:$BQ$503,66,0)/5</f>
        <v>#N/A</v>
      </c>
      <c r="Y387" s="43"/>
    </row>
    <row r="388" spans="1:25" ht="16.5">
      <c r="A388" s="29"/>
      <c r="B388" s="52"/>
      <c r="C388" s="52"/>
      <c r="D388" s="53"/>
      <c r="E388" s="54"/>
      <c r="F388" s="52"/>
      <c r="G388" s="55"/>
      <c r="H388" s="56"/>
      <c r="I388" s="34" t="e">
        <f>VLOOKUP(B388,'26년 1월 출석표'!$B$7:$D$500,3,0)</f>
        <v>#N/A</v>
      </c>
      <c r="J388" s="35" t="e">
        <f t="shared" ca="1" si="0"/>
        <v>#NAME?</v>
      </c>
      <c r="K388" s="36" t="str">
        <f t="shared" si="1"/>
        <v/>
      </c>
      <c r="L388" s="37" t="str">
        <f t="shared" si="2"/>
        <v/>
      </c>
      <c r="M388" s="30"/>
      <c r="N388" s="38" t="b">
        <v>0</v>
      </c>
      <c r="O388" s="38" t="b">
        <v>0</v>
      </c>
      <c r="P388" s="39" t="e">
        <f>VLOOKUP($B388,'26년 1월 출석표'!$B$2:$BQ$497,10,0)/1</f>
        <v>#N/A</v>
      </c>
      <c r="Q388" s="40"/>
      <c r="R388" s="41" t="e">
        <f>VLOOKUP($B388,'26년 1월 출석표'!$B$2:$BQ$497,24,0)/5</f>
        <v>#N/A</v>
      </c>
      <c r="S388" s="40"/>
      <c r="T388" s="41" t="e">
        <f>VLOOKUP($B388,'26년 1월 출석표'!$B$2:$BQ$497,38,0)/5</f>
        <v>#N/A</v>
      </c>
      <c r="U388" s="40"/>
      <c r="V388" s="41" t="e">
        <f>VLOOKUP($B388,'26년 1월 출석표'!$B$2:$BQ$497,52,0)/5</f>
        <v>#N/A</v>
      </c>
      <c r="W388" s="42"/>
      <c r="X388" s="41" t="e">
        <f>VLOOKUP($B388,'26년 1월 출석표'!$B$2:$BQ$503,66,0)/5</f>
        <v>#N/A</v>
      </c>
      <c r="Y388" s="43"/>
    </row>
    <row r="389" spans="1:25" ht="16.5">
      <c r="A389" s="29"/>
      <c r="B389" s="52"/>
      <c r="C389" s="52"/>
      <c r="D389" s="53"/>
      <c r="E389" s="54"/>
      <c r="F389" s="52"/>
      <c r="G389" s="55"/>
      <c r="H389" s="56"/>
      <c r="I389" s="34" t="e">
        <f>VLOOKUP(B389,'26년 1월 출석표'!$B$7:$D$500,3,0)</f>
        <v>#N/A</v>
      </c>
      <c r="J389" s="35" t="e">
        <f t="shared" ca="1" si="0"/>
        <v>#NAME?</v>
      </c>
      <c r="K389" s="36" t="str">
        <f t="shared" si="1"/>
        <v/>
      </c>
      <c r="L389" s="37" t="str">
        <f t="shared" si="2"/>
        <v/>
      </c>
      <c r="M389" s="30"/>
      <c r="N389" s="38" t="b">
        <v>0</v>
      </c>
      <c r="O389" s="38" t="b">
        <v>0</v>
      </c>
      <c r="P389" s="39" t="e">
        <f>VLOOKUP($B389,'26년 1월 출석표'!$B$2:$BQ$497,10,0)/1</f>
        <v>#N/A</v>
      </c>
      <c r="Q389" s="40"/>
      <c r="R389" s="41" t="e">
        <f>VLOOKUP($B389,'26년 1월 출석표'!$B$2:$BQ$497,24,0)/5</f>
        <v>#N/A</v>
      </c>
      <c r="S389" s="40"/>
      <c r="T389" s="41" t="e">
        <f>VLOOKUP($B389,'26년 1월 출석표'!$B$2:$BQ$497,38,0)/5</f>
        <v>#N/A</v>
      </c>
      <c r="U389" s="40"/>
      <c r="V389" s="41" t="e">
        <f>VLOOKUP($B389,'26년 1월 출석표'!$B$2:$BQ$497,52,0)/5</f>
        <v>#N/A</v>
      </c>
      <c r="W389" s="42"/>
      <c r="X389" s="41" t="e">
        <f>VLOOKUP($B389,'26년 1월 출석표'!$B$2:$BQ$503,66,0)/5</f>
        <v>#N/A</v>
      </c>
      <c r="Y389" s="43"/>
    </row>
    <row r="390" spans="1:25" ht="16.5">
      <c r="A390" s="29"/>
      <c r="B390" s="52"/>
      <c r="C390" s="52"/>
      <c r="D390" s="53"/>
      <c r="E390" s="54"/>
      <c r="F390" s="52"/>
      <c r="G390" s="55"/>
      <c r="H390" s="56"/>
      <c r="I390" s="34" t="e">
        <f>VLOOKUP(B390,'26년 1월 출석표'!$B$7:$D$500,3,0)</f>
        <v>#N/A</v>
      </c>
      <c r="J390" s="35" t="e">
        <f t="shared" ca="1" si="0"/>
        <v>#NAME?</v>
      </c>
      <c r="K390" s="36" t="str">
        <f t="shared" si="1"/>
        <v/>
      </c>
      <c r="L390" s="37" t="str">
        <f t="shared" si="2"/>
        <v/>
      </c>
      <c r="M390" s="30"/>
      <c r="N390" s="38" t="b">
        <v>0</v>
      </c>
      <c r="O390" s="38" t="b">
        <v>0</v>
      </c>
      <c r="P390" s="39" t="e">
        <f>VLOOKUP($B390,'26년 1월 출석표'!$B$2:$BQ$497,10,0)/1</f>
        <v>#N/A</v>
      </c>
      <c r="Q390" s="40"/>
      <c r="R390" s="41" t="e">
        <f>VLOOKUP($B390,'26년 1월 출석표'!$B$2:$BQ$497,24,0)/5</f>
        <v>#N/A</v>
      </c>
      <c r="S390" s="40"/>
      <c r="T390" s="41" t="e">
        <f>VLOOKUP($B390,'26년 1월 출석표'!$B$2:$BQ$497,38,0)/5</f>
        <v>#N/A</v>
      </c>
      <c r="U390" s="40"/>
      <c r="V390" s="41" t="e">
        <f>VLOOKUP($B390,'26년 1월 출석표'!$B$2:$BQ$497,52,0)/5</f>
        <v>#N/A</v>
      </c>
      <c r="W390" s="42"/>
      <c r="X390" s="41" t="e">
        <f>VLOOKUP($B390,'26년 1월 출석표'!$B$2:$BQ$503,66,0)/5</f>
        <v>#N/A</v>
      </c>
      <c r="Y390" s="43"/>
    </row>
    <row r="391" spans="1:25" ht="16.5">
      <c r="A391" s="29"/>
      <c r="B391" s="52"/>
      <c r="C391" s="52"/>
      <c r="D391" s="53"/>
      <c r="E391" s="54"/>
      <c r="F391" s="52"/>
      <c r="G391" s="55"/>
      <c r="H391" s="56"/>
      <c r="I391" s="34" t="e">
        <f>VLOOKUP(B391,'26년 1월 출석표'!$B$7:$D$500,3,0)</f>
        <v>#N/A</v>
      </c>
      <c r="J391" s="35" t="e">
        <f t="shared" ca="1" si="0"/>
        <v>#NAME?</v>
      </c>
      <c r="K391" s="36" t="str">
        <f t="shared" si="1"/>
        <v/>
      </c>
      <c r="L391" s="37" t="str">
        <f t="shared" si="2"/>
        <v/>
      </c>
      <c r="M391" s="30"/>
      <c r="N391" s="38" t="b">
        <v>0</v>
      </c>
      <c r="O391" s="38" t="b">
        <v>0</v>
      </c>
      <c r="P391" s="39" t="e">
        <f>VLOOKUP($B391,'26년 1월 출석표'!$B$2:$BQ$497,10,0)/1</f>
        <v>#N/A</v>
      </c>
      <c r="Q391" s="40"/>
      <c r="R391" s="41" t="e">
        <f>VLOOKUP($B391,'26년 1월 출석표'!$B$2:$BQ$497,24,0)/5</f>
        <v>#N/A</v>
      </c>
      <c r="S391" s="40"/>
      <c r="T391" s="41" t="e">
        <f>VLOOKUP($B391,'26년 1월 출석표'!$B$2:$BQ$497,38,0)/5</f>
        <v>#N/A</v>
      </c>
      <c r="U391" s="40"/>
      <c r="V391" s="41" t="e">
        <f>VLOOKUP($B391,'26년 1월 출석표'!$B$2:$BQ$497,52,0)/5</f>
        <v>#N/A</v>
      </c>
      <c r="W391" s="42"/>
      <c r="X391" s="41" t="e">
        <f>VLOOKUP($B391,'26년 1월 출석표'!$B$2:$BQ$503,66,0)/5</f>
        <v>#N/A</v>
      </c>
      <c r="Y391" s="43"/>
    </row>
    <row r="392" spans="1:25" ht="16.5">
      <c r="A392" s="29"/>
      <c r="B392" s="52"/>
      <c r="C392" s="52"/>
      <c r="D392" s="53"/>
      <c r="E392" s="54"/>
      <c r="F392" s="52"/>
      <c r="G392" s="55"/>
      <c r="H392" s="56"/>
      <c r="I392" s="34" t="e">
        <f>VLOOKUP(B392,'26년 1월 출석표'!$B$7:$D$500,3,0)</f>
        <v>#N/A</v>
      </c>
      <c r="J392" s="35" t="e">
        <f t="shared" ca="1" si="0"/>
        <v>#NAME?</v>
      </c>
      <c r="K392" s="36" t="str">
        <f t="shared" si="1"/>
        <v/>
      </c>
      <c r="L392" s="37" t="str">
        <f t="shared" si="2"/>
        <v/>
      </c>
      <c r="M392" s="30"/>
      <c r="N392" s="38" t="b">
        <v>0</v>
      </c>
      <c r="O392" s="38" t="b">
        <v>0</v>
      </c>
      <c r="P392" s="39" t="e">
        <f>VLOOKUP($B392,'26년 1월 출석표'!$B$2:$BQ$497,10,0)/1</f>
        <v>#N/A</v>
      </c>
      <c r="Q392" s="40"/>
      <c r="R392" s="41" t="e">
        <f>VLOOKUP($B392,'26년 1월 출석표'!$B$2:$BQ$497,24,0)/5</f>
        <v>#N/A</v>
      </c>
      <c r="S392" s="40"/>
      <c r="T392" s="41" t="e">
        <f>VLOOKUP($B392,'26년 1월 출석표'!$B$2:$BQ$497,38,0)/5</f>
        <v>#N/A</v>
      </c>
      <c r="U392" s="40"/>
      <c r="V392" s="41" t="e">
        <f>VLOOKUP($B392,'26년 1월 출석표'!$B$2:$BQ$497,52,0)/5</f>
        <v>#N/A</v>
      </c>
      <c r="W392" s="42"/>
      <c r="X392" s="41" t="e">
        <f>VLOOKUP($B392,'26년 1월 출석표'!$B$2:$BQ$503,66,0)/5</f>
        <v>#N/A</v>
      </c>
      <c r="Y392" s="43"/>
    </row>
    <row r="393" spans="1:25" ht="16.5">
      <c r="A393" s="29"/>
      <c r="B393" s="52"/>
      <c r="C393" s="52"/>
      <c r="D393" s="53"/>
      <c r="E393" s="54"/>
      <c r="F393" s="52"/>
      <c r="G393" s="55"/>
      <c r="H393" s="56"/>
      <c r="I393" s="34" t="e">
        <f>VLOOKUP(B393,'26년 1월 출석표'!$B$7:$D$500,3,0)</f>
        <v>#N/A</v>
      </c>
      <c r="J393" s="35" t="e">
        <f t="shared" ca="1" si="0"/>
        <v>#NAME?</v>
      </c>
      <c r="K393" s="36" t="str">
        <f t="shared" si="1"/>
        <v/>
      </c>
      <c r="L393" s="37" t="str">
        <f t="shared" si="2"/>
        <v/>
      </c>
      <c r="M393" s="30"/>
      <c r="N393" s="38" t="b">
        <v>0</v>
      </c>
      <c r="O393" s="38" t="b">
        <v>0</v>
      </c>
      <c r="P393" s="39" t="e">
        <f>VLOOKUP($B393,'26년 1월 출석표'!$B$2:$BQ$497,10,0)/1</f>
        <v>#N/A</v>
      </c>
      <c r="Q393" s="40"/>
      <c r="R393" s="41" t="e">
        <f>VLOOKUP($B393,'26년 1월 출석표'!$B$2:$BQ$497,24,0)/5</f>
        <v>#N/A</v>
      </c>
      <c r="S393" s="40"/>
      <c r="T393" s="41" t="e">
        <f>VLOOKUP($B393,'26년 1월 출석표'!$B$2:$BQ$497,38,0)/5</f>
        <v>#N/A</v>
      </c>
      <c r="U393" s="40"/>
      <c r="V393" s="41" t="e">
        <f>VLOOKUP($B393,'26년 1월 출석표'!$B$2:$BQ$497,52,0)/5</f>
        <v>#N/A</v>
      </c>
      <c r="W393" s="42"/>
      <c r="X393" s="41" t="e">
        <f>VLOOKUP($B393,'26년 1월 출석표'!$B$2:$BQ$503,66,0)/5</f>
        <v>#N/A</v>
      </c>
      <c r="Y393" s="43"/>
    </row>
    <row r="394" spans="1:25" ht="16.5">
      <c r="A394" s="29"/>
      <c r="B394" s="52"/>
      <c r="C394" s="52"/>
      <c r="D394" s="53"/>
      <c r="E394" s="54"/>
      <c r="F394" s="52"/>
      <c r="G394" s="55"/>
      <c r="H394" s="56"/>
      <c r="I394" s="34" t="e">
        <f>VLOOKUP(B394,'26년 1월 출석표'!$B$7:$D$500,3,0)</f>
        <v>#N/A</v>
      </c>
      <c r="J394" s="35" t="e">
        <f t="shared" ca="1" si="0"/>
        <v>#NAME?</v>
      </c>
      <c r="K394" s="36" t="str">
        <f t="shared" si="1"/>
        <v/>
      </c>
      <c r="L394" s="37" t="str">
        <f t="shared" si="2"/>
        <v/>
      </c>
      <c r="M394" s="30"/>
      <c r="N394" s="38" t="b">
        <v>0</v>
      </c>
      <c r="O394" s="38" t="b">
        <v>0</v>
      </c>
      <c r="P394" s="39" t="e">
        <f>VLOOKUP($B394,'26년 1월 출석표'!$B$2:$BQ$497,10,0)/1</f>
        <v>#N/A</v>
      </c>
      <c r="Q394" s="40"/>
      <c r="R394" s="41" t="e">
        <f>VLOOKUP($B394,'26년 1월 출석표'!$B$2:$BQ$497,24,0)/5</f>
        <v>#N/A</v>
      </c>
      <c r="S394" s="40"/>
      <c r="T394" s="41" t="e">
        <f>VLOOKUP($B394,'26년 1월 출석표'!$B$2:$BQ$497,38,0)/5</f>
        <v>#N/A</v>
      </c>
      <c r="U394" s="40"/>
      <c r="V394" s="41" t="e">
        <f>VLOOKUP($B394,'26년 1월 출석표'!$B$2:$BQ$497,52,0)/5</f>
        <v>#N/A</v>
      </c>
      <c r="W394" s="42"/>
      <c r="X394" s="41" t="e">
        <f>VLOOKUP($B394,'26년 1월 출석표'!$B$2:$BQ$503,66,0)/5</f>
        <v>#N/A</v>
      </c>
      <c r="Y394" s="43"/>
    </row>
    <row r="395" spans="1:25" ht="16.5">
      <c r="A395" s="29"/>
      <c r="B395" s="52"/>
      <c r="C395" s="52"/>
      <c r="D395" s="53"/>
      <c r="E395" s="54"/>
      <c r="F395" s="52"/>
      <c r="G395" s="55"/>
      <c r="H395" s="56"/>
      <c r="I395" s="34" t="e">
        <f>VLOOKUP(B395,'26년 1월 출석표'!$B$7:$D$500,3,0)</f>
        <v>#N/A</v>
      </c>
      <c r="J395" s="35" t="e">
        <f t="shared" ca="1" si="0"/>
        <v>#NAME?</v>
      </c>
      <c r="K395" s="36" t="str">
        <f t="shared" si="1"/>
        <v/>
      </c>
      <c r="L395" s="37" t="str">
        <f t="shared" si="2"/>
        <v/>
      </c>
      <c r="M395" s="30"/>
      <c r="N395" s="38" t="b">
        <v>0</v>
      </c>
      <c r="O395" s="38" t="b">
        <v>0</v>
      </c>
      <c r="P395" s="39" t="e">
        <f>VLOOKUP($B395,'26년 1월 출석표'!$B$2:$BQ$497,10,0)/1</f>
        <v>#N/A</v>
      </c>
      <c r="Q395" s="40"/>
      <c r="R395" s="41" t="e">
        <f>VLOOKUP($B395,'26년 1월 출석표'!$B$2:$BQ$497,24,0)/5</f>
        <v>#N/A</v>
      </c>
      <c r="S395" s="40"/>
      <c r="T395" s="41" t="e">
        <f>VLOOKUP($B395,'26년 1월 출석표'!$B$2:$BQ$497,38,0)/5</f>
        <v>#N/A</v>
      </c>
      <c r="U395" s="40"/>
      <c r="V395" s="41" t="e">
        <f>VLOOKUP($B395,'26년 1월 출석표'!$B$2:$BQ$497,52,0)/5</f>
        <v>#N/A</v>
      </c>
      <c r="W395" s="42"/>
      <c r="X395" s="41" t="e">
        <f>VLOOKUP($B395,'26년 1월 출석표'!$B$2:$BQ$503,66,0)/5</f>
        <v>#N/A</v>
      </c>
      <c r="Y395" s="43"/>
    </row>
    <row r="396" spans="1:25" ht="16.5">
      <c r="A396" s="29"/>
      <c r="B396" s="52"/>
      <c r="C396" s="52"/>
      <c r="D396" s="53"/>
      <c r="E396" s="54"/>
      <c r="F396" s="52"/>
      <c r="G396" s="55"/>
      <c r="H396" s="56"/>
      <c r="I396" s="34" t="e">
        <f>VLOOKUP(B396,'26년 1월 출석표'!$B$7:$D$500,3,0)</f>
        <v>#N/A</v>
      </c>
      <c r="J396" s="35" t="e">
        <f t="shared" ca="1" si="0"/>
        <v>#NAME?</v>
      </c>
      <c r="K396" s="36" t="str">
        <f t="shared" si="1"/>
        <v/>
      </c>
      <c r="L396" s="37" t="str">
        <f t="shared" si="2"/>
        <v/>
      </c>
      <c r="M396" s="30"/>
      <c r="N396" s="38" t="b">
        <v>0</v>
      </c>
      <c r="O396" s="38" t="b">
        <v>0</v>
      </c>
      <c r="P396" s="39" t="e">
        <f>VLOOKUP($B396,'26년 1월 출석표'!$B$2:$BQ$497,10,0)/1</f>
        <v>#N/A</v>
      </c>
      <c r="Q396" s="40"/>
      <c r="R396" s="41" t="e">
        <f>VLOOKUP($B396,'26년 1월 출석표'!$B$2:$BQ$497,24,0)/5</f>
        <v>#N/A</v>
      </c>
      <c r="S396" s="40"/>
      <c r="T396" s="41" t="e">
        <f>VLOOKUP($B396,'26년 1월 출석표'!$B$2:$BQ$497,38,0)/5</f>
        <v>#N/A</v>
      </c>
      <c r="U396" s="40"/>
      <c r="V396" s="41" t="e">
        <f>VLOOKUP($B396,'26년 1월 출석표'!$B$2:$BQ$497,52,0)/5</f>
        <v>#N/A</v>
      </c>
      <c r="W396" s="42"/>
      <c r="X396" s="41" t="e">
        <f>VLOOKUP($B396,'26년 1월 출석표'!$B$2:$BQ$503,66,0)/5</f>
        <v>#N/A</v>
      </c>
      <c r="Y396" s="43"/>
    </row>
    <row r="397" spans="1:25" ht="16.5">
      <c r="A397" s="29"/>
      <c r="B397" s="52"/>
      <c r="C397" s="52"/>
      <c r="D397" s="53"/>
      <c r="E397" s="54"/>
      <c r="F397" s="52"/>
      <c r="G397" s="55"/>
      <c r="H397" s="56"/>
      <c r="I397" s="34" t="e">
        <f>VLOOKUP(B397,'26년 1월 출석표'!$B$7:$D$500,3,0)</f>
        <v>#N/A</v>
      </c>
      <c r="J397" s="35" t="e">
        <f t="shared" ca="1" si="0"/>
        <v>#NAME?</v>
      </c>
      <c r="K397" s="36" t="str">
        <f t="shared" si="1"/>
        <v/>
      </c>
      <c r="L397" s="37" t="str">
        <f t="shared" si="2"/>
        <v/>
      </c>
      <c r="M397" s="30"/>
      <c r="N397" s="38" t="b">
        <v>0</v>
      </c>
      <c r="O397" s="38" t="b">
        <v>0</v>
      </c>
      <c r="P397" s="39" t="e">
        <f>VLOOKUP($B397,'26년 1월 출석표'!$B$2:$BQ$497,10,0)/1</f>
        <v>#N/A</v>
      </c>
      <c r="Q397" s="40"/>
      <c r="R397" s="41" t="e">
        <f>VLOOKUP($B397,'26년 1월 출석표'!$B$2:$BQ$497,24,0)/5</f>
        <v>#N/A</v>
      </c>
      <c r="S397" s="40"/>
      <c r="T397" s="41" t="e">
        <f>VLOOKUP($B397,'26년 1월 출석표'!$B$2:$BQ$497,38,0)/5</f>
        <v>#N/A</v>
      </c>
      <c r="U397" s="40"/>
      <c r="V397" s="41" t="e">
        <f>VLOOKUP($B397,'26년 1월 출석표'!$B$2:$BQ$497,52,0)/5</f>
        <v>#N/A</v>
      </c>
      <c r="W397" s="42"/>
      <c r="X397" s="41" t="e">
        <f>VLOOKUP($B397,'26년 1월 출석표'!$B$2:$BQ$503,66,0)/5</f>
        <v>#N/A</v>
      </c>
      <c r="Y397" s="43"/>
    </row>
    <row r="398" spans="1:25" ht="16.5">
      <c r="A398" s="29"/>
      <c r="B398" s="52"/>
      <c r="C398" s="52"/>
      <c r="D398" s="53"/>
      <c r="E398" s="54"/>
      <c r="F398" s="52"/>
      <c r="G398" s="55"/>
      <c r="H398" s="56"/>
      <c r="I398" s="34" t="e">
        <f>VLOOKUP(B398,'26년 1월 출석표'!$B$7:$D$500,3,0)</f>
        <v>#N/A</v>
      </c>
      <c r="J398" s="35" t="e">
        <f t="shared" ca="1" si="0"/>
        <v>#NAME?</v>
      </c>
      <c r="K398" s="36" t="str">
        <f t="shared" si="1"/>
        <v/>
      </c>
      <c r="L398" s="37" t="str">
        <f t="shared" si="2"/>
        <v/>
      </c>
      <c r="M398" s="30"/>
      <c r="N398" s="38" t="b">
        <v>0</v>
      </c>
      <c r="O398" s="38" t="b">
        <v>0</v>
      </c>
      <c r="P398" s="39" t="e">
        <f>VLOOKUP($B398,'26년 1월 출석표'!$B$2:$BQ$497,10,0)/1</f>
        <v>#N/A</v>
      </c>
      <c r="Q398" s="40"/>
      <c r="R398" s="41" t="e">
        <f>VLOOKUP($B398,'26년 1월 출석표'!$B$2:$BQ$497,24,0)/5</f>
        <v>#N/A</v>
      </c>
      <c r="S398" s="40"/>
      <c r="T398" s="41" t="e">
        <f>VLOOKUP($B398,'26년 1월 출석표'!$B$2:$BQ$497,38,0)/5</f>
        <v>#N/A</v>
      </c>
      <c r="U398" s="40"/>
      <c r="V398" s="41" t="e">
        <f>VLOOKUP($B398,'26년 1월 출석표'!$B$2:$BQ$497,52,0)/5</f>
        <v>#N/A</v>
      </c>
      <c r="W398" s="42"/>
      <c r="X398" s="41" t="e">
        <f>VLOOKUP($B398,'26년 1월 출석표'!$B$2:$BQ$503,66,0)/5</f>
        <v>#N/A</v>
      </c>
      <c r="Y398" s="43"/>
    </row>
    <row r="399" spans="1:25" ht="16.5">
      <c r="A399" s="29"/>
      <c r="B399" s="52"/>
      <c r="C399" s="52"/>
      <c r="D399" s="53"/>
      <c r="E399" s="54"/>
      <c r="F399" s="52"/>
      <c r="G399" s="55"/>
      <c r="H399" s="56"/>
      <c r="I399" s="34" t="e">
        <f>VLOOKUP(B399,'26년 1월 출석표'!$B$7:$D$500,3,0)</f>
        <v>#N/A</v>
      </c>
      <c r="J399" s="35" t="e">
        <f t="shared" ca="1" si="0"/>
        <v>#NAME?</v>
      </c>
      <c r="K399" s="36" t="str">
        <f t="shared" si="1"/>
        <v/>
      </c>
      <c r="L399" s="37" t="str">
        <f t="shared" si="2"/>
        <v/>
      </c>
      <c r="M399" s="30"/>
      <c r="N399" s="38" t="b">
        <v>0</v>
      </c>
      <c r="O399" s="38" t="b">
        <v>0</v>
      </c>
      <c r="P399" s="39" t="e">
        <f>VLOOKUP($B399,'26년 1월 출석표'!$B$2:$BQ$497,10,0)/1</f>
        <v>#N/A</v>
      </c>
      <c r="Q399" s="40"/>
      <c r="R399" s="41" t="e">
        <f>VLOOKUP($B399,'26년 1월 출석표'!$B$2:$BQ$497,24,0)/5</f>
        <v>#N/A</v>
      </c>
      <c r="S399" s="40"/>
      <c r="T399" s="41" t="e">
        <f>VLOOKUP($B399,'26년 1월 출석표'!$B$2:$BQ$497,38,0)/5</f>
        <v>#N/A</v>
      </c>
      <c r="U399" s="40"/>
      <c r="V399" s="41" t="e">
        <f>VLOOKUP($B399,'26년 1월 출석표'!$B$2:$BQ$497,52,0)/5</f>
        <v>#N/A</v>
      </c>
      <c r="W399" s="42"/>
      <c r="X399" s="41" t="e">
        <f>VLOOKUP($B399,'26년 1월 출석표'!$B$2:$BQ$503,66,0)/5</f>
        <v>#N/A</v>
      </c>
      <c r="Y399" s="43"/>
    </row>
    <row r="400" spans="1:25" ht="16.5">
      <c r="A400" s="29"/>
      <c r="B400" s="52"/>
      <c r="C400" s="52"/>
      <c r="D400" s="53"/>
      <c r="E400" s="54"/>
      <c r="F400" s="52"/>
      <c r="G400" s="55"/>
      <c r="H400" s="56"/>
      <c r="I400" s="34" t="e">
        <f>VLOOKUP(B400,'26년 1월 출석표'!$B$7:$D$500,3,0)</f>
        <v>#N/A</v>
      </c>
      <c r="J400" s="35" t="e">
        <f t="shared" ca="1" si="0"/>
        <v>#NAME?</v>
      </c>
      <c r="K400" s="36" t="str">
        <f t="shared" si="1"/>
        <v/>
      </c>
      <c r="L400" s="37" t="str">
        <f t="shared" si="2"/>
        <v/>
      </c>
      <c r="M400" s="30"/>
      <c r="N400" s="38" t="b">
        <v>0</v>
      </c>
      <c r="O400" s="38" t="b">
        <v>0</v>
      </c>
      <c r="P400" s="39" t="e">
        <f>VLOOKUP($B400,'26년 1월 출석표'!$B$2:$BQ$497,10,0)/1</f>
        <v>#N/A</v>
      </c>
      <c r="Q400" s="40"/>
      <c r="R400" s="41" t="e">
        <f>VLOOKUP($B400,'26년 1월 출석표'!$B$2:$BQ$497,24,0)/5</f>
        <v>#N/A</v>
      </c>
      <c r="S400" s="40"/>
      <c r="T400" s="41" t="e">
        <f>VLOOKUP($B400,'26년 1월 출석표'!$B$2:$BQ$497,38,0)/5</f>
        <v>#N/A</v>
      </c>
      <c r="U400" s="40"/>
      <c r="V400" s="41" t="e">
        <f>VLOOKUP($B400,'26년 1월 출석표'!$B$2:$BQ$497,52,0)/5</f>
        <v>#N/A</v>
      </c>
      <c r="W400" s="42"/>
      <c r="X400" s="41" t="e">
        <f>VLOOKUP($B400,'26년 1월 출석표'!$B$2:$BQ$503,66,0)/5</f>
        <v>#N/A</v>
      </c>
      <c r="Y400" s="43"/>
    </row>
    <row r="401" spans="1:25" ht="16.5">
      <c r="A401" s="29"/>
      <c r="B401" s="52"/>
      <c r="C401" s="52"/>
      <c r="D401" s="53"/>
      <c r="E401" s="54"/>
      <c r="F401" s="52"/>
      <c r="G401" s="55"/>
      <c r="H401" s="56"/>
      <c r="I401" s="34" t="e">
        <f>VLOOKUP(B401,'26년 1월 출석표'!$B$7:$D$500,3,0)</f>
        <v>#N/A</v>
      </c>
      <c r="J401" s="35" t="e">
        <f t="shared" ca="1" si="0"/>
        <v>#NAME?</v>
      </c>
      <c r="K401" s="36" t="str">
        <f t="shared" si="1"/>
        <v/>
      </c>
      <c r="L401" s="37" t="str">
        <f t="shared" si="2"/>
        <v/>
      </c>
      <c r="M401" s="30"/>
      <c r="N401" s="38" t="b">
        <v>0</v>
      </c>
      <c r="O401" s="38" t="b">
        <v>0</v>
      </c>
      <c r="P401" s="39" t="e">
        <f>VLOOKUP($B401,'26년 1월 출석표'!$B$2:$BQ$497,10,0)/1</f>
        <v>#N/A</v>
      </c>
      <c r="Q401" s="40"/>
      <c r="R401" s="41" t="e">
        <f>VLOOKUP($B401,'26년 1월 출석표'!$B$2:$BQ$497,24,0)/5</f>
        <v>#N/A</v>
      </c>
      <c r="S401" s="40"/>
      <c r="T401" s="41" t="e">
        <f>VLOOKUP($B401,'26년 1월 출석표'!$B$2:$BQ$497,38,0)/5</f>
        <v>#N/A</v>
      </c>
      <c r="U401" s="40"/>
      <c r="V401" s="41" t="e">
        <f>VLOOKUP($B401,'26년 1월 출석표'!$B$2:$BQ$497,52,0)/5</f>
        <v>#N/A</v>
      </c>
      <c r="W401" s="42"/>
      <c r="X401" s="41" t="e">
        <f>VLOOKUP($B401,'26년 1월 출석표'!$B$2:$BQ$503,66,0)/5</f>
        <v>#N/A</v>
      </c>
      <c r="Y401" s="43"/>
    </row>
    <row r="402" spans="1:25" ht="16.5">
      <c r="A402" s="29"/>
      <c r="B402" s="52"/>
      <c r="C402" s="52"/>
      <c r="D402" s="53"/>
      <c r="E402" s="54"/>
      <c r="F402" s="52"/>
      <c r="G402" s="55"/>
      <c r="H402" s="56"/>
      <c r="I402" s="34" t="e">
        <f>VLOOKUP(B402,'26년 1월 출석표'!$B$7:$D$500,3,0)</f>
        <v>#N/A</v>
      </c>
      <c r="J402" s="35" t="e">
        <f t="shared" ca="1" si="0"/>
        <v>#NAME?</v>
      </c>
      <c r="K402" s="36" t="str">
        <f t="shared" si="1"/>
        <v/>
      </c>
      <c r="L402" s="37" t="str">
        <f t="shared" si="2"/>
        <v/>
      </c>
      <c r="M402" s="30"/>
      <c r="N402" s="38" t="b">
        <v>0</v>
      </c>
      <c r="O402" s="38" t="b">
        <v>0</v>
      </c>
      <c r="P402" s="39" t="e">
        <f>VLOOKUP($B402,'26년 1월 출석표'!$B$2:$BQ$497,10,0)/1</f>
        <v>#N/A</v>
      </c>
      <c r="Q402" s="40"/>
      <c r="R402" s="41" t="e">
        <f>VLOOKUP($B402,'26년 1월 출석표'!$B$2:$BQ$497,24,0)/5</f>
        <v>#N/A</v>
      </c>
      <c r="S402" s="40"/>
      <c r="T402" s="41" t="e">
        <f>VLOOKUP($B402,'26년 1월 출석표'!$B$2:$BQ$497,38,0)/5</f>
        <v>#N/A</v>
      </c>
      <c r="U402" s="40"/>
      <c r="V402" s="41" t="e">
        <f>VLOOKUP($B402,'26년 1월 출석표'!$B$2:$BQ$497,52,0)/5</f>
        <v>#N/A</v>
      </c>
      <c r="W402" s="42"/>
      <c r="X402" s="41" t="e">
        <f>VLOOKUP($B402,'26년 1월 출석표'!$B$2:$BQ$503,66,0)/5</f>
        <v>#N/A</v>
      </c>
      <c r="Y402" s="43"/>
    </row>
    <row r="403" spans="1:25" ht="16.5">
      <c r="A403" s="29"/>
      <c r="B403" s="52"/>
      <c r="C403" s="52"/>
      <c r="D403" s="53"/>
      <c r="E403" s="54"/>
      <c r="F403" s="52"/>
      <c r="G403" s="55"/>
      <c r="H403" s="56"/>
      <c r="I403" s="34" t="e">
        <f>VLOOKUP(B403,'26년 1월 출석표'!$B$7:$D$500,3,0)</f>
        <v>#N/A</v>
      </c>
      <c r="J403" s="35" t="e">
        <f t="shared" ca="1" si="0"/>
        <v>#NAME?</v>
      </c>
      <c r="K403" s="36" t="str">
        <f t="shared" si="1"/>
        <v/>
      </c>
      <c r="L403" s="37" t="str">
        <f t="shared" si="2"/>
        <v/>
      </c>
      <c r="M403" s="30"/>
      <c r="N403" s="38" t="b">
        <v>0</v>
      </c>
      <c r="O403" s="38" t="b">
        <v>0</v>
      </c>
      <c r="P403" s="39" t="e">
        <f>VLOOKUP($B403,'26년 1월 출석표'!$B$2:$BQ$497,10,0)/1</f>
        <v>#N/A</v>
      </c>
      <c r="Q403" s="40"/>
      <c r="R403" s="41" t="e">
        <f>VLOOKUP($B403,'26년 1월 출석표'!$B$2:$BQ$497,24,0)/5</f>
        <v>#N/A</v>
      </c>
      <c r="S403" s="40"/>
      <c r="T403" s="41" t="e">
        <f>VLOOKUP($B403,'26년 1월 출석표'!$B$2:$BQ$497,38,0)/5</f>
        <v>#N/A</v>
      </c>
      <c r="U403" s="40"/>
      <c r="V403" s="41" t="e">
        <f>VLOOKUP($B403,'26년 1월 출석표'!$B$2:$BQ$497,52,0)/5</f>
        <v>#N/A</v>
      </c>
      <c r="W403" s="42"/>
      <c r="X403" s="41" t="e">
        <f>VLOOKUP($B403,'26년 1월 출석표'!$B$2:$BQ$503,66,0)/5</f>
        <v>#N/A</v>
      </c>
      <c r="Y403" s="43"/>
    </row>
    <row r="404" spans="1:25" ht="16.5">
      <c r="A404" s="29"/>
      <c r="B404" s="52"/>
      <c r="C404" s="52"/>
      <c r="D404" s="53"/>
      <c r="E404" s="54"/>
      <c r="F404" s="52"/>
      <c r="G404" s="55"/>
      <c r="H404" s="56"/>
      <c r="I404" s="34" t="e">
        <f>VLOOKUP(B404,'26년 1월 출석표'!$B$7:$D$500,3,0)</f>
        <v>#N/A</v>
      </c>
      <c r="J404" s="35" t="e">
        <f t="shared" ca="1" si="0"/>
        <v>#NAME?</v>
      </c>
      <c r="K404" s="36" t="str">
        <f t="shared" si="1"/>
        <v/>
      </c>
      <c r="L404" s="37" t="str">
        <f t="shared" si="2"/>
        <v/>
      </c>
      <c r="M404" s="30"/>
      <c r="N404" s="38" t="b">
        <v>0</v>
      </c>
      <c r="O404" s="38" t="b">
        <v>0</v>
      </c>
      <c r="P404" s="39" t="e">
        <f>VLOOKUP($B404,'26년 1월 출석표'!$B$2:$BQ$497,10,0)/1</f>
        <v>#N/A</v>
      </c>
      <c r="Q404" s="40"/>
      <c r="R404" s="41" t="e">
        <f>VLOOKUP($B404,'26년 1월 출석표'!$B$2:$BQ$497,24,0)/5</f>
        <v>#N/A</v>
      </c>
      <c r="S404" s="40"/>
      <c r="T404" s="41" t="e">
        <f>VLOOKUP($B404,'26년 1월 출석표'!$B$2:$BQ$497,38,0)/5</f>
        <v>#N/A</v>
      </c>
      <c r="U404" s="40"/>
      <c r="V404" s="41" t="e">
        <f>VLOOKUP($B404,'26년 1월 출석표'!$B$2:$BQ$497,52,0)/5</f>
        <v>#N/A</v>
      </c>
      <c r="W404" s="42"/>
      <c r="X404" s="41" t="e">
        <f>VLOOKUP($B404,'26년 1월 출석표'!$B$2:$BQ$503,66,0)/5</f>
        <v>#N/A</v>
      </c>
      <c r="Y404" s="43"/>
    </row>
    <row r="405" spans="1:25" ht="16.5">
      <c r="A405" s="29"/>
      <c r="B405" s="52"/>
      <c r="C405" s="52"/>
      <c r="D405" s="53"/>
      <c r="E405" s="54"/>
      <c r="F405" s="52"/>
      <c r="G405" s="55"/>
      <c r="H405" s="56"/>
      <c r="I405" s="34" t="e">
        <f>VLOOKUP(B405,'26년 1월 출석표'!$B$7:$D$500,3,0)</f>
        <v>#N/A</v>
      </c>
      <c r="J405" s="35" t="e">
        <f t="shared" ca="1" si="0"/>
        <v>#NAME?</v>
      </c>
      <c r="K405" s="36" t="str">
        <f t="shared" si="1"/>
        <v/>
      </c>
      <c r="L405" s="37" t="str">
        <f t="shared" si="2"/>
        <v/>
      </c>
      <c r="M405" s="30"/>
      <c r="N405" s="38" t="b">
        <v>0</v>
      </c>
      <c r="O405" s="38" t="b">
        <v>0</v>
      </c>
      <c r="P405" s="39" t="e">
        <f>VLOOKUP($B405,'26년 1월 출석표'!$B$2:$BQ$497,10,0)/1</f>
        <v>#N/A</v>
      </c>
      <c r="Q405" s="40"/>
      <c r="R405" s="41" t="e">
        <f>VLOOKUP($B405,'26년 1월 출석표'!$B$2:$BQ$497,24,0)/5</f>
        <v>#N/A</v>
      </c>
      <c r="S405" s="40"/>
      <c r="T405" s="41" t="e">
        <f>VLOOKUP($B405,'26년 1월 출석표'!$B$2:$BQ$497,38,0)/5</f>
        <v>#N/A</v>
      </c>
      <c r="U405" s="40"/>
      <c r="V405" s="41" t="e">
        <f>VLOOKUP($B405,'26년 1월 출석표'!$B$2:$BQ$497,52,0)/5</f>
        <v>#N/A</v>
      </c>
      <c r="W405" s="42"/>
      <c r="X405" s="41" t="e">
        <f>VLOOKUP($B405,'26년 1월 출석표'!$B$2:$BQ$503,66,0)/5</f>
        <v>#N/A</v>
      </c>
      <c r="Y405" s="43"/>
    </row>
    <row r="406" spans="1:25" ht="16.5">
      <c r="A406" s="29"/>
      <c r="B406" s="52"/>
      <c r="C406" s="52"/>
      <c r="D406" s="53"/>
      <c r="E406" s="54"/>
      <c r="F406" s="52"/>
      <c r="G406" s="55"/>
      <c r="H406" s="56"/>
      <c r="I406" s="34" t="e">
        <f>VLOOKUP(B406,'26년 1월 출석표'!$B$7:$D$500,3,0)</f>
        <v>#N/A</v>
      </c>
      <c r="J406" s="35" t="e">
        <f t="shared" ca="1" si="0"/>
        <v>#NAME?</v>
      </c>
      <c r="K406" s="36" t="str">
        <f t="shared" si="1"/>
        <v/>
      </c>
      <c r="L406" s="37" t="str">
        <f t="shared" si="2"/>
        <v/>
      </c>
      <c r="M406" s="30"/>
      <c r="N406" s="38" t="b">
        <v>0</v>
      </c>
      <c r="O406" s="38" t="b">
        <v>0</v>
      </c>
      <c r="P406" s="39" t="e">
        <f>VLOOKUP($B406,'26년 1월 출석표'!$B$2:$BQ$497,10,0)/1</f>
        <v>#N/A</v>
      </c>
      <c r="Q406" s="40"/>
      <c r="R406" s="41" t="e">
        <f>VLOOKUP($B406,'26년 1월 출석표'!$B$2:$BQ$497,24,0)/5</f>
        <v>#N/A</v>
      </c>
      <c r="S406" s="40"/>
      <c r="T406" s="41" t="e">
        <f>VLOOKUP($B406,'26년 1월 출석표'!$B$2:$BQ$497,38,0)/5</f>
        <v>#N/A</v>
      </c>
      <c r="U406" s="40"/>
      <c r="V406" s="41" t="e">
        <f>VLOOKUP($B406,'26년 1월 출석표'!$B$2:$BQ$497,52,0)/5</f>
        <v>#N/A</v>
      </c>
      <c r="W406" s="42"/>
      <c r="X406" s="41" t="e">
        <f>VLOOKUP($B406,'26년 1월 출석표'!$B$2:$BQ$503,66,0)/5</f>
        <v>#N/A</v>
      </c>
      <c r="Y406" s="43"/>
    </row>
    <row r="407" spans="1:25" ht="16.5">
      <c r="A407" s="29"/>
      <c r="B407" s="52"/>
      <c r="C407" s="52"/>
      <c r="D407" s="53"/>
      <c r="E407" s="54"/>
      <c r="F407" s="52"/>
      <c r="G407" s="55"/>
      <c r="H407" s="56"/>
      <c r="I407" s="34" t="e">
        <f>VLOOKUP(B407,'26년 1월 출석표'!$B$7:$D$500,3,0)</f>
        <v>#N/A</v>
      </c>
      <c r="J407" s="35" t="e">
        <f t="shared" ca="1" si="0"/>
        <v>#NAME?</v>
      </c>
      <c r="K407" s="36" t="str">
        <f t="shared" si="1"/>
        <v/>
      </c>
      <c r="L407" s="37" t="str">
        <f t="shared" si="2"/>
        <v/>
      </c>
      <c r="M407" s="30"/>
      <c r="N407" s="38" t="b">
        <v>0</v>
      </c>
      <c r="O407" s="38" t="b">
        <v>0</v>
      </c>
      <c r="P407" s="39" t="e">
        <f>VLOOKUP($B407,'26년 1월 출석표'!$B$2:$BQ$497,10,0)/1</f>
        <v>#N/A</v>
      </c>
      <c r="Q407" s="40"/>
      <c r="R407" s="41" t="e">
        <f>VLOOKUP($B407,'26년 1월 출석표'!$B$2:$BQ$497,24,0)/5</f>
        <v>#N/A</v>
      </c>
      <c r="S407" s="40"/>
      <c r="T407" s="41" t="e">
        <f>VLOOKUP($B407,'26년 1월 출석표'!$B$2:$BQ$497,38,0)/5</f>
        <v>#N/A</v>
      </c>
      <c r="U407" s="40"/>
      <c r="V407" s="41" t="e">
        <f>VLOOKUP($B407,'26년 1월 출석표'!$B$2:$BQ$497,52,0)/5</f>
        <v>#N/A</v>
      </c>
      <c r="W407" s="42"/>
      <c r="X407" s="41" t="e">
        <f>VLOOKUP($B407,'26년 1월 출석표'!$B$2:$BQ$503,66,0)/5</f>
        <v>#N/A</v>
      </c>
      <c r="Y407" s="43"/>
    </row>
    <row r="408" spans="1:25" ht="16.5">
      <c r="A408" s="29"/>
      <c r="B408" s="52"/>
      <c r="C408" s="52"/>
      <c r="D408" s="53"/>
      <c r="E408" s="54"/>
      <c r="F408" s="52"/>
      <c r="G408" s="55"/>
      <c r="H408" s="56"/>
      <c r="I408" s="34" t="e">
        <f>VLOOKUP(B408,'26년 1월 출석표'!$B$7:$D$500,3,0)</f>
        <v>#N/A</v>
      </c>
      <c r="J408" s="35" t="e">
        <f t="shared" ca="1" si="0"/>
        <v>#NAME?</v>
      </c>
      <c r="K408" s="36" t="str">
        <f t="shared" si="1"/>
        <v/>
      </c>
      <c r="L408" s="37" t="str">
        <f t="shared" si="2"/>
        <v/>
      </c>
      <c r="M408" s="30"/>
      <c r="N408" s="38" t="b">
        <v>0</v>
      </c>
      <c r="O408" s="38" t="b">
        <v>0</v>
      </c>
      <c r="P408" s="39" t="e">
        <f>VLOOKUP($B408,'26년 1월 출석표'!$B$2:$BQ$497,10,0)/1</f>
        <v>#N/A</v>
      </c>
      <c r="Q408" s="40"/>
      <c r="R408" s="41" t="e">
        <f>VLOOKUP($B408,'26년 1월 출석표'!$B$2:$BQ$497,24,0)/5</f>
        <v>#N/A</v>
      </c>
      <c r="S408" s="40"/>
      <c r="T408" s="41" t="e">
        <f>VLOOKUP($B408,'26년 1월 출석표'!$B$2:$BQ$497,38,0)/5</f>
        <v>#N/A</v>
      </c>
      <c r="U408" s="40"/>
      <c r="V408" s="41" t="e">
        <f>VLOOKUP($B408,'26년 1월 출석표'!$B$2:$BQ$497,52,0)/5</f>
        <v>#N/A</v>
      </c>
      <c r="W408" s="42"/>
      <c r="X408" s="41" t="e">
        <f>VLOOKUP($B408,'26년 1월 출석표'!$B$2:$BQ$503,66,0)/5</f>
        <v>#N/A</v>
      </c>
      <c r="Y408" s="43"/>
    </row>
    <row r="409" spans="1:25" ht="16.5">
      <c r="A409" s="29"/>
      <c r="B409" s="52"/>
      <c r="C409" s="52"/>
      <c r="D409" s="53"/>
      <c r="E409" s="54"/>
      <c r="F409" s="52"/>
      <c r="G409" s="55"/>
      <c r="H409" s="56"/>
      <c r="I409" s="34" t="e">
        <f>VLOOKUP(B409,'26년 1월 출석표'!$B$7:$D$500,3,0)</f>
        <v>#N/A</v>
      </c>
      <c r="J409" s="35" t="e">
        <f t="shared" ca="1" si="0"/>
        <v>#NAME?</v>
      </c>
      <c r="K409" s="36" t="str">
        <f t="shared" si="1"/>
        <v/>
      </c>
      <c r="L409" s="37" t="str">
        <f t="shared" si="2"/>
        <v/>
      </c>
      <c r="M409" s="30"/>
      <c r="N409" s="38" t="b">
        <v>0</v>
      </c>
      <c r="O409" s="38" t="b">
        <v>0</v>
      </c>
      <c r="P409" s="39" t="e">
        <f>VLOOKUP($B409,'26년 1월 출석표'!$B$2:$BQ$497,10,0)/1</f>
        <v>#N/A</v>
      </c>
      <c r="Q409" s="40"/>
      <c r="R409" s="41" t="e">
        <f>VLOOKUP($B409,'26년 1월 출석표'!$B$2:$BQ$497,24,0)/5</f>
        <v>#N/A</v>
      </c>
      <c r="S409" s="40"/>
      <c r="T409" s="41" t="e">
        <f>VLOOKUP($B409,'26년 1월 출석표'!$B$2:$BQ$497,38,0)/5</f>
        <v>#N/A</v>
      </c>
      <c r="U409" s="40"/>
      <c r="V409" s="41" t="e">
        <f>VLOOKUP($B409,'26년 1월 출석표'!$B$2:$BQ$497,52,0)/5</f>
        <v>#N/A</v>
      </c>
      <c r="W409" s="42"/>
      <c r="X409" s="41" t="e">
        <f>VLOOKUP($B409,'26년 1월 출석표'!$B$2:$BQ$503,66,0)/5</f>
        <v>#N/A</v>
      </c>
      <c r="Y409" s="43"/>
    </row>
    <row r="410" spans="1:25" ht="16.5">
      <c r="A410" s="29"/>
      <c r="B410" s="52"/>
      <c r="C410" s="52"/>
      <c r="D410" s="53"/>
      <c r="E410" s="54"/>
      <c r="F410" s="52"/>
      <c r="G410" s="55"/>
      <c r="H410" s="56"/>
      <c r="I410" s="34" t="e">
        <f>VLOOKUP(B410,'26년 1월 출석표'!$B$7:$D$500,3,0)</f>
        <v>#N/A</v>
      </c>
      <c r="J410" s="35" t="e">
        <f t="shared" ca="1" si="0"/>
        <v>#NAME?</v>
      </c>
      <c r="K410" s="36" t="str">
        <f t="shared" si="1"/>
        <v/>
      </c>
      <c r="L410" s="37" t="str">
        <f t="shared" si="2"/>
        <v/>
      </c>
      <c r="M410" s="30"/>
      <c r="N410" s="38" t="b">
        <v>0</v>
      </c>
      <c r="O410" s="38" t="b">
        <v>0</v>
      </c>
      <c r="P410" s="39" t="e">
        <f>VLOOKUP($B410,'26년 1월 출석표'!$B$2:$BQ$497,10,0)/1</f>
        <v>#N/A</v>
      </c>
      <c r="Q410" s="40"/>
      <c r="R410" s="41" t="e">
        <f>VLOOKUP($B410,'26년 1월 출석표'!$B$2:$BQ$497,24,0)/5</f>
        <v>#N/A</v>
      </c>
      <c r="S410" s="40"/>
      <c r="T410" s="41" t="e">
        <f>VLOOKUP($B410,'26년 1월 출석표'!$B$2:$BQ$497,38,0)/5</f>
        <v>#N/A</v>
      </c>
      <c r="U410" s="40"/>
      <c r="V410" s="41" t="e">
        <f>VLOOKUP($B410,'26년 1월 출석표'!$B$2:$BQ$497,52,0)/5</f>
        <v>#N/A</v>
      </c>
      <c r="W410" s="42"/>
      <c r="X410" s="41" t="e">
        <f>VLOOKUP($B410,'26년 1월 출석표'!$B$2:$BQ$503,66,0)/5</f>
        <v>#N/A</v>
      </c>
      <c r="Y410" s="43"/>
    </row>
    <row r="411" spans="1:25" ht="16.5">
      <c r="A411" s="29"/>
      <c r="B411" s="52"/>
      <c r="C411" s="52"/>
      <c r="D411" s="53"/>
      <c r="E411" s="54"/>
      <c r="F411" s="52"/>
      <c r="G411" s="55"/>
      <c r="H411" s="56"/>
      <c r="I411" s="34" t="e">
        <f>VLOOKUP(B411,'26년 1월 출석표'!$B$7:$D$500,3,0)</f>
        <v>#N/A</v>
      </c>
      <c r="J411" s="35" t="e">
        <f t="shared" ca="1" si="0"/>
        <v>#NAME?</v>
      </c>
      <c r="K411" s="36" t="str">
        <f t="shared" si="1"/>
        <v/>
      </c>
      <c r="L411" s="37" t="str">
        <f t="shared" si="2"/>
        <v/>
      </c>
      <c r="M411" s="30"/>
      <c r="N411" s="38" t="b">
        <v>0</v>
      </c>
      <c r="O411" s="38" t="b">
        <v>0</v>
      </c>
      <c r="P411" s="39" t="e">
        <f>VLOOKUP($B411,'26년 1월 출석표'!$B$2:$BQ$497,10,0)/1</f>
        <v>#N/A</v>
      </c>
      <c r="Q411" s="40"/>
      <c r="R411" s="41" t="e">
        <f>VLOOKUP($B411,'26년 1월 출석표'!$B$2:$BQ$497,24,0)/5</f>
        <v>#N/A</v>
      </c>
      <c r="S411" s="40"/>
      <c r="T411" s="41" t="e">
        <f>VLOOKUP($B411,'26년 1월 출석표'!$B$2:$BQ$497,38,0)/5</f>
        <v>#N/A</v>
      </c>
      <c r="U411" s="40"/>
      <c r="V411" s="41" t="e">
        <f>VLOOKUP($B411,'26년 1월 출석표'!$B$2:$BQ$497,52,0)/5</f>
        <v>#N/A</v>
      </c>
      <c r="W411" s="42"/>
      <c r="X411" s="41" t="e">
        <f>VLOOKUP($B411,'26년 1월 출석표'!$B$2:$BQ$503,66,0)/5</f>
        <v>#N/A</v>
      </c>
      <c r="Y411" s="43"/>
    </row>
    <row r="412" spans="1:25" ht="16.5">
      <c r="A412" s="29"/>
      <c r="B412" s="52"/>
      <c r="C412" s="52"/>
      <c r="D412" s="53"/>
      <c r="E412" s="54"/>
      <c r="F412" s="52"/>
      <c r="G412" s="55"/>
      <c r="H412" s="56"/>
      <c r="I412" s="34" t="e">
        <f>VLOOKUP(B412,'26년 1월 출석표'!$B$7:$D$500,3,0)</f>
        <v>#N/A</v>
      </c>
      <c r="J412" s="35" t="e">
        <f t="shared" ca="1" si="0"/>
        <v>#NAME?</v>
      </c>
      <c r="K412" s="36" t="str">
        <f t="shared" si="1"/>
        <v/>
      </c>
      <c r="L412" s="37" t="str">
        <f t="shared" si="2"/>
        <v/>
      </c>
      <c r="M412" s="30"/>
      <c r="N412" s="38" t="b">
        <v>0</v>
      </c>
      <c r="O412" s="38" t="b">
        <v>0</v>
      </c>
      <c r="P412" s="39" t="e">
        <f>VLOOKUP($B412,'26년 1월 출석표'!$B$2:$BQ$497,10,0)/1</f>
        <v>#N/A</v>
      </c>
      <c r="Q412" s="40"/>
      <c r="R412" s="41" t="e">
        <f>VLOOKUP($B412,'26년 1월 출석표'!$B$2:$BQ$497,24,0)/5</f>
        <v>#N/A</v>
      </c>
      <c r="S412" s="40"/>
      <c r="T412" s="41" t="e">
        <f>VLOOKUP($B412,'26년 1월 출석표'!$B$2:$BQ$497,38,0)/5</f>
        <v>#N/A</v>
      </c>
      <c r="U412" s="40"/>
      <c r="V412" s="41" t="e">
        <f>VLOOKUP($B412,'26년 1월 출석표'!$B$2:$BQ$497,52,0)/5</f>
        <v>#N/A</v>
      </c>
      <c r="W412" s="42"/>
      <c r="X412" s="41" t="e">
        <f>VLOOKUP($B412,'26년 1월 출석표'!$B$2:$BQ$503,66,0)/5</f>
        <v>#N/A</v>
      </c>
      <c r="Y412" s="43"/>
    </row>
    <row r="413" spans="1:25" ht="16.5">
      <c r="A413" s="29"/>
      <c r="B413" s="52"/>
      <c r="C413" s="52"/>
      <c r="D413" s="53"/>
      <c r="E413" s="54"/>
      <c r="F413" s="52"/>
      <c r="G413" s="55"/>
      <c r="H413" s="56"/>
      <c r="I413" s="34" t="e">
        <f>VLOOKUP(B413,'26년 1월 출석표'!$B$7:$D$500,3,0)</f>
        <v>#N/A</v>
      </c>
      <c r="J413" s="35" t="e">
        <f t="shared" ca="1" si="0"/>
        <v>#NAME?</v>
      </c>
      <c r="K413" s="36" t="str">
        <f t="shared" si="1"/>
        <v/>
      </c>
      <c r="L413" s="37" t="str">
        <f t="shared" si="2"/>
        <v/>
      </c>
      <c r="M413" s="30"/>
      <c r="N413" s="38" t="b">
        <v>0</v>
      </c>
      <c r="O413" s="38" t="b">
        <v>0</v>
      </c>
      <c r="P413" s="39" t="e">
        <f>VLOOKUP($B413,'26년 1월 출석표'!$B$2:$BQ$497,10,0)/1</f>
        <v>#N/A</v>
      </c>
      <c r="Q413" s="40"/>
      <c r="R413" s="41" t="e">
        <f>VLOOKUP($B413,'26년 1월 출석표'!$B$2:$BQ$497,24,0)/5</f>
        <v>#N/A</v>
      </c>
      <c r="S413" s="40"/>
      <c r="T413" s="41" t="e">
        <f>VLOOKUP($B413,'26년 1월 출석표'!$B$2:$BQ$497,38,0)/5</f>
        <v>#N/A</v>
      </c>
      <c r="U413" s="40"/>
      <c r="V413" s="41" t="e">
        <f>VLOOKUP($B413,'26년 1월 출석표'!$B$2:$BQ$497,52,0)/5</f>
        <v>#N/A</v>
      </c>
      <c r="W413" s="42"/>
      <c r="X413" s="41" t="e">
        <f>VLOOKUP($B413,'26년 1월 출석표'!$B$2:$BQ$503,66,0)/5</f>
        <v>#N/A</v>
      </c>
      <c r="Y413" s="43"/>
    </row>
    <row r="414" spans="1:25" ht="16.5">
      <c r="A414" s="29"/>
      <c r="B414" s="52"/>
      <c r="C414" s="52"/>
      <c r="D414" s="53"/>
      <c r="E414" s="54"/>
      <c r="F414" s="52"/>
      <c r="G414" s="55"/>
      <c r="H414" s="56"/>
      <c r="I414" s="34" t="e">
        <f>VLOOKUP(B414,'26년 1월 출석표'!$B$7:$D$500,3,0)</f>
        <v>#N/A</v>
      </c>
      <c r="J414" s="35" t="e">
        <f t="shared" ca="1" si="0"/>
        <v>#NAME?</v>
      </c>
      <c r="K414" s="36" t="str">
        <f t="shared" si="1"/>
        <v/>
      </c>
      <c r="L414" s="37" t="str">
        <f t="shared" si="2"/>
        <v/>
      </c>
      <c r="M414" s="30"/>
      <c r="N414" s="38" t="b">
        <v>0</v>
      </c>
      <c r="O414" s="38" t="b">
        <v>0</v>
      </c>
      <c r="P414" s="39" t="e">
        <f>VLOOKUP($B414,'26년 1월 출석표'!$B$2:$BQ$497,10,0)/1</f>
        <v>#N/A</v>
      </c>
      <c r="Q414" s="40"/>
      <c r="R414" s="41" t="e">
        <f>VLOOKUP($B414,'26년 1월 출석표'!$B$2:$BQ$497,24,0)/5</f>
        <v>#N/A</v>
      </c>
      <c r="S414" s="40"/>
      <c r="T414" s="41" t="e">
        <f>VLOOKUP($B414,'26년 1월 출석표'!$B$2:$BQ$497,38,0)/5</f>
        <v>#N/A</v>
      </c>
      <c r="U414" s="40"/>
      <c r="V414" s="41" t="e">
        <f>VLOOKUP($B414,'26년 1월 출석표'!$B$2:$BQ$497,52,0)/5</f>
        <v>#N/A</v>
      </c>
      <c r="W414" s="42"/>
      <c r="X414" s="41" t="e">
        <f>VLOOKUP($B414,'26년 1월 출석표'!$B$2:$BQ$503,66,0)/5</f>
        <v>#N/A</v>
      </c>
      <c r="Y414" s="43"/>
    </row>
    <row r="415" spans="1:25" ht="16.5">
      <c r="A415" s="29"/>
      <c r="B415" s="52"/>
      <c r="C415" s="52"/>
      <c r="D415" s="53"/>
      <c r="E415" s="54"/>
      <c r="F415" s="52"/>
      <c r="G415" s="55"/>
      <c r="H415" s="56"/>
      <c r="I415" s="34" t="e">
        <f>VLOOKUP(B415,'26년 1월 출석표'!$B$7:$D$500,3,0)</f>
        <v>#N/A</v>
      </c>
      <c r="J415" s="35" t="e">
        <f t="shared" ca="1" si="0"/>
        <v>#NAME?</v>
      </c>
      <c r="K415" s="36" t="str">
        <f t="shared" si="1"/>
        <v/>
      </c>
      <c r="L415" s="37" t="str">
        <f t="shared" si="2"/>
        <v/>
      </c>
      <c r="M415" s="30"/>
      <c r="N415" s="38" t="b">
        <v>0</v>
      </c>
      <c r="O415" s="38" t="b">
        <v>0</v>
      </c>
      <c r="P415" s="39" t="e">
        <f>VLOOKUP($B415,'26년 1월 출석표'!$B$2:$BQ$497,10,0)/1</f>
        <v>#N/A</v>
      </c>
      <c r="Q415" s="40"/>
      <c r="R415" s="41" t="e">
        <f>VLOOKUP($B415,'26년 1월 출석표'!$B$2:$BQ$497,24,0)/5</f>
        <v>#N/A</v>
      </c>
      <c r="S415" s="40"/>
      <c r="T415" s="41" t="e">
        <f>VLOOKUP($B415,'26년 1월 출석표'!$B$2:$BQ$497,38,0)/5</f>
        <v>#N/A</v>
      </c>
      <c r="U415" s="40"/>
      <c r="V415" s="41" t="e">
        <f>VLOOKUP($B415,'26년 1월 출석표'!$B$2:$BQ$497,52,0)/5</f>
        <v>#N/A</v>
      </c>
      <c r="W415" s="42"/>
      <c r="X415" s="41" t="e">
        <f>VLOOKUP($B415,'26년 1월 출석표'!$B$2:$BQ$503,66,0)/5</f>
        <v>#N/A</v>
      </c>
      <c r="Y415" s="43"/>
    </row>
    <row r="416" spans="1:25" ht="16.5">
      <c r="A416" s="29"/>
      <c r="B416" s="52"/>
      <c r="C416" s="52"/>
      <c r="D416" s="53"/>
      <c r="E416" s="54"/>
      <c r="F416" s="52"/>
      <c r="G416" s="55"/>
      <c r="H416" s="56"/>
      <c r="I416" s="34" t="e">
        <f>VLOOKUP(B416,'26년 1월 출석표'!$B$7:$D$500,3,0)</f>
        <v>#N/A</v>
      </c>
      <c r="J416" s="35" t="e">
        <f t="shared" ca="1" si="0"/>
        <v>#NAME?</v>
      </c>
      <c r="K416" s="36" t="str">
        <f t="shared" si="1"/>
        <v/>
      </c>
      <c r="L416" s="37" t="str">
        <f t="shared" si="2"/>
        <v/>
      </c>
      <c r="M416" s="30"/>
      <c r="N416" s="38" t="b">
        <v>0</v>
      </c>
      <c r="O416" s="38" t="b">
        <v>0</v>
      </c>
      <c r="P416" s="39" t="e">
        <f>VLOOKUP($B416,'26년 1월 출석표'!$B$2:$BQ$497,10,0)/1</f>
        <v>#N/A</v>
      </c>
      <c r="Q416" s="40"/>
      <c r="R416" s="41" t="e">
        <f>VLOOKUP($B416,'26년 1월 출석표'!$B$2:$BQ$497,24,0)/5</f>
        <v>#N/A</v>
      </c>
      <c r="S416" s="40"/>
      <c r="T416" s="41" t="e">
        <f>VLOOKUP($B416,'26년 1월 출석표'!$B$2:$BQ$497,38,0)/5</f>
        <v>#N/A</v>
      </c>
      <c r="U416" s="40"/>
      <c r="V416" s="41" t="e">
        <f>VLOOKUP($B416,'26년 1월 출석표'!$B$2:$BQ$497,52,0)/5</f>
        <v>#N/A</v>
      </c>
      <c r="W416" s="42"/>
      <c r="X416" s="41" t="e">
        <f>VLOOKUP($B416,'26년 1월 출석표'!$B$2:$BQ$503,66,0)/5</f>
        <v>#N/A</v>
      </c>
      <c r="Y416" s="43"/>
    </row>
    <row r="417" spans="1:25" ht="16.5">
      <c r="A417" s="29"/>
      <c r="B417" s="52"/>
      <c r="C417" s="52"/>
      <c r="D417" s="53"/>
      <c r="E417" s="54"/>
      <c r="F417" s="52"/>
      <c r="G417" s="55"/>
      <c r="H417" s="56"/>
      <c r="I417" s="34" t="e">
        <f>VLOOKUP(B417,'26년 1월 출석표'!$B$7:$D$500,3,0)</f>
        <v>#N/A</v>
      </c>
      <c r="J417" s="35" t="e">
        <f t="shared" ca="1" si="0"/>
        <v>#NAME?</v>
      </c>
      <c r="K417" s="36" t="str">
        <f t="shared" si="1"/>
        <v/>
      </c>
      <c r="L417" s="37" t="str">
        <f t="shared" si="2"/>
        <v/>
      </c>
      <c r="M417" s="30"/>
      <c r="N417" s="38" t="b">
        <v>0</v>
      </c>
      <c r="O417" s="38" t="b">
        <v>0</v>
      </c>
      <c r="P417" s="39" t="e">
        <f>VLOOKUP($B417,'26년 1월 출석표'!$B$2:$BQ$497,10,0)/1</f>
        <v>#N/A</v>
      </c>
      <c r="Q417" s="40"/>
      <c r="R417" s="41" t="e">
        <f>VLOOKUP($B417,'26년 1월 출석표'!$B$2:$BQ$497,24,0)/5</f>
        <v>#N/A</v>
      </c>
      <c r="S417" s="40"/>
      <c r="T417" s="41" t="e">
        <f>VLOOKUP($B417,'26년 1월 출석표'!$B$2:$BQ$497,38,0)/5</f>
        <v>#N/A</v>
      </c>
      <c r="U417" s="40"/>
      <c r="V417" s="41" t="e">
        <f>VLOOKUP($B417,'26년 1월 출석표'!$B$2:$BQ$497,52,0)/5</f>
        <v>#N/A</v>
      </c>
      <c r="W417" s="42"/>
      <c r="X417" s="41" t="e">
        <f>VLOOKUP($B417,'26년 1월 출석표'!$B$2:$BQ$503,66,0)/5</f>
        <v>#N/A</v>
      </c>
      <c r="Y417" s="43"/>
    </row>
    <row r="418" spans="1:25" ht="16.5">
      <c r="A418" s="29"/>
      <c r="B418" s="52"/>
      <c r="C418" s="52"/>
      <c r="D418" s="53"/>
      <c r="E418" s="54"/>
      <c r="F418" s="52"/>
      <c r="G418" s="55"/>
      <c r="H418" s="56"/>
      <c r="I418" s="34" t="e">
        <f>VLOOKUP(B418,'26년 1월 출석표'!$B$7:$D$500,3,0)</f>
        <v>#N/A</v>
      </c>
      <c r="J418" s="35" t="e">
        <f t="shared" ca="1" si="0"/>
        <v>#NAME?</v>
      </c>
      <c r="K418" s="36" t="str">
        <f t="shared" si="1"/>
        <v/>
      </c>
      <c r="L418" s="37" t="str">
        <f t="shared" si="2"/>
        <v/>
      </c>
      <c r="M418" s="30"/>
      <c r="N418" s="38" t="b">
        <v>0</v>
      </c>
      <c r="O418" s="38" t="b">
        <v>0</v>
      </c>
      <c r="P418" s="39" t="e">
        <f>VLOOKUP($B418,'26년 1월 출석표'!$B$2:$BQ$497,10,0)/1</f>
        <v>#N/A</v>
      </c>
      <c r="Q418" s="40"/>
      <c r="R418" s="41" t="e">
        <f>VLOOKUP($B418,'26년 1월 출석표'!$B$2:$BQ$497,24,0)/5</f>
        <v>#N/A</v>
      </c>
      <c r="S418" s="40"/>
      <c r="T418" s="41" t="e">
        <f>VLOOKUP($B418,'26년 1월 출석표'!$B$2:$BQ$497,38,0)/5</f>
        <v>#N/A</v>
      </c>
      <c r="U418" s="40"/>
      <c r="V418" s="41" t="e">
        <f>VLOOKUP($B418,'26년 1월 출석표'!$B$2:$BQ$497,52,0)/5</f>
        <v>#N/A</v>
      </c>
      <c r="W418" s="42"/>
      <c r="X418" s="41" t="e">
        <f>VLOOKUP($B418,'26년 1월 출석표'!$B$2:$BQ$503,66,0)/5</f>
        <v>#N/A</v>
      </c>
      <c r="Y418" s="43"/>
    </row>
    <row r="419" spans="1:25" ht="16.5">
      <c r="A419" s="29"/>
      <c r="B419" s="52"/>
      <c r="C419" s="52"/>
      <c r="D419" s="53"/>
      <c r="E419" s="54"/>
      <c r="F419" s="52"/>
      <c r="G419" s="55"/>
      <c r="H419" s="56"/>
      <c r="I419" s="34" t="e">
        <f>VLOOKUP(B419,'26년 1월 출석표'!$B$7:$D$500,3,0)</f>
        <v>#N/A</v>
      </c>
      <c r="J419" s="35" t="e">
        <f t="shared" ca="1" si="0"/>
        <v>#NAME?</v>
      </c>
      <c r="K419" s="36" t="str">
        <f t="shared" si="1"/>
        <v/>
      </c>
      <c r="L419" s="37" t="str">
        <f t="shared" si="2"/>
        <v/>
      </c>
      <c r="M419" s="30"/>
      <c r="N419" s="38" t="b">
        <v>0</v>
      </c>
      <c r="O419" s="38" t="b">
        <v>0</v>
      </c>
      <c r="P419" s="39" t="e">
        <f>VLOOKUP($B419,'26년 1월 출석표'!$B$2:$BQ$497,10,0)/1</f>
        <v>#N/A</v>
      </c>
      <c r="Q419" s="40"/>
      <c r="R419" s="41" t="e">
        <f>VLOOKUP($B419,'26년 1월 출석표'!$B$2:$BQ$497,24,0)/5</f>
        <v>#N/A</v>
      </c>
      <c r="S419" s="40"/>
      <c r="T419" s="41" t="e">
        <f>VLOOKUP($B419,'26년 1월 출석표'!$B$2:$BQ$497,38,0)/5</f>
        <v>#N/A</v>
      </c>
      <c r="U419" s="40"/>
      <c r="V419" s="41" t="e">
        <f>VLOOKUP($B419,'26년 1월 출석표'!$B$2:$BQ$497,52,0)/5</f>
        <v>#N/A</v>
      </c>
      <c r="W419" s="42"/>
      <c r="X419" s="41" t="e">
        <f>VLOOKUP($B419,'26년 1월 출석표'!$B$2:$BQ$503,66,0)/5</f>
        <v>#N/A</v>
      </c>
      <c r="Y419" s="43"/>
    </row>
    <row r="420" spans="1:25" ht="16.5">
      <c r="A420" s="29"/>
      <c r="B420" s="52"/>
      <c r="C420" s="52"/>
      <c r="D420" s="53"/>
      <c r="E420" s="54"/>
      <c r="F420" s="52"/>
      <c r="G420" s="55"/>
      <c r="H420" s="56"/>
      <c r="I420" s="34" t="e">
        <f>VLOOKUP(B420,'26년 1월 출석표'!$B$7:$D$500,3,0)</f>
        <v>#N/A</v>
      </c>
      <c r="J420" s="35" t="e">
        <f t="shared" ca="1" si="0"/>
        <v>#NAME?</v>
      </c>
      <c r="K420" s="36" t="str">
        <f t="shared" si="1"/>
        <v/>
      </c>
      <c r="L420" s="37" t="str">
        <f t="shared" si="2"/>
        <v/>
      </c>
      <c r="M420" s="30"/>
      <c r="N420" s="38" t="b">
        <v>0</v>
      </c>
      <c r="O420" s="38" t="b">
        <v>0</v>
      </c>
      <c r="P420" s="39" t="e">
        <f>VLOOKUP($B420,'26년 1월 출석표'!$B$2:$BQ$497,10,0)/1</f>
        <v>#N/A</v>
      </c>
      <c r="Q420" s="40"/>
      <c r="R420" s="41" t="e">
        <f>VLOOKUP($B420,'26년 1월 출석표'!$B$2:$BQ$497,24,0)/5</f>
        <v>#N/A</v>
      </c>
      <c r="S420" s="40"/>
      <c r="T420" s="41" t="e">
        <f>VLOOKUP($B420,'26년 1월 출석표'!$B$2:$BQ$497,38,0)/5</f>
        <v>#N/A</v>
      </c>
      <c r="U420" s="40"/>
      <c r="V420" s="41" t="e">
        <f>VLOOKUP($B420,'26년 1월 출석표'!$B$2:$BQ$497,52,0)/5</f>
        <v>#N/A</v>
      </c>
      <c r="W420" s="42"/>
      <c r="X420" s="41" t="e">
        <f>VLOOKUP($B420,'26년 1월 출석표'!$B$2:$BQ$503,66,0)/5</f>
        <v>#N/A</v>
      </c>
      <c r="Y420" s="43"/>
    </row>
    <row r="421" spans="1:25" ht="16.5">
      <c r="A421" s="29"/>
      <c r="B421" s="52"/>
      <c r="C421" s="52"/>
      <c r="D421" s="53"/>
      <c r="E421" s="54"/>
      <c r="F421" s="52"/>
      <c r="G421" s="55"/>
      <c r="H421" s="56"/>
      <c r="I421" s="34" t="e">
        <f>VLOOKUP(B421,'26년 1월 출석표'!$B$7:$D$500,3,0)</f>
        <v>#N/A</v>
      </c>
      <c r="J421" s="35" t="e">
        <f t="shared" ca="1" si="0"/>
        <v>#NAME?</v>
      </c>
      <c r="K421" s="36" t="str">
        <f t="shared" si="1"/>
        <v/>
      </c>
      <c r="L421" s="37" t="str">
        <f t="shared" si="2"/>
        <v/>
      </c>
      <c r="M421" s="30"/>
      <c r="N421" s="38" t="b">
        <v>0</v>
      </c>
      <c r="O421" s="38" t="b">
        <v>0</v>
      </c>
      <c r="P421" s="39" t="e">
        <f>VLOOKUP($B421,'26년 1월 출석표'!$B$2:$BQ$497,10,0)/1</f>
        <v>#N/A</v>
      </c>
      <c r="Q421" s="40"/>
      <c r="R421" s="41" t="e">
        <f>VLOOKUP($B421,'26년 1월 출석표'!$B$2:$BQ$497,24,0)/5</f>
        <v>#N/A</v>
      </c>
      <c r="S421" s="40"/>
      <c r="T421" s="41" t="e">
        <f>VLOOKUP($B421,'26년 1월 출석표'!$B$2:$BQ$497,38,0)/5</f>
        <v>#N/A</v>
      </c>
      <c r="U421" s="40"/>
      <c r="V421" s="41" t="e">
        <f>VLOOKUP($B421,'26년 1월 출석표'!$B$2:$BQ$497,52,0)/5</f>
        <v>#N/A</v>
      </c>
      <c r="W421" s="42"/>
      <c r="X421" s="41" t="e">
        <f>VLOOKUP($B421,'26년 1월 출석표'!$B$2:$BQ$503,66,0)/5</f>
        <v>#N/A</v>
      </c>
      <c r="Y421" s="43"/>
    </row>
    <row r="422" spans="1:25" ht="16.5">
      <c r="A422" s="29"/>
      <c r="B422" s="52"/>
      <c r="C422" s="52"/>
      <c r="D422" s="53"/>
      <c r="E422" s="54"/>
      <c r="F422" s="52"/>
      <c r="G422" s="55"/>
      <c r="H422" s="56"/>
      <c r="I422" s="34" t="e">
        <f>VLOOKUP(B422,'26년 1월 출석표'!$B$7:$D$500,3,0)</f>
        <v>#N/A</v>
      </c>
      <c r="J422" s="35" t="e">
        <f t="shared" ca="1" si="0"/>
        <v>#NAME?</v>
      </c>
      <c r="K422" s="36" t="str">
        <f t="shared" si="1"/>
        <v/>
      </c>
      <c r="L422" s="37" t="str">
        <f t="shared" si="2"/>
        <v/>
      </c>
      <c r="M422" s="30"/>
      <c r="N422" s="38" t="b">
        <v>0</v>
      </c>
      <c r="O422" s="38" t="b">
        <v>0</v>
      </c>
      <c r="P422" s="39" t="e">
        <f>VLOOKUP($B422,'26년 1월 출석표'!$B$2:$BQ$497,10,0)/1</f>
        <v>#N/A</v>
      </c>
      <c r="Q422" s="40"/>
      <c r="R422" s="41" t="e">
        <f>VLOOKUP($B422,'26년 1월 출석표'!$B$2:$BQ$497,24,0)/5</f>
        <v>#N/A</v>
      </c>
      <c r="S422" s="40"/>
      <c r="T422" s="41" t="e">
        <f>VLOOKUP($B422,'26년 1월 출석표'!$B$2:$BQ$497,38,0)/5</f>
        <v>#N/A</v>
      </c>
      <c r="U422" s="40"/>
      <c r="V422" s="41" t="e">
        <f>VLOOKUP($B422,'26년 1월 출석표'!$B$2:$BQ$497,52,0)/5</f>
        <v>#N/A</v>
      </c>
      <c r="W422" s="42"/>
      <c r="X422" s="41" t="e">
        <f>VLOOKUP($B422,'26년 1월 출석표'!$B$2:$BQ$503,66,0)/5</f>
        <v>#N/A</v>
      </c>
      <c r="Y422" s="43"/>
    </row>
    <row r="423" spans="1:25" ht="16.5">
      <c r="A423" s="29"/>
      <c r="B423" s="52"/>
      <c r="C423" s="52"/>
      <c r="D423" s="53"/>
      <c r="E423" s="54"/>
      <c r="F423" s="52"/>
      <c r="G423" s="55"/>
      <c r="H423" s="56"/>
      <c r="I423" s="34" t="e">
        <f>VLOOKUP(B423,'26년 1월 출석표'!$B$7:$D$500,3,0)</f>
        <v>#N/A</v>
      </c>
      <c r="J423" s="35" t="e">
        <f t="shared" ca="1" si="0"/>
        <v>#NAME?</v>
      </c>
      <c r="K423" s="36" t="str">
        <f t="shared" si="1"/>
        <v/>
      </c>
      <c r="L423" s="37" t="str">
        <f t="shared" si="2"/>
        <v/>
      </c>
      <c r="M423" s="30"/>
      <c r="N423" s="38" t="b">
        <v>0</v>
      </c>
      <c r="O423" s="38" t="b">
        <v>0</v>
      </c>
      <c r="P423" s="39" t="e">
        <f>VLOOKUP($B423,'26년 1월 출석표'!$B$2:$BQ$497,10,0)/1</f>
        <v>#N/A</v>
      </c>
      <c r="Q423" s="40"/>
      <c r="R423" s="41" t="e">
        <f>VLOOKUP($B423,'26년 1월 출석표'!$B$2:$BQ$497,24,0)/5</f>
        <v>#N/A</v>
      </c>
      <c r="S423" s="40"/>
      <c r="T423" s="41" t="e">
        <f>VLOOKUP($B423,'26년 1월 출석표'!$B$2:$BQ$497,38,0)/5</f>
        <v>#N/A</v>
      </c>
      <c r="U423" s="40"/>
      <c r="V423" s="41" t="e">
        <f>VLOOKUP($B423,'26년 1월 출석표'!$B$2:$BQ$497,52,0)/5</f>
        <v>#N/A</v>
      </c>
      <c r="W423" s="42"/>
      <c r="X423" s="41" t="e">
        <f>VLOOKUP($B423,'26년 1월 출석표'!$B$2:$BQ$503,66,0)/5</f>
        <v>#N/A</v>
      </c>
      <c r="Y423" s="43"/>
    </row>
    <row r="424" spans="1:25" ht="16.5">
      <c r="A424" s="29"/>
      <c r="B424" s="52"/>
      <c r="C424" s="52"/>
      <c r="D424" s="53"/>
      <c r="E424" s="54"/>
      <c r="F424" s="52"/>
      <c r="G424" s="55"/>
      <c r="H424" s="56"/>
      <c r="I424" s="34" t="e">
        <f>VLOOKUP(B424,'26년 1월 출석표'!$B$7:$D$500,3,0)</f>
        <v>#N/A</v>
      </c>
      <c r="J424" s="35" t="e">
        <f t="shared" ca="1" si="0"/>
        <v>#NAME?</v>
      </c>
      <c r="K424" s="36" t="str">
        <f t="shared" si="1"/>
        <v/>
      </c>
      <c r="L424" s="37" t="str">
        <f t="shared" si="2"/>
        <v/>
      </c>
      <c r="M424" s="30"/>
      <c r="N424" s="38" t="b">
        <v>0</v>
      </c>
      <c r="O424" s="38" t="b">
        <v>0</v>
      </c>
      <c r="P424" s="39" t="e">
        <f>VLOOKUP($B424,'26년 1월 출석표'!$B$2:$BQ$497,10,0)/1</f>
        <v>#N/A</v>
      </c>
      <c r="Q424" s="40"/>
      <c r="R424" s="41" t="e">
        <f>VLOOKUP($B424,'26년 1월 출석표'!$B$2:$BQ$497,24,0)/5</f>
        <v>#N/A</v>
      </c>
      <c r="S424" s="40"/>
      <c r="T424" s="41" t="e">
        <f>VLOOKUP($B424,'26년 1월 출석표'!$B$2:$BQ$497,38,0)/5</f>
        <v>#N/A</v>
      </c>
      <c r="U424" s="40"/>
      <c r="V424" s="41" t="e">
        <f>VLOOKUP($B424,'26년 1월 출석표'!$B$2:$BQ$497,52,0)/5</f>
        <v>#N/A</v>
      </c>
      <c r="W424" s="42"/>
      <c r="X424" s="41" t="e">
        <f>VLOOKUP($B424,'26년 1월 출석표'!$B$2:$BQ$503,66,0)/5</f>
        <v>#N/A</v>
      </c>
      <c r="Y424" s="43"/>
    </row>
    <row r="425" spans="1:25" ht="16.5">
      <c r="A425" s="29"/>
      <c r="B425" s="52"/>
      <c r="C425" s="52"/>
      <c r="D425" s="53"/>
      <c r="E425" s="54"/>
      <c r="F425" s="52"/>
      <c r="G425" s="55"/>
      <c r="H425" s="56"/>
      <c r="I425" s="34" t="e">
        <f>VLOOKUP(B425,'26년 1월 출석표'!$B$7:$D$500,3,0)</f>
        <v>#N/A</v>
      </c>
      <c r="J425" s="35" t="e">
        <f t="shared" ca="1" si="0"/>
        <v>#NAME?</v>
      </c>
      <c r="K425" s="36" t="str">
        <f t="shared" si="1"/>
        <v/>
      </c>
      <c r="L425" s="37" t="str">
        <f t="shared" si="2"/>
        <v/>
      </c>
      <c r="M425" s="30"/>
      <c r="N425" s="38" t="b">
        <v>0</v>
      </c>
      <c r="O425" s="38" t="b">
        <v>0</v>
      </c>
      <c r="P425" s="39" t="e">
        <f>VLOOKUP($B425,'26년 1월 출석표'!$B$2:$BQ$497,10,0)/1</f>
        <v>#N/A</v>
      </c>
      <c r="Q425" s="40"/>
      <c r="R425" s="41" t="e">
        <f>VLOOKUP($B425,'26년 1월 출석표'!$B$2:$BQ$497,24,0)/5</f>
        <v>#N/A</v>
      </c>
      <c r="S425" s="40"/>
      <c r="T425" s="41" t="e">
        <f>VLOOKUP($B425,'26년 1월 출석표'!$B$2:$BQ$497,38,0)/5</f>
        <v>#N/A</v>
      </c>
      <c r="U425" s="40"/>
      <c r="V425" s="41" t="e">
        <f>VLOOKUP($B425,'26년 1월 출석표'!$B$2:$BQ$497,52,0)/5</f>
        <v>#N/A</v>
      </c>
      <c r="W425" s="42"/>
      <c r="X425" s="41" t="e">
        <f>VLOOKUP($B425,'26년 1월 출석표'!$B$2:$BQ$503,66,0)/5</f>
        <v>#N/A</v>
      </c>
      <c r="Y425" s="43"/>
    </row>
    <row r="426" spans="1:25" ht="16.5">
      <c r="A426" s="29"/>
      <c r="B426" s="52"/>
      <c r="C426" s="52"/>
      <c r="D426" s="53"/>
      <c r="E426" s="54"/>
      <c r="F426" s="52"/>
      <c r="G426" s="55"/>
      <c r="H426" s="56"/>
      <c r="I426" s="34" t="e">
        <f>VLOOKUP(B426,'26년 1월 출석표'!$B$7:$D$500,3,0)</f>
        <v>#N/A</v>
      </c>
      <c r="J426" s="35" t="e">
        <f t="shared" ca="1" si="0"/>
        <v>#NAME?</v>
      </c>
      <c r="K426" s="36" t="str">
        <f t="shared" si="1"/>
        <v/>
      </c>
      <c r="L426" s="37" t="str">
        <f t="shared" si="2"/>
        <v/>
      </c>
      <c r="M426" s="30"/>
      <c r="N426" s="38" t="b">
        <v>0</v>
      </c>
      <c r="O426" s="38" t="b">
        <v>0</v>
      </c>
      <c r="P426" s="39" t="e">
        <f>VLOOKUP($B426,'26년 1월 출석표'!$B$2:$BQ$497,10,0)/1</f>
        <v>#N/A</v>
      </c>
      <c r="Q426" s="40"/>
      <c r="R426" s="41" t="e">
        <f>VLOOKUP($B426,'26년 1월 출석표'!$B$2:$BQ$497,24,0)/5</f>
        <v>#N/A</v>
      </c>
      <c r="S426" s="40"/>
      <c r="T426" s="41" t="e">
        <f>VLOOKUP($B426,'26년 1월 출석표'!$B$2:$BQ$497,38,0)/5</f>
        <v>#N/A</v>
      </c>
      <c r="U426" s="40"/>
      <c r="V426" s="41" t="e">
        <f>VLOOKUP($B426,'26년 1월 출석표'!$B$2:$BQ$497,52,0)/5</f>
        <v>#N/A</v>
      </c>
      <c r="W426" s="42"/>
      <c r="X426" s="41" t="e">
        <f>VLOOKUP($B426,'26년 1월 출석표'!$B$2:$BQ$503,66,0)/5</f>
        <v>#N/A</v>
      </c>
      <c r="Y426" s="43"/>
    </row>
    <row r="427" spans="1:25" ht="16.5">
      <c r="A427" s="29"/>
      <c r="B427" s="52"/>
      <c r="C427" s="52"/>
      <c r="D427" s="53"/>
      <c r="E427" s="54"/>
      <c r="F427" s="52"/>
      <c r="G427" s="55"/>
      <c r="H427" s="56"/>
      <c r="I427" s="34" t="e">
        <f>VLOOKUP(B427,'26년 1월 출석표'!$B$7:$D$500,3,0)</f>
        <v>#N/A</v>
      </c>
      <c r="J427" s="35" t="e">
        <f t="shared" ca="1" si="0"/>
        <v>#NAME?</v>
      </c>
      <c r="K427" s="36" t="str">
        <f t="shared" si="1"/>
        <v/>
      </c>
      <c r="L427" s="37" t="str">
        <f t="shared" si="2"/>
        <v/>
      </c>
      <c r="M427" s="30"/>
      <c r="N427" s="38" t="b">
        <v>0</v>
      </c>
      <c r="O427" s="38" t="b">
        <v>0</v>
      </c>
      <c r="P427" s="39" t="e">
        <f>VLOOKUP($B427,'26년 1월 출석표'!$B$2:$BQ$497,10,0)/1</f>
        <v>#N/A</v>
      </c>
      <c r="Q427" s="40"/>
      <c r="R427" s="41" t="e">
        <f>VLOOKUP($B427,'26년 1월 출석표'!$B$2:$BQ$497,24,0)/5</f>
        <v>#N/A</v>
      </c>
      <c r="S427" s="40"/>
      <c r="T427" s="41" t="e">
        <f>VLOOKUP($B427,'26년 1월 출석표'!$B$2:$BQ$497,38,0)/5</f>
        <v>#N/A</v>
      </c>
      <c r="U427" s="40"/>
      <c r="V427" s="41" t="e">
        <f>VLOOKUP($B427,'26년 1월 출석표'!$B$2:$BQ$497,52,0)/5</f>
        <v>#N/A</v>
      </c>
      <c r="W427" s="42"/>
      <c r="X427" s="41" t="e">
        <f>VLOOKUP($B427,'26년 1월 출석표'!$B$2:$BQ$503,66,0)/5</f>
        <v>#N/A</v>
      </c>
      <c r="Y427" s="43"/>
    </row>
    <row r="428" spans="1:25" ht="16.5">
      <c r="A428" s="29"/>
      <c r="B428" s="52"/>
      <c r="C428" s="52"/>
      <c r="D428" s="53"/>
      <c r="E428" s="54"/>
      <c r="F428" s="52"/>
      <c r="G428" s="55"/>
      <c r="H428" s="56"/>
      <c r="I428" s="34" t="e">
        <f>VLOOKUP(B428,'26년 1월 출석표'!$B$7:$D$500,3,0)</f>
        <v>#N/A</v>
      </c>
      <c r="J428" s="35" t="e">
        <f t="shared" ca="1" si="0"/>
        <v>#NAME?</v>
      </c>
      <c r="K428" s="36" t="str">
        <f t="shared" si="1"/>
        <v/>
      </c>
      <c r="L428" s="37" t="str">
        <f t="shared" si="2"/>
        <v/>
      </c>
      <c r="M428" s="30"/>
      <c r="N428" s="38" t="b">
        <v>0</v>
      </c>
      <c r="O428" s="38" t="b">
        <v>0</v>
      </c>
      <c r="P428" s="39" t="e">
        <f>VLOOKUP($B428,'26년 1월 출석표'!$B$2:$BQ$497,10,0)/1</f>
        <v>#N/A</v>
      </c>
      <c r="Q428" s="40"/>
      <c r="R428" s="41" t="e">
        <f>VLOOKUP($B428,'26년 1월 출석표'!$B$2:$BQ$497,24,0)/5</f>
        <v>#N/A</v>
      </c>
      <c r="S428" s="40"/>
      <c r="T428" s="41" t="e">
        <f>VLOOKUP($B428,'26년 1월 출석표'!$B$2:$BQ$497,38,0)/5</f>
        <v>#N/A</v>
      </c>
      <c r="U428" s="40"/>
      <c r="V428" s="41" t="e">
        <f>VLOOKUP($B428,'26년 1월 출석표'!$B$2:$BQ$497,52,0)/5</f>
        <v>#N/A</v>
      </c>
      <c r="W428" s="42"/>
      <c r="X428" s="41" t="e">
        <f>VLOOKUP($B428,'26년 1월 출석표'!$B$2:$BQ$503,66,0)/5</f>
        <v>#N/A</v>
      </c>
      <c r="Y428" s="43"/>
    </row>
    <row r="429" spans="1:25" ht="16.5">
      <c r="A429" s="29"/>
      <c r="B429" s="52"/>
      <c r="C429" s="52"/>
      <c r="D429" s="53"/>
      <c r="E429" s="54"/>
      <c r="F429" s="52"/>
      <c r="G429" s="55"/>
      <c r="H429" s="56"/>
      <c r="I429" s="34" t="e">
        <f>VLOOKUP(B429,'26년 1월 출석표'!$B$7:$D$500,3,0)</f>
        <v>#N/A</v>
      </c>
      <c r="J429" s="35" t="e">
        <f t="shared" ca="1" si="0"/>
        <v>#NAME?</v>
      </c>
      <c r="K429" s="36" t="str">
        <f t="shared" si="1"/>
        <v/>
      </c>
      <c r="L429" s="37" t="str">
        <f t="shared" si="2"/>
        <v/>
      </c>
      <c r="M429" s="30"/>
      <c r="N429" s="38" t="b">
        <v>0</v>
      </c>
      <c r="O429" s="38" t="b">
        <v>0</v>
      </c>
      <c r="P429" s="39" t="e">
        <f>VLOOKUP($B429,'26년 1월 출석표'!$B$2:$BQ$497,10,0)/1</f>
        <v>#N/A</v>
      </c>
      <c r="Q429" s="40"/>
      <c r="R429" s="41" t="e">
        <f>VLOOKUP($B429,'26년 1월 출석표'!$B$2:$BQ$497,24,0)/5</f>
        <v>#N/A</v>
      </c>
      <c r="S429" s="40"/>
      <c r="T429" s="41" t="e">
        <f>VLOOKUP($B429,'26년 1월 출석표'!$B$2:$BQ$497,38,0)/5</f>
        <v>#N/A</v>
      </c>
      <c r="U429" s="40"/>
      <c r="V429" s="41" t="e">
        <f>VLOOKUP($B429,'26년 1월 출석표'!$B$2:$BQ$497,52,0)/5</f>
        <v>#N/A</v>
      </c>
      <c r="W429" s="42"/>
      <c r="X429" s="41" t="e">
        <f>VLOOKUP($B429,'26년 1월 출석표'!$B$2:$BQ$503,66,0)/5</f>
        <v>#N/A</v>
      </c>
      <c r="Y429" s="43"/>
    </row>
    <row r="430" spans="1:25" ht="16.5">
      <c r="A430" s="29"/>
      <c r="B430" s="52"/>
      <c r="C430" s="52"/>
      <c r="D430" s="53"/>
      <c r="E430" s="54"/>
      <c r="F430" s="52"/>
      <c r="G430" s="55"/>
      <c r="H430" s="56"/>
      <c r="I430" s="34" t="e">
        <f>VLOOKUP(B430,'26년 1월 출석표'!$B$7:$D$500,3,0)</f>
        <v>#N/A</v>
      </c>
      <c r="J430" s="35" t="e">
        <f t="shared" ca="1" si="0"/>
        <v>#NAME?</v>
      </c>
      <c r="K430" s="36" t="str">
        <f t="shared" si="1"/>
        <v/>
      </c>
      <c r="L430" s="37" t="str">
        <f t="shared" si="2"/>
        <v/>
      </c>
      <c r="M430" s="30"/>
      <c r="N430" s="38" t="b">
        <v>0</v>
      </c>
      <c r="O430" s="38" t="b">
        <v>0</v>
      </c>
      <c r="P430" s="39" t="e">
        <f>VLOOKUP($B430,'26년 1월 출석표'!$B$2:$BQ$497,10,0)/1</f>
        <v>#N/A</v>
      </c>
      <c r="Q430" s="40"/>
      <c r="R430" s="41" t="e">
        <f>VLOOKUP($B430,'26년 1월 출석표'!$B$2:$BQ$497,24,0)/5</f>
        <v>#N/A</v>
      </c>
      <c r="S430" s="40"/>
      <c r="T430" s="41" t="e">
        <f>VLOOKUP($B430,'26년 1월 출석표'!$B$2:$BQ$497,38,0)/5</f>
        <v>#N/A</v>
      </c>
      <c r="U430" s="40"/>
      <c r="V430" s="41" t="e">
        <f>VLOOKUP($B430,'26년 1월 출석표'!$B$2:$BQ$497,52,0)/5</f>
        <v>#N/A</v>
      </c>
      <c r="W430" s="42"/>
      <c r="X430" s="41" t="e">
        <f>VLOOKUP($B430,'26년 1월 출석표'!$B$2:$BQ$503,66,0)/5</f>
        <v>#N/A</v>
      </c>
      <c r="Y430" s="43"/>
    </row>
    <row r="431" spans="1:25" ht="16.5">
      <c r="A431" s="29"/>
      <c r="B431" s="52"/>
      <c r="C431" s="52"/>
      <c r="D431" s="53"/>
      <c r="E431" s="54"/>
      <c r="F431" s="52"/>
      <c r="G431" s="55"/>
      <c r="H431" s="56"/>
      <c r="I431" s="34" t="e">
        <f>VLOOKUP(B431,'26년 1월 출석표'!$B$7:$D$500,3,0)</f>
        <v>#N/A</v>
      </c>
      <c r="J431" s="35" t="e">
        <f t="shared" ca="1" si="0"/>
        <v>#NAME?</v>
      </c>
      <c r="K431" s="36" t="str">
        <f t="shared" si="1"/>
        <v/>
      </c>
      <c r="L431" s="37" t="str">
        <f t="shared" si="2"/>
        <v/>
      </c>
      <c r="M431" s="30"/>
      <c r="N431" s="38" t="b">
        <v>0</v>
      </c>
      <c r="O431" s="38" t="b">
        <v>0</v>
      </c>
      <c r="P431" s="39" t="e">
        <f>VLOOKUP($B431,'26년 1월 출석표'!$B$2:$BQ$497,10,0)/1</f>
        <v>#N/A</v>
      </c>
      <c r="Q431" s="40"/>
      <c r="R431" s="41" t="e">
        <f>VLOOKUP($B431,'26년 1월 출석표'!$B$2:$BQ$497,24,0)/5</f>
        <v>#N/A</v>
      </c>
      <c r="S431" s="40"/>
      <c r="T431" s="41" t="e">
        <f>VLOOKUP($B431,'26년 1월 출석표'!$B$2:$BQ$497,38,0)/5</f>
        <v>#N/A</v>
      </c>
      <c r="U431" s="40"/>
      <c r="V431" s="41" t="e">
        <f>VLOOKUP($B431,'26년 1월 출석표'!$B$2:$BQ$497,52,0)/5</f>
        <v>#N/A</v>
      </c>
      <c r="W431" s="42"/>
      <c r="X431" s="41" t="e">
        <f>VLOOKUP($B431,'26년 1월 출석표'!$B$2:$BQ$503,66,0)/5</f>
        <v>#N/A</v>
      </c>
      <c r="Y431" s="43"/>
    </row>
    <row r="432" spans="1:25" ht="16.5">
      <c r="A432" s="29"/>
      <c r="B432" s="52"/>
      <c r="C432" s="52"/>
      <c r="D432" s="53"/>
      <c r="E432" s="54"/>
      <c r="F432" s="52"/>
      <c r="G432" s="55"/>
      <c r="H432" s="56"/>
      <c r="I432" s="34" t="e">
        <f>VLOOKUP(B432,'26년 1월 출석표'!$B$7:$D$500,3,0)</f>
        <v>#N/A</v>
      </c>
      <c r="J432" s="35" t="e">
        <f t="shared" ca="1" si="0"/>
        <v>#NAME?</v>
      </c>
      <c r="K432" s="36" t="str">
        <f t="shared" si="1"/>
        <v/>
      </c>
      <c r="L432" s="37" t="str">
        <f t="shared" si="2"/>
        <v/>
      </c>
      <c r="M432" s="30"/>
      <c r="N432" s="38" t="b">
        <v>0</v>
      </c>
      <c r="O432" s="38" t="b">
        <v>0</v>
      </c>
      <c r="P432" s="39" t="e">
        <f>VLOOKUP($B432,'26년 1월 출석표'!$B$2:$BQ$497,10,0)/1</f>
        <v>#N/A</v>
      </c>
      <c r="Q432" s="40"/>
      <c r="R432" s="41" t="e">
        <f>VLOOKUP($B432,'26년 1월 출석표'!$B$2:$BQ$497,24,0)/5</f>
        <v>#N/A</v>
      </c>
      <c r="S432" s="40"/>
      <c r="T432" s="41" t="e">
        <f>VLOOKUP($B432,'26년 1월 출석표'!$B$2:$BQ$497,38,0)/5</f>
        <v>#N/A</v>
      </c>
      <c r="U432" s="40"/>
      <c r="V432" s="41" t="e">
        <f>VLOOKUP($B432,'26년 1월 출석표'!$B$2:$BQ$497,52,0)/5</f>
        <v>#N/A</v>
      </c>
      <c r="W432" s="42"/>
      <c r="X432" s="41" t="e">
        <f>VLOOKUP($B432,'26년 1월 출석표'!$B$2:$BQ$503,66,0)/5</f>
        <v>#N/A</v>
      </c>
      <c r="Y432" s="43"/>
    </row>
    <row r="433" spans="1:25" ht="16.5">
      <c r="A433" s="29"/>
      <c r="B433" s="52"/>
      <c r="C433" s="52"/>
      <c r="D433" s="53"/>
      <c r="E433" s="54"/>
      <c r="F433" s="52"/>
      <c r="G433" s="55"/>
      <c r="H433" s="56"/>
      <c r="I433" s="34" t="e">
        <f>VLOOKUP(B433,'26년 1월 출석표'!$B$7:$D$500,3,0)</f>
        <v>#N/A</v>
      </c>
      <c r="J433" s="35" t="e">
        <f t="shared" ca="1" si="0"/>
        <v>#NAME?</v>
      </c>
      <c r="K433" s="36" t="str">
        <f t="shared" si="1"/>
        <v/>
      </c>
      <c r="L433" s="37" t="str">
        <f t="shared" si="2"/>
        <v/>
      </c>
      <c r="M433" s="30"/>
      <c r="N433" s="38" t="b">
        <v>0</v>
      </c>
      <c r="O433" s="38" t="b">
        <v>0</v>
      </c>
      <c r="P433" s="39" t="e">
        <f>VLOOKUP($B433,'26년 1월 출석표'!$B$2:$BQ$497,10,0)/1</f>
        <v>#N/A</v>
      </c>
      <c r="Q433" s="40"/>
      <c r="R433" s="41" t="e">
        <f>VLOOKUP($B433,'26년 1월 출석표'!$B$2:$BQ$497,24,0)/5</f>
        <v>#N/A</v>
      </c>
      <c r="S433" s="40"/>
      <c r="T433" s="41" t="e">
        <f>VLOOKUP($B433,'26년 1월 출석표'!$B$2:$BQ$497,38,0)/5</f>
        <v>#N/A</v>
      </c>
      <c r="U433" s="40"/>
      <c r="V433" s="41" t="e">
        <f>VLOOKUP($B433,'26년 1월 출석표'!$B$2:$BQ$497,52,0)/5</f>
        <v>#N/A</v>
      </c>
      <c r="W433" s="42"/>
      <c r="X433" s="41" t="e">
        <f>VLOOKUP($B433,'26년 1월 출석표'!$B$2:$BQ$503,66,0)/5</f>
        <v>#N/A</v>
      </c>
      <c r="Y433" s="43"/>
    </row>
    <row r="434" spans="1:25" ht="16.5">
      <c r="A434" s="29"/>
      <c r="B434" s="52"/>
      <c r="C434" s="52"/>
      <c r="D434" s="53"/>
      <c r="E434" s="54"/>
      <c r="F434" s="52"/>
      <c r="G434" s="55"/>
      <c r="H434" s="56"/>
      <c r="I434" s="34" t="e">
        <f>VLOOKUP(B434,'26년 1월 출석표'!$B$7:$D$500,3,0)</f>
        <v>#N/A</v>
      </c>
      <c r="J434" s="35" t="e">
        <f t="shared" ca="1" si="0"/>
        <v>#NAME?</v>
      </c>
      <c r="K434" s="36" t="str">
        <f t="shared" si="1"/>
        <v/>
      </c>
      <c r="L434" s="37" t="str">
        <f t="shared" si="2"/>
        <v/>
      </c>
      <c r="M434" s="30"/>
      <c r="N434" s="38" t="b">
        <v>0</v>
      </c>
      <c r="O434" s="38" t="b">
        <v>0</v>
      </c>
      <c r="P434" s="39" t="e">
        <f>VLOOKUP($B434,'26년 1월 출석표'!$B$2:$BQ$497,10,0)/1</f>
        <v>#N/A</v>
      </c>
      <c r="Q434" s="40"/>
      <c r="R434" s="41" t="e">
        <f>VLOOKUP($B434,'26년 1월 출석표'!$B$2:$BQ$497,24,0)/5</f>
        <v>#N/A</v>
      </c>
      <c r="S434" s="40"/>
      <c r="T434" s="41" t="e">
        <f>VLOOKUP($B434,'26년 1월 출석표'!$B$2:$BQ$497,38,0)/5</f>
        <v>#N/A</v>
      </c>
      <c r="U434" s="40"/>
      <c r="V434" s="41" t="e">
        <f>VLOOKUP($B434,'26년 1월 출석표'!$B$2:$BQ$497,52,0)/5</f>
        <v>#N/A</v>
      </c>
      <c r="W434" s="42"/>
      <c r="X434" s="41" t="e">
        <f>VLOOKUP($B434,'26년 1월 출석표'!$B$2:$BQ$503,66,0)/5</f>
        <v>#N/A</v>
      </c>
      <c r="Y434" s="43"/>
    </row>
    <row r="435" spans="1:25" ht="16.5">
      <c r="A435" s="29"/>
      <c r="B435" s="52"/>
      <c r="C435" s="52"/>
      <c r="D435" s="53"/>
      <c r="E435" s="54"/>
      <c r="F435" s="52"/>
      <c r="G435" s="55"/>
      <c r="H435" s="56"/>
      <c r="I435" s="34" t="e">
        <f>VLOOKUP(B435,'26년 1월 출석표'!$B$7:$D$500,3,0)</f>
        <v>#N/A</v>
      </c>
      <c r="J435" s="35" t="e">
        <f t="shared" ca="1" si="0"/>
        <v>#NAME?</v>
      </c>
      <c r="K435" s="36" t="str">
        <f t="shared" si="1"/>
        <v/>
      </c>
      <c r="L435" s="37" t="str">
        <f t="shared" si="2"/>
        <v/>
      </c>
      <c r="M435" s="30"/>
      <c r="N435" s="38" t="b">
        <v>0</v>
      </c>
      <c r="O435" s="38" t="b">
        <v>0</v>
      </c>
      <c r="P435" s="39" t="e">
        <f>VLOOKUP($B435,'26년 1월 출석표'!$B$2:$BQ$497,10,0)/1</f>
        <v>#N/A</v>
      </c>
      <c r="Q435" s="40"/>
      <c r="R435" s="41" t="e">
        <f>VLOOKUP($B435,'26년 1월 출석표'!$B$2:$BQ$497,24,0)/5</f>
        <v>#N/A</v>
      </c>
      <c r="S435" s="40"/>
      <c r="T435" s="41" t="e">
        <f>VLOOKUP($B435,'26년 1월 출석표'!$B$2:$BQ$497,38,0)/5</f>
        <v>#N/A</v>
      </c>
      <c r="U435" s="40"/>
      <c r="V435" s="41" t="e">
        <f>VLOOKUP($B435,'26년 1월 출석표'!$B$2:$BQ$497,52,0)/5</f>
        <v>#N/A</v>
      </c>
      <c r="W435" s="42"/>
      <c r="X435" s="41" t="e">
        <f>VLOOKUP($B435,'26년 1월 출석표'!$B$2:$BQ$503,66,0)/5</f>
        <v>#N/A</v>
      </c>
      <c r="Y435" s="43"/>
    </row>
    <row r="436" spans="1:25" ht="16.5">
      <c r="A436" s="29"/>
      <c r="B436" s="52"/>
      <c r="C436" s="52"/>
      <c r="D436" s="53"/>
      <c r="E436" s="54"/>
      <c r="F436" s="52"/>
      <c r="G436" s="55"/>
      <c r="H436" s="56"/>
      <c r="I436" s="34" t="e">
        <f>VLOOKUP(B436,'26년 1월 출석표'!$B$7:$D$500,3,0)</f>
        <v>#N/A</v>
      </c>
      <c r="J436" s="35" t="e">
        <f t="shared" ca="1" si="0"/>
        <v>#NAME?</v>
      </c>
      <c r="K436" s="36" t="str">
        <f t="shared" si="1"/>
        <v/>
      </c>
      <c r="L436" s="37" t="str">
        <f t="shared" si="2"/>
        <v/>
      </c>
      <c r="M436" s="30"/>
      <c r="N436" s="38" t="b">
        <v>0</v>
      </c>
      <c r="O436" s="38" t="b">
        <v>0</v>
      </c>
      <c r="P436" s="39" t="e">
        <f>VLOOKUP($B436,'26년 1월 출석표'!$B$2:$BQ$497,10,0)/1</f>
        <v>#N/A</v>
      </c>
      <c r="Q436" s="40"/>
      <c r="R436" s="41" t="e">
        <f>VLOOKUP($B436,'26년 1월 출석표'!$B$2:$BQ$497,24,0)/5</f>
        <v>#N/A</v>
      </c>
      <c r="S436" s="40"/>
      <c r="T436" s="41" t="e">
        <f>VLOOKUP($B436,'26년 1월 출석표'!$B$2:$BQ$497,38,0)/5</f>
        <v>#N/A</v>
      </c>
      <c r="U436" s="40"/>
      <c r="V436" s="41" t="e">
        <f>VLOOKUP($B436,'26년 1월 출석표'!$B$2:$BQ$497,52,0)/5</f>
        <v>#N/A</v>
      </c>
      <c r="W436" s="42"/>
      <c r="X436" s="41" t="e">
        <f>VLOOKUP($B436,'26년 1월 출석표'!$B$2:$BQ$503,66,0)/5</f>
        <v>#N/A</v>
      </c>
      <c r="Y436" s="43"/>
    </row>
    <row r="437" spans="1:25" ht="16.5">
      <c r="A437" s="29"/>
      <c r="B437" s="52"/>
      <c r="C437" s="52"/>
      <c r="D437" s="53"/>
      <c r="E437" s="54"/>
      <c r="F437" s="52"/>
      <c r="G437" s="55"/>
      <c r="H437" s="56"/>
      <c r="I437" s="34" t="e">
        <f>VLOOKUP(B437,'26년 1월 출석표'!$B$7:$D$500,3,0)</f>
        <v>#N/A</v>
      </c>
      <c r="J437" s="35" t="e">
        <f t="shared" ca="1" si="0"/>
        <v>#NAME?</v>
      </c>
      <c r="K437" s="36" t="str">
        <f t="shared" si="1"/>
        <v/>
      </c>
      <c r="L437" s="37" t="str">
        <f t="shared" si="2"/>
        <v/>
      </c>
      <c r="M437" s="30"/>
      <c r="N437" s="38" t="b">
        <v>0</v>
      </c>
      <c r="O437" s="38" t="b">
        <v>0</v>
      </c>
      <c r="P437" s="39" t="e">
        <f>VLOOKUP($B437,'26년 1월 출석표'!$B$2:$BQ$497,10,0)/1</f>
        <v>#N/A</v>
      </c>
      <c r="Q437" s="40"/>
      <c r="R437" s="41" t="e">
        <f>VLOOKUP($B437,'26년 1월 출석표'!$B$2:$BQ$497,24,0)/5</f>
        <v>#N/A</v>
      </c>
      <c r="S437" s="40"/>
      <c r="T437" s="41" t="e">
        <f>VLOOKUP($B437,'26년 1월 출석표'!$B$2:$BQ$497,38,0)/5</f>
        <v>#N/A</v>
      </c>
      <c r="U437" s="40"/>
      <c r="V437" s="41" t="e">
        <f>VLOOKUP($B437,'26년 1월 출석표'!$B$2:$BQ$497,52,0)/5</f>
        <v>#N/A</v>
      </c>
      <c r="W437" s="42"/>
      <c r="X437" s="41" t="e">
        <f>VLOOKUP($B437,'26년 1월 출석표'!$B$2:$BQ$503,66,0)/5</f>
        <v>#N/A</v>
      </c>
      <c r="Y437" s="43"/>
    </row>
    <row r="438" spans="1:25" ht="16.5">
      <c r="A438" s="29"/>
      <c r="B438" s="52"/>
      <c r="C438" s="52"/>
      <c r="D438" s="53"/>
      <c r="E438" s="54"/>
      <c r="F438" s="52"/>
      <c r="G438" s="55"/>
      <c r="H438" s="56"/>
      <c r="I438" s="34" t="e">
        <f>VLOOKUP(B438,'26년 1월 출석표'!$B$7:$D$500,3,0)</f>
        <v>#N/A</v>
      </c>
      <c r="J438" s="35" t="e">
        <f t="shared" ca="1" si="0"/>
        <v>#NAME?</v>
      </c>
      <c r="K438" s="36" t="str">
        <f t="shared" si="1"/>
        <v/>
      </c>
      <c r="L438" s="37" t="str">
        <f t="shared" si="2"/>
        <v/>
      </c>
      <c r="M438" s="30"/>
      <c r="N438" s="38" t="b">
        <v>0</v>
      </c>
      <c r="O438" s="38" t="b">
        <v>0</v>
      </c>
      <c r="P438" s="39" t="e">
        <f>VLOOKUP($B438,'26년 1월 출석표'!$B$2:$BQ$497,10,0)/1</f>
        <v>#N/A</v>
      </c>
      <c r="Q438" s="40"/>
      <c r="R438" s="41" t="e">
        <f>VLOOKUP($B438,'26년 1월 출석표'!$B$2:$BQ$497,24,0)/5</f>
        <v>#N/A</v>
      </c>
      <c r="S438" s="40"/>
      <c r="T438" s="41" t="e">
        <f>VLOOKUP($B438,'26년 1월 출석표'!$B$2:$BQ$497,38,0)/5</f>
        <v>#N/A</v>
      </c>
      <c r="U438" s="40"/>
      <c r="V438" s="41" t="e">
        <f>VLOOKUP($B438,'26년 1월 출석표'!$B$2:$BQ$497,52,0)/5</f>
        <v>#N/A</v>
      </c>
      <c r="W438" s="42"/>
      <c r="X438" s="41" t="e">
        <f>VLOOKUP($B438,'26년 1월 출석표'!$B$2:$BQ$503,66,0)/5</f>
        <v>#N/A</v>
      </c>
      <c r="Y438" s="43"/>
    </row>
    <row r="439" spans="1:25" ht="16.5">
      <c r="A439" s="29"/>
      <c r="B439" s="57"/>
      <c r="C439" s="57"/>
      <c r="D439" s="58"/>
      <c r="E439" s="59"/>
      <c r="F439" s="57"/>
      <c r="G439" s="60"/>
      <c r="H439" s="61"/>
      <c r="I439" s="62"/>
      <c r="J439" s="63"/>
      <c r="K439" s="64"/>
      <c r="L439" s="65"/>
      <c r="M439" s="66"/>
      <c r="N439" s="38" t="b">
        <v>0</v>
      </c>
      <c r="O439" s="38" t="b">
        <v>0</v>
      </c>
      <c r="P439" s="39"/>
      <c r="Q439" s="40"/>
      <c r="R439" s="41"/>
      <c r="S439" s="40"/>
      <c r="T439" s="41"/>
      <c r="U439" s="40"/>
      <c r="V439" s="41"/>
      <c r="W439" s="42"/>
      <c r="X439" s="41"/>
      <c r="Y439" s="62"/>
    </row>
    <row r="440" spans="1:25" ht="16.5">
      <c r="A440" s="29"/>
      <c r="B440" s="57"/>
      <c r="C440" s="57"/>
      <c r="D440" s="58"/>
      <c r="E440" s="59"/>
      <c r="F440" s="57"/>
      <c r="G440" s="60"/>
      <c r="H440" s="61"/>
      <c r="I440" s="62"/>
      <c r="J440" s="63"/>
      <c r="K440" s="64"/>
      <c r="L440" s="65"/>
      <c r="M440" s="66"/>
      <c r="N440" s="38" t="b">
        <v>0</v>
      </c>
      <c r="O440" s="38" t="b">
        <v>0</v>
      </c>
      <c r="P440" s="39"/>
      <c r="Q440" s="40"/>
      <c r="R440" s="41"/>
      <c r="S440" s="40"/>
      <c r="T440" s="41"/>
      <c r="U440" s="40"/>
      <c r="V440" s="41"/>
      <c r="W440" s="42"/>
      <c r="X440" s="41"/>
      <c r="Y440" s="62"/>
    </row>
    <row r="441" spans="1:25" ht="16.5">
      <c r="A441" s="29"/>
      <c r="B441" s="57"/>
      <c r="C441" s="57"/>
      <c r="D441" s="58"/>
      <c r="E441" s="59"/>
      <c r="F441" s="57"/>
      <c r="G441" s="60"/>
      <c r="H441" s="61"/>
      <c r="I441" s="62"/>
      <c r="J441" s="63"/>
      <c r="K441" s="64"/>
      <c r="L441" s="65"/>
      <c r="M441" s="66"/>
      <c r="N441" s="38" t="b">
        <v>0</v>
      </c>
      <c r="O441" s="38" t="b">
        <v>0</v>
      </c>
      <c r="P441" s="39"/>
      <c r="Q441" s="40"/>
      <c r="R441" s="41"/>
      <c r="S441" s="40"/>
      <c r="T441" s="41"/>
      <c r="U441" s="40"/>
      <c r="V441" s="41"/>
      <c r="W441" s="42"/>
      <c r="X441" s="41"/>
      <c r="Y441" s="62"/>
    </row>
    <row r="442" spans="1:25" ht="16.5">
      <c r="A442" s="29"/>
      <c r="B442" s="57"/>
      <c r="C442" s="57"/>
      <c r="D442" s="58"/>
      <c r="E442" s="59"/>
      <c r="F442" s="57"/>
      <c r="G442" s="60"/>
      <c r="H442" s="61"/>
      <c r="I442" s="62"/>
      <c r="J442" s="63"/>
      <c r="K442" s="64"/>
      <c r="L442" s="65"/>
      <c r="M442" s="66"/>
      <c r="N442" s="38" t="b">
        <v>0</v>
      </c>
      <c r="O442" s="38" t="b">
        <v>0</v>
      </c>
      <c r="P442" s="39"/>
      <c r="Q442" s="40"/>
      <c r="R442" s="41"/>
      <c r="S442" s="40"/>
      <c r="T442" s="41"/>
      <c r="U442" s="40"/>
      <c r="V442" s="41"/>
      <c r="W442" s="42"/>
      <c r="X442" s="41"/>
      <c r="Y442" s="62"/>
    </row>
    <row r="443" spans="1:25" ht="16.5">
      <c r="A443" s="29"/>
      <c r="B443" s="57"/>
      <c r="C443" s="57"/>
      <c r="D443" s="58"/>
      <c r="E443" s="59"/>
      <c r="F443" s="57"/>
      <c r="G443" s="60"/>
      <c r="H443" s="61"/>
      <c r="I443" s="62"/>
      <c r="J443" s="63"/>
      <c r="K443" s="64"/>
      <c r="L443" s="65"/>
      <c r="M443" s="66"/>
      <c r="N443" s="38" t="b">
        <v>0</v>
      </c>
      <c r="O443" s="38" t="b">
        <v>0</v>
      </c>
      <c r="P443" s="39"/>
      <c r="Q443" s="40"/>
      <c r="R443" s="41"/>
      <c r="S443" s="40"/>
      <c r="T443" s="41"/>
      <c r="U443" s="40"/>
      <c r="V443" s="41"/>
      <c r="W443" s="42"/>
      <c r="X443" s="41"/>
      <c r="Y443" s="62"/>
    </row>
    <row r="444" spans="1:25" ht="16.5">
      <c r="A444" s="29"/>
      <c r="B444" s="57"/>
      <c r="C444" s="57"/>
      <c r="D444" s="58"/>
      <c r="E444" s="59"/>
      <c r="F444" s="57"/>
      <c r="G444" s="60"/>
      <c r="H444" s="61"/>
      <c r="I444" s="62"/>
      <c r="J444" s="63"/>
      <c r="K444" s="64"/>
      <c r="L444" s="65"/>
      <c r="M444" s="66"/>
      <c r="N444" s="38" t="b">
        <v>0</v>
      </c>
      <c r="O444" s="38" t="b">
        <v>0</v>
      </c>
      <c r="P444" s="39"/>
      <c r="Q444" s="40"/>
      <c r="R444" s="41"/>
      <c r="S444" s="40"/>
      <c r="T444" s="41"/>
      <c r="U444" s="40"/>
      <c r="V444" s="41"/>
      <c r="W444" s="42"/>
      <c r="X444" s="41"/>
      <c r="Y444" s="62"/>
    </row>
    <row r="445" spans="1:25" ht="16.5">
      <c r="A445" s="29"/>
      <c r="B445" s="57"/>
      <c r="C445" s="57"/>
      <c r="D445" s="58"/>
      <c r="E445" s="59"/>
      <c r="F445" s="57"/>
      <c r="G445" s="60"/>
      <c r="H445" s="61"/>
      <c r="I445" s="62"/>
      <c r="J445" s="63"/>
      <c r="K445" s="64"/>
      <c r="L445" s="65"/>
      <c r="M445" s="66"/>
      <c r="N445" s="38" t="b">
        <v>0</v>
      </c>
      <c r="O445" s="38" t="b">
        <v>0</v>
      </c>
      <c r="P445" s="39"/>
      <c r="Q445" s="40"/>
      <c r="R445" s="41"/>
      <c r="S445" s="40"/>
      <c r="T445" s="41"/>
      <c r="U445" s="40"/>
      <c r="V445" s="41"/>
      <c r="W445" s="42"/>
      <c r="X445" s="41"/>
      <c r="Y445" s="62"/>
    </row>
    <row r="446" spans="1:25" ht="16.5">
      <c r="A446" s="29"/>
      <c r="B446" s="57"/>
      <c r="C446" s="57"/>
      <c r="D446" s="58"/>
      <c r="E446" s="59"/>
      <c r="F446" s="57"/>
      <c r="G446" s="60"/>
      <c r="H446" s="61"/>
      <c r="I446" s="62"/>
      <c r="J446" s="63"/>
      <c r="K446" s="64"/>
      <c r="L446" s="65"/>
      <c r="M446" s="66"/>
      <c r="N446" s="38" t="b">
        <v>0</v>
      </c>
      <c r="O446" s="38" t="b">
        <v>0</v>
      </c>
      <c r="P446" s="39"/>
      <c r="Q446" s="40"/>
      <c r="R446" s="41"/>
      <c r="S446" s="40"/>
      <c r="T446" s="41"/>
      <c r="U446" s="40"/>
      <c r="V446" s="41"/>
      <c r="W446" s="42"/>
      <c r="X446" s="41"/>
      <c r="Y446" s="62"/>
    </row>
    <row r="447" spans="1:25" ht="16.5">
      <c r="A447" s="29"/>
      <c r="B447" s="57"/>
      <c r="C447" s="57"/>
      <c r="D447" s="58"/>
      <c r="E447" s="59"/>
      <c r="F447" s="57"/>
      <c r="G447" s="60"/>
      <c r="H447" s="61"/>
      <c r="I447" s="62"/>
      <c r="J447" s="63"/>
      <c r="K447" s="64"/>
      <c r="L447" s="65"/>
      <c r="M447" s="66"/>
      <c r="N447" s="38" t="b">
        <v>0</v>
      </c>
      <c r="O447" s="38" t="b">
        <v>0</v>
      </c>
      <c r="P447" s="39"/>
      <c r="Q447" s="40"/>
      <c r="R447" s="41"/>
      <c r="S447" s="40"/>
      <c r="T447" s="41"/>
      <c r="U447" s="40"/>
      <c r="V447" s="41"/>
      <c r="W447" s="42"/>
      <c r="X447" s="41"/>
      <c r="Y447" s="62"/>
    </row>
    <row r="448" spans="1:25" ht="16.5">
      <c r="A448" s="29"/>
      <c r="B448" s="57"/>
      <c r="C448" s="57"/>
      <c r="D448" s="58"/>
      <c r="E448" s="59"/>
      <c r="F448" s="57"/>
      <c r="G448" s="60"/>
      <c r="H448" s="61"/>
      <c r="I448" s="62"/>
      <c r="J448" s="63"/>
      <c r="K448" s="64"/>
      <c r="L448" s="65"/>
      <c r="M448" s="66"/>
      <c r="N448" s="38" t="b">
        <v>0</v>
      </c>
      <c r="O448" s="38" t="b">
        <v>0</v>
      </c>
      <c r="P448" s="39"/>
      <c r="Q448" s="40"/>
      <c r="R448" s="41"/>
      <c r="S448" s="40"/>
      <c r="T448" s="41"/>
      <c r="U448" s="40"/>
      <c r="V448" s="41"/>
      <c r="W448" s="42"/>
      <c r="X448" s="41"/>
      <c r="Y448" s="62"/>
    </row>
    <row r="449" spans="1:25" ht="16.5">
      <c r="A449" s="29"/>
      <c r="B449" s="57"/>
      <c r="C449" s="57"/>
      <c r="D449" s="58"/>
      <c r="E449" s="59"/>
      <c r="F449" s="57"/>
      <c r="G449" s="60"/>
      <c r="H449" s="61"/>
      <c r="I449" s="62"/>
      <c r="J449" s="63"/>
      <c r="K449" s="64"/>
      <c r="L449" s="65"/>
      <c r="M449" s="66"/>
      <c r="N449" s="38" t="b">
        <v>0</v>
      </c>
      <c r="O449" s="38" t="b">
        <v>0</v>
      </c>
      <c r="P449" s="39"/>
      <c r="Q449" s="40"/>
      <c r="R449" s="41"/>
      <c r="S449" s="40"/>
      <c r="T449" s="41"/>
      <c r="U449" s="40"/>
      <c r="V449" s="41"/>
      <c r="W449" s="42"/>
      <c r="X449" s="41"/>
      <c r="Y449" s="62"/>
    </row>
    <row r="450" spans="1:25" ht="16.5">
      <c r="A450" s="29"/>
      <c r="B450" s="57"/>
      <c r="C450" s="57"/>
      <c r="D450" s="58"/>
      <c r="E450" s="59"/>
      <c r="F450" s="57"/>
      <c r="G450" s="60"/>
      <c r="H450" s="61"/>
      <c r="I450" s="62"/>
      <c r="J450" s="63"/>
      <c r="K450" s="64"/>
      <c r="L450" s="65"/>
      <c r="M450" s="66"/>
      <c r="N450" s="38" t="b">
        <v>0</v>
      </c>
      <c r="O450" s="38" t="b">
        <v>0</v>
      </c>
      <c r="P450" s="39"/>
      <c r="Q450" s="40"/>
      <c r="R450" s="41"/>
      <c r="S450" s="40"/>
      <c r="T450" s="41"/>
      <c r="U450" s="40"/>
      <c r="V450" s="41"/>
      <c r="W450" s="42"/>
      <c r="X450" s="41"/>
      <c r="Y450" s="62"/>
    </row>
    <row r="451" spans="1:25" ht="16.5">
      <c r="A451" s="29"/>
      <c r="B451" s="57"/>
      <c r="C451" s="57"/>
      <c r="D451" s="58"/>
      <c r="E451" s="59"/>
      <c r="F451" s="57"/>
      <c r="G451" s="60"/>
      <c r="H451" s="61"/>
      <c r="I451" s="62"/>
      <c r="J451" s="63"/>
      <c r="K451" s="64"/>
      <c r="L451" s="65"/>
      <c r="M451" s="66"/>
      <c r="N451" s="38" t="b">
        <v>0</v>
      </c>
      <c r="O451" s="38" t="b">
        <v>0</v>
      </c>
      <c r="P451" s="39"/>
      <c r="Q451" s="40"/>
      <c r="R451" s="41"/>
      <c r="S451" s="40"/>
      <c r="T451" s="41"/>
      <c r="U451" s="40"/>
      <c r="V451" s="41"/>
      <c r="W451" s="42"/>
      <c r="X451" s="41"/>
      <c r="Y451" s="62"/>
    </row>
    <row r="452" spans="1:25" ht="16.5">
      <c r="A452" s="29"/>
      <c r="B452" s="57"/>
      <c r="C452" s="57"/>
      <c r="D452" s="58"/>
      <c r="E452" s="59"/>
      <c r="F452" s="57"/>
      <c r="G452" s="60"/>
      <c r="H452" s="61"/>
      <c r="I452" s="62"/>
      <c r="J452" s="63"/>
      <c r="K452" s="64"/>
      <c r="L452" s="65"/>
      <c r="M452" s="66"/>
      <c r="N452" s="38" t="b">
        <v>0</v>
      </c>
      <c r="O452" s="38" t="b">
        <v>0</v>
      </c>
      <c r="P452" s="39"/>
      <c r="Q452" s="40"/>
      <c r="R452" s="41"/>
      <c r="S452" s="40"/>
      <c r="T452" s="41"/>
      <c r="U452" s="40"/>
      <c r="V452" s="41"/>
      <c r="W452" s="42"/>
      <c r="X452" s="41"/>
      <c r="Y452" s="62"/>
    </row>
    <row r="453" spans="1:25" ht="16.5">
      <c r="A453" s="29"/>
      <c r="B453" s="57"/>
      <c r="C453" s="57"/>
      <c r="D453" s="58"/>
      <c r="E453" s="59"/>
      <c r="F453" s="57"/>
      <c r="G453" s="60"/>
      <c r="H453" s="61"/>
      <c r="I453" s="62"/>
      <c r="J453" s="63"/>
      <c r="K453" s="64"/>
      <c r="L453" s="65"/>
      <c r="M453" s="66"/>
      <c r="N453" s="38" t="b">
        <v>0</v>
      </c>
      <c r="O453" s="38" t="b">
        <v>0</v>
      </c>
      <c r="P453" s="39"/>
      <c r="Q453" s="40"/>
      <c r="R453" s="41"/>
      <c r="S453" s="40"/>
      <c r="T453" s="41"/>
      <c r="U453" s="40"/>
      <c r="V453" s="41"/>
      <c r="W453" s="42"/>
      <c r="X453" s="41"/>
      <c r="Y453" s="62"/>
    </row>
    <row r="454" spans="1:25" ht="16.5">
      <c r="A454" s="29"/>
      <c r="B454" s="57"/>
      <c r="C454" s="57"/>
      <c r="D454" s="58"/>
      <c r="E454" s="59"/>
      <c r="F454" s="57"/>
      <c r="G454" s="60"/>
      <c r="H454" s="61"/>
      <c r="I454" s="62"/>
      <c r="J454" s="63"/>
      <c r="K454" s="64"/>
      <c r="L454" s="65"/>
      <c r="M454" s="66"/>
      <c r="N454" s="38" t="b">
        <v>0</v>
      </c>
      <c r="O454" s="38" t="b">
        <v>0</v>
      </c>
      <c r="P454" s="39"/>
      <c r="Q454" s="40"/>
      <c r="R454" s="41"/>
      <c r="S454" s="40"/>
      <c r="T454" s="41"/>
      <c r="U454" s="40"/>
      <c r="V454" s="41"/>
      <c r="W454" s="42"/>
      <c r="X454" s="41"/>
      <c r="Y454" s="62"/>
    </row>
    <row r="455" spans="1:25" ht="16.5">
      <c r="A455" s="29"/>
      <c r="B455" s="57"/>
      <c r="C455" s="57"/>
      <c r="D455" s="58"/>
      <c r="E455" s="59"/>
      <c r="F455" s="57"/>
      <c r="G455" s="60"/>
      <c r="H455" s="61"/>
      <c r="I455" s="62"/>
      <c r="J455" s="63"/>
      <c r="K455" s="64"/>
      <c r="L455" s="65"/>
      <c r="M455" s="66"/>
      <c r="N455" s="38" t="b">
        <v>0</v>
      </c>
      <c r="O455" s="38" t="b">
        <v>0</v>
      </c>
      <c r="P455" s="39"/>
      <c r="Q455" s="40"/>
      <c r="R455" s="41"/>
      <c r="S455" s="40"/>
      <c r="T455" s="41"/>
      <c r="U455" s="40"/>
      <c r="V455" s="41"/>
      <c r="W455" s="42"/>
      <c r="X455" s="41"/>
      <c r="Y455" s="62"/>
    </row>
    <row r="456" spans="1:25" ht="16.5">
      <c r="A456" s="29"/>
      <c r="B456" s="57"/>
      <c r="C456" s="57"/>
      <c r="D456" s="58"/>
      <c r="E456" s="59"/>
      <c r="F456" s="57"/>
      <c r="G456" s="60"/>
      <c r="H456" s="61"/>
      <c r="I456" s="62"/>
      <c r="J456" s="63"/>
      <c r="K456" s="64"/>
      <c r="L456" s="65"/>
      <c r="M456" s="66"/>
      <c r="N456" s="38" t="b">
        <v>0</v>
      </c>
      <c r="O456" s="38" t="b">
        <v>0</v>
      </c>
      <c r="P456" s="39"/>
      <c r="Q456" s="40"/>
      <c r="R456" s="41"/>
      <c r="S456" s="40"/>
      <c r="T456" s="41"/>
      <c r="U456" s="40"/>
      <c r="V456" s="41"/>
      <c r="W456" s="42"/>
      <c r="X456" s="41"/>
      <c r="Y456" s="62"/>
    </row>
    <row r="457" spans="1:25" ht="16.5">
      <c r="A457" s="29"/>
      <c r="B457" s="57"/>
      <c r="C457" s="57"/>
      <c r="D457" s="58"/>
      <c r="E457" s="59"/>
      <c r="F457" s="57"/>
      <c r="G457" s="60"/>
      <c r="H457" s="61"/>
      <c r="I457" s="62"/>
      <c r="J457" s="63"/>
      <c r="K457" s="64"/>
      <c r="L457" s="65"/>
      <c r="M457" s="66"/>
      <c r="N457" s="38" t="b">
        <v>0</v>
      </c>
      <c r="O457" s="38" t="b">
        <v>0</v>
      </c>
      <c r="P457" s="39"/>
      <c r="Q457" s="40"/>
      <c r="R457" s="41"/>
      <c r="S457" s="40"/>
      <c r="T457" s="41"/>
      <c r="U457" s="40"/>
      <c r="V457" s="41"/>
      <c r="W457" s="42"/>
      <c r="X457" s="41"/>
      <c r="Y457" s="62"/>
    </row>
  </sheetData>
  <autoFilter ref="A5:Y438">
    <sortState ref="A5:Y438">
      <sortCondition ref="F5:F438"/>
      <sortCondition ref="H5:H438"/>
    </sortState>
  </autoFilter>
  <mergeCells count="1">
    <mergeCell ref="B2:B3"/>
  </mergeCells>
  <phoneticPr fontId="31" type="noConversion"/>
  <conditionalFormatting sqref="B6:B457">
    <cfRule type="containsBlanks" dxfId="12" priority="1">
      <formula>LEN(TRIM(B6))=0</formula>
    </cfRule>
  </conditionalFormatting>
  <conditionalFormatting sqref="N5:X457 M16">
    <cfRule type="cellIs" dxfId="11" priority="2" operator="lessThan">
      <formula>"20%"</formula>
    </cfRule>
  </conditionalFormatting>
  <conditionalFormatting sqref="N5:X457 M16">
    <cfRule type="containsText" dxfId="10" priority="3" operator="containsText" text="완료">
      <formula>NOT(ISERROR(SEARCH(("완료"),(N5))))</formula>
    </cfRule>
  </conditionalFormatting>
  <conditionalFormatting sqref="I6:I457">
    <cfRule type="cellIs" dxfId="9" priority="4" operator="equal">
      <formula>0</formula>
    </cfRule>
  </conditionalFormatting>
  <conditionalFormatting sqref="B6:B457">
    <cfRule type="expression" dxfId="8" priority="5">
      <formula>COUNTIF(D:D,D:D)&gt;1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</sheetPr>
  <dimension ref="A1:CK500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2.5703125" defaultRowHeight="15.75" customHeight="1"/>
  <cols>
    <col min="1" max="1" width="13.28515625" customWidth="1"/>
    <col min="2" max="2" width="8" customWidth="1"/>
    <col min="3" max="3" width="4" customWidth="1"/>
    <col min="4" max="4" width="4.42578125" customWidth="1"/>
    <col min="5" max="63" width="2.5703125" customWidth="1"/>
    <col min="64" max="66" width="3" customWidth="1"/>
    <col min="67" max="68" width="2.5703125" customWidth="1"/>
    <col min="69" max="69" width="2.42578125" customWidth="1"/>
    <col min="70" max="73" width="4" customWidth="1"/>
    <col min="74" max="74" width="6.5703125" customWidth="1"/>
    <col min="75" max="75" width="8.42578125" customWidth="1"/>
    <col min="76" max="76" width="11.7109375" customWidth="1"/>
    <col min="77" max="77" width="7.5703125" customWidth="1"/>
    <col min="78" max="78" width="6.85546875" customWidth="1"/>
    <col min="79" max="79" width="4" customWidth="1"/>
    <col min="80" max="80" width="4.28515625" customWidth="1"/>
    <col min="81" max="81" width="6.140625" customWidth="1"/>
    <col min="82" max="86" width="4" customWidth="1"/>
    <col min="87" max="89" width="4.42578125" customWidth="1"/>
  </cols>
  <sheetData>
    <row r="1" spans="1:89" ht="12.75">
      <c r="A1" s="67" t="s">
        <v>353</v>
      </c>
      <c r="B1" s="68">
        <v>1</v>
      </c>
      <c r="C1" s="68">
        <v>2</v>
      </c>
      <c r="D1" s="68">
        <v>3</v>
      </c>
      <c r="E1" s="69">
        <v>4</v>
      </c>
      <c r="F1" s="68">
        <v>5</v>
      </c>
      <c r="G1" s="69">
        <v>6</v>
      </c>
      <c r="H1" s="68">
        <v>7</v>
      </c>
      <c r="I1" s="69">
        <v>8</v>
      </c>
      <c r="J1" s="68">
        <v>9</v>
      </c>
      <c r="K1" s="69">
        <v>10</v>
      </c>
      <c r="L1" s="68">
        <v>11</v>
      </c>
      <c r="M1" s="69">
        <v>12</v>
      </c>
      <c r="N1" s="68">
        <v>13</v>
      </c>
      <c r="O1" s="69">
        <v>14</v>
      </c>
      <c r="P1" s="68">
        <v>15</v>
      </c>
      <c r="Q1" s="69">
        <v>16</v>
      </c>
      <c r="R1" s="68">
        <v>17</v>
      </c>
      <c r="S1" s="69">
        <v>18</v>
      </c>
      <c r="T1" s="68">
        <v>19</v>
      </c>
      <c r="U1" s="69">
        <v>20</v>
      </c>
      <c r="V1" s="68">
        <v>21</v>
      </c>
      <c r="W1" s="69">
        <v>22</v>
      </c>
      <c r="X1" s="68">
        <v>23</v>
      </c>
      <c r="Y1" s="69">
        <v>24</v>
      </c>
      <c r="Z1" s="68">
        <v>25</v>
      </c>
      <c r="AA1" s="69">
        <v>26</v>
      </c>
      <c r="AB1" s="68">
        <v>27</v>
      </c>
      <c r="AC1" s="69">
        <v>28</v>
      </c>
      <c r="AD1" s="68">
        <v>29</v>
      </c>
      <c r="AE1" s="69">
        <v>30</v>
      </c>
      <c r="AF1" s="68">
        <v>31</v>
      </c>
      <c r="AG1" s="69">
        <v>32</v>
      </c>
      <c r="AH1" s="68">
        <v>33</v>
      </c>
      <c r="AI1" s="69">
        <v>34</v>
      </c>
      <c r="AJ1" s="68">
        <v>35</v>
      </c>
      <c r="AK1" s="69">
        <v>36</v>
      </c>
      <c r="AL1" s="68">
        <v>37</v>
      </c>
      <c r="AM1" s="69">
        <v>38</v>
      </c>
      <c r="AN1" s="68">
        <v>39</v>
      </c>
      <c r="AO1" s="69">
        <v>40</v>
      </c>
      <c r="AP1" s="68">
        <v>41</v>
      </c>
      <c r="AQ1" s="69">
        <v>42</v>
      </c>
      <c r="AR1" s="68">
        <v>43</v>
      </c>
      <c r="AS1" s="69">
        <v>44</v>
      </c>
      <c r="AT1" s="68">
        <v>45</v>
      </c>
      <c r="AU1" s="69">
        <v>46</v>
      </c>
      <c r="AV1" s="68">
        <v>47</v>
      </c>
      <c r="AW1" s="69">
        <v>48</v>
      </c>
      <c r="AX1" s="68">
        <v>49</v>
      </c>
      <c r="AY1" s="69">
        <v>50</v>
      </c>
      <c r="AZ1" s="68">
        <v>51</v>
      </c>
      <c r="BA1" s="69">
        <v>52</v>
      </c>
      <c r="BB1" s="68">
        <v>53</v>
      </c>
      <c r="BC1" s="69">
        <v>54</v>
      </c>
      <c r="BD1" s="68">
        <v>55</v>
      </c>
      <c r="BE1" s="69">
        <v>56</v>
      </c>
      <c r="BF1" s="68">
        <v>57</v>
      </c>
      <c r="BG1" s="69">
        <v>58</v>
      </c>
      <c r="BH1" s="68">
        <v>59</v>
      </c>
      <c r="BI1" s="69">
        <v>60</v>
      </c>
      <c r="BJ1" s="68">
        <v>61</v>
      </c>
      <c r="BK1" s="69">
        <v>62</v>
      </c>
      <c r="BL1" s="68">
        <v>63</v>
      </c>
      <c r="BM1" s="69">
        <v>64</v>
      </c>
      <c r="BN1" s="68">
        <v>65</v>
      </c>
      <c r="BO1" s="69">
        <v>66</v>
      </c>
      <c r="BP1" s="68">
        <v>67</v>
      </c>
      <c r="BQ1" s="69">
        <v>68</v>
      </c>
      <c r="BR1" s="67"/>
      <c r="BS1" s="67"/>
      <c r="BT1" s="67"/>
      <c r="BU1" s="70" t="s">
        <v>354</v>
      </c>
      <c r="BV1" s="70">
        <f t="shared" ref="BV1:BW1" si="0">SUM(BV3:BV7)</f>
        <v>364</v>
      </c>
      <c r="BW1" s="70">
        <f t="shared" si="0"/>
        <v>21</v>
      </c>
      <c r="BX1" s="71">
        <f>BV1/BW1</f>
        <v>17.333333333333332</v>
      </c>
      <c r="BY1" s="72">
        <f>BX1/BY2</f>
        <v>0.1090146750524109</v>
      </c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</row>
    <row r="2" spans="1:89" ht="12.75">
      <c r="A2" s="74"/>
      <c r="B2" s="75" t="s">
        <v>355</v>
      </c>
      <c r="C2" s="76"/>
      <c r="D2" s="76"/>
      <c r="E2" s="222">
        <v>1</v>
      </c>
      <c r="F2" s="202"/>
      <c r="G2" s="222">
        <v>2</v>
      </c>
      <c r="H2" s="202"/>
      <c r="I2" s="222">
        <v>3</v>
      </c>
      <c r="J2" s="202"/>
      <c r="K2" s="222">
        <v>4</v>
      </c>
      <c r="L2" s="202"/>
      <c r="M2" s="222">
        <v>5</v>
      </c>
      <c r="N2" s="202"/>
      <c r="O2" s="222">
        <v>6</v>
      </c>
      <c r="P2" s="202"/>
      <c r="Q2" s="222">
        <v>7</v>
      </c>
      <c r="R2" s="202"/>
      <c r="S2" s="222">
        <v>8</v>
      </c>
      <c r="T2" s="202"/>
      <c r="U2" s="222">
        <v>9</v>
      </c>
      <c r="V2" s="202"/>
      <c r="W2" s="222">
        <v>10</v>
      </c>
      <c r="X2" s="202"/>
      <c r="Y2" s="222">
        <v>11</v>
      </c>
      <c r="Z2" s="202"/>
      <c r="AA2" s="222">
        <v>12</v>
      </c>
      <c r="AB2" s="202"/>
      <c r="AC2" s="222">
        <v>13</v>
      </c>
      <c r="AD2" s="202"/>
      <c r="AE2" s="222">
        <v>14</v>
      </c>
      <c r="AF2" s="202"/>
      <c r="AG2" s="222">
        <v>15</v>
      </c>
      <c r="AH2" s="202"/>
      <c r="AI2" s="222">
        <v>16</v>
      </c>
      <c r="AJ2" s="202"/>
      <c r="AK2" s="222">
        <v>17</v>
      </c>
      <c r="AL2" s="202"/>
      <c r="AM2" s="222">
        <v>18</v>
      </c>
      <c r="AN2" s="202"/>
      <c r="AO2" s="222">
        <v>19</v>
      </c>
      <c r="AP2" s="202"/>
      <c r="AQ2" s="222">
        <v>20</v>
      </c>
      <c r="AR2" s="202"/>
      <c r="AS2" s="222">
        <v>21</v>
      </c>
      <c r="AT2" s="202"/>
      <c r="AU2" s="222">
        <v>22</v>
      </c>
      <c r="AV2" s="202"/>
      <c r="AW2" s="222">
        <v>23</v>
      </c>
      <c r="AX2" s="202"/>
      <c r="AY2" s="222">
        <v>24</v>
      </c>
      <c r="AZ2" s="202"/>
      <c r="BA2" s="222">
        <v>25</v>
      </c>
      <c r="BB2" s="202"/>
      <c r="BC2" s="222">
        <v>26</v>
      </c>
      <c r="BD2" s="202"/>
      <c r="BE2" s="222">
        <v>27</v>
      </c>
      <c r="BF2" s="202"/>
      <c r="BG2" s="222">
        <v>28</v>
      </c>
      <c r="BH2" s="202"/>
      <c r="BI2" s="222">
        <v>29</v>
      </c>
      <c r="BJ2" s="202"/>
      <c r="BK2" s="222">
        <v>30</v>
      </c>
      <c r="BL2" s="202"/>
      <c r="BM2" s="222">
        <v>31</v>
      </c>
      <c r="BN2" s="202"/>
      <c r="BO2" s="222"/>
      <c r="BP2" s="202"/>
      <c r="BQ2" s="77"/>
      <c r="BR2" s="223" t="s">
        <v>356</v>
      </c>
      <c r="BS2" s="202"/>
      <c r="BT2" s="67"/>
      <c r="BU2" s="78" t="s">
        <v>357</v>
      </c>
      <c r="BV2" s="79" t="s">
        <v>13</v>
      </c>
      <c r="BW2" s="79" t="s">
        <v>358</v>
      </c>
      <c r="BX2" s="80" t="s">
        <v>356</v>
      </c>
      <c r="BY2" s="70">
        <f>'26년 1월 유효회원'!C3</f>
        <v>159</v>
      </c>
      <c r="BZ2" s="73"/>
      <c r="CA2" s="81" t="s">
        <v>359</v>
      </c>
      <c r="CB2" s="73"/>
      <c r="CC2" s="73"/>
      <c r="CD2" s="73"/>
      <c r="CE2" s="73"/>
      <c r="CF2" s="73"/>
      <c r="CG2" s="73"/>
      <c r="CH2" s="73"/>
      <c r="CI2" s="82"/>
      <c r="CJ2" s="82"/>
      <c r="CK2" s="73"/>
    </row>
    <row r="3" spans="1:89" ht="12.75">
      <c r="A3" s="83"/>
      <c r="B3" s="75"/>
      <c r="C3" s="84"/>
      <c r="D3" s="85" t="s">
        <v>360</v>
      </c>
      <c r="E3" s="211">
        <f>COUNTA(E7:E500)</f>
        <v>14</v>
      </c>
      <c r="F3" s="202"/>
      <c r="G3" s="218">
        <f>COUNTA(G7:G500)</f>
        <v>42</v>
      </c>
      <c r="H3" s="202"/>
      <c r="I3" s="211">
        <f>COUNTA(I7:I500)</f>
        <v>13</v>
      </c>
      <c r="J3" s="202"/>
      <c r="K3" s="217">
        <f>SUM(K7:K500)</f>
        <v>42</v>
      </c>
      <c r="L3" s="202"/>
      <c r="M3" s="218">
        <f>COUNTA(M7:M500)</f>
        <v>65</v>
      </c>
      <c r="N3" s="202"/>
      <c r="O3" s="218">
        <f>COUNTA(O7:O500)</f>
        <v>52</v>
      </c>
      <c r="P3" s="202"/>
      <c r="Q3" s="218">
        <f>COUNTA(Q7:Q500)</f>
        <v>48</v>
      </c>
      <c r="R3" s="202"/>
      <c r="S3" s="218">
        <f>COUNTA(S7:S500)</f>
        <v>52</v>
      </c>
      <c r="T3" s="202"/>
      <c r="U3" s="218">
        <f>COUNTA(U7:U500)</f>
        <v>47</v>
      </c>
      <c r="V3" s="202"/>
      <c r="W3" s="211">
        <f>COUNTA(W7:W500)</f>
        <v>8</v>
      </c>
      <c r="X3" s="202"/>
      <c r="Y3" s="217">
        <f>SUM(Y7:Y500)</f>
        <v>264</v>
      </c>
      <c r="Z3" s="202"/>
      <c r="AA3" s="218">
        <f>COUNTA(AA7:AA500)</f>
        <v>58</v>
      </c>
      <c r="AB3" s="202"/>
      <c r="AC3" s="218">
        <f>COUNTA(AC7:AC500)</f>
        <v>0</v>
      </c>
      <c r="AD3" s="202"/>
      <c r="AE3" s="218">
        <f>COUNTA(AE7:AE500)</f>
        <v>0</v>
      </c>
      <c r="AF3" s="202"/>
      <c r="AG3" s="218">
        <f>COUNTA(AG7:AG500)</f>
        <v>0</v>
      </c>
      <c r="AH3" s="202"/>
      <c r="AI3" s="218">
        <f>COUNTA(AI7:AI500)</f>
        <v>0</v>
      </c>
      <c r="AJ3" s="202"/>
      <c r="AK3" s="211">
        <f>COUNTA(AK7:AK500)</f>
        <v>0</v>
      </c>
      <c r="AL3" s="202"/>
      <c r="AM3" s="217">
        <f>SUM(AM7:AM500)</f>
        <v>58</v>
      </c>
      <c r="AN3" s="202"/>
      <c r="AO3" s="218">
        <f>COUNTA(AO7:AO500)</f>
        <v>0</v>
      </c>
      <c r="AP3" s="202"/>
      <c r="AQ3" s="218">
        <f>COUNTA(AQ7:AQ500)</f>
        <v>0</v>
      </c>
      <c r="AR3" s="202"/>
      <c r="AS3" s="218">
        <f>COUNTA(AS7:AS500)</f>
        <v>0</v>
      </c>
      <c r="AT3" s="202"/>
      <c r="AU3" s="218">
        <f>COUNTA(AU7:AU500)</f>
        <v>0</v>
      </c>
      <c r="AV3" s="202"/>
      <c r="AW3" s="218">
        <f>COUNTA(AW7:AW500)</f>
        <v>0</v>
      </c>
      <c r="AX3" s="202"/>
      <c r="AY3" s="211">
        <f>COUNTA(AY7:AY500)</f>
        <v>0</v>
      </c>
      <c r="AZ3" s="202"/>
      <c r="BA3" s="217">
        <f>SUM(BA7:BA500)</f>
        <v>0</v>
      </c>
      <c r="BB3" s="202"/>
      <c r="BC3" s="218">
        <f>COUNTA(BC7:BC500)</f>
        <v>0</v>
      </c>
      <c r="BD3" s="202"/>
      <c r="BE3" s="218">
        <f>COUNTA(BE7:BE500)</f>
        <v>0</v>
      </c>
      <c r="BF3" s="202"/>
      <c r="BG3" s="218">
        <f>COUNTA(BG7:BG500)</f>
        <v>0</v>
      </c>
      <c r="BH3" s="202"/>
      <c r="BI3" s="218">
        <f>COUNTA(BI7:BI500)</f>
        <v>0</v>
      </c>
      <c r="BJ3" s="202"/>
      <c r="BK3" s="218">
        <f>COUNTA(BK7:BK500)</f>
        <v>0</v>
      </c>
      <c r="BL3" s="202"/>
      <c r="BM3" s="211">
        <f>COUNTA(BM7:BM500)</f>
        <v>0</v>
      </c>
      <c r="BN3" s="202"/>
      <c r="BO3" s="212">
        <f>SUM(BO7:BO500)</f>
        <v>0</v>
      </c>
      <c r="BP3" s="202"/>
      <c r="BQ3" s="87"/>
      <c r="BR3" s="216">
        <f>AVERAGE(K3,Y3,AM3,BO3)</f>
        <v>91</v>
      </c>
      <c r="BS3" s="202"/>
      <c r="BT3" s="88"/>
      <c r="BU3" s="89">
        <v>1</v>
      </c>
      <c r="BV3" s="84">
        <f>K3</f>
        <v>42</v>
      </c>
      <c r="BW3" s="85">
        <v>1</v>
      </c>
      <c r="BX3" s="90">
        <f t="shared" ref="BX3:BX7" si="1">BV3/BW3</f>
        <v>42</v>
      </c>
      <c r="BY3" s="91">
        <f>BX3/BY2</f>
        <v>0.26415094339622641</v>
      </c>
      <c r="BZ3" s="88"/>
      <c r="CA3" s="88"/>
      <c r="CB3" s="88"/>
      <c r="CC3" s="88"/>
      <c r="CD3" s="213"/>
      <c r="CE3" s="214"/>
      <c r="CF3" s="213"/>
      <c r="CG3" s="214"/>
      <c r="CH3" s="213"/>
      <c r="CI3" s="214"/>
      <c r="CJ3" s="215"/>
      <c r="CK3" s="214"/>
    </row>
    <row r="4" spans="1:89" ht="12.75">
      <c r="A4" s="94"/>
      <c r="B4" s="75"/>
      <c r="C4" s="84"/>
      <c r="D4" s="85" t="s">
        <v>361</v>
      </c>
      <c r="E4" s="219">
        <f>E3/'25년 12월 유효회원'!$C$3</f>
        <v>9.2715231788079472E-2</v>
      </c>
      <c r="F4" s="202"/>
      <c r="G4" s="220">
        <f>G3/'25년 12월 유효회원'!$C$3</f>
        <v>0.27814569536423839</v>
      </c>
      <c r="H4" s="202"/>
      <c r="I4" s="219">
        <f>I3/'25년 12월 유효회원'!$C$3</f>
        <v>8.6092715231788075E-2</v>
      </c>
      <c r="J4" s="202"/>
      <c r="K4" s="219">
        <f>K3/'26년 1월 유효회원'!$C$3</f>
        <v>0.26415094339622641</v>
      </c>
      <c r="L4" s="202"/>
      <c r="M4" s="220">
        <f>M3/'25년 12월 유효회원'!$C$3</f>
        <v>0.43046357615894038</v>
      </c>
      <c r="N4" s="202"/>
      <c r="O4" s="220">
        <f>O3/'25년 12월 유효회원'!$C$3</f>
        <v>0.3443708609271523</v>
      </c>
      <c r="P4" s="202"/>
      <c r="Q4" s="220">
        <f>Q3/'25년 12월 유효회원'!$C$3</f>
        <v>0.31788079470198677</v>
      </c>
      <c r="R4" s="202"/>
      <c r="S4" s="220">
        <f>S3/'25년 12월 유효회원'!$C$3</f>
        <v>0.3443708609271523</v>
      </c>
      <c r="T4" s="202"/>
      <c r="U4" s="220">
        <f>U3/'25년 12월 유효회원'!$C$3</f>
        <v>0.31125827814569534</v>
      </c>
      <c r="V4" s="202"/>
      <c r="W4" s="219">
        <f>W3/'25년 12월 유효회원'!$C$3</f>
        <v>5.2980132450331126E-2</v>
      </c>
      <c r="X4" s="202"/>
      <c r="Y4" s="219">
        <f>Y3/'26년 1월 유효회원'!$C$3</f>
        <v>1.6603773584905661</v>
      </c>
      <c r="Z4" s="202"/>
      <c r="AA4" s="220">
        <f>AA3/'25년 12월 유효회원'!$C$3</f>
        <v>0.38410596026490068</v>
      </c>
      <c r="AB4" s="202"/>
      <c r="AC4" s="220">
        <f>AC3/'25년 12월 유효회원'!$C$3</f>
        <v>0</v>
      </c>
      <c r="AD4" s="202"/>
      <c r="AE4" s="220">
        <f>AE3/'25년 12월 유효회원'!$C$3</f>
        <v>0</v>
      </c>
      <c r="AF4" s="202"/>
      <c r="AG4" s="220">
        <f>AG3/'25년 12월 유효회원'!$C$3</f>
        <v>0</v>
      </c>
      <c r="AH4" s="202"/>
      <c r="AI4" s="220">
        <f>AI3/'25년 12월 유효회원'!$C$3</f>
        <v>0</v>
      </c>
      <c r="AJ4" s="202"/>
      <c r="AK4" s="219">
        <f>AK3/'25년 12월 유효회원'!$C$3</f>
        <v>0</v>
      </c>
      <c r="AL4" s="202"/>
      <c r="AM4" s="219">
        <f>AM3/'26년 1월 유효회원'!$C$3</f>
        <v>0.36477987421383645</v>
      </c>
      <c r="AN4" s="202"/>
      <c r="AO4" s="220">
        <f>AO3/'25년 12월 유효회원'!$C$3</f>
        <v>0</v>
      </c>
      <c r="AP4" s="202"/>
      <c r="AQ4" s="220">
        <f>AQ3/'25년 12월 유효회원'!$C$3</f>
        <v>0</v>
      </c>
      <c r="AR4" s="202"/>
      <c r="AS4" s="220">
        <f>AS3/'25년 12월 유효회원'!$C$3</f>
        <v>0</v>
      </c>
      <c r="AT4" s="202"/>
      <c r="AU4" s="220">
        <f>AU3/'25년 12월 유효회원'!$C$3</f>
        <v>0</v>
      </c>
      <c r="AV4" s="202"/>
      <c r="AW4" s="220">
        <f>AW3/'25년 12월 유효회원'!$C$3</f>
        <v>0</v>
      </c>
      <c r="AX4" s="202"/>
      <c r="AY4" s="219">
        <f>AY3/'25년 12월 유효회원'!$C$3</f>
        <v>0</v>
      </c>
      <c r="AZ4" s="202"/>
      <c r="BA4" s="219">
        <f>BA3/'26년 1월 유효회원'!$C$3</f>
        <v>0</v>
      </c>
      <c r="BB4" s="202"/>
      <c r="BC4" s="220">
        <f>BC3/'25년 12월 유효회원'!$C$3</f>
        <v>0</v>
      </c>
      <c r="BD4" s="202"/>
      <c r="BE4" s="220">
        <f>BE3/'25년 12월 유효회원'!$C$3</f>
        <v>0</v>
      </c>
      <c r="BF4" s="202"/>
      <c r="BG4" s="220">
        <f>BG3/'25년 12월 유효회원'!$C$3</f>
        <v>0</v>
      </c>
      <c r="BH4" s="202"/>
      <c r="BI4" s="220">
        <f>BI3/'25년 12월 유효회원'!$C$3</f>
        <v>0</v>
      </c>
      <c r="BJ4" s="202"/>
      <c r="BK4" s="220">
        <f>BK3/'25년 12월 유효회원'!$C$3</f>
        <v>0</v>
      </c>
      <c r="BL4" s="202"/>
      <c r="BM4" s="219">
        <f>BM3/'25년 12월 유효회원'!$C$3</f>
        <v>0</v>
      </c>
      <c r="BN4" s="202"/>
      <c r="BO4" s="219">
        <f>BO3/'26년 1월 유효회원'!$C$3</f>
        <v>0</v>
      </c>
      <c r="BP4" s="202"/>
      <c r="BQ4" s="87"/>
      <c r="BR4" s="221"/>
      <c r="BS4" s="202"/>
      <c r="BT4" s="95"/>
      <c r="BU4" s="96">
        <v>2</v>
      </c>
      <c r="BV4" s="84">
        <f>Y3</f>
        <v>264</v>
      </c>
      <c r="BW4" s="86">
        <v>5</v>
      </c>
      <c r="BX4" s="90">
        <f t="shared" si="1"/>
        <v>52.8</v>
      </c>
      <c r="BY4" s="97">
        <f t="shared" ref="BY4:BY7" si="2">BX4/$BY$2</f>
        <v>0.33207547169811319</v>
      </c>
      <c r="BZ4" s="98"/>
      <c r="CA4" s="213"/>
      <c r="CB4" s="214"/>
      <c r="CC4" s="213"/>
      <c r="CD4" s="214"/>
      <c r="CE4" s="213"/>
      <c r="CF4" s="214"/>
      <c r="CG4" s="213"/>
      <c r="CH4" s="214"/>
      <c r="CI4" s="215"/>
      <c r="CJ4" s="214"/>
      <c r="CK4" s="92"/>
    </row>
    <row r="5" spans="1:89" ht="12.75">
      <c r="A5" s="99" t="s">
        <v>362</v>
      </c>
      <c r="B5" s="75"/>
      <c r="C5" s="100"/>
      <c r="D5" s="101"/>
      <c r="E5" s="102" t="s">
        <v>3</v>
      </c>
      <c r="F5" s="102" t="s">
        <v>4</v>
      </c>
      <c r="G5" s="103" t="s">
        <v>3</v>
      </c>
      <c r="H5" s="103" t="s">
        <v>4</v>
      </c>
      <c r="I5" s="102" t="s">
        <v>3</v>
      </c>
      <c r="J5" s="102" t="s">
        <v>4</v>
      </c>
      <c r="K5" s="102" t="s">
        <v>3</v>
      </c>
      <c r="L5" s="102" t="s">
        <v>4</v>
      </c>
      <c r="M5" s="103" t="s">
        <v>3</v>
      </c>
      <c r="N5" s="103" t="s">
        <v>4</v>
      </c>
      <c r="O5" s="103" t="s">
        <v>3</v>
      </c>
      <c r="P5" s="103" t="s">
        <v>4</v>
      </c>
      <c r="Q5" s="103" t="s">
        <v>3</v>
      </c>
      <c r="R5" s="103" t="s">
        <v>4</v>
      </c>
      <c r="S5" s="103" t="s">
        <v>3</v>
      </c>
      <c r="T5" s="103" t="s">
        <v>4</v>
      </c>
      <c r="U5" s="103" t="s">
        <v>3</v>
      </c>
      <c r="V5" s="103" t="s">
        <v>4</v>
      </c>
      <c r="W5" s="102" t="s">
        <v>3</v>
      </c>
      <c r="X5" s="102" t="s">
        <v>4</v>
      </c>
      <c r="Y5" s="102" t="s">
        <v>3</v>
      </c>
      <c r="Z5" s="102" t="s">
        <v>4</v>
      </c>
      <c r="AA5" s="103" t="s">
        <v>3</v>
      </c>
      <c r="AB5" s="103" t="s">
        <v>4</v>
      </c>
      <c r="AC5" s="103" t="s">
        <v>3</v>
      </c>
      <c r="AD5" s="103" t="s">
        <v>4</v>
      </c>
      <c r="AE5" s="103" t="s">
        <v>3</v>
      </c>
      <c r="AF5" s="103" t="s">
        <v>4</v>
      </c>
      <c r="AG5" s="103" t="s">
        <v>3</v>
      </c>
      <c r="AH5" s="103" t="s">
        <v>4</v>
      </c>
      <c r="AI5" s="103" t="s">
        <v>3</v>
      </c>
      <c r="AJ5" s="103" t="s">
        <v>4</v>
      </c>
      <c r="AK5" s="102" t="s">
        <v>3</v>
      </c>
      <c r="AL5" s="102" t="s">
        <v>4</v>
      </c>
      <c r="AM5" s="102" t="s">
        <v>3</v>
      </c>
      <c r="AN5" s="102" t="s">
        <v>4</v>
      </c>
      <c r="AO5" s="103" t="s">
        <v>3</v>
      </c>
      <c r="AP5" s="103" t="s">
        <v>4</v>
      </c>
      <c r="AQ5" s="103" t="s">
        <v>3</v>
      </c>
      <c r="AR5" s="103" t="s">
        <v>4</v>
      </c>
      <c r="AS5" s="103" t="s">
        <v>3</v>
      </c>
      <c r="AT5" s="103" t="s">
        <v>4</v>
      </c>
      <c r="AU5" s="103" t="s">
        <v>3</v>
      </c>
      <c r="AV5" s="103" t="s">
        <v>4</v>
      </c>
      <c r="AW5" s="103" t="s">
        <v>3</v>
      </c>
      <c r="AX5" s="103" t="s">
        <v>4</v>
      </c>
      <c r="AY5" s="102" t="s">
        <v>3</v>
      </c>
      <c r="AZ5" s="102" t="s">
        <v>4</v>
      </c>
      <c r="BA5" s="102" t="s">
        <v>3</v>
      </c>
      <c r="BB5" s="102" t="s">
        <v>4</v>
      </c>
      <c r="BC5" s="103" t="s">
        <v>3</v>
      </c>
      <c r="BD5" s="103" t="s">
        <v>4</v>
      </c>
      <c r="BE5" s="103" t="s">
        <v>3</v>
      </c>
      <c r="BF5" s="103" t="s">
        <v>4</v>
      </c>
      <c r="BG5" s="103" t="s">
        <v>3</v>
      </c>
      <c r="BH5" s="103" t="s">
        <v>4</v>
      </c>
      <c r="BI5" s="103" t="s">
        <v>3</v>
      </c>
      <c r="BJ5" s="103" t="s">
        <v>4</v>
      </c>
      <c r="BK5" s="103" t="s">
        <v>3</v>
      </c>
      <c r="BL5" s="103" t="s">
        <v>4</v>
      </c>
      <c r="BM5" s="102" t="s">
        <v>3</v>
      </c>
      <c r="BN5" s="102" t="s">
        <v>4</v>
      </c>
      <c r="BO5" s="104" t="s">
        <v>3</v>
      </c>
      <c r="BP5" s="104" t="s">
        <v>4</v>
      </c>
      <c r="BQ5" s="87"/>
      <c r="BR5" s="216"/>
      <c r="BS5" s="202"/>
      <c r="BT5" s="105"/>
      <c r="BU5" s="106">
        <v>3</v>
      </c>
      <c r="BV5" s="84">
        <f>AM3</f>
        <v>58</v>
      </c>
      <c r="BW5" s="107">
        <v>5</v>
      </c>
      <c r="BX5" s="90">
        <f t="shared" si="1"/>
        <v>11.6</v>
      </c>
      <c r="BY5" s="91">
        <f t="shared" si="2"/>
        <v>7.2955974842767293E-2</v>
      </c>
      <c r="BZ5" s="108"/>
      <c r="CA5" s="108"/>
      <c r="CB5" s="108"/>
      <c r="CC5" s="108"/>
      <c r="CD5" s="108"/>
      <c r="CE5" s="108"/>
      <c r="CF5" s="108"/>
      <c r="CG5" s="108"/>
      <c r="CH5" s="108"/>
      <c r="CI5" s="109"/>
      <c r="CJ5" s="109"/>
      <c r="CK5" s="108"/>
    </row>
    <row r="6" spans="1:89" ht="12.75">
      <c r="A6" s="110" t="s">
        <v>363</v>
      </c>
      <c r="B6" s="111" t="s">
        <v>6</v>
      </c>
      <c r="C6" s="112" t="s">
        <v>7</v>
      </c>
      <c r="D6" s="113" t="s">
        <v>360</v>
      </c>
      <c r="E6" s="114">
        <f>COUNTIFS($C$7:$C$432,"남",E7:E432,"&lt;&gt;")</f>
        <v>4</v>
      </c>
      <c r="F6" s="114">
        <f>COUNTIFS($C$7:$C$432,"여",E7:E432,"&lt;&gt;")</f>
        <v>10</v>
      </c>
      <c r="G6" s="115">
        <f>COUNTIFS($C$7:$C$432,"남",G7:G432,"&lt;&gt;")</f>
        <v>7</v>
      </c>
      <c r="H6" s="115">
        <f>COUNTIFS($C$7:$C$432,"여",G7:G432,"&lt;&gt;")</f>
        <v>35</v>
      </c>
      <c r="I6" s="114">
        <f>COUNTIFS($C$7:$C$432,"남",I7:I432,"&lt;&gt;")</f>
        <v>2</v>
      </c>
      <c r="J6" s="114">
        <f>COUNTIFS($C$7:$C$432,"여",I7:I432,"&lt;&gt;")</f>
        <v>11</v>
      </c>
      <c r="K6" s="116">
        <f t="shared" ref="K6:L6" si="3">SUM(G6)</f>
        <v>7</v>
      </c>
      <c r="L6" s="116">
        <f t="shared" si="3"/>
        <v>35</v>
      </c>
      <c r="M6" s="115">
        <f t="shared" ref="M6:S6" si="4">COUNTIFS($C$7:$C$432,"남",M7:M432,"&lt;&gt;")</f>
        <v>14</v>
      </c>
      <c r="N6" s="115">
        <f t="shared" si="4"/>
        <v>0</v>
      </c>
      <c r="O6" s="115">
        <f t="shared" si="4"/>
        <v>10</v>
      </c>
      <c r="P6" s="115">
        <f t="shared" si="4"/>
        <v>0</v>
      </c>
      <c r="Q6" s="115">
        <f t="shared" si="4"/>
        <v>9</v>
      </c>
      <c r="R6" s="115">
        <f t="shared" si="4"/>
        <v>0</v>
      </c>
      <c r="S6" s="115">
        <f t="shared" si="4"/>
        <v>9</v>
      </c>
      <c r="T6" s="115">
        <f>COUNTIFS($C$7:$C$432,"여",S7:S432,"&lt;&gt;")</f>
        <v>43</v>
      </c>
      <c r="U6" s="115">
        <f>COUNTIFS($C$7:$C$432,"남",U7:U432,"&lt;&gt;")</f>
        <v>10</v>
      </c>
      <c r="V6" s="115">
        <f>COUNTIFS($C$7:$C$432,"여",U7:U432,"&lt;&gt;")</f>
        <v>37</v>
      </c>
      <c r="W6" s="114">
        <f>COUNTIFS($C$7:$C$432,"남",W7:W432,"&lt;&gt;")</f>
        <v>1</v>
      </c>
      <c r="X6" s="114">
        <f>COUNTIFS($C$7:$C$432,"여",W7:W432,"&lt;&gt;")</f>
        <v>7</v>
      </c>
      <c r="Y6" s="116">
        <f t="shared" ref="Y6:Z6" si="5">SUM(M6,O6,Q6,S6,U6)</f>
        <v>52</v>
      </c>
      <c r="Z6" s="116">
        <f t="shared" si="5"/>
        <v>80</v>
      </c>
      <c r="AA6" s="115">
        <f>COUNTIFS($C$7:$C$432,"남",AA7:AA432,"&lt;&gt;")</f>
        <v>6</v>
      </c>
      <c r="AB6" s="115">
        <f t="shared" ref="AB6:AF6" si="6">COUNTIFS($C$7:$C$432,"여",AA7:AA432,"&lt;&gt;")</f>
        <v>52</v>
      </c>
      <c r="AC6" s="115">
        <f t="shared" si="6"/>
        <v>0</v>
      </c>
      <c r="AD6" s="115">
        <f t="shared" si="6"/>
        <v>0</v>
      </c>
      <c r="AE6" s="115">
        <f t="shared" si="6"/>
        <v>0</v>
      </c>
      <c r="AF6" s="115">
        <f t="shared" si="6"/>
        <v>0</v>
      </c>
      <c r="AG6" s="115">
        <f>COUNTIFS($C$7:$C$432,"남",AG7:AG432,"&lt;&gt;")</f>
        <v>0</v>
      </c>
      <c r="AH6" s="115">
        <f>COUNTIFS($C$7:$C$432,"여",AG7:AG432,"&lt;&gt;")</f>
        <v>0</v>
      </c>
      <c r="AI6" s="115">
        <f>COUNTIFS($C$7:$C$432,"남",AI7:AI432,"&lt;&gt;")</f>
        <v>0</v>
      </c>
      <c r="AJ6" s="115">
        <f>COUNTIFS($C$7:$C$432,"여",AI7:AI432,"&lt;&gt;")</f>
        <v>0</v>
      </c>
      <c r="AK6" s="114">
        <f>COUNTIFS($C$7:$C$432,"남",AK7:AK432,"&lt;&gt;")</f>
        <v>0</v>
      </c>
      <c r="AL6" s="114">
        <f>COUNTIFS($C$7:$C$432,"여",AK7:AK432,"&lt;&gt;")</f>
        <v>0</v>
      </c>
      <c r="AM6" s="116">
        <f t="shared" ref="AM6:AN6" si="7">SUM(AA6,AC6,AE6,AG6,AI6)</f>
        <v>6</v>
      </c>
      <c r="AN6" s="116">
        <f t="shared" si="7"/>
        <v>52</v>
      </c>
      <c r="AO6" s="115">
        <f>COUNTIFS($C$7:$C$432,"남",AO7:AO432,"&lt;&gt;")</f>
        <v>0</v>
      </c>
      <c r="AP6" s="115">
        <f>COUNTIFS($C$7:$C$432,"여",AO7:AO432,"&lt;&gt;")</f>
        <v>0</v>
      </c>
      <c r="AQ6" s="115">
        <f>COUNTIFS($C$7:$C$432,"남",AQ7:AQ432,"&lt;&gt;")</f>
        <v>0</v>
      </c>
      <c r="AR6" s="115">
        <f>COUNTIFS($C$7:$C$432,"여",AQ7:AQ432,"&lt;&gt;")</f>
        <v>0</v>
      </c>
      <c r="AS6" s="115">
        <f>COUNTIFS($C$7:$C$432,"남",AS7:AS432,"&lt;&gt;")</f>
        <v>0</v>
      </c>
      <c r="AT6" s="115">
        <f>COUNTIFS($C$7:$C$432,"여",AS7:AS432,"&lt;&gt;")</f>
        <v>0</v>
      </c>
      <c r="AU6" s="115">
        <f>COUNTIFS($C$7:$C$432,"남",AU7:AU432,"&lt;&gt;")</f>
        <v>0</v>
      </c>
      <c r="AV6" s="115">
        <f>COUNTIFS($C$7:$C$432,"여",AU7:AU432,"&lt;&gt;")</f>
        <v>0</v>
      </c>
      <c r="AW6" s="115">
        <f>COUNTIFS($C$7:$C$432,"남",AW7:AW432,"&lt;&gt;")</f>
        <v>0</v>
      </c>
      <c r="AX6" s="115">
        <f>COUNTIFS($C$7:$C$432,"여",AW7:AW432,"&lt;&gt;")</f>
        <v>0</v>
      </c>
      <c r="AY6" s="114">
        <f>COUNTIFS($C$7:$C$432,"남",AY7:AY432,"&lt;&gt;")</f>
        <v>0</v>
      </c>
      <c r="AZ6" s="114">
        <f>COUNTIFS($C$7:$C$432,"여",AY7:AY432,"&lt;&gt;")</f>
        <v>0</v>
      </c>
      <c r="BA6" s="116">
        <f t="shared" ref="BA6:BB6" si="8">SUM(AO6,AQ6,AS6,AU6,AW6)</f>
        <v>0</v>
      </c>
      <c r="BB6" s="116">
        <f t="shared" si="8"/>
        <v>0</v>
      </c>
      <c r="BC6" s="115">
        <f>COUNTIFS($C$7:$C$432,"남",BC7:BC432,"&lt;&gt;")</f>
        <v>0</v>
      </c>
      <c r="BD6" s="115">
        <f t="shared" ref="BD6:BF6" si="9">COUNTIFS($C$7:$C$432,"여",BC7:BC432,"&lt;&gt;")</f>
        <v>0</v>
      </c>
      <c r="BE6" s="115">
        <f t="shared" si="9"/>
        <v>0</v>
      </c>
      <c r="BF6" s="115">
        <f t="shared" si="9"/>
        <v>0</v>
      </c>
      <c r="BG6" s="115">
        <f>COUNTIFS($C$7:$C$432,"남",BG7:BG432,"&lt;&gt;")</f>
        <v>0</v>
      </c>
      <c r="BH6" s="115">
        <f>COUNTIFS($C$7:$C$432,"여",BG7:BG432,"&lt;&gt;")</f>
        <v>0</v>
      </c>
      <c r="BI6" s="115">
        <f>COUNTIFS($C$7:$C$432,"남",BI7:BI432,"&lt;&gt;")</f>
        <v>0</v>
      </c>
      <c r="BJ6" s="115">
        <f>COUNTIFS($C$7:$C$432,"여",BI7:BI432,"&lt;&gt;")</f>
        <v>0</v>
      </c>
      <c r="BK6" s="117">
        <v>0</v>
      </c>
      <c r="BL6" s="115">
        <f>COUNTIFS($C$7:$C$432,"여",BK7:BK432,"&lt;&gt;")</f>
        <v>0</v>
      </c>
      <c r="BM6" s="114">
        <f>COUNTIFS($C$7:$C$432,"남",BM7:BM432,"&lt;&gt;")</f>
        <v>0</v>
      </c>
      <c r="BN6" s="114">
        <f>COUNTIFS($C$7:$C$432,"여",BM7:BM432,"&lt;&gt;")</f>
        <v>0</v>
      </c>
      <c r="BO6" s="118">
        <f t="shared" ref="BO6:BP6" si="10">SUM(K6,Y6,AM6,BA6)</f>
        <v>65</v>
      </c>
      <c r="BP6" s="118">
        <f t="shared" si="10"/>
        <v>167</v>
      </c>
      <c r="BQ6" s="119"/>
      <c r="BR6" s="216"/>
      <c r="BS6" s="202"/>
      <c r="BT6" s="120"/>
      <c r="BU6" s="106">
        <v>4</v>
      </c>
      <c r="BV6" s="121">
        <f>BA3</f>
        <v>0</v>
      </c>
      <c r="BW6" s="107">
        <v>5</v>
      </c>
      <c r="BX6" s="90">
        <f t="shared" si="1"/>
        <v>0</v>
      </c>
      <c r="BY6" s="91">
        <f t="shared" si="2"/>
        <v>0</v>
      </c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3"/>
      <c r="CK6" s="122"/>
    </row>
    <row r="7" spans="1:89" ht="12.75">
      <c r="A7" s="124" t="s">
        <v>364</v>
      </c>
      <c r="B7" s="125"/>
      <c r="C7" s="125"/>
      <c r="D7" s="126"/>
      <c r="E7" s="211"/>
      <c r="F7" s="202"/>
      <c r="G7" s="211"/>
      <c r="H7" s="202"/>
      <c r="I7" s="211"/>
      <c r="J7" s="202"/>
      <c r="K7" s="211"/>
      <c r="L7" s="202"/>
      <c r="M7" s="211"/>
      <c r="N7" s="202"/>
      <c r="O7" s="211"/>
      <c r="P7" s="202"/>
      <c r="Q7" s="211"/>
      <c r="R7" s="202"/>
      <c r="S7" s="211"/>
      <c r="T7" s="202"/>
      <c r="U7" s="211"/>
      <c r="V7" s="202"/>
      <c r="W7" s="211"/>
      <c r="X7" s="202"/>
      <c r="Y7" s="211"/>
      <c r="Z7" s="202"/>
      <c r="AA7" s="211"/>
      <c r="AB7" s="202"/>
      <c r="AC7" s="211"/>
      <c r="AD7" s="202"/>
      <c r="AE7" s="211"/>
      <c r="AF7" s="202"/>
      <c r="AG7" s="211"/>
      <c r="AH7" s="202"/>
      <c r="AI7" s="211"/>
      <c r="AJ7" s="202"/>
      <c r="AK7" s="211"/>
      <c r="AL7" s="202"/>
      <c r="AM7" s="211"/>
      <c r="AN7" s="202"/>
      <c r="AO7" s="211"/>
      <c r="AP7" s="202"/>
      <c r="AQ7" s="211"/>
      <c r="AR7" s="202"/>
      <c r="AS7" s="211"/>
      <c r="AT7" s="202"/>
      <c r="AU7" s="211"/>
      <c r="AV7" s="202"/>
      <c r="AW7" s="211"/>
      <c r="AX7" s="202"/>
      <c r="AY7" s="211"/>
      <c r="AZ7" s="202"/>
      <c r="BA7" s="211"/>
      <c r="BB7" s="202"/>
      <c r="BC7" s="211"/>
      <c r="BD7" s="202"/>
      <c r="BE7" s="211"/>
      <c r="BF7" s="202"/>
      <c r="BG7" s="211"/>
      <c r="BH7" s="202"/>
      <c r="BI7" s="211"/>
      <c r="BJ7" s="202"/>
      <c r="BK7" s="211"/>
      <c r="BL7" s="202"/>
      <c r="BM7" s="211"/>
      <c r="BN7" s="202"/>
      <c r="BO7" s="217"/>
      <c r="BP7" s="202"/>
      <c r="BQ7" s="127"/>
      <c r="BR7" s="224"/>
      <c r="BS7" s="202"/>
      <c r="BT7" s="128"/>
      <c r="BU7" s="129">
        <v>5</v>
      </c>
      <c r="BV7" s="130">
        <f>BO3</f>
        <v>0</v>
      </c>
      <c r="BW7" s="131">
        <v>5</v>
      </c>
      <c r="BX7" s="132">
        <f t="shared" si="1"/>
        <v>0</v>
      </c>
      <c r="BY7" s="133">
        <f t="shared" si="2"/>
        <v>0</v>
      </c>
      <c r="BZ7" s="134"/>
      <c r="CA7" s="134"/>
      <c r="CB7" s="134"/>
      <c r="CC7" s="134"/>
      <c r="CD7" s="134"/>
      <c r="CE7" s="134"/>
      <c r="CF7" s="134"/>
      <c r="CG7" s="134"/>
      <c r="CH7" s="134"/>
      <c r="CI7" s="134"/>
      <c r="CJ7" s="135"/>
      <c r="CK7" s="135"/>
    </row>
    <row r="8" spans="1:89" ht="14.25">
      <c r="A8" s="136"/>
      <c r="B8" s="30" t="s">
        <v>24</v>
      </c>
      <c r="C8" s="30" t="s">
        <v>4</v>
      </c>
      <c r="D8" s="137">
        <f t="shared" ref="D8:D105" si="11">SUM(K8,Y8,AM8,BA8,BO8)</f>
        <v>2</v>
      </c>
      <c r="E8" s="208"/>
      <c r="F8" s="202"/>
      <c r="G8" s="207"/>
      <c r="H8" s="202"/>
      <c r="I8" s="208"/>
      <c r="J8" s="202"/>
      <c r="K8" s="208">
        <f t="shared" ref="K8:K500" si="12">COUNTA(G8:H8)</f>
        <v>0</v>
      </c>
      <c r="L8" s="202"/>
      <c r="M8" s="207"/>
      <c r="N8" s="202"/>
      <c r="O8" s="209">
        <v>12</v>
      </c>
      <c r="P8" s="202"/>
      <c r="Q8" s="206"/>
      <c r="R8" s="202"/>
      <c r="S8" s="207">
        <v>12</v>
      </c>
      <c r="T8" s="202"/>
      <c r="U8" s="207"/>
      <c r="V8" s="202"/>
      <c r="W8" s="208"/>
      <c r="X8" s="202"/>
      <c r="Y8" s="210">
        <f t="shared" ref="Y8:Y105" si="13">COUNTA(M8:V8)</f>
        <v>2</v>
      </c>
      <c r="Z8" s="202"/>
      <c r="AA8" s="207"/>
      <c r="AB8" s="202"/>
      <c r="AC8" s="209"/>
      <c r="AD8" s="202"/>
      <c r="AE8" s="206"/>
      <c r="AF8" s="202"/>
      <c r="AG8" s="207"/>
      <c r="AH8" s="202"/>
      <c r="AI8" s="207"/>
      <c r="AJ8" s="202"/>
      <c r="AK8" s="208"/>
      <c r="AL8" s="202"/>
      <c r="AM8" s="210">
        <f t="shared" ref="AM8:AM500" si="14">COUNTA(AA8:AJ8)</f>
        <v>0</v>
      </c>
      <c r="AN8" s="202"/>
      <c r="AO8" s="207"/>
      <c r="AP8" s="202"/>
      <c r="AQ8" s="209"/>
      <c r="AR8" s="202"/>
      <c r="AS8" s="206"/>
      <c r="AT8" s="202"/>
      <c r="AU8" s="204"/>
      <c r="AV8" s="202"/>
      <c r="AW8" s="204"/>
      <c r="AX8" s="202"/>
      <c r="AY8" s="201"/>
      <c r="AZ8" s="202"/>
      <c r="BA8" s="210">
        <f t="shared" ref="BA8:BA500" si="15">COUNTA(AO8:AX8)</f>
        <v>0</v>
      </c>
      <c r="BB8" s="202"/>
      <c r="BC8" s="204"/>
      <c r="BD8" s="202"/>
      <c r="BE8" s="209"/>
      <c r="BF8" s="202"/>
      <c r="BG8" s="206"/>
      <c r="BH8" s="202"/>
      <c r="BI8" s="204"/>
      <c r="BJ8" s="202"/>
      <c r="BK8" s="204"/>
      <c r="BL8" s="202"/>
      <c r="BM8" s="201"/>
      <c r="BN8" s="202"/>
      <c r="BO8" s="203">
        <f t="shared" ref="BO8:BO500" si="16">COUNTA(BC8:BL8)</f>
        <v>0</v>
      </c>
      <c r="BP8" s="202"/>
      <c r="BQ8" s="138"/>
      <c r="BR8" s="139"/>
      <c r="BS8" s="139"/>
      <c r="BT8" s="139"/>
      <c r="BU8" s="139"/>
      <c r="BV8" s="139"/>
      <c r="BW8" s="139"/>
      <c r="BX8" s="140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</row>
    <row r="9" spans="1:89" ht="14.25">
      <c r="A9" s="141"/>
      <c r="B9" s="30" t="s">
        <v>27</v>
      </c>
      <c r="C9" s="30" t="s">
        <v>4</v>
      </c>
      <c r="D9" s="137">
        <f t="shared" si="11"/>
        <v>0</v>
      </c>
      <c r="E9" s="208"/>
      <c r="F9" s="202"/>
      <c r="G9" s="207"/>
      <c r="H9" s="202"/>
      <c r="I9" s="208"/>
      <c r="J9" s="202"/>
      <c r="K9" s="208">
        <f t="shared" si="12"/>
        <v>0</v>
      </c>
      <c r="L9" s="202"/>
      <c r="M9" s="207"/>
      <c r="N9" s="202"/>
      <c r="O9" s="209"/>
      <c r="P9" s="202"/>
      <c r="Q9" s="206"/>
      <c r="R9" s="202"/>
      <c r="S9" s="207"/>
      <c r="T9" s="202"/>
      <c r="U9" s="207"/>
      <c r="V9" s="202"/>
      <c r="W9" s="208"/>
      <c r="X9" s="202"/>
      <c r="Y9" s="210">
        <f t="shared" si="13"/>
        <v>0</v>
      </c>
      <c r="Z9" s="202"/>
      <c r="AA9" s="207"/>
      <c r="AB9" s="202"/>
      <c r="AC9" s="209"/>
      <c r="AD9" s="202"/>
      <c r="AE9" s="206"/>
      <c r="AF9" s="202"/>
      <c r="AG9" s="207"/>
      <c r="AH9" s="202"/>
      <c r="AI9" s="207"/>
      <c r="AJ9" s="202"/>
      <c r="AK9" s="208"/>
      <c r="AL9" s="202"/>
      <c r="AM9" s="210">
        <f t="shared" si="14"/>
        <v>0</v>
      </c>
      <c r="AN9" s="202"/>
      <c r="AO9" s="207"/>
      <c r="AP9" s="202"/>
      <c r="AQ9" s="209"/>
      <c r="AR9" s="202"/>
      <c r="AS9" s="206"/>
      <c r="AT9" s="202"/>
      <c r="AU9" s="204"/>
      <c r="AV9" s="202"/>
      <c r="AW9" s="204"/>
      <c r="AX9" s="202"/>
      <c r="AY9" s="201"/>
      <c r="AZ9" s="202"/>
      <c r="BA9" s="210">
        <f t="shared" si="15"/>
        <v>0</v>
      </c>
      <c r="BB9" s="202"/>
      <c r="BC9" s="204"/>
      <c r="BD9" s="202"/>
      <c r="BE9" s="209"/>
      <c r="BF9" s="202"/>
      <c r="BG9" s="206"/>
      <c r="BH9" s="202"/>
      <c r="BI9" s="204"/>
      <c r="BJ9" s="202"/>
      <c r="BK9" s="204"/>
      <c r="BL9" s="202"/>
      <c r="BM9" s="201"/>
      <c r="BN9" s="202"/>
      <c r="BO9" s="203">
        <f t="shared" si="16"/>
        <v>0</v>
      </c>
      <c r="BP9" s="202"/>
      <c r="BQ9" s="138"/>
      <c r="BR9" s="139"/>
      <c r="BS9" s="139"/>
      <c r="BT9" s="139"/>
      <c r="BU9" s="139"/>
      <c r="BV9" s="218" t="s">
        <v>365</v>
      </c>
      <c r="BW9" s="225"/>
      <c r="BX9" s="202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</row>
    <row r="10" spans="1:89" ht="14.25">
      <c r="A10" s="136"/>
      <c r="B10" s="30" t="s">
        <v>29</v>
      </c>
      <c r="C10" s="30" t="s">
        <v>4</v>
      </c>
      <c r="D10" s="137">
        <f t="shared" si="11"/>
        <v>3</v>
      </c>
      <c r="E10" s="208"/>
      <c r="F10" s="202"/>
      <c r="G10" s="207"/>
      <c r="H10" s="202"/>
      <c r="I10" s="208"/>
      <c r="J10" s="202"/>
      <c r="K10" s="208">
        <f t="shared" si="12"/>
        <v>0</v>
      </c>
      <c r="L10" s="202"/>
      <c r="M10" s="207">
        <v>21</v>
      </c>
      <c r="N10" s="202"/>
      <c r="O10" s="209">
        <v>20</v>
      </c>
      <c r="P10" s="202"/>
      <c r="Q10" s="206"/>
      <c r="R10" s="202"/>
      <c r="S10" s="207">
        <v>21</v>
      </c>
      <c r="T10" s="202"/>
      <c r="U10" s="207"/>
      <c r="V10" s="202"/>
      <c r="W10" s="208"/>
      <c r="X10" s="202"/>
      <c r="Y10" s="210">
        <f t="shared" si="13"/>
        <v>3</v>
      </c>
      <c r="Z10" s="202"/>
      <c r="AA10" s="207"/>
      <c r="AB10" s="202"/>
      <c r="AC10" s="209"/>
      <c r="AD10" s="202"/>
      <c r="AE10" s="206"/>
      <c r="AF10" s="202"/>
      <c r="AG10" s="207"/>
      <c r="AH10" s="202"/>
      <c r="AI10" s="207"/>
      <c r="AJ10" s="202"/>
      <c r="AK10" s="208"/>
      <c r="AL10" s="202"/>
      <c r="AM10" s="210">
        <f t="shared" si="14"/>
        <v>0</v>
      </c>
      <c r="AN10" s="202"/>
      <c r="AO10" s="207"/>
      <c r="AP10" s="202"/>
      <c r="AQ10" s="209"/>
      <c r="AR10" s="202"/>
      <c r="AS10" s="206"/>
      <c r="AT10" s="202"/>
      <c r="AU10" s="204"/>
      <c r="AV10" s="202"/>
      <c r="AW10" s="204"/>
      <c r="AX10" s="202"/>
      <c r="AY10" s="201"/>
      <c r="AZ10" s="202"/>
      <c r="BA10" s="210">
        <f t="shared" si="15"/>
        <v>0</v>
      </c>
      <c r="BB10" s="202"/>
      <c r="BC10" s="204"/>
      <c r="BD10" s="202"/>
      <c r="BE10" s="209"/>
      <c r="BF10" s="202"/>
      <c r="BG10" s="206"/>
      <c r="BH10" s="202"/>
      <c r="BI10" s="204"/>
      <c r="BJ10" s="202"/>
      <c r="BK10" s="204"/>
      <c r="BL10" s="202"/>
      <c r="BM10" s="201"/>
      <c r="BN10" s="202"/>
      <c r="BO10" s="203">
        <f t="shared" si="16"/>
        <v>0</v>
      </c>
      <c r="BP10" s="202"/>
      <c r="BQ10" s="138"/>
      <c r="BR10" s="139"/>
      <c r="BS10" s="139"/>
      <c r="BT10" s="139"/>
      <c r="BU10" s="139"/>
      <c r="BV10" s="136"/>
      <c r="BW10" s="136"/>
      <c r="BX10" s="140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</row>
    <row r="11" spans="1:89" ht="14.25">
      <c r="A11" s="142"/>
      <c r="B11" s="30" t="s">
        <v>32</v>
      </c>
      <c r="C11" s="30" t="s">
        <v>4</v>
      </c>
      <c r="D11" s="137">
        <f t="shared" si="11"/>
        <v>0</v>
      </c>
      <c r="E11" s="208"/>
      <c r="F11" s="202"/>
      <c r="G11" s="207"/>
      <c r="H11" s="202"/>
      <c r="I11" s="208"/>
      <c r="J11" s="202"/>
      <c r="K11" s="208">
        <f t="shared" si="12"/>
        <v>0</v>
      </c>
      <c r="L11" s="202"/>
      <c r="M11" s="207"/>
      <c r="N11" s="202"/>
      <c r="O11" s="209"/>
      <c r="P11" s="202"/>
      <c r="Q11" s="206"/>
      <c r="R11" s="202"/>
      <c r="S11" s="207"/>
      <c r="T11" s="202"/>
      <c r="U11" s="207"/>
      <c r="V11" s="202"/>
      <c r="W11" s="208"/>
      <c r="X11" s="202"/>
      <c r="Y11" s="210">
        <f t="shared" si="13"/>
        <v>0</v>
      </c>
      <c r="Z11" s="202"/>
      <c r="AA11" s="207"/>
      <c r="AB11" s="202"/>
      <c r="AC11" s="209"/>
      <c r="AD11" s="202"/>
      <c r="AE11" s="206"/>
      <c r="AF11" s="202"/>
      <c r="AG11" s="207"/>
      <c r="AH11" s="202"/>
      <c r="AI11" s="207"/>
      <c r="AJ11" s="202"/>
      <c r="AK11" s="208"/>
      <c r="AL11" s="202"/>
      <c r="AM11" s="210">
        <f t="shared" si="14"/>
        <v>0</v>
      </c>
      <c r="AN11" s="202"/>
      <c r="AO11" s="207"/>
      <c r="AP11" s="202"/>
      <c r="AQ11" s="209"/>
      <c r="AR11" s="202"/>
      <c r="AS11" s="206"/>
      <c r="AT11" s="202"/>
      <c r="AU11" s="204"/>
      <c r="AV11" s="202"/>
      <c r="AW11" s="204"/>
      <c r="AX11" s="202"/>
      <c r="AY11" s="201"/>
      <c r="AZ11" s="202"/>
      <c r="BA11" s="210">
        <f t="shared" si="15"/>
        <v>0</v>
      </c>
      <c r="BB11" s="202"/>
      <c r="BC11" s="204"/>
      <c r="BD11" s="202"/>
      <c r="BE11" s="209"/>
      <c r="BF11" s="202"/>
      <c r="BG11" s="206"/>
      <c r="BH11" s="202"/>
      <c r="BI11" s="204"/>
      <c r="BJ11" s="202"/>
      <c r="BK11" s="204"/>
      <c r="BL11" s="202"/>
      <c r="BM11" s="201"/>
      <c r="BN11" s="202"/>
      <c r="BO11" s="203">
        <f t="shared" si="16"/>
        <v>0</v>
      </c>
      <c r="BP11" s="202"/>
      <c r="BQ11" s="138"/>
      <c r="BR11" s="128"/>
      <c r="BS11" s="128"/>
      <c r="BT11" s="128"/>
      <c r="BU11" s="128"/>
      <c r="BV11" s="228" t="s">
        <v>18</v>
      </c>
      <c r="BW11" s="225"/>
      <c r="BX11" s="225"/>
      <c r="BY11" s="202"/>
      <c r="BZ11" s="143"/>
      <c r="CA11" s="228" t="s">
        <v>366</v>
      </c>
      <c r="CB11" s="225"/>
      <c r="CC11" s="225"/>
      <c r="CD11" s="202"/>
      <c r="CE11" s="134"/>
      <c r="CF11" s="134"/>
      <c r="CG11" s="134"/>
      <c r="CH11" s="134"/>
      <c r="CI11" s="134"/>
      <c r="CJ11" s="135"/>
      <c r="CK11" s="135"/>
    </row>
    <row r="12" spans="1:89" ht="14.25">
      <c r="A12" s="136"/>
      <c r="B12" s="30" t="s">
        <v>35</v>
      </c>
      <c r="C12" s="30" t="s">
        <v>3</v>
      </c>
      <c r="D12" s="137">
        <f t="shared" si="11"/>
        <v>0</v>
      </c>
      <c r="E12" s="208"/>
      <c r="F12" s="202"/>
      <c r="G12" s="207"/>
      <c r="H12" s="202"/>
      <c r="I12" s="208"/>
      <c r="J12" s="202"/>
      <c r="K12" s="208">
        <f t="shared" si="12"/>
        <v>0</v>
      </c>
      <c r="L12" s="202"/>
      <c r="M12" s="207"/>
      <c r="N12" s="202"/>
      <c r="O12" s="209"/>
      <c r="P12" s="202"/>
      <c r="Q12" s="206"/>
      <c r="R12" s="202"/>
      <c r="S12" s="207"/>
      <c r="T12" s="202"/>
      <c r="U12" s="207"/>
      <c r="V12" s="202"/>
      <c r="W12" s="208"/>
      <c r="X12" s="202"/>
      <c r="Y12" s="210">
        <f t="shared" si="13"/>
        <v>0</v>
      </c>
      <c r="Z12" s="202"/>
      <c r="AA12" s="207"/>
      <c r="AB12" s="202"/>
      <c r="AC12" s="209"/>
      <c r="AD12" s="202"/>
      <c r="AE12" s="206"/>
      <c r="AF12" s="202"/>
      <c r="AG12" s="207"/>
      <c r="AH12" s="202"/>
      <c r="AI12" s="207"/>
      <c r="AJ12" s="202"/>
      <c r="AK12" s="208"/>
      <c r="AL12" s="202"/>
      <c r="AM12" s="210">
        <f t="shared" si="14"/>
        <v>0</v>
      </c>
      <c r="AN12" s="202"/>
      <c r="AO12" s="207"/>
      <c r="AP12" s="202"/>
      <c r="AQ12" s="209"/>
      <c r="AR12" s="202"/>
      <c r="AS12" s="206"/>
      <c r="AT12" s="202"/>
      <c r="AU12" s="204"/>
      <c r="AV12" s="202"/>
      <c r="AW12" s="204"/>
      <c r="AX12" s="202"/>
      <c r="AY12" s="201"/>
      <c r="AZ12" s="202"/>
      <c r="BA12" s="210">
        <f t="shared" si="15"/>
        <v>0</v>
      </c>
      <c r="BB12" s="202"/>
      <c r="BC12" s="204"/>
      <c r="BD12" s="202"/>
      <c r="BE12" s="209"/>
      <c r="BF12" s="202"/>
      <c r="BG12" s="206"/>
      <c r="BH12" s="202"/>
      <c r="BI12" s="204"/>
      <c r="BJ12" s="202"/>
      <c r="BK12" s="204"/>
      <c r="BL12" s="202"/>
      <c r="BM12" s="201"/>
      <c r="BN12" s="202"/>
      <c r="BO12" s="203">
        <f t="shared" si="16"/>
        <v>0</v>
      </c>
      <c r="BP12" s="202"/>
      <c r="BQ12" s="138"/>
      <c r="BR12" s="139"/>
      <c r="BS12" s="139"/>
      <c r="BT12" s="139"/>
      <c r="BU12" s="139"/>
      <c r="BV12" s="144" t="s">
        <v>367</v>
      </c>
      <c r="BW12" s="144" t="s">
        <v>368</v>
      </c>
      <c r="BX12" s="145" t="s">
        <v>369</v>
      </c>
      <c r="BY12" s="146" t="s">
        <v>356</v>
      </c>
      <c r="BZ12" s="143"/>
      <c r="CA12" s="226" t="s">
        <v>367</v>
      </c>
      <c r="CB12" s="202"/>
      <c r="CC12" s="226" t="s">
        <v>356</v>
      </c>
      <c r="CD12" s="202"/>
      <c r="CE12" s="140"/>
      <c r="CF12" s="147"/>
      <c r="CG12" s="139"/>
      <c r="CH12" s="140"/>
      <c r="CI12" s="147"/>
      <c r="CJ12" s="139"/>
      <c r="CK12" s="140"/>
    </row>
    <row r="13" spans="1:89" ht="14.25">
      <c r="A13" s="136"/>
      <c r="B13" s="30" t="s">
        <v>37</v>
      </c>
      <c r="C13" s="30" t="s">
        <v>4</v>
      </c>
      <c r="D13" s="137">
        <f t="shared" si="11"/>
        <v>0</v>
      </c>
      <c r="E13" s="208"/>
      <c r="F13" s="202"/>
      <c r="G13" s="207"/>
      <c r="H13" s="202"/>
      <c r="I13" s="208"/>
      <c r="J13" s="202"/>
      <c r="K13" s="208">
        <f t="shared" si="12"/>
        <v>0</v>
      </c>
      <c r="L13" s="202"/>
      <c r="M13" s="207"/>
      <c r="N13" s="202"/>
      <c r="O13" s="209"/>
      <c r="P13" s="202"/>
      <c r="Q13" s="206"/>
      <c r="R13" s="202"/>
      <c r="S13" s="207"/>
      <c r="T13" s="202"/>
      <c r="U13" s="207"/>
      <c r="V13" s="202"/>
      <c r="W13" s="208"/>
      <c r="X13" s="202"/>
      <c r="Y13" s="210">
        <f t="shared" si="13"/>
        <v>0</v>
      </c>
      <c r="Z13" s="202"/>
      <c r="AA13" s="207"/>
      <c r="AB13" s="202"/>
      <c r="AC13" s="209"/>
      <c r="AD13" s="202"/>
      <c r="AE13" s="206"/>
      <c r="AF13" s="202"/>
      <c r="AG13" s="207"/>
      <c r="AH13" s="202"/>
      <c r="AI13" s="207"/>
      <c r="AJ13" s="202"/>
      <c r="AK13" s="208"/>
      <c r="AL13" s="202"/>
      <c r="AM13" s="210">
        <f t="shared" si="14"/>
        <v>0</v>
      </c>
      <c r="AN13" s="202"/>
      <c r="AO13" s="207"/>
      <c r="AP13" s="202"/>
      <c r="AQ13" s="209"/>
      <c r="AR13" s="202"/>
      <c r="AS13" s="206"/>
      <c r="AT13" s="202"/>
      <c r="AU13" s="204"/>
      <c r="AV13" s="202"/>
      <c r="AW13" s="204"/>
      <c r="AX13" s="202"/>
      <c r="AY13" s="201"/>
      <c r="AZ13" s="202"/>
      <c r="BA13" s="210">
        <f t="shared" si="15"/>
        <v>0</v>
      </c>
      <c r="BB13" s="202"/>
      <c r="BC13" s="204"/>
      <c r="BD13" s="202"/>
      <c r="BE13" s="209"/>
      <c r="BF13" s="202"/>
      <c r="BG13" s="206"/>
      <c r="BH13" s="202"/>
      <c r="BI13" s="204"/>
      <c r="BJ13" s="202"/>
      <c r="BK13" s="204"/>
      <c r="BL13" s="202"/>
      <c r="BM13" s="201"/>
      <c r="BN13" s="202"/>
      <c r="BO13" s="203">
        <f t="shared" si="16"/>
        <v>0</v>
      </c>
      <c r="BP13" s="202"/>
      <c r="BQ13" s="138"/>
      <c r="BR13" s="139"/>
      <c r="BS13" s="139"/>
      <c r="BT13" s="139"/>
      <c r="BU13" s="139"/>
      <c r="BV13" s="148">
        <v>7</v>
      </c>
      <c r="BW13" s="149">
        <f ca="1">IFERROR(__xludf.DUMMYFUNCTION("COUNTIF(MAP($G$8:$H$503,LAMBDA(c,IF(TRIM(c)="""","""",MIN(VALUE(SPLIT(SUBSTITUTE(SUBSTITUTE(SUBSTITUTE(c,"" "",""""),""，"","",""),"";"","",""),"","")))))),BV13)"),2)</f>
        <v>2</v>
      </c>
      <c r="BX13" s="145">
        <f t="shared" ref="BX13:BX21" ca="1" si="17">BW13/SUM($BW$13:$BW$22)*100</f>
        <v>4.7619047619047619</v>
      </c>
      <c r="BY13" s="150">
        <f t="shared" ref="BY13:BY21" ca="1" si="18">BW13/$BW$3</f>
        <v>2</v>
      </c>
      <c r="BZ13" s="143"/>
      <c r="CA13" s="226">
        <v>7</v>
      </c>
      <c r="CB13" s="202"/>
      <c r="CC13" s="227">
        <f t="shared" ref="CC13:CC21" ca="1" si="19">ROUND(SUM(BW13,BW25,BW37,BW49,BW61)/$BW$1,0)</f>
        <v>1</v>
      </c>
      <c r="CD13" s="202"/>
      <c r="CE13" s="140"/>
      <c r="CF13" s="147"/>
      <c r="CG13" s="139"/>
      <c r="CH13" s="140"/>
      <c r="CI13" s="147"/>
      <c r="CJ13" s="139"/>
      <c r="CK13" s="140"/>
    </row>
    <row r="14" spans="1:89" ht="14.25">
      <c r="A14" s="136"/>
      <c r="B14" s="30" t="s">
        <v>39</v>
      </c>
      <c r="C14" s="30" t="s">
        <v>4</v>
      </c>
      <c r="D14" s="137">
        <f t="shared" si="11"/>
        <v>2</v>
      </c>
      <c r="E14" s="208"/>
      <c r="F14" s="202"/>
      <c r="G14" s="207"/>
      <c r="H14" s="202"/>
      <c r="I14" s="208"/>
      <c r="J14" s="202"/>
      <c r="K14" s="208">
        <f t="shared" si="12"/>
        <v>0</v>
      </c>
      <c r="L14" s="202"/>
      <c r="M14" s="207"/>
      <c r="N14" s="202"/>
      <c r="O14" s="209">
        <v>21</v>
      </c>
      <c r="P14" s="202"/>
      <c r="Q14" s="206"/>
      <c r="R14" s="202"/>
      <c r="S14" s="207">
        <v>21</v>
      </c>
      <c r="T14" s="202"/>
      <c r="U14" s="207"/>
      <c r="V14" s="202"/>
      <c r="W14" s="208"/>
      <c r="X14" s="202"/>
      <c r="Y14" s="210">
        <f t="shared" si="13"/>
        <v>2</v>
      </c>
      <c r="Z14" s="202"/>
      <c r="AA14" s="207"/>
      <c r="AB14" s="202"/>
      <c r="AC14" s="209"/>
      <c r="AD14" s="202"/>
      <c r="AE14" s="206"/>
      <c r="AF14" s="202"/>
      <c r="AG14" s="207"/>
      <c r="AH14" s="202"/>
      <c r="AI14" s="207"/>
      <c r="AJ14" s="202"/>
      <c r="AK14" s="208"/>
      <c r="AL14" s="202"/>
      <c r="AM14" s="210">
        <f t="shared" si="14"/>
        <v>0</v>
      </c>
      <c r="AN14" s="202"/>
      <c r="AO14" s="207"/>
      <c r="AP14" s="202"/>
      <c r="AQ14" s="209"/>
      <c r="AR14" s="202"/>
      <c r="AS14" s="206"/>
      <c r="AT14" s="202"/>
      <c r="AU14" s="204"/>
      <c r="AV14" s="202"/>
      <c r="AW14" s="204"/>
      <c r="AX14" s="202"/>
      <c r="AY14" s="201"/>
      <c r="AZ14" s="202"/>
      <c r="BA14" s="210">
        <f t="shared" si="15"/>
        <v>0</v>
      </c>
      <c r="BB14" s="202"/>
      <c r="BC14" s="204"/>
      <c r="BD14" s="202"/>
      <c r="BE14" s="209"/>
      <c r="BF14" s="202"/>
      <c r="BG14" s="206"/>
      <c r="BH14" s="202"/>
      <c r="BI14" s="204"/>
      <c r="BJ14" s="202"/>
      <c r="BK14" s="204"/>
      <c r="BL14" s="202"/>
      <c r="BM14" s="201"/>
      <c r="BN14" s="202"/>
      <c r="BO14" s="203">
        <f t="shared" si="16"/>
        <v>0</v>
      </c>
      <c r="BP14" s="202"/>
      <c r="BQ14" s="138"/>
      <c r="BR14" s="139"/>
      <c r="BS14" s="139"/>
      <c r="BT14" s="139"/>
      <c r="BU14" s="139"/>
      <c r="BV14" s="148">
        <v>8</v>
      </c>
      <c r="BW14" s="149">
        <f ca="1">IFERROR(__xludf.DUMMYFUNCTION("COUNTIF(MAP($G$8:$H$503,LAMBDA(c,IF(TRIM(c)="""","""",MIN(VALUE(SPLIT(SUBSTITUTE(SUBSTITUTE(SUBSTITUTE(c,"" "",""""),""，"","",""),"";"","",""),"","")))))),BV14)"),5)</f>
        <v>5</v>
      </c>
      <c r="BX14" s="145">
        <f t="shared" ca="1" si="17"/>
        <v>11.904761904761903</v>
      </c>
      <c r="BY14" s="150">
        <f t="shared" ca="1" si="18"/>
        <v>5</v>
      </c>
      <c r="BZ14" s="143"/>
      <c r="CA14" s="226">
        <v>8</v>
      </c>
      <c r="CB14" s="202"/>
      <c r="CC14" s="227">
        <f t="shared" ca="1" si="19"/>
        <v>1</v>
      </c>
      <c r="CD14" s="202"/>
      <c r="CE14" s="140"/>
      <c r="CF14" s="147"/>
      <c r="CG14" s="139"/>
      <c r="CH14" s="140"/>
      <c r="CI14" s="147"/>
      <c r="CJ14" s="139"/>
      <c r="CK14" s="140"/>
    </row>
    <row r="15" spans="1:89" ht="14.25">
      <c r="A15" s="142"/>
      <c r="B15" s="30" t="s">
        <v>41</v>
      </c>
      <c r="C15" s="30" t="s">
        <v>3</v>
      </c>
      <c r="D15" s="137">
        <f t="shared" si="11"/>
        <v>4</v>
      </c>
      <c r="E15" s="208"/>
      <c r="F15" s="202"/>
      <c r="G15" s="207"/>
      <c r="H15" s="202"/>
      <c r="I15" s="208"/>
      <c r="J15" s="202"/>
      <c r="K15" s="208">
        <f t="shared" si="12"/>
        <v>0</v>
      </c>
      <c r="L15" s="202"/>
      <c r="M15" s="207">
        <v>19</v>
      </c>
      <c r="N15" s="202"/>
      <c r="O15" s="209"/>
      <c r="P15" s="202"/>
      <c r="Q15" s="206">
        <v>12</v>
      </c>
      <c r="R15" s="202"/>
      <c r="S15" s="207"/>
      <c r="T15" s="202"/>
      <c r="U15" s="207">
        <v>19</v>
      </c>
      <c r="V15" s="202"/>
      <c r="W15" s="208"/>
      <c r="X15" s="202"/>
      <c r="Y15" s="210">
        <f t="shared" si="13"/>
        <v>3</v>
      </c>
      <c r="Z15" s="202"/>
      <c r="AA15" s="207">
        <v>18</v>
      </c>
      <c r="AB15" s="202"/>
      <c r="AC15" s="209"/>
      <c r="AD15" s="202"/>
      <c r="AE15" s="206"/>
      <c r="AF15" s="202"/>
      <c r="AG15" s="207"/>
      <c r="AH15" s="202"/>
      <c r="AI15" s="207"/>
      <c r="AJ15" s="202"/>
      <c r="AK15" s="208"/>
      <c r="AL15" s="202"/>
      <c r="AM15" s="210">
        <f t="shared" si="14"/>
        <v>1</v>
      </c>
      <c r="AN15" s="202"/>
      <c r="AO15" s="207"/>
      <c r="AP15" s="202"/>
      <c r="AQ15" s="209"/>
      <c r="AR15" s="202"/>
      <c r="AS15" s="206"/>
      <c r="AT15" s="202"/>
      <c r="AU15" s="204"/>
      <c r="AV15" s="202"/>
      <c r="AW15" s="204"/>
      <c r="AX15" s="202"/>
      <c r="AY15" s="201"/>
      <c r="AZ15" s="202"/>
      <c r="BA15" s="210">
        <f t="shared" si="15"/>
        <v>0</v>
      </c>
      <c r="BB15" s="202"/>
      <c r="BC15" s="204"/>
      <c r="BD15" s="202"/>
      <c r="BE15" s="209"/>
      <c r="BF15" s="202"/>
      <c r="BG15" s="206"/>
      <c r="BH15" s="202"/>
      <c r="BI15" s="204"/>
      <c r="BJ15" s="202"/>
      <c r="BK15" s="204"/>
      <c r="BL15" s="202"/>
      <c r="BM15" s="201"/>
      <c r="BN15" s="202"/>
      <c r="BO15" s="203">
        <f t="shared" si="16"/>
        <v>0</v>
      </c>
      <c r="BP15" s="202"/>
      <c r="BQ15" s="138"/>
      <c r="BR15" s="128"/>
      <c r="BS15" s="128"/>
      <c r="BT15" s="128"/>
      <c r="BU15" s="128"/>
      <c r="BV15" s="148">
        <v>10</v>
      </c>
      <c r="BW15" s="149">
        <f ca="1">IFERROR(__xludf.DUMMYFUNCTION("COUNTIF(MAP($G$8:$H$503,LAMBDA(c,IF(TRIM(c)="""","""",MIN(VALUE(SPLIT(SUBSTITUTE(SUBSTITUTE(SUBSTITUTE(c,"" "",""""),""，"","",""),"";"","",""),"","")))))),BV15)"),6)</f>
        <v>6</v>
      </c>
      <c r="BX15" s="145">
        <f t="shared" ca="1" si="17"/>
        <v>14.285714285714285</v>
      </c>
      <c r="BY15" s="150">
        <f t="shared" ca="1" si="18"/>
        <v>6</v>
      </c>
      <c r="BZ15" s="143"/>
      <c r="CA15" s="226">
        <v>10</v>
      </c>
      <c r="CB15" s="202"/>
      <c r="CC15" s="227">
        <f t="shared" ca="1" si="19"/>
        <v>2</v>
      </c>
      <c r="CD15" s="202"/>
      <c r="CE15" s="140"/>
      <c r="CF15" s="74"/>
      <c r="CG15" s="139"/>
      <c r="CH15" s="140"/>
      <c r="CI15" s="74"/>
      <c r="CJ15" s="139"/>
      <c r="CK15" s="140"/>
    </row>
    <row r="16" spans="1:89" ht="14.25">
      <c r="A16" s="136"/>
      <c r="B16" s="30" t="s">
        <v>43</v>
      </c>
      <c r="C16" s="30" t="s">
        <v>4</v>
      </c>
      <c r="D16" s="137">
        <f t="shared" si="11"/>
        <v>6</v>
      </c>
      <c r="E16" s="208"/>
      <c r="F16" s="202"/>
      <c r="G16" s="207">
        <v>17</v>
      </c>
      <c r="H16" s="202"/>
      <c r="I16" s="208"/>
      <c r="J16" s="202"/>
      <c r="K16" s="208">
        <f t="shared" si="12"/>
        <v>1</v>
      </c>
      <c r="L16" s="202"/>
      <c r="M16" s="207"/>
      <c r="N16" s="202"/>
      <c r="O16" s="209">
        <v>17</v>
      </c>
      <c r="P16" s="202"/>
      <c r="Q16" s="206">
        <v>17</v>
      </c>
      <c r="R16" s="202"/>
      <c r="S16" s="207">
        <v>17</v>
      </c>
      <c r="T16" s="202"/>
      <c r="U16" s="207">
        <v>17</v>
      </c>
      <c r="V16" s="202"/>
      <c r="W16" s="208"/>
      <c r="X16" s="202"/>
      <c r="Y16" s="210">
        <f t="shared" si="13"/>
        <v>4</v>
      </c>
      <c r="Z16" s="202"/>
      <c r="AA16" s="207">
        <v>17</v>
      </c>
      <c r="AB16" s="202"/>
      <c r="AC16" s="209"/>
      <c r="AD16" s="202"/>
      <c r="AE16" s="206"/>
      <c r="AF16" s="202"/>
      <c r="AG16" s="207"/>
      <c r="AH16" s="202"/>
      <c r="AI16" s="207"/>
      <c r="AJ16" s="202"/>
      <c r="AK16" s="208"/>
      <c r="AL16" s="202"/>
      <c r="AM16" s="210">
        <f t="shared" si="14"/>
        <v>1</v>
      </c>
      <c r="AN16" s="202"/>
      <c r="AO16" s="207"/>
      <c r="AP16" s="202"/>
      <c r="AQ16" s="209"/>
      <c r="AR16" s="202"/>
      <c r="AS16" s="206"/>
      <c r="AT16" s="202"/>
      <c r="AU16" s="204"/>
      <c r="AV16" s="202"/>
      <c r="AW16" s="204"/>
      <c r="AX16" s="202"/>
      <c r="AY16" s="201"/>
      <c r="AZ16" s="202"/>
      <c r="BA16" s="210">
        <f t="shared" si="15"/>
        <v>0</v>
      </c>
      <c r="BB16" s="202"/>
      <c r="BC16" s="204"/>
      <c r="BD16" s="202"/>
      <c r="BE16" s="209"/>
      <c r="BF16" s="202"/>
      <c r="BG16" s="206"/>
      <c r="BH16" s="202"/>
      <c r="BI16" s="204"/>
      <c r="BJ16" s="202"/>
      <c r="BK16" s="204"/>
      <c r="BL16" s="202"/>
      <c r="BM16" s="201"/>
      <c r="BN16" s="202"/>
      <c r="BO16" s="203">
        <f t="shared" si="16"/>
        <v>0</v>
      </c>
      <c r="BP16" s="202"/>
      <c r="BQ16" s="138"/>
      <c r="BR16" s="139"/>
      <c r="BS16" s="139"/>
      <c r="BT16" s="139"/>
      <c r="BU16" s="139"/>
      <c r="BV16" s="148">
        <v>12</v>
      </c>
      <c r="BW16" s="149">
        <f ca="1">IFERROR(__xludf.DUMMYFUNCTION("COUNTIF(MAP($G$8:$H$503,LAMBDA(c,IF(TRIM(c)="""","""",MIN(VALUE(SPLIT(SUBSTITUTE(SUBSTITUTE(SUBSTITUTE(c,"" "",""""),""，"","",""),"";"","",""),"","")))))),BV16)"),4)</f>
        <v>4</v>
      </c>
      <c r="BX16" s="145">
        <f t="shared" ca="1" si="17"/>
        <v>9.5238095238095237</v>
      </c>
      <c r="BY16" s="150">
        <f t="shared" ca="1" si="18"/>
        <v>4</v>
      </c>
      <c r="BZ16" s="143"/>
      <c r="CA16" s="226">
        <v>12</v>
      </c>
      <c r="CB16" s="202"/>
      <c r="CC16" s="227">
        <f t="shared" ca="1" si="19"/>
        <v>2</v>
      </c>
      <c r="CD16" s="202"/>
      <c r="CE16" s="140"/>
      <c r="CF16" s="147"/>
      <c r="CG16" s="139"/>
      <c r="CH16" s="140"/>
      <c r="CI16" s="147"/>
      <c r="CJ16" s="139"/>
      <c r="CK16" s="140"/>
    </row>
    <row r="17" spans="1:89" ht="14.25">
      <c r="A17" s="136"/>
      <c r="B17" s="30" t="s">
        <v>45</v>
      </c>
      <c r="C17" s="30" t="s">
        <v>3</v>
      </c>
      <c r="D17" s="137">
        <f t="shared" si="11"/>
        <v>1</v>
      </c>
      <c r="E17" s="208"/>
      <c r="F17" s="202"/>
      <c r="G17" s="207"/>
      <c r="H17" s="202"/>
      <c r="I17" s="208"/>
      <c r="J17" s="202"/>
      <c r="K17" s="208">
        <f t="shared" si="12"/>
        <v>0</v>
      </c>
      <c r="L17" s="202"/>
      <c r="M17" s="207"/>
      <c r="N17" s="202"/>
      <c r="O17" s="209"/>
      <c r="P17" s="202"/>
      <c r="Q17" s="206"/>
      <c r="R17" s="202"/>
      <c r="S17" s="207"/>
      <c r="T17" s="202"/>
      <c r="U17" s="207">
        <v>18</v>
      </c>
      <c r="V17" s="202"/>
      <c r="W17" s="208"/>
      <c r="X17" s="202"/>
      <c r="Y17" s="210">
        <f t="shared" si="13"/>
        <v>1</v>
      </c>
      <c r="Z17" s="202"/>
      <c r="AA17" s="207"/>
      <c r="AB17" s="202"/>
      <c r="AC17" s="209"/>
      <c r="AD17" s="202"/>
      <c r="AE17" s="206"/>
      <c r="AF17" s="202"/>
      <c r="AG17" s="207"/>
      <c r="AH17" s="202"/>
      <c r="AI17" s="207"/>
      <c r="AJ17" s="202"/>
      <c r="AK17" s="208"/>
      <c r="AL17" s="202"/>
      <c r="AM17" s="210">
        <f t="shared" si="14"/>
        <v>0</v>
      </c>
      <c r="AN17" s="202"/>
      <c r="AO17" s="207"/>
      <c r="AP17" s="202"/>
      <c r="AQ17" s="209"/>
      <c r="AR17" s="202"/>
      <c r="AS17" s="206"/>
      <c r="AT17" s="202"/>
      <c r="AU17" s="204"/>
      <c r="AV17" s="202"/>
      <c r="AW17" s="204"/>
      <c r="AX17" s="202"/>
      <c r="AY17" s="201"/>
      <c r="AZ17" s="202"/>
      <c r="BA17" s="210">
        <f t="shared" si="15"/>
        <v>0</v>
      </c>
      <c r="BB17" s="202"/>
      <c r="BC17" s="204"/>
      <c r="BD17" s="202"/>
      <c r="BE17" s="209"/>
      <c r="BF17" s="202"/>
      <c r="BG17" s="206"/>
      <c r="BH17" s="202"/>
      <c r="BI17" s="204"/>
      <c r="BJ17" s="202"/>
      <c r="BK17" s="204"/>
      <c r="BL17" s="202"/>
      <c r="BM17" s="201"/>
      <c r="BN17" s="202"/>
      <c r="BO17" s="203">
        <f t="shared" si="16"/>
        <v>0</v>
      </c>
      <c r="BP17" s="202"/>
      <c r="BQ17" s="138"/>
      <c r="BR17" s="139"/>
      <c r="BS17" s="139"/>
      <c r="BT17" s="139"/>
      <c r="BU17" s="139"/>
      <c r="BV17" s="148">
        <v>17</v>
      </c>
      <c r="BW17" s="149">
        <f ca="1">IFERROR(__xludf.DUMMYFUNCTION("COUNTIF(MAP($G$8:$H$503,LAMBDA(c,IF(TRIM(c)="""","""",MIN(VALUE(SPLIT(SUBSTITUTE(SUBSTITUTE(SUBSTITUTE(c,"" "",""""),""，"","",""),"";"","",""),"","")))))),BV17)"),9)</f>
        <v>9</v>
      </c>
      <c r="BX17" s="145">
        <f t="shared" ca="1" si="17"/>
        <v>21.428571428571427</v>
      </c>
      <c r="BY17" s="150">
        <f t="shared" ca="1" si="18"/>
        <v>9</v>
      </c>
      <c r="BZ17" s="143"/>
      <c r="CA17" s="226">
        <v>17</v>
      </c>
      <c r="CB17" s="202"/>
      <c r="CC17" s="227">
        <f t="shared" ca="1" si="19"/>
        <v>3</v>
      </c>
      <c r="CD17" s="202"/>
      <c r="CE17" s="140"/>
      <c r="CF17" s="147"/>
      <c r="CG17" s="139"/>
      <c r="CH17" s="140"/>
      <c r="CI17" s="147"/>
      <c r="CJ17" s="139"/>
      <c r="CK17" s="140"/>
    </row>
    <row r="18" spans="1:89" ht="14.25">
      <c r="A18" s="136"/>
      <c r="B18" s="30" t="s">
        <v>47</v>
      </c>
      <c r="C18" s="30" t="s">
        <v>4</v>
      </c>
      <c r="D18" s="137">
        <f t="shared" si="11"/>
        <v>6</v>
      </c>
      <c r="E18" s="208"/>
      <c r="F18" s="202"/>
      <c r="G18" s="207">
        <v>17</v>
      </c>
      <c r="H18" s="202"/>
      <c r="I18" s="208"/>
      <c r="J18" s="202"/>
      <c r="K18" s="208">
        <f t="shared" si="12"/>
        <v>1</v>
      </c>
      <c r="L18" s="202"/>
      <c r="M18" s="207">
        <v>17</v>
      </c>
      <c r="N18" s="202"/>
      <c r="O18" s="209"/>
      <c r="P18" s="202"/>
      <c r="Q18" s="206">
        <v>17</v>
      </c>
      <c r="R18" s="202"/>
      <c r="S18" s="207">
        <v>17</v>
      </c>
      <c r="T18" s="202"/>
      <c r="U18" s="207">
        <v>17</v>
      </c>
      <c r="V18" s="202"/>
      <c r="W18" s="208"/>
      <c r="X18" s="202"/>
      <c r="Y18" s="210">
        <f t="shared" si="13"/>
        <v>4</v>
      </c>
      <c r="Z18" s="202"/>
      <c r="AA18" s="207">
        <v>17</v>
      </c>
      <c r="AB18" s="202"/>
      <c r="AC18" s="209"/>
      <c r="AD18" s="202"/>
      <c r="AE18" s="206"/>
      <c r="AF18" s="202"/>
      <c r="AG18" s="207"/>
      <c r="AH18" s="202"/>
      <c r="AI18" s="207"/>
      <c r="AJ18" s="202"/>
      <c r="AK18" s="208"/>
      <c r="AL18" s="202"/>
      <c r="AM18" s="210">
        <f t="shared" si="14"/>
        <v>1</v>
      </c>
      <c r="AN18" s="202"/>
      <c r="AO18" s="207"/>
      <c r="AP18" s="202"/>
      <c r="AQ18" s="209"/>
      <c r="AR18" s="202"/>
      <c r="AS18" s="206"/>
      <c r="AT18" s="202"/>
      <c r="AU18" s="204"/>
      <c r="AV18" s="202"/>
      <c r="AW18" s="204"/>
      <c r="AX18" s="202"/>
      <c r="AY18" s="201"/>
      <c r="AZ18" s="202"/>
      <c r="BA18" s="210">
        <f t="shared" si="15"/>
        <v>0</v>
      </c>
      <c r="BB18" s="202"/>
      <c r="BC18" s="204"/>
      <c r="BD18" s="202"/>
      <c r="BE18" s="209"/>
      <c r="BF18" s="202"/>
      <c r="BG18" s="206"/>
      <c r="BH18" s="202"/>
      <c r="BI18" s="204"/>
      <c r="BJ18" s="202"/>
      <c r="BK18" s="204"/>
      <c r="BL18" s="202"/>
      <c r="BM18" s="201"/>
      <c r="BN18" s="202"/>
      <c r="BO18" s="203">
        <f t="shared" si="16"/>
        <v>0</v>
      </c>
      <c r="BP18" s="202"/>
      <c r="BQ18" s="138"/>
      <c r="BR18" s="139"/>
      <c r="BS18" s="139"/>
      <c r="BT18" s="139"/>
      <c r="BU18" s="139"/>
      <c r="BV18" s="148">
        <v>18</v>
      </c>
      <c r="BW18" s="149">
        <f ca="1">IFERROR(__xludf.DUMMYFUNCTION("COUNTIF(MAP($G$8:$H$503,LAMBDA(c,IF(TRIM(c)="""","""",MIN(VALUE(SPLIT(SUBSTITUTE(SUBSTITUTE(SUBSTITUTE(c,"" "",""""),""，"","",""),"";"","",""),"","")))))),BV18)"),5)</f>
        <v>5</v>
      </c>
      <c r="BX18" s="145">
        <f t="shared" ca="1" si="17"/>
        <v>11.904761904761903</v>
      </c>
      <c r="BY18" s="150">
        <f t="shared" ca="1" si="18"/>
        <v>5</v>
      </c>
      <c r="BZ18" s="143"/>
      <c r="CA18" s="226">
        <v>18</v>
      </c>
      <c r="CB18" s="202"/>
      <c r="CC18" s="227">
        <f t="shared" ca="1" si="19"/>
        <v>2</v>
      </c>
      <c r="CD18" s="202"/>
      <c r="CE18" s="140"/>
      <c r="CF18" s="147"/>
      <c r="CG18" s="139"/>
      <c r="CH18" s="140"/>
      <c r="CI18" s="147"/>
      <c r="CJ18" s="139"/>
      <c r="CK18" s="140"/>
    </row>
    <row r="19" spans="1:89" ht="14.25">
      <c r="A19" s="136"/>
      <c r="B19" s="30" t="s">
        <v>49</v>
      </c>
      <c r="C19" s="30" t="s">
        <v>4</v>
      </c>
      <c r="D19" s="137">
        <f t="shared" si="11"/>
        <v>1</v>
      </c>
      <c r="E19" s="208"/>
      <c r="F19" s="202"/>
      <c r="G19" s="207"/>
      <c r="H19" s="202"/>
      <c r="I19" s="208"/>
      <c r="J19" s="202"/>
      <c r="K19" s="208">
        <f t="shared" si="12"/>
        <v>0</v>
      </c>
      <c r="L19" s="202"/>
      <c r="M19" s="207"/>
      <c r="N19" s="202"/>
      <c r="O19" s="209"/>
      <c r="P19" s="202"/>
      <c r="Q19" s="206"/>
      <c r="R19" s="202"/>
      <c r="S19" s="207"/>
      <c r="T19" s="202"/>
      <c r="U19" s="207"/>
      <c r="V19" s="202"/>
      <c r="W19" s="208"/>
      <c r="X19" s="202"/>
      <c r="Y19" s="210">
        <f t="shared" si="13"/>
        <v>0</v>
      </c>
      <c r="Z19" s="202"/>
      <c r="AA19" s="207">
        <v>7</v>
      </c>
      <c r="AB19" s="202"/>
      <c r="AC19" s="209"/>
      <c r="AD19" s="202"/>
      <c r="AE19" s="206"/>
      <c r="AF19" s="202"/>
      <c r="AG19" s="207"/>
      <c r="AH19" s="202"/>
      <c r="AI19" s="207"/>
      <c r="AJ19" s="202"/>
      <c r="AK19" s="208"/>
      <c r="AL19" s="202"/>
      <c r="AM19" s="210">
        <f t="shared" si="14"/>
        <v>1</v>
      </c>
      <c r="AN19" s="202"/>
      <c r="AO19" s="207"/>
      <c r="AP19" s="202"/>
      <c r="AQ19" s="209"/>
      <c r="AR19" s="202"/>
      <c r="AS19" s="206"/>
      <c r="AT19" s="202"/>
      <c r="AU19" s="204"/>
      <c r="AV19" s="202"/>
      <c r="AW19" s="204"/>
      <c r="AX19" s="202"/>
      <c r="AY19" s="201"/>
      <c r="AZ19" s="202"/>
      <c r="BA19" s="210">
        <f t="shared" si="15"/>
        <v>0</v>
      </c>
      <c r="BB19" s="202"/>
      <c r="BC19" s="204"/>
      <c r="BD19" s="202"/>
      <c r="BE19" s="209"/>
      <c r="BF19" s="202"/>
      <c r="BG19" s="206"/>
      <c r="BH19" s="202"/>
      <c r="BI19" s="204"/>
      <c r="BJ19" s="202"/>
      <c r="BK19" s="204"/>
      <c r="BL19" s="202"/>
      <c r="BM19" s="201"/>
      <c r="BN19" s="202"/>
      <c r="BO19" s="203">
        <f t="shared" si="16"/>
        <v>0</v>
      </c>
      <c r="BP19" s="202"/>
      <c r="BQ19" s="138"/>
      <c r="BR19" s="139"/>
      <c r="BS19" s="139"/>
      <c r="BT19" s="139"/>
      <c r="BU19" s="139"/>
      <c r="BV19" s="148">
        <v>19</v>
      </c>
      <c r="BW19" s="149">
        <f ca="1">IFERROR(__xludf.DUMMYFUNCTION("COUNTIF(MAP($G$8:$H$503,LAMBDA(c,IF(TRIM(c)="""","""",MIN(VALUE(SPLIT(SUBSTITUTE(SUBSTITUTE(SUBSTITUTE(c,"" "",""""),""，"","",""),"";"","",""),"","")))))),BV19)"),1)</f>
        <v>1</v>
      </c>
      <c r="BX19" s="145">
        <f t="shared" ca="1" si="17"/>
        <v>2.3809523809523809</v>
      </c>
      <c r="BY19" s="150">
        <f t="shared" ca="1" si="18"/>
        <v>1</v>
      </c>
      <c r="BZ19" s="143"/>
      <c r="CA19" s="226">
        <v>19</v>
      </c>
      <c r="CB19" s="202"/>
      <c r="CC19" s="227">
        <f t="shared" ca="1" si="19"/>
        <v>1</v>
      </c>
      <c r="CD19" s="202"/>
      <c r="CE19" s="140"/>
      <c r="CF19" s="147"/>
      <c r="CG19" s="139"/>
      <c r="CH19" s="140"/>
      <c r="CI19" s="147"/>
      <c r="CJ19" s="139"/>
      <c r="CK19" s="140"/>
    </row>
    <row r="20" spans="1:89" ht="14.25">
      <c r="A20" s="142"/>
      <c r="B20" s="30" t="s">
        <v>51</v>
      </c>
      <c r="C20" s="30" t="s">
        <v>4</v>
      </c>
      <c r="D20" s="137">
        <f t="shared" si="11"/>
        <v>6</v>
      </c>
      <c r="E20" s="208"/>
      <c r="F20" s="202"/>
      <c r="G20" s="207">
        <v>18</v>
      </c>
      <c r="H20" s="202"/>
      <c r="I20" s="208"/>
      <c r="J20" s="202"/>
      <c r="K20" s="208">
        <f t="shared" si="12"/>
        <v>1</v>
      </c>
      <c r="L20" s="202"/>
      <c r="M20" s="207">
        <v>20</v>
      </c>
      <c r="N20" s="202"/>
      <c r="O20" s="209">
        <v>20</v>
      </c>
      <c r="P20" s="202"/>
      <c r="Q20" s="206"/>
      <c r="R20" s="202"/>
      <c r="S20" s="207">
        <v>20</v>
      </c>
      <c r="T20" s="202"/>
      <c r="U20" s="207">
        <v>19</v>
      </c>
      <c r="V20" s="202"/>
      <c r="W20" s="208"/>
      <c r="X20" s="202"/>
      <c r="Y20" s="210">
        <f t="shared" si="13"/>
        <v>4</v>
      </c>
      <c r="Z20" s="202"/>
      <c r="AA20" s="207">
        <v>20</v>
      </c>
      <c r="AB20" s="202"/>
      <c r="AC20" s="209"/>
      <c r="AD20" s="202"/>
      <c r="AE20" s="206"/>
      <c r="AF20" s="202"/>
      <c r="AG20" s="207"/>
      <c r="AH20" s="202"/>
      <c r="AI20" s="207"/>
      <c r="AJ20" s="202"/>
      <c r="AK20" s="208"/>
      <c r="AL20" s="202"/>
      <c r="AM20" s="210">
        <f t="shared" si="14"/>
        <v>1</v>
      </c>
      <c r="AN20" s="202"/>
      <c r="AO20" s="207"/>
      <c r="AP20" s="202"/>
      <c r="AQ20" s="209"/>
      <c r="AR20" s="202"/>
      <c r="AS20" s="206"/>
      <c r="AT20" s="202"/>
      <c r="AU20" s="204"/>
      <c r="AV20" s="202"/>
      <c r="AW20" s="204"/>
      <c r="AX20" s="202"/>
      <c r="AY20" s="201"/>
      <c r="AZ20" s="202"/>
      <c r="BA20" s="210">
        <f t="shared" si="15"/>
        <v>0</v>
      </c>
      <c r="BB20" s="202"/>
      <c r="BC20" s="204"/>
      <c r="BD20" s="202"/>
      <c r="BE20" s="209"/>
      <c r="BF20" s="202"/>
      <c r="BG20" s="206"/>
      <c r="BH20" s="202"/>
      <c r="BI20" s="204"/>
      <c r="BJ20" s="202"/>
      <c r="BK20" s="204"/>
      <c r="BL20" s="202"/>
      <c r="BM20" s="201"/>
      <c r="BN20" s="202"/>
      <c r="BO20" s="203">
        <f t="shared" si="16"/>
        <v>0</v>
      </c>
      <c r="BP20" s="202"/>
      <c r="BQ20" s="138"/>
      <c r="BR20" s="128"/>
      <c r="BS20" s="128"/>
      <c r="BT20" s="128"/>
      <c r="BU20" s="128"/>
      <c r="BV20" s="148">
        <v>20</v>
      </c>
      <c r="BW20" s="149">
        <f ca="1">IFERROR(__xludf.DUMMYFUNCTION("COUNTIF(MAP($G$8:$H$503,LAMBDA(c,IF(TRIM(c)="""","""",MIN(VALUE(SPLIT(SUBSTITUTE(SUBSTITUTE(SUBSTITUTE(c,"" "",""""),""，"","",""),"";"","",""),"","")))))),BV20)"),5)</f>
        <v>5</v>
      </c>
      <c r="BX20" s="145">
        <f t="shared" ca="1" si="17"/>
        <v>11.904761904761903</v>
      </c>
      <c r="BY20" s="150">
        <f t="shared" ca="1" si="18"/>
        <v>5</v>
      </c>
      <c r="BZ20" s="143"/>
      <c r="CA20" s="226">
        <v>20</v>
      </c>
      <c r="CB20" s="202"/>
      <c r="CC20" s="227">
        <f t="shared" ca="1" si="19"/>
        <v>3</v>
      </c>
      <c r="CD20" s="202"/>
      <c r="CE20" s="140"/>
      <c r="CF20" s="74"/>
      <c r="CG20" s="139"/>
      <c r="CH20" s="140"/>
      <c r="CI20" s="74"/>
      <c r="CJ20" s="139"/>
      <c r="CK20" s="140"/>
    </row>
    <row r="21" spans="1:89" ht="14.25">
      <c r="A21" s="136"/>
      <c r="B21" s="30" t="s">
        <v>53</v>
      </c>
      <c r="C21" s="30" t="s">
        <v>4</v>
      </c>
      <c r="D21" s="137">
        <f t="shared" si="11"/>
        <v>0</v>
      </c>
      <c r="E21" s="208"/>
      <c r="F21" s="202"/>
      <c r="G21" s="207"/>
      <c r="H21" s="202"/>
      <c r="I21" s="208"/>
      <c r="J21" s="202"/>
      <c r="K21" s="208">
        <f t="shared" si="12"/>
        <v>0</v>
      </c>
      <c r="L21" s="202"/>
      <c r="M21" s="207"/>
      <c r="N21" s="202"/>
      <c r="O21" s="209"/>
      <c r="P21" s="202"/>
      <c r="Q21" s="206"/>
      <c r="R21" s="202"/>
      <c r="S21" s="207"/>
      <c r="T21" s="202"/>
      <c r="U21" s="207"/>
      <c r="V21" s="202"/>
      <c r="W21" s="208"/>
      <c r="X21" s="202"/>
      <c r="Y21" s="210">
        <f t="shared" si="13"/>
        <v>0</v>
      </c>
      <c r="Z21" s="202"/>
      <c r="AA21" s="207"/>
      <c r="AB21" s="202"/>
      <c r="AC21" s="209"/>
      <c r="AD21" s="202"/>
      <c r="AE21" s="206"/>
      <c r="AF21" s="202"/>
      <c r="AG21" s="207"/>
      <c r="AH21" s="202"/>
      <c r="AI21" s="207"/>
      <c r="AJ21" s="202"/>
      <c r="AK21" s="208"/>
      <c r="AL21" s="202"/>
      <c r="AM21" s="210">
        <f t="shared" si="14"/>
        <v>0</v>
      </c>
      <c r="AN21" s="202"/>
      <c r="AO21" s="207"/>
      <c r="AP21" s="202"/>
      <c r="AQ21" s="209"/>
      <c r="AR21" s="202"/>
      <c r="AS21" s="206"/>
      <c r="AT21" s="202"/>
      <c r="AU21" s="204"/>
      <c r="AV21" s="202"/>
      <c r="AW21" s="204"/>
      <c r="AX21" s="202"/>
      <c r="AY21" s="201"/>
      <c r="AZ21" s="202"/>
      <c r="BA21" s="210">
        <f t="shared" si="15"/>
        <v>0</v>
      </c>
      <c r="BB21" s="202"/>
      <c r="BC21" s="204"/>
      <c r="BD21" s="202"/>
      <c r="BE21" s="209"/>
      <c r="BF21" s="202"/>
      <c r="BG21" s="206"/>
      <c r="BH21" s="202"/>
      <c r="BI21" s="204"/>
      <c r="BJ21" s="202"/>
      <c r="BK21" s="204"/>
      <c r="BL21" s="202"/>
      <c r="BM21" s="201"/>
      <c r="BN21" s="202"/>
      <c r="BO21" s="203">
        <f t="shared" si="16"/>
        <v>0</v>
      </c>
      <c r="BP21" s="202"/>
      <c r="BQ21" s="138"/>
      <c r="BR21" s="139"/>
      <c r="BS21" s="139"/>
      <c r="BT21" s="139"/>
      <c r="BU21" s="139"/>
      <c r="BV21" s="148">
        <v>21</v>
      </c>
      <c r="BW21" s="149">
        <f ca="1">IFERROR(__xludf.DUMMYFUNCTION("COUNTIF(MAP($G$8:$H$503,LAMBDA(c,IF(TRIM(c)="""","""",MIN(VALUE(SPLIT(SUBSTITUTE(SUBSTITUTE(SUBSTITUTE(c,"" "",""""),""，"","",""),"";"","",""),"","")))))),BV21)"),5)</f>
        <v>5</v>
      </c>
      <c r="BX21" s="145">
        <f t="shared" ca="1" si="17"/>
        <v>11.904761904761903</v>
      </c>
      <c r="BY21" s="150">
        <f t="shared" ca="1" si="18"/>
        <v>5</v>
      </c>
      <c r="BZ21" s="143"/>
      <c r="CA21" s="226">
        <v>21</v>
      </c>
      <c r="CB21" s="202"/>
      <c r="CC21" s="227">
        <f t="shared" ca="1" si="19"/>
        <v>2</v>
      </c>
      <c r="CD21" s="202"/>
      <c r="CE21" s="140"/>
      <c r="CF21" s="147"/>
      <c r="CG21" s="139"/>
      <c r="CH21" s="140"/>
      <c r="CI21" s="147"/>
      <c r="CJ21" s="139"/>
      <c r="CK21" s="140"/>
    </row>
    <row r="22" spans="1:89" ht="14.25">
      <c r="A22" s="136"/>
      <c r="B22" s="30" t="s">
        <v>55</v>
      </c>
      <c r="C22" s="30" t="s">
        <v>4</v>
      </c>
      <c r="D22" s="137">
        <f t="shared" si="11"/>
        <v>0</v>
      </c>
      <c r="E22" s="208"/>
      <c r="F22" s="202"/>
      <c r="G22" s="207"/>
      <c r="H22" s="202"/>
      <c r="I22" s="208"/>
      <c r="J22" s="202"/>
      <c r="K22" s="208">
        <f t="shared" si="12"/>
        <v>0</v>
      </c>
      <c r="L22" s="202"/>
      <c r="M22" s="207"/>
      <c r="N22" s="202"/>
      <c r="O22" s="209"/>
      <c r="P22" s="202"/>
      <c r="Q22" s="206"/>
      <c r="R22" s="202"/>
      <c r="S22" s="207"/>
      <c r="T22" s="202"/>
      <c r="U22" s="207"/>
      <c r="V22" s="202"/>
      <c r="W22" s="208"/>
      <c r="X22" s="202"/>
      <c r="Y22" s="210">
        <f t="shared" si="13"/>
        <v>0</v>
      </c>
      <c r="Z22" s="202"/>
      <c r="AA22" s="207"/>
      <c r="AB22" s="202"/>
      <c r="AC22" s="209"/>
      <c r="AD22" s="202"/>
      <c r="AE22" s="206"/>
      <c r="AF22" s="202"/>
      <c r="AG22" s="207"/>
      <c r="AH22" s="202"/>
      <c r="AI22" s="207"/>
      <c r="AJ22" s="202"/>
      <c r="AK22" s="208"/>
      <c r="AL22" s="202"/>
      <c r="AM22" s="210">
        <f t="shared" si="14"/>
        <v>0</v>
      </c>
      <c r="AN22" s="202"/>
      <c r="AO22" s="207"/>
      <c r="AP22" s="202"/>
      <c r="AQ22" s="209"/>
      <c r="AR22" s="202"/>
      <c r="AS22" s="206"/>
      <c r="AT22" s="202"/>
      <c r="AU22" s="204"/>
      <c r="AV22" s="202"/>
      <c r="AW22" s="204"/>
      <c r="AX22" s="202"/>
      <c r="AY22" s="201"/>
      <c r="AZ22" s="202"/>
      <c r="BA22" s="210">
        <f t="shared" si="15"/>
        <v>0</v>
      </c>
      <c r="BB22" s="202"/>
      <c r="BC22" s="204"/>
      <c r="BD22" s="202"/>
      <c r="BE22" s="209"/>
      <c r="BF22" s="202"/>
      <c r="BG22" s="206"/>
      <c r="BH22" s="202"/>
      <c r="BI22" s="204"/>
      <c r="BJ22" s="202"/>
      <c r="BK22" s="204"/>
      <c r="BL22" s="202"/>
      <c r="BM22" s="201"/>
      <c r="BN22" s="202"/>
      <c r="BO22" s="203">
        <f t="shared" si="16"/>
        <v>0</v>
      </c>
      <c r="BP22" s="202"/>
      <c r="BQ22" s="138"/>
      <c r="BR22" s="139"/>
      <c r="BS22" s="139"/>
      <c r="BT22" s="139"/>
      <c r="BU22" s="139"/>
      <c r="BV22" s="151"/>
      <c r="BW22" s="151"/>
      <c r="BX22" s="151"/>
      <c r="BY22" s="152"/>
      <c r="BZ22" s="143"/>
      <c r="CA22" s="153"/>
      <c r="CB22" s="143"/>
      <c r="CC22" s="152"/>
      <c r="CD22" s="143"/>
      <c r="CE22" s="140"/>
      <c r="CF22" s="147"/>
      <c r="CG22" s="139"/>
      <c r="CH22" s="140"/>
      <c r="CI22" s="147"/>
      <c r="CJ22" s="139"/>
      <c r="CK22" s="140"/>
    </row>
    <row r="23" spans="1:89" ht="14.25">
      <c r="A23" s="136"/>
      <c r="B23" s="30" t="s">
        <v>58</v>
      </c>
      <c r="C23" s="30" t="s">
        <v>4</v>
      </c>
      <c r="D23" s="137">
        <f t="shared" si="11"/>
        <v>0</v>
      </c>
      <c r="E23" s="208"/>
      <c r="F23" s="202"/>
      <c r="G23" s="207"/>
      <c r="H23" s="202"/>
      <c r="I23" s="208"/>
      <c r="J23" s="202"/>
      <c r="K23" s="208">
        <f t="shared" si="12"/>
        <v>0</v>
      </c>
      <c r="L23" s="202"/>
      <c r="M23" s="207"/>
      <c r="N23" s="202"/>
      <c r="O23" s="209"/>
      <c r="P23" s="202"/>
      <c r="Q23" s="206"/>
      <c r="R23" s="202"/>
      <c r="S23" s="207"/>
      <c r="T23" s="202"/>
      <c r="U23" s="207"/>
      <c r="V23" s="202"/>
      <c r="W23" s="208"/>
      <c r="X23" s="202"/>
      <c r="Y23" s="210">
        <f t="shared" si="13"/>
        <v>0</v>
      </c>
      <c r="Z23" s="202"/>
      <c r="AA23" s="207"/>
      <c r="AB23" s="202"/>
      <c r="AC23" s="209"/>
      <c r="AD23" s="202"/>
      <c r="AE23" s="206"/>
      <c r="AF23" s="202"/>
      <c r="AG23" s="207"/>
      <c r="AH23" s="202"/>
      <c r="AI23" s="207"/>
      <c r="AJ23" s="202"/>
      <c r="AK23" s="208"/>
      <c r="AL23" s="202"/>
      <c r="AM23" s="210">
        <f t="shared" si="14"/>
        <v>0</v>
      </c>
      <c r="AN23" s="202"/>
      <c r="AO23" s="207"/>
      <c r="AP23" s="202"/>
      <c r="AQ23" s="209"/>
      <c r="AR23" s="202"/>
      <c r="AS23" s="206"/>
      <c r="AT23" s="202"/>
      <c r="AU23" s="204"/>
      <c r="AV23" s="202"/>
      <c r="AW23" s="204"/>
      <c r="AX23" s="202"/>
      <c r="AY23" s="201"/>
      <c r="AZ23" s="202"/>
      <c r="BA23" s="210">
        <f t="shared" si="15"/>
        <v>0</v>
      </c>
      <c r="BB23" s="202"/>
      <c r="BC23" s="204"/>
      <c r="BD23" s="202"/>
      <c r="BE23" s="209"/>
      <c r="BF23" s="202"/>
      <c r="BG23" s="206"/>
      <c r="BH23" s="202"/>
      <c r="BI23" s="204"/>
      <c r="BJ23" s="202"/>
      <c r="BK23" s="204"/>
      <c r="BL23" s="202"/>
      <c r="BM23" s="201"/>
      <c r="BN23" s="202"/>
      <c r="BO23" s="203">
        <f t="shared" si="16"/>
        <v>0</v>
      </c>
      <c r="BP23" s="202"/>
      <c r="BQ23" s="138"/>
      <c r="BR23" s="139"/>
      <c r="BS23" s="139"/>
      <c r="BT23" s="139"/>
      <c r="BU23" s="139"/>
      <c r="BV23" s="228" t="s">
        <v>19</v>
      </c>
      <c r="BW23" s="225"/>
      <c r="BX23" s="225"/>
      <c r="BY23" s="202"/>
      <c r="BZ23" s="143"/>
      <c r="CA23" s="153"/>
      <c r="CB23" s="143"/>
      <c r="CC23" s="152"/>
      <c r="CD23" s="143"/>
      <c r="CE23" s="139"/>
      <c r="CF23" s="147"/>
      <c r="CG23" s="139"/>
      <c r="CH23" s="139"/>
      <c r="CI23" s="147"/>
      <c r="CJ23" s="139"/>
      <c r="CK23" s="139"/>
    </row>
    <row r="24" spans="1:89" ht="14.25">
      <c r="A24" s="136"/>
      <c r="B24" s="30" t="s">
        <v>60</v>
      </c>
      <c r="C24" s="30" t="s">
        <v>4</v>
      </c>
      <c r="D24" s="137">
        <f t="shared" si="11"/>
        <v>1</v>
      </c>
      <c r="E24" s="208"/>
      <c r="F24" s="202"/>
      <c r="G24" s="207"/>
      <c r="H24" s="202"/>
      <c r="I24" s="208"/>
      <c r="J24" s="202"/>
      <c r="K24" s="208">
        <f t="shared" si="12"/>
        <v>0</v>
      </c>
      <c r="L24" s="202"/>
      <c r="M24" s="207"/>
      <c r="N24" s="202"/>
      <c r="O24" s="209"/>
      <c r="P24" s="202"/>
      <c r="Q24" s="206"/>
      <c r="R24" s="202"/>
      <c r="S24" s="207"/>
      <c r="T24" s="202"/>
      <c r="U24" s="207"/>
      <c r="V24" s="202"/>
      <c r="W24" s="208"/>
      <c r="X24" s="202"/>
      <c r="Y24" s="210">
        <f t="shared" si="13"/>
        <v>0</v>
      </c>
      <c r="Z24" s="202"/>
      <c r="AA24" s="207">
        <v>8</v>
      </c>
      <c r="AB24" s="202"/>
      <c r="AC24" s="209"/>
      <c r="AD24" s="202"/>
      <c r="AE24" s="206"/>
      <c r="AF24" s="202"/>
      <c r="AG24" s="207"/>
      <c r="AH24" s="202"/>
      <c r="AI24" s="207"/>
      <c r="AJ24" s="202"/>
      <c r="AK24" s="208"/>
      <c r="AL24" s="202"/>
      <c r="AM24" s="210">
        <f t="shared" si="14"/>
        <v>1</v>
      </c>
      <c r="AN24" s="202"/>
      <c r="AO24" s="207"/>
      <c r="AP24" s="202"/>
      <c r="AQ24" s="209"/>
      <c r="AR24" s="202"/>
      <c r="AS24" s="206"/>
      <c r="AT24" s="202"/>
      <c r="AU24" s="204"/>
      <c r="AV24" s="202"/>
      <c r="AW24" s="204"/>
      <c r="AX24" s="202"/>
      <c r="AY24" s="201"/>
      <c r="AZ24" s="202"/>
      <c r="BA24" s="210">
        <f t="shared" si="15"/>
        <v>0</v>
      </c>
      <c r="BB24" s="202"/>
      <c r="BC24" s="204"/>
      <c r="BD24" s="202"/>
      <c r="BE24" s="209"/>
      <c r="BF24" s="202"/>
      <c r="BG24" s="206"/>
      <c r="BH24" s="202"/>
      <c r="BI24" s="204"/>
      <c r="BJ24" s="202"/>
      <c r="BK24" s="204"/>
      <c r="BL24" s="202"/>
      <c r="BM24" s="201"/>
      <c r="BN24" s="202"/>
      <c r="BO24" s="203">
        <f t="shared" si="16"/>
        <v>0</v>
      </c>
      <c r="BP24" s="202"/>
      <c r="BQ24" s="138"/>
      <c r="BR24" s="139"/>
      <c r="BS24" s="139"/>
      <c r="BT24" s="139"/>
      <c r="BU24" s="139"/>
      <c r="BV24" s="144" t="s">
        <v>367</v>
      </c>
      <c r="BW24" s="144" t="s">
        <v>368</v>
      </c>
      <c r="BX24" s="145" t="s">
        <v>369</v>
      </c>
      <c r="BY24" s="146" t="s">
        <v>356</v>
      </c>
      <c r="BZ24" s="143"/>
      <c r="CA24" s="143"/>
      <c r="CB24" s="143"/>
      <c r="CC24" s="152"/>
      <c r="CD24" s="143"/>
      <c r="CE24" s="139"/>
      <c r="CF24" s="139"/>
      <c r="CG24" s="139"/>
      <c r="CH24" s="139"/>
      <c r="CI24" s="139"/>
      <c r="CJ24" s="139"/>
      <c r="CK24" s="139"/>
    </row>
    <row r="25" spans="1:89" ht="14.25">
      <c r="A25" s="136"/>
      <c r="B25" s="30" t="s">
        <v>62</v>
      </c>
      <c r="C25" s="30" t="s">
        <v>4</v>
      </c>
      <c r="D25" s="137">
        <f t="shared" si="11"/>
        <v>6</v>
      </c>
      <c r="E25" s="208"/>
      <c r="F25" s="202"/>
      <c r="G25" s="207"/>
      <c r="H25" s="202"/>
      <c r="I25" s="208"/>
      <c r="J25" s="202"/>
      <c r="K25" s="208">
        <f t="shared" si="12"/>
        <v>0</v>
      </c>
      <c r="L25" s="202"/>
      <c r="M25" s="207">
        <v>17</v>
      </c>
      <c r="N25" s="202"/>
      <c r="O25" s="209">
        <v>17</v>
      </c>
      <c r="P25" s="202"/>
      <c r="Q25" s="206">
        <v>10</v>
      </c>
      <c r="R25" s="202"/>
      <c r="S25" s="207">
        <v>17</v>
      </c>
      <c r="T25" s="202"/>
      <c r="U25" s="207">
        <v>17</v>
      </c>
      <c r="V25" s="202"/>
      <c r="W25" s="208"/>
      <c r="X25" s="202"/>
      <c r="Y25" s="210">
        <f t="shared" si="13"/>
        <v>5</v>
      </c>
      <c r="Z25" s="202"/>
      <c r="AA25" s="207">
        <v>17</v>
      </c>
      <c r="AB25" s="202"/>
      <c r="AC25" s="209"/>
      <c r="AD25" s="202"/>
      <c r="AE25" s="206"/>
      <c r="AF25" s="202"/>
      <c r="AG25" s="207"/>
      <c r="AH25" s="202"/>
      <c r="AI25" s="207"/>
      <c r="AJ25" s="202"/>
      <c r="AK25" s="208"/>
      <c r="AL25" s="202"/>
      <c r="AM25" s="210">
        <f t="shared" si="14"/>
        <v>1</v>
      </c>
      <c r="AN25" s="202"/>
      <c r="AO25" s="207"/>
      <c r="AP25" s="202"/>
      <c r="AQ25" s="209"/>
      <c r="AR25" s="202"/>
      <c r="AS25" s="206"/>
      <c r="AT25" s="202"/>
      <c r="AU25" s="204"/>
      <c r="AV25" s="202"/>
      <c r="AW25" s="204"/>
      <c r="AX25" s="202"/>
      <c r="AY25" s="201"/>
      <c r="AZ25" s="202"/>
      <c r="BA25" s="210">
        <f t="shared" si="15"/>
        <v>0</v>
      </c>
      <c r="BB25" s="202"/>
      <c r="BC25" s="204"/>
      <c r="BD25" s="202"/>
      <c r="BE25" s="209"/>
      <c r="BF25" s="202"/>
      <c r="BG25" s="206"/>
      <c r="BH25" s="202"/>
      <c r="BI25" s="204"/>
      <c r="BJ25" s="202"/>
      <c r="BK25" s="204"/>
      <c r="BL25" s="202"/>
      <c r="BM25" s="201"/>
      <c r="BN25" s="202"/>
      <c r="BO25" s="203">
        <f t="shared" si="16"/>
        <v>0</v>
      </c>
      <c r="BP25" s="202"/>
      <c r="BQ25" s="138"/>
      <c r="BR25" s="139"/>
      <c r="BS25" s="139"/>
      <c r="BT25" s="139"/>
      <c r="BU25" s="139"/>
      <c r="BV25" s="148">
        <v>7</v>
      </c>
      <c r="BW25" s="144">
        <f ca="1">IFERROR(__xludf.DUMMYFUNCTION("COUNTIF(MAP($M$8:$V$500,LAMBDA(c,IF(TRIM(c)="""","""",MIN(VALUE(SPLIT(SUBSTITUTE(SUBSTITUTE(SUBSTITUTE(c,"" "",""""),""，"","",""),"";"","",""),"","")))))),BV25)"),6)</f>
        <v>6</v>
      </c>
      <c r="BX25" s="145">
        <f t="shared" ref="BX25:BX33" ca="1" si="20">BW25/SUM($BW$25:$BW$34)*100</f>
        <v>2.2813688212927756</v>
      </c>
      <c r="BY25" s="150">
        <f t="shared" ref="BY25:BY33" ca="1" si="21">BW25/$BW$4</f>
        <v>1.2</v>
      </c>
      <c r="BZ25" s="143"/>
      <c r="CA25" s="143"/>
      <c r="CB25" s="143"/>
      <c r="CC25" s="143"/>
      <c r="CD25" s="143"/>
      <c r="CE25" s="139"/>
      <c r="CF25" s="139"/>
      <c r="CG25" s="136"/>
      <c r="CH25" s="136"/>
      <c r="CI25" s="139"/>
      <c r="CJ25" s="139"/>
      <c r="CK25" s="139"/>
    </row>
    <row r="26" spans="1:89" ht="14.25">
      <c r="A26" s="136"/>
      <c r="B26" s="30" t="s">
        <v>64</v>
      </c>
      <c r="C26" s="30" t="s">
        <v>4</v>
      </c>
      <c r="D26" s="137">
        <f t="shared" si="11"/>
        <v>0</v>
      </c>
      <c r="E26" s="208"/>
      <c r="F26" s="202"/>
      <c r="G26" s="207"/>
      <c r="H26" s="202"/>
      <c r="I26" s="208"/>
      <c r="J26" s="202"/>
      <c r="K26" s="208">
        <f t="shared" si="12"/>
        <v>0</v>
      </c>
      <c r="L26" s="202"/>
      <c r="M26" s="207"/>
      <c r="N26" s="202"/>
      <c r="O26" s="209"/>
      <c r="P26" s="202"/>
      <c r="Q26" s="206"/>
      <c r="R26" s="202"/>
      <c r="S26" s="207"/>
      <c r="T26" s="202"/>
      <c r="U26" s="207"/>
      <c r="V26" s="202"/>
      <c r="W26" s="208"/>
      <c r="X26" s="202"/>
      <c r="Y26" s="210">
        <f t="shared" si="13"/>
        <v>0</v>
      </c>
      <c r="Z26" s="202"/>
      <c r="AA26" s="207"/>
      <c r="AB26" s="202"/>
      <c r="AC26" s="209"/>
      <c r="AD26" s="202"/>
      <c r="AE26" s="206"/>
      <c r="AF26" s="202"/>
      <c r="AG26" s="207"/>
      <c r="AH26" s="202"/>
      <c r="AI26" s="207"/>
      <c r="AJ26" s="202"/>
      <c r="AK26" s="208"/>
      <c r="AL26" s="202"/>
      <c r="AM26" s="210">
        <f t="shared" si="14"/>
        <v>0</v>
      </c>
      <c r="AN26" s="202"/>
      <c r="AO26" s="207"/>
      <c r="AP26" s="202"/>
      <c r="AQ26" s="209"/>
      <c r="AR26" s="202"/>
      <c r="AS26" s="206"/>
      <c r="AT26" s="202"/>
      <c r="AU26" s="204"/>
      <c r="AV26" s="202"/>
      <c r="AW26" s="204"/>
      <c r="AX26" s="202"/>
      <c r="AY26" s="201"/>
      <c r="AZ26" s="202"/>
      <c r="BA26" s="210">
        <f t="shared" si="15"/>
        <v>0</v>
      </c>
      <c r="BB26" s="202"/>
      <c r="BC26" s="204"/>
      <c r="BD26" s="202"/>
      <c r="BE26" s="209"/>
      <c r="BF26" s="202"/>
      <c r="BG26" s="206"/>
      <c r="BH26" s="202"/>
      <c r="BI26" s="204"/>
      <c r="BJ26" s="202"/>
      <c r="BK26" s="204"/>
      <c r="BL26" s="202"/>
      <c r="BM26" s="201"/>
      <c r="BN26" s="202"/>
      <c r="BO26" s="203">
        <f t="shared" si="16"/>
        <v>0</v>
      </c>
      <c r="BP26" s="202"/>
      <c r="BQ26" s="138"/>
      <c r="BR26" s="139"/>
      <c r="BS26" s="139"/>
      <c r="BT26" s="139"/>
      <c r="BU26" s="139"/>
      <c r="BV26" s="148">
        <v>8</v>
      </c>
      <c r="BW26" s="144">
        <f ca="1">IFERROR(__xludf.DUMMYFUNCTION("COUNTIF(MAP($M$8:$V$500,LAMBDA(c,IF(TRIM(c)="""","""",MIN(VALUE(SPLIT(SUBSTITUTE(SUBSTITUTE(SUBSTITUTE(c,"" "",""""),""，"","",""),"";"","",""),"","")))))),BV26)"),20)</f>
        <v>20</v>
      </c>
      <c r="BX26" s="145">
        <f t="shared" ca="1" si="20"/>
        <v>7.6045627376425857</v>
      </c>
      <c r="BY26" s="150">
        <f t="shared" ca="1" si="21"/>
        <v>4</v>
      </c>
      <c r="BZ26" s="143"/>
      <c r="CA26" s="143"/>
      <c r="CB26" s="143"/>
      <c r="CC26" s="143"/>
      <c r="CD26" s="143"/>
      <c r="CE26" s="139"/>
      <c r="CF26" s="139"/>
      <c r="CG26" s="139"/>
      <c r="CH26" s="139"/>
      <c r="CI26" s="139"/>
      <c r="CJ26" s="139"/>
      <c r="CK26" s="139"/>
    </row>
    <row r="27" spans="1:89" ht="14.25">
      <c r="A27" s="136"/>
      <c r="B27" s="30" t="s">
        <v>66</v>
      </c>
      <c r="C27" s="30" t="s">
        <v>4</v>
      </c>
      <c r="D27" s="137">
        <f t="shared" si="11"/>
        <v>2</v>
      </c>
      <c r="E27" s="208"/>
      <c r="F27" s="202"/>
      <c r="G27" s="207"/>
      <c r="H27" s="202"/>
      <c r="I27" s="208"/>
      <c r="J27" s="202"/>
      <c r="K27" s="208">
        <f t="shared" si="12"/>
        <v>0</v>
      </c>
      <c r="L27" s="202"/>
      <c r="M27" s="207">
        <v>17</v>
      </c>
      <c r="N27" s="202"/>
      <c r="O27" s="209">
        <v>12</v>
      </c>
      <c r="P27" s="202"/>
      <c r="Q27" s="206"/>
      <c r="R27" s="202"/>
      <c r="S27" s="207"/>
      <c r="T27" s="202"/>
      <c r="U27" s="207"/>
      <c r="V27" s="202"/>
      <c r="W27" s="208"/>
      <c r="X27" s="202"/>
      <c r="Y27" s="210">
        <f t="shared" si="13"/>
        <v>2</v>
      </c>
      <c r="Z27" s="202"/>
      <c r="AA27" s="207"/>
      <c r="AB27" s="202"/>
      <c r="AC27" s="209"/>
      <c r="AD27" s="202"/>
      <c r="AE27" s="206"/>
      <c r="AF27" s="202"/>
      <c r="AG27" s="207"/>
      <c r="AH27" s="202"/>
      <c r="AI27" s="207"/>
      <c r="AJ27" s="202"/>
      <c r="AK27" s="208"/>
      <c r="AL27" s="202"/>
      <c r="AM27" s="210">
        <f t="shared" si="14"/>
        <v>0</v>
      </c>
      <c r="AN27" s="202"/>
      <c r="AO27" s="207"/>
      <c r="AP27" s="202"/>
      <c r="AQ27" s="209"/>
      <c r="AR27" s="202"/>
      <c r="AS27" s="206"/>
      <c r="AT27" s="202"/>
      <c r="AU27" s="204"/>
      <c r="AV27" s="202"/>
      <c r="AW27" s="204"/>
      <c r="AX27" s="202"/>
      <c r="AY27" s="201"/>
      <c r="AZ27" s="202"/>
      <c r="BA27" s="210">
        <f t="shared" si="15"/>
        <v>0</v>
      </c>
      <c r="BB27" s="202"/>
      <c r="BC27" s="204"/>
      <c r="BD27" s="202"/>
      <c r="BE27" s="209"/>
      <c r="BF27" s="202"/>
      <c r="BG27" s="206"/>
      <c r="BH27" s="202"/>
      <c r="BI27" s="204"/>
      <c r="BJ27" s="202"/>
      <c r="BK27" s="204"/>
      <c r="BL27" s="202"/>
      <c r="BM27" s="201"/>
      <c r="BN27" s="202"/>
      <c r="BO27" s="203">
        <f t="shared" si="16"/>
        <v>0</v>
      </c>
      <c r="BP27" s="202"/>
      <c r="BQ27" s="138"/>
      <c r="BR27" s="139"/>
      <c r="BS27" s="139"/>
      <c r="BT27" s="139"/>
      <c r="BU27" s="139"/>
      <c r="BV27" s="148">
        <v>10</v>
      </c>
      <c r="BW27" s="144">
        <f ca="1">IFERROR(__xludf.DUMMYFUNCTION("COUNTIF(MAP($M$8:$V$500,LAMBDA(c,IF(TRIM(c)="""","""",MIN(VALUE(SPLIT(SUBSTITUTE(SUBSTITUTE(SUBSTITUTE(c,"" "",""""),""，"","",""),"";"","",""),"","")))))),BV27)"),28)</f>
        <v>28</v>
      </c>
      <c r="BX27" s="145">
        <f t="shared" ca="1" si="20"/>
        <v>10.646387832699618</v>
      </c>
      <c r="BY27" s="150">
        <f t="shared" ca="1" si="21"/>
        <v>5.6</v>
      </c>
      <c r="BZ27" s="143"/>
      <c r="CA27" s="143"/>
      <c r="CB27" s="143"/>
      <c r="CC27" s="143"/>
      <c r="CD27" s="143"/>
      <c r="CE27" s="139"/>
      <c r="CF27" s="139"/>
      <c r="CG27" s="136"/>
      <c r="CH27" s="139"/>
      <c r="CI27" s="139"/>
      <c r="CJ27" s="139"/>
      <c r="CK27" s="139"/>
    </row>
    <row r="28" spans="1:89" ht="14.25">
      <c r="A28" s="136"/>
      <c r="B28" s="30" t="s">
        <v>68</v>
      </c>
      <c r="C28" s="30" t="s">
        <v>3</v>
      </c>
      <c r="D28" s="137">
        <f t="shared" si="11"/>
        <v>0</v>
      </c>
      <c r="E28" s="208"/>
      <c r="F28" s="202"/>
      <c r="G28" s="207"/>
      <c r="H28" s="202"/>
      <c r="I28" s="208"/>
      <c r="J28" s="202"/>
      <c r="K28" s="208">
        <f t="shared" si="12"/>
        <v>0</v>
      </c>
      <c r="L28" s="202"/>
      <c r="M28" s="207"/>
      <c r="N28" s="202"/>
      <c r="O28" s="209"/>
      <c r="P28" s="202"/>
      <c r="Q28" s="206"/>
      <c r="R28" s="202"/>
      <c r="S28" s="207"/>
      <c r="T28" s="202"/>
      <c r="U28" s="207"/>
      <c r="V28" s="202"/>
      <c r="W28" s="208"/>
      <c r="X28" s="202"/>
      <c r="Y28" s="210">
        <f t="shared" si="13"/>
        <v>0</v>
      </c>
      <c r="Z28" s="202"/>
      <c r="AA28" s="207"/>
      <c r="AB28" s="202"/>
      <c r="AC28" s="209"/>
      <c r="AD28" s="202"/>
      <c r="AE28" s="206"/>
      <c r="AF28" s="202"/>
      <c r="AG28" s="207"/>
      <c r="AH28" s="202"/>
      <c r="AI28" s="207"/>
      <c r="AJ28" s="202"/>
      <c r="AK28" s="208"/>
      <c r="AL28" s="202"/>
      <c r="AM28" s="210">
        <f t="shared" si="14"/>
        <v>0</v>
      </c>
      <c r="AN28" s="202"/>
      <c r="AO28" s="207"/>
      <c r="AP28" s="202"/>
      <c r="AQ28" s="209"/>
      <c r="AR28" s="202"/>
      <c r="AS28" s="206"/>
      <c r="AT28" s="202"/>
      <c r="AU28" s="204"/>
      <c r="AV28" s="202"/>
      <c r="AW28" s="204"/>
      <c r="AX28" s="202"/>
      <c r="AY28" s="201"/>
      <c r="AZ28" s="202"/>
      <c r="BA28" s="210">
        <f t="shared" si="15"/>
        <v>0</v>
      </c>
      <c r="BB28" s="202"/>
      <c r="BC28" s="204"/>
      <c r="BD28" s="202"/>
      <c r="BE28" s="209"/>
      <c r="BF28" s="202"/>
      <c r="BG28" s="206"/>
      <c r="BH28" s="202"/>
      <c r="BI28" s="204"/>
      <c r="BJ28" s="202"/>
      <c r="BK28" s="204"/>
      <c r="BL28" s="202"/>
      <c r="BM28" s="201"/>
      <c r="BN28" s="202"/>
      <c r="BO28" s="203">
        <f t="shared" si="16"/>
        <v>0</v>
      </c>
      <c r="BP28" s="202"/>
      <c r="BQ28" s="138"/>
      <c r="BR28" s="139"/>
      <c r="BS28" s="139"/>
      <c r="BT28" s="139"/>
      <c r="BU28" s="139"/>
      <c r="BV28" s="148">
        <v>12</v>
      </c>
      <c r="BW28" s="144">
        <f ca="1">IFERROR(__xludf.DUMMYFUNCTION("COUNTIF(MAP($M$8:$V$500,LAMBDA(c,IF(TRIM(c)="""","""",MIN(VALUE(SPLIT(SUBSTITUTE(SUBSTITUTE(SUBSTITUTE(c,"" "",""""),""，"","",""),"";"","",""),"","")))))),BV28)"),30)</f>
        <v>30</v>
      </c>
      <c r="BX28" s="145">
        <f t="shared" ca="1" si="20"/>
        <v>11.406844106463879</v>
      </c>
      <c r="BY28" s="150">
        <f t="shared" ca="1" si="21"/>
        <v>6</v>
      </c>
      <c r="BZ28" s="143"/>
      <c r="CA28" s="143"/>
      <c r="CB28" s="143"/>
      <c r="CC28" s="143"/>
      <c r="CD28" s="143"/>
      <c r="CE28" s="139"/>
      <c r="CF28" s="139"/>
      <c r="CG28" s="136"/>
      <c r="CH28" s="139"/>
      <c r="CI28" s="139"/>
      <c r="CJ28" s="139"/>
      <c r="CK28" s="139"/>
    </row>
    <row r="29" spans="1:89" ht="14.25">
      <c r="A29" s="142"/>
      <c r="B29" s="30" t="s">
        <v>70</v>
      </c>
      <c r="C29" s="30" t="s">
        <v>4</v>
      </c>
      <c r="D29" s="137">
        <f t="shared" si="11"/>
        <v>0</v>
      </c>
      <c r="E29" s="208"/>
      <c r="F29" s="202"/>
      <c r="G29" s="207"/>
      <c r="H29" s="202"/>
      <c r="I29" s="208"/>
      <c r="J29" s="202"/>
      <c r="K29" s="208">
        <f t="shared" si="12"/>
        <v>0</v>
      </c>
      <c r="L29" s="202"/>
      <c r="M29" s="207"/>
      <c r="N29" s="202"/>
      <c r="O29" s="209"/>
      <c r="P29" s="202"/>
      <c r="Q29" s="206"/>
      <c r="R29" s="202"/>
      <c r="S29" s="207"/>
      <c r="T29" s="202"/>
      <c r="U29" s="207"/>
      <c r="V29" s="202"/>
      <c r="W29" s="208"/>
      <c r="X29" s="202"/>
      <c r="Y29" s="210">
        <f t="shared" si="13"/>
        <v>0</v>
      </c>
      <c r="Z29" s="202"/>
      <c r="AA29" s="207"/>
      <c r="AB29" s="202"/>
      <c r="AC29" s="209"/>
      <c r="AD29" s="202"/>
      <c r="AE29" s="206"/>
      <c r="AF29" s="202"/>
      <c r="AG29" s="207"/>
      <c r="AH29" s="202"/>
      <c r="AI29" s="207"/>
      <c r="AJ29" s="202"/>
      <c r="AK29" s="208"/>
      <c r="AL29" s="202"/>
      <c r="AM29" s="210">
        <f t="shared" si="14"/>
        <v>0</v>
      </c>
      <c r="AN29" s="202"/>
      <c r="AO29" s="207"/>
      <c r="AP29" s="202"/>
      <c r="AQ29" s="209"/>
      <c r="AR29" s="202"/>
      <c r="AS29" s="206"/>
      <c r="AT29" s="202"/>
      <c r="AU29" s="204"/>
      <c r="AV29" s="202"/>
      <c r="AW29" s="204"/>
      <c r="AX29" s="202"/>
      <c r="AY29" s="201"/>
      <c r="AZ29" s="202"/>
      <c r="BA29" s="210">
        <f t="shared" si="15"/>
        <v>0</v>
      </c>
      <c r="BB29" s="202"/>
      <c r="BC29" s="204"/>
      <c r="BD29" s="202"/>
      <c r="BE29" s="209"/>
      <c r="BF29" s="202"/>
      <c r="BG29" s="206"/>
      <c r="BH29" s="202"/>
      <c r="BI29" s="204"/>
      <c r="BJ29" s="202"/>
      <c r="BK29" s="204"/>
      <c r="BL29" s="202"/>
      <c r="BM29" s="201"/>
      <c r="BN29" s="202"/>
      <c r="BO29" s="203">
        <f t="shared" si="16"/>
        <v>0</v>
      </c>
      <c r="BP29" s="202"/>
      <c r="BQ29" s="138"/>
      <c r="BR29" s="128"/>
      <c r="BS29" s="128"/>
      <c r="BT29" s="128"/>
      <c r="BU29" s="128"/>
      <c r="BV29" s="148">
        <v>17</v>
      </c>
      <c r="BW29" s="144">
        <f ca="1">IFERROR(__xludf.DUMMYFUNCTION("COUNTIF(MAP($M$8:$V$500,LAMBDA(c,IF(TRIM(c)="""","""",MIN(VALUE(SPLIT(SUBSTITUTE(SUBSTITUTE(SUBSTITUTE(c,"" "",""""),""，"","",""),"";"","",""),"","")))))),BV29)"),49)</f>
        <v>49</v>
      </c>
      <c r="BX29" s="145">
        <f t="shared" ca="1" si="20"/>
        <v>18.631178707224336</v>
      </c>
      <c r="BY29" s="150">
        <f t="shared" ca="1" si="21"/>
        <v>9.8000000000000007</v>
      </c>
      <c r="BZ29" s="143"/>
      <c r="CA29" s="143"/>
      <c r="CB29" s="143"/>
      <c r="CC29" s="143"/>
      <c r="CD29" s="143"/>
      <c r="CE29" s="134"/>
      <c r="CF29" s="134"/>
      <c r="CG29" s="134"/>
      <c r="CH29" s="134"/>
      <c r="CI29" s="134"/>
      <c r="CJ29" s="135"/>
      <c r="CK29" s="135"/>
    </row>
    <row r="30" spans="1:89" ht="14.25">
      <c r="A30" s="142"/>
      <c r="B30" s="30" t="s">
        <v>72</v>
      </c>
      <c r="C30" s="30" t="s">
        <v>4</v>
      </c>
      <c r="D30" s="137">
        <f t="shared" si="11"/>
        <v>0</v>
      </c>
      <c r="E30" s="208"/>
      <c r="F30" s="202"/>
      <c r="G30" s="207"/>
      <c r="H30" s="202"/>
      <c r="I30" s="208"/>
      <c r="J30" s="202"/>
      <c r="K30" s="208">
        <f t="shared" si="12"/>
        <v>0</v>
      </c>
      <c r="L30" s="202"/>
      <c r="M30" s="207"/>
      <c r="N30" s="202"/>
      <c r="O30" s="209"/>
      <c r="P30" s="202"/>
      <c r="Q30" s="206"/>
      <c r="R30" s="202"/>
      <c r="S30" s="207"/>
      <c r="T30" s="202"/>
      <c r="U30" s="207"/>
      <c r="V30" s="202"/>
      <c r="W30" s="208"/>
      <c r="X30" s="202"/>
      <c r="Y30" s="210">
        <f t="shared" si="13"/>
        <v>0</v>
      </c>
      <c r="Z30" s="202"/>
      <c r="AA30" s="207"/>
      <c r="AB30" s="202"/>
      <c r="AC30" s="209"/>
      <c r="AD30" s="202"/>
      <c r="AE30" s="206"/>
      <c r="AF30" s="202"/>
      <c r="AG30" s="207"/>
      <c r="AH30" s="202"/>
      <c r="AI30" s="207"/>
      <c r="AJ30" s="202"/>
      <c r="AK30" s="208"/>
      <c r="AL30" s="202"/>
      <c r="AM30" s="210">
        <f t="shared" si="14"/>
        <v>0</v>
      </c>
      <c r="AN30" s="202"/>
      <c r="AO30" s="207"/>
      <c r="AP30" s="202"/>
      <c r="AQ30" s="209"/>
      <c r="AR30" s="202"/>
      <c r="AS30" s="206"/>
      <c r="AT30" s="202"/>
      <c r="AU30" s="204"/>
      <c r="AV30" s="202"/>
      <c r="AW30" s="204"/>
      <c r="AX30" s="202"/>
      <c r="AY30" s="201"/>
      <c r="AZ30" s="202"/>
      <c r="BA30" s="210">
        <f t="shared" si="15"/>
        <v>0</v>
      </c>
      <c r="BB30" s="202"/>
      <c r="BC30" s="204"/>
      <c r="BD30" s="202"/>
      <c r="BE30" s="209"/>
      <c r="BF30" s="202"/>
      <c r="BG30" s="206"/>
      <c r="BH30" s="202"/>
      <c r="BI30" s="204"/>
      <c r="BJ30" s="202"/>
      <c r="BK30" s="204"/>
      <c r="BL30" s="202"/>
      <c r="BM30" s="201"/>
      <c r="BN30" s="202"/>
      <c r="BO30" s="203">
        <f t="shared" si="16"/>
        <v>0</v>
      </c>
      <c r="BP30" s="202"/>
      <c r="BQ30" s="138"/>
      <c r="BR30" s="128"/>
      <c r="BS30" s="128"/>
      <c r="BT30" s="128"/>
      <c r="BU30" s="128"/>
      <c r="BV30" s="148">
        <v>18</v>
      </c>
      <c r="BW30" s="144">
        <f ca="1">IFERROR(__xludf.DUMMYFUNCTION("COUNTIF(MAP($M$8:$V$500,LAMBDA(c,IF(TRIM(c)="""","""",MIN(VALUE(SPLIT(SUBSTITUTE(SUBSTITUTE(SUBSTITUTE(c,"" "",""""),""，"","",""),"";"","",""),"","")))))),BV30)"),27)</f>
        <v>27</v>
      </c>
      <c r="BX30" s="145">
        <f t="shared" ca="1" si="20"/>
        <v>10.266159695817491</v>
      </c>
      <c r="BY30" s="150">
        <f t="shared" ca="1" si="21"/>
        <v>5.4</v>
      </c>
      <c r="BZ30" s="143"/>
      <c r="CA30" s="143"/>
      <c r="CB30" s="143"/>
      <c r="CC30" s="143"/>
      <c r="CD30" s="143"/>
      <c r="CE30" s="134"/>
      <c r="CF30" s="134"/>
      <c r="CG30" s="134"/>
      <c r="CH30" s="134"/>
      <c r="CI30" s="134"/>
      <c r="CJ30" s="135"/>
      <c r="CK30" s="135"/>
    </row>
    <row r="31" spans="1:89" ht="14.25">
      <c r="A31" s="136"/>
      <c r="B31" s="30" t="s">
        <v>74</v>
      </c>
      <c r="C31" s="30" t="s">
        <v>4</v>
      </c>
      <c r="D31" s="137">
        <f t="shared" si="11"/>
        <v>3</v>
      </c>
      <c r="E31" s="208"/>
      <c r="F31" s="202"/>
      <c r="G31" s="207">
        <v>17</v>
      </c>
      <c r="H31" s="202"/>
      <c r="I31" s="208">
        <v>11</v>
      </c>
      <c r="J31" s="202"/>
      <c r="K31" s="208">
        <f t="shared" si="12"/>
        <v>1</v>
      </c>
      <c r="L31" s="202"/>
      <c r="M31" s="207">
        <v>21</v>
      </c>
      <c r="N31" s="202"/>
      <c r="O31" s="209"/>
      <c r="P31" s="202"/>
      <c r="Q31" s="206"/>
      <c r="R31" s="202"/>
      <c r="S31" s="207"/>
      <c r="T31" s="202"/>
      <c r="U31" s="207">
        <v>18</v>
      </c>
      <c r="V31" s="202"/>
      <c r="W31" s="208">
        <v>13</v>
      </c>
      <c r="X31" s="202"/>
      <c r="Y31" s="210">
        <f t="shared" si="13"/>
        <v>2</v>
      </c>
      <c r="Z31" s="202"/>
      <c r="AA31" s="207"/>
      <c r="AB31" s="202"/>
      <c r="AC31" s="209"/>
      <c r="AD31" s="202"/>
      <c r="AE31" s="206"/>
      <c r="AF31" s="202"/>
      <c r="AG31" s="207"/>
      <c r="AH31" s="202"/>
      <c r="AI31" s="207"/>
      <c r="AJ31" s="202"/>
      <c r="AK31" s="208"/>
      <c r="AL31" s="202"/>
      <c r="AM31" s="210">
        <f t="shared" si="14"/>
        <v>0</v>
      </c>
      <c r="AN31" s="202"/>
      <c r="AO31" s="207"/>
      <c r="AP31" s="202"/>
      <c r="AQ31" s="209"/>
      <c r="AR31" s="202"/>
      <c r="AS31" s="206"/>
      <c r="AT31" s="202"/>
      <c r="AU31" s="204"/>
      <c r="AV31" s="202"/>
      <c r="AW31" s="204"/>
      <c r="AX31" s="202"/>
      <c r="AY31" s="201"/>
      <c r="AZ31" s="202"/>
      <c r="BA31" s="210">
        <f t="shared" si="15"/>
        <v>0</v>
      </c>
      <c r="BB31" s="202"/>
      <c r="BC31" s="204"/>
      <c r="BD31" s="202"/>
      <c r="BE31" s="209"/>
      <c r="BF31" s="202"/>
      <c r="BG31" s="206"/>
      <c r="BH31" s="202"/>
      <c r="BI31" s="204"/>
      <c r="BJ31" s="202"/>
      <c r="BK31" s="204"/>
      <c r="BL31" s="202"/>
      <c r="BM31" s="201"/>
      <c r="BN31" s="202"/>
      <c r="BO31" s="203">
        <f t="shared" si="16"/>
        <v>0</v>
      </c>
      <c r="BP31" s="202"/>
      <c r="BQ31" s="138"/>
      <c r="BR31" s="139"/>
      <c r="BS31" s="139"/>
      <c r="BT31" s="139"/>
      <c r="BU31" s="139"/>
      <c r="BV31" s="148">
        <v>19</v>
      </c>
      <c r="BW31" s="144">
        <f ca="1">IFERROR(__xludf.DUMMYFUNCTION("COUNTIF(MAP($M$8:$V$500,LAMBDA(c,IF(TRIM(c)="""","""",MIN(VALUE(SPLIT(SUBSTITUTE(SUBSTITUTE(SUBSTITUTE(c,"" "",""""),""，"","",""),"";"","",""),"","")))))),BV31)"),24)</f>
        <v>24</v>
      </c>
      <c r="BX31" s="145">
        <f t="shared" ca="1" si="20"/>
        <v>9.1254752851711025</v>
      </c>
      <c r="BY31" s="150">
        <f t="shared" ca="1" si="21"/>
        <v>4.8</v>
      </c>
      <c r="BZ31" s="143"/>
      <c r="CA31" s="143"/>
      <c r="CB31" s="143"/>
      <c r="CC31" s="143"/>
      <c r="CD31" s="143"/>
      <c r="CE31" s="139"/>
      <c r="CF31" s="139"/>
      <c r="CG31" s="139"/>
      <c r="CH31" s="139"/>
      <c r="CI31" s="139"/>
      <c r="CJ31" s="139"/>
      <c r="CK31" s="139"/>
    </row>
    <row r="32" spans="1:89" ht="14.25">
      <c r="A32" s="142"/>
      <c r="B32" s="30" t="s">
        <v>76</v>
      </c>
      <c r="C32" s="30" t="s">
        <v>4</v>
      </c>
      <c r="D32" s="137">
        <f t="shared" si="11"/>
        <v>6</v>
      </c>
      <c r="E32" s="208"/>
      <c r="F32" s="202"/>
      <c r="G32" s="207">
        <v>21</v>
      </c>
      <c r="H32" s="202"/>
      <c r="I32" s="208"/>
      <c r="J32" s="202"/>
      <c r="K32" s="208">
        <f t="shared" si="12"/>
        <v>1</v>
      </c>
      <c r="L32" s="202"/>
      <c r="M32" s="207">
        <v>20</v>
      </c>
      <c r="N32" s="202"/>
      <c r="O32" s="209">
        <v>17</v>
      </c>
      <c r="P32" s="202"/>
      <c r="Q32" s="206">
        <v>18</v>
      </c>
      <c r="R32" s="202"/>
      <c r="S32" s="207"/>
      <c r="T32" s="202"/>
      <c r="U32" s="207">
        <v>21</v>
      </c>
      <c r="V32" s="202"/>
      <c r="W32" s="208"/>
      <c r="X32" s="202"/>
      <c r="Y32" s="210">
        <f t="shared" si="13"/>
        <v>4</v>
      </c>
      <c r="Z32" s="202"/>
      <c r="AA32" s="207">
        <v>21</v>
      </c>
      <c r="AB32" s="202"/>
      <c r="AC32" s="209"/>
      <c r="AD32" s="202"/>
      <c r="AE32" s="206"/>
      <c r="AF32" s="202"/>
      <c r="AG32" s="207"/>
      <c r="AH32" s="202"/>
      <c r="AI32" s="207"/>
      <c r="AJ32" s="202"/>
      <c r="AK32" s="208"/>
      <c r="AL32" s="202"/>
      <c r="AM32" s="210">
        <f t="shared" si="14"/>
        <v>1</v>
      </c>
      <c r="AN32" s="202"/>
      <c r="AO32" s="207"/>
      <c r="AP32" s="202"/>
      <c r="AQ32" s="209"/>
      <c r="AR32" s="202"/>
      <c r="AS32" s="206"/>
      <c r="AT32" s="202"/>
      <c r="AU32" s="204"/>
      <c r="AV32" s="202"/>
      <c r="AW32" s="204"/>
      <c r="AX32" s="202"/>
      <c r="AY32" s="201"/>
      <c r="AZ32" s="202"/>
      <c r="BA32" s="210">
        <f t="shared" si="15"/>
        <v>0</v>
      </c>
      <c r="BB32" s="202"/>
      <c r="BC32" s="204"/>
      <c r="BD32" s="202"/>
      <c r="BE32" s="209"/>
      <c r="BF32" s="202"/>
      <c r="BG32" s="206"/>
      <c r="BH32" s="202"/>
      <c r="BI32" s="204"/>
      <c r="BJ32" s="202"/>
      <c r="BK32" s="204"/>
      <c r="BL32" s="202"/>
      <c r="BM32" s="201"/>
      <c r="BN32" s="202"/>
      <c r="BO32" s="203">
        <f t="shared" si="16"/>
        <v>0</v>
      </c>
      <c r="BP32" s="202"/>
      <c r="BQ32" s="138"/>
      <c r="BR32" s="128"/>
      <c r="BS32" s="128"/>
      <c r="BT32" s="128"/>
      <c r="BU32" s="128"/>
      <c r="BV32" s="148">
        <v>20</v>
      </c>
      <c r="BW32" s="144">
        <f ca="1">IFERROR(__xludf.DUMMYFUNCTION("COUNTIF(MAP($M$8:$V$500,LAMBDA(c,IF(TRIM(c)="""","""",MIN(VALUE(SPLIT(SUBSTITUTE(SUBSTITUTE(SUBSTITUTE(c,"" "",""""),""，"","",""),"";"","",""),"","")))))),BV32)"),46)</f>
        <v>46</v>
      </c>
      <c r="BX32" s="145">
        <f t="shared" ca="1" si="20"/>
        <v>17.490494296577946</v>
      </c>
      <c r="BY32" s="150">
        <f t="shared" ca="1" si="21"/>
        <v>9.1999999999999993</v>
      </c>
      <c r="BZ32" s="143"/>
      <c r="CA32" s="143"/>
      <c r="CB32" s="143"/>
      <c r="CC32" s="143"/>
      <c r="CD32" s="143"/>
      <c r="CE32" s="134"/>
      <c r="CF32" s="134"/>
      <c r="CG32" s="134"/>
      <c r="CH32" s="134"/>
      <c r="CI32" s="134"/>
      <c r="CJ32" s="135"/>
      <c r="CK32" s="135"/>
    </row>
    <row r="33" spans="1:89" ht="14.25">
      <c r="A33" s="142"/>
      <c r="B33" s="30" t="s">
        <v>78</v>
      </c>
      <c r="C33" s="30" t="s">
        <v>4</v>
      </c>
      <c r="D33" s="137">
        <f t="shared" si="11"/>
        <v>4</v>
      </c>
      <c r="E33" s="208"/>
      <c r="F33" s="202"/>
      <c r="G33" s="207">
        <v>12</v>
      </c>
      <c r="H33" s="202"/>
      <c r="I33" s="208"/>
      <c r="J33" s="202"/>
      <c r="K33" s="208">
        <f t="shared" si="12"/>
        <v>1</v>
      </c>
      <c r="L33" s="202"/>
      <c r="M33" s="207">
        <v>12</v>
      </c>
      <c r="N33" s="202"/>
      <c r="O33" s="209"/>
      <c r="P33" s="202"/>
      <c r="Q33" s="206"/>
      <c r="R33" s="202"/>
      <c r="S33" s="207"/>
      <c r="T33" s="202"/>
      <c r="U33" s="207">
        <v>12</v>
      </c>
      <c r="V33" s="202"/>
      <c r="W33" s="208"/>
      <c r="X33" s="202"/>
      <c r="Y33" s="210">
        <f t="shared" si="13"/>
        <v>2</v>
      </c>
      <c r="Z33" s="202"/>
      <c r="AA33" s="207">
        <v>11</v>
      </c>
      <c r="AB33" s="202"/>
      <c r="AC33" s="209"/>
      <c r="AD33" s="202"/>
      <c r="AE33" s="206"/>
      <c r="AF33" s="202"/>
      <c r="AG33" s="207"/>
      <c r="AH33" s="202"/>
      <c r="AI33" s="207"/>
      <c r="AJ33" s="202"/>
      <c r="AK33" s="208"/>
      <c r="AL33" s="202"/>
      <c r="AM33" s="210">
        <f t="shared" si="14"/>
        <v>1</v>
      </c>
      <c r="AN33" s="202"/>
      <c r="AO33" s="207"/>
      <c r="AP33" s="202"/>
      <c r="AQ33" s="209"/>
      <c r="AR33" s="202"/>
      <c r="AS33" s="206"/>
      <c r="AT33" s="202"/>
      <c r="AU33" s="204"/>
      <c r="AV33" s="202"/>
      <c r="AW33" s="204"/>
      <c r="AX33" s="202"/>
      <c r="AY33" s="201"/>
      <c r="AZ33" s="202"/>
      <c r="BA33" s="210">
        <f t="shared" si="15"/>
        <v>0</v>
      </c>
      <c r="BB33" s="202"/>
      <c r="BC33" s="204"/>
      <c r="BD33" s="202"/>
      <c r="BE33" s="209"/>
      <c r="BF33" s="202"/>
      <c r="BG33" s="206"/>
      <c r="BH33" s="202"/>
      <c r="BI33" s="204"/>
      <c r="BJ33" s="202"/>
      <c r="BK33" s="204"/>
      <c r="BL33" s="202"/>
      <c r="BM33" s="201"/>
      <c r="BN33" s="202"/>
      <c r="BO33" s="203">
        <f t="shared" si="16"/>
        <v>0</v>
      </c>
      <c r="BP33" s="202"/>
      <c r="BQ33" s="138"/>
      <c r="BR33" s="154"/>
      <c r="BS33" s="154"/>
      <c r="BT33" s="154"/>
      <c r="BU33" s="154"/>
      <c r="BV33" s="148">
        <v>21</v>
      </c>
      <c r="BW33" s="144">
        <f ca="1">IFERROR(__xludf.DUMMYFUNCTION("COUNTIF(MAP($M$8:$V$500,LAMBDA(c,IF(TRIM(c)="""","""",MIN(VALUE(SPLIT(SUBSTITUTE(SUBSTITUTE(SUBSTITUTE(c,"" "",""""),""，"","",""),"";"","",""),"","")))))),BV33)"),33)</f>
        <v>33</v>
      </c>
      <c r="BX33" s="145">
        <f t="shared" ca="1" si="20"/>
        <v>12.547528517110266</v>
      </c>
      <c r="BY33" s="150">
        <f t="shared" ca="1" si="21"/>
        <v>6.6</v>
      </c>
      <c r="BZ33" s="143"/>
      <c r="CA33" s="143"/>
      <c r="CB33" s="143"/>
      <c r="CC33" s="143"/>
      <c r="CD33" s="143"/>
      <c r="CE33" s="155"/>
      <c r="CF33" s="155"/>
      <c r="CG33" s="155"/>
      <c r="CH33" s="155"/>
      <c r="CI33" s="155"/>
      <c r="CJ33" s="156"/>
      <c r="CK33" s="156"/>
    </row>
    <row r="34" spans="1:89" ht="14.25">
      <c r="A34" s="142"/>
      <c r="B34" s="30" t="s">
        <v>80</v>
      </c>
      <c r="C34" s="30" t="s">
        <v>4</v>
      </c>
      <c r="D34" s="137">
        <f t="shared" si="11"/>
        <v>5</v>
      </c>
      <c r="E34" s="208"/>
      <c r="F34" s="202"/>
      <c r="G34" s="207">
        <v>17</v>
      </c>
      <c r="H34" s="202"/>
      <c r="I34" s="208">
        <v>11</v>
      </c>
      <c r="J34" s="202"/>
      <c r="K34" s="208">
        <f t="shared" si="12"/>
        <v>1</v>
      </c>
      <c r="L34" s="202"/>
      <c r="M34" s="207">
        <v>18</v>
      </c>
      <c r="N34" s="202"/>
      <c r="O34" s="209">
        <v>17</v>
      </c>
      <c r="P34" s="202"/>
      <c r="Q34" s="206"/>
      <c r="R34" s="202"/>
      <c r="S34" s="207"/>
      <c r="T34" s="202"/>
      <c r="U34" s="207">
        <v>17</v>
      </c>
      <c r="V34" s="202"/>
      <c r="W34" s="208">
        <v>13</v>
      </c>
      <c r="X34" s="202"/>
      <c r="Y34" s="210">
        <f t="shared" si="13"/>
        <v>3</v>
      </c>
      <c r="Z34" s="202"/>
      <c r="AA34" s="207">
        <v>17</v>
      </c>
      <c r="AB34" s="202"/>
      <c r="AC34" s="209"/>
      <c r="AD34" s="202"/>
      <c r="AE34" s="206"/>
      <c r="AF34" s="202"/>
      <c r="AG34" s="207"/>
      <c r="AH34" s="202"/>
      <c r="AI34" s="207"/>
      <c r="AJ34" s="202"/>
      <c r="AK34" s="208"/>
      <c r="AL34" s="202"/>
      <c r="AM34" s="210">
        <f t="shared" si="14"/>
        <v>1</v>
      </c>
      <c r="AN34" s="202"/>
      <c r="AO34" s="207"/>
      <c r="AP34" s="202"/>
      <c r="AQ34" s="209"/>
      <c r="AR34" s="202"/>
      <c r="AS34" s="206"/>
      <c r="AT34" s="202"/>
      <c r="AU34" s="204"/>
      <c r="AV34" s="202"/>
      <c r="AW34" s="204"/>
      <c r="AX34" s="202"/>
      <c r="AY34" s="201"/>
      <c r="AZ34" s="202"/>
      <c r="BA34" s="210">
        <f t="shared" si="15"/>
        <v>0</v>
      </c>
      <c r="BB34" s="202"/>
      <c r="BC34" s="204"/>
      <c r="BD34" s="202"/>
      <c r="BE34" s="209"/>
      <c r="BF34" s="202"/>
      <c r="BG34" s="206"/>
      <c r="BH34" s="202"/>
      <c r="BI34" s="204"/>
      <c r="BJ34" s="202"/>
      <c r="BK34" s="204"/>
      <c r="BL34" s="202"/>
      <c r="BM34" s="201"/>
      <c r="BN34" s="202"/>
      <c r="BO34" s="203">
        <f t="shared" si="16"/>
        <v>0</v>
      </c>
      <c r="BP34" s="202"/>
      <c r="BQ34" s="138"/>
      <c r="BR34" s="128"/>
      <c r="BS34" s="128"/>
      <c r="BT34" s="128"/>
      <c r="BU34" s="128"/>
      <c r="BZ34" s="143"/>
      <c r="CA34" s="143"/>
      <c r="CB34" s="143"/>
      <c r="CC34" s="143"/>
      <c r="CD34" s="143"/>
      <c r="CE34" s="134"/>
      <c r="CF34" s="134"/>
      <c r="CG34" s="134"/>
      <c r="CH34" s="134"/>
      <c r="CI34" s="134"/>
      <c r="CJ34" s="135"/>
      <c r="CK34" s="135"/>
    </row>
    <row r="35" spans="1:89" ht="14.25">
      <c r="A35" s="142"/>
      <c r="B35" s="30" t="s">
        <v>82</v>
      </c>
      <c r="C35" s="30" t="s">
        <v>4</v>
      </c>
      <c r="D35" s="137">
        <f t="shared" si="11"/>
        <v>4</v>
      </c>
      <c r="E35" s="208"/>
      <c r="F35" s="202"/>
      <c r="G35" s="207"/>
      <c r="H35" s="202"/>
      <c r="I35" s="208"/>
      <c r="J35" s="202"/>
      <c r="K35" s="208">
        <f t="shared" si="12"/>
        <v>0</v>
      </c>
      <c r="L35" s="202"/>
      <c r="M35" s="207"/>
      <c r="N35" s="202"/>
      <c r="O35" s="209">
        <v>17</v>
      </c>
      <c r="P35" s="202"/>
      <c r="Q35" s="206"/>
      <c r="R35" s="202"/>
      <c r="S35" s="207">
        <v>18</v>
      </c>
      <c r="T35" s="202"/>
      <c r="U35" s="207">
        <v>17</v>
      </c>
      <c r="V35" s="202"/>
      <c r="W35" s="208"/>
      <c r="X35" s="202"/>
      <c r="Y35" s="210">
        <f t="shared" si="13"/>
        <v>3</v>
      </c>
      <c r="Z35" s="202"/>
      <c r="AA35" s="207">
        <v>17</v>
      </c>
      <c r="AB35" s="202"/>
      <c r="AC35" s="209"/>
      <c r="AD35" s="202"/>
      <c r="AE35" s="206"/>
      <c r="AF35" s="202"/>
      <c r="AG35" s="207"/>
      <c r="AH35" s="202"/>
      <c r="AI35" s="207"/>
      <c r="AJ35" s="202"/>
      <c r="AK35" s="208"/>
      <c r="AL35" s="202"/>
      <c r="AM35" s="210">
        <f t="shared" si="14"/>
        <v>1</v>
      </c>
      <c r="AN35" s="202"/>
      <c r="AO35" s="207"/>
      <c r="AP35" s="202"/>
      <c r="AQ35" s="209"/>
      <c r="AR35" s="202"/>
      <c r="AS35" s="206"/>
      <c r="AT35" s="202"/>
      <c r="AU35" s="204"/>
      <c r="AV35" s="202"/>
      <c r="AW35" s="204"/>
      <c r="AX35" s="202"/>
      <c r="AY35" s="201"/>
      <c r="AZ35" s="202"/>
      <c r="BA35" s="210">
        <f t="shared" si="15"/>
        <v>0</v>
      </c>
      <c r="BB35" s="202"/>
      <c r="BC35" s="204"/>
      <c r="BD35" s="202"/>
      <c r="BE35" s="209"/>
      <c r="BF35" s="202"/>
      <c r="BG35" s="206"/>
      <c r="BH35" s="202"/>
      <c r="BI35" s="204"/>
      <c r="BJ35" s="202"/>
      <c r="BK35" s="204"/>
      <c r="BL35" s="202"/>
      <c r="BM35" s="201"/>
      <c r="BN35" s="202"/>
      <c r="BO35" s="203">
        <f t="shared" si="16"/>
        <v>0</v>
      </c>
      <c r="BP35" s="202"/>
      <c r="BQ35" s="138"/>
      <c r="BR35" s="128"/>
      <c r="BS35" s="128"/>
      <c r="BT35" s="128"/>
      <c r="BU35" s="128"/>
      <c r="BV35" s="228" t="s">
        <v>20</v>
      </c>
      <c r="BW35" s="225"/>
      <c r="BX35" s="225"/>
      <c r="BY35" s="202"/>
      <c r="BZ35" s="143"/>
      <c r="CA35" s="143"/>
      <c r="CB35" s="143"/>
      <c r="CC35" s="143"/>
      <c r="CD35" s="143"/>
      <c r="CE35" s="134"/>
      <c r="CF35" s="134"/>
      <c r="CG35" s="134"/>
      <c r="CH35" s="134"/>
      <c r="CI35" s="134"/>
      <c r="CJ35" s="135"/>
      <c r="CK35" s="135"/>
    </row>
    <row r="36" spans="1:89" ht="14.25">
      <c r="A36" s="136"/>
      <c r="B36" s="30" t="s">
        <v>84</v>
      </c>
      <c r="C36" s="30" t="s">
        <v>4</v>
      </c>
      <c r="D36" s="137">
        <f t="shared" si="11"/>
        <v>4</v>
      </c>
      <c r="E36" s="208"/>
      <c r="F36" s="202"/>
      <c r="G36" s="207"/>
      <c r="H36" s="202"/>
      <c r="I36" s="208"/>
      <c r="J36" s="202"/>
      <c r="K36" s="208">
        <f t="shared" si="12"/>
        <v>0</v>
      </c>
      <c r="L36" s="202"/>
      <c r="M36" s="207">
        <v>12</v>
      </c>
      <c r="N36" s="202"/>
      <c r="O36" s="209"/>
      <c r="P36" s="202"/>
      <c r="Q36" s="206">
        <v>12</v>
      </c>
      <c r="R36" s="202"/>
      <c r="S36" s="207"/>
      <c r="T36" s="202"/>
      <c r="U36" s="207">
        <v>17</v>
      </c>
      <c r="V36" s="202"/>
      <c r="W36" s="208"/>
      <c r="X36" s="202"/>
      <c r="Y36" s="210">
        <f t="shared" si="13"/>
        <v>3</v>
      </c>
      <c r="Z36" s="202"/>
      <c r="AA36" s="207">
        <v>11</v>
      </c>
      <c r="AB36" s="202"/>
      <c r="AC36" s="209"/>
      <c r="AD36" s="202"/>
      <c r="AE36" s="206"/>
      <c r="AF36" s="202"/>
      <c r="AG36" s="207"/>
      <c r="AH36" s="202"/>
      <c r="AI36" s="207"/>
      <c r="AJ36" s="202"/>
      <c r="AK36" s="208"/>
      <c r="AL36" s="202"/>
      <c r="AM36" s="210">
        <f t="shared" si="14"/>
        <v>1</v>
      </c>
      <c r="AN36" s="202"/>
      <c r="AO36" s="207"/>
      <c r="AP36" s="202"/>
      <c r="AQ36" s="209"/>
      <c r="AR36" s="202"/>
      <c r="AS36" s="206"/>
      <c r="AT36" s="202"/>
      <c r="AU36" s="204"/>
      <c r="AV36" s="202"/>
      <c r="AW36" s="204"/>
      <c r="AX36" s="202"/>
      <c r="AY36" s="201"/>
      <c r="AZ36" s="202"/>
      <c r="BA36" s="210">
        <f t="shared" si="15"/>
        <v>0</v>
      </c>
      <c r="BB36" s="202"/>
      <c r="BC36" s="204"/>
      <c r="BD36" s="202"/>
      <c r="BE36" s="209"/>
      <c r="BF36" s="202"/>
      <c r="BG36" s="206"/>
      <c r="BH36" s="202"/>
      <c r="BI36" s="204"/>
      <c r="BJ36" s="202"/>
      <c r="BK36" s="204"/>
      <c r="BL36" s="202"/>
      <c r="BM36" s="201"/>
      <c r="BN36" s="202"/>
      <c r="BO36" s="203">
        <f t="shared" si="16"/>
        <v>0</v>
      </c>
      <c r="BP36" s="202"/>
      <c r="BQ36" s="138"/>
      <c r="BR36" s="139"/>
      <c r="BS36" s="139"/>
      <c r="BT36" s="139"/>
      <c r="BU36" s="139"/>
      <c r="BV36" s="144" t="s">
        <v>367</v>
      </c>
      <c r="BW36" s="144" t="s">
        <v>368</v>
      </c>
      <c r="BX36" s="145" t="s">
        <v>369</v>
      </c>
      <c r="BY36" s="146" t="s">
        <v>356</v>
      </c>
      <c r="BZ36" s="143"/>
      <c r="CA36" s="143"/>
      <c r="CB36" s="143"/>
      <c r="CC36" s="143"/>
      <c r="CD36" s="143"/>
      <c r="CE36" s="139"/>
      <c r="CF36" s="139"/>
      <c r="CG36" s="136"/>
      <c r="CH36" s="139"/>
      <c r="CI36" s="139"/>
      <c r="CJ36" s="139"/>
      <c r="CK36" s="139"/>
    </row>
    <row r="37" spans="1:89" ht="14.25">
      <c r="A37" s="142"/>
      <c r="B37" s="30" t="s">
        <v>86</v>
      </c>
      <c r="C37" s="30" t="s">
        <v>4</v>
      </c>
      <c r="D37" s="137">
        <f t="shared" si="11"/>
        <v>0</v>
      </c>
      <c r="E37" s="208"/>
      <c r="F37" s="202"/>
      <c r="G37" s="207"/>
      <c r="H37" s="202"/>
      <c r="I37" s="208"/>
      <c r="J37" s="202"/>
      <c r="K37" s="208">
        <f t="shared" si="12"/>
        <v>0</v>
      </c>
      <c r="L37" s="202"/>
      <c r="M37" s="207"/>
      <c r="N37" s="202"/>
      <c r="O37" s="209"/>
      <c r="P37" s="202"/>
      <c r="Q37" s="206"/>
      <c r="R37" s="202"/>
      <c r="S37" s="207"/>
      <c r="T37" s="202"/>
      <c r="U37" s="207"/>
      <c r="V37" s="202"/>
      <c r="W37" s="208"/>
      <c r="X37" s="202"/>
      <c r="Y37" s="210">
        <f t="shared" si="13"/>
        <v>0</v>
      </c>
      <c r="Z37" s="202"/>
      <c r="AA37" s="207"/>
      <c r="AB37" s="202"/>
      <c r="AC37" s="209"/>
      <c r="AD37" s="202"/>
      <c r="AE37" s="206"/>
      <c r="AF37" s="202"/>
      <c r="AG37" s="207"/>
      <c r="AH37" s="202"/>
      <c r="AI37" s="207"/>
      <c r="AJ37" s="202"/>
      <c r="AK37" s="208"/>
      <c r="AL37" s="202"/>
      <c r="AM37" s="210">
        <f t="shared" si="14"/>
        <v>0</v>
      </c>
      <c r="AN37" s="202"/>
      <c r="AO37" s="207"/>
      <c r="AP37" s="202"/>
      <c r="AQ37" s="209"/>
      <c r="AR37" s="202"/>
      <c r="AS37" s="206"/>
      <c r="AT37" s="202"/>
      <c r="AU37" s="204"/>
      <c r="AV37" s="202"/>
      <c r="AW37" s="204"/>
      <c r="AX37" s="202"/>
      <c r="AY37" s="201"/>
      <c r="AZ37" s="202"/>
      <c r="BA37" s="210">
        <f t="shared" si="15"/>
        <v>0</v>
      </c>
      <c r="BB37" s="202"/>
      <c r="BC37" s="204"/>
      <c r="BD37" s="202"/>
      <c r="BE37" s="209"/>
      <c r="BF37" s="202"/>
      <c r="BG37" s="206"/>
      <c r="BH37" s="202"/>
      <c r="BI37" s="204"/>
      <c r="BJ37" s="202"/>
      <c r="BK37" s="204"/>
      <c r="BL37" s="202"/>
      <c r="BM37" s="201"/>
      <c r="BN37" s="202"/>
      <c r="BO37" s="203">
        <f t="shared" si="16"/>
        <v>0</v>
      </c>
      <c r="BP37" s="202"/>
      <c r="BQ37" s="138"/>
      <c r="BR37" s="128"/>
      <c r="BS37" s="128"/>
      <c r="BT37" s="128"/>
      <c r="BU37" s="128"/>
      <c r="BV37" s="148">
        <v>7</v>
      </c>
      <c r="BW37" s="144">
        <f ca="1">IFERROR(__xludf.DUMMYFUNCTION("COUNTIF(MAP($AA$8:$AJ$503,LAMBDA(c,IF(TRIM(c)="""","""",MIN(VALUE(SPLIT(SUBSTITUTE(SUBSTITUTE(SUBSTITUTE(c,"" "",""""),""，"","",""),"";"","",""),"","")))))),BV37)"),3)</f>
        <v>3</v>
      </c>
      <c r="BX37" s="145">
        <f t="shared" ref="BX37:BX45" ca="1" si="22">BW37/SUM($BW$37:$BW$46)*100</f>
        <v>5.4545454545454541</v>
      </c>
      <c r="BY37" s="150">
        <f t="shared" ref="BY37:BY45" ca="1" si="23">BW37/$BW$5</f>
        <v>0.6</v>
      </c>
      <c r="BZ37" s="143"/>
      <c r="CA37" s="143"/>
      <c r="CB37" s="143"/>
      <c r="CC37" s="143"/>
      <c r="CD37" s="143"/>
      <c r="CE37" s="134"/>
      <c r="CF37" s="134"/>
      <c r="CG37" s="134"/>
      <c r="CH37" s="134"/>
      <c r="CI37" s="134"/>
      <c r="CJ37" s="135"/>
      <c r="CK37" s="135"/>
    </row>
    <row r="38" spans="1:89" ht="14.25">
      <c r="A38" s="142"/>
      <c r="B38" s="30" t="s">
        <v>88</v>
      </c>
      <c r="C38" s="30" t="s">
        <v>4</v>
      </c>
      <c r="D38" s="137">
        <f t="shared" si="11"/>
        <v>4</v>
      </c>
      <c r="E38" s="208"/>
      <c r="F38" s="202"/>
      <c r="G38" s="207">
        <v>12</v>
      </c>
      <c r="H38" s="202"/>
      <c r="I38" s="208"/>
      <c r="J38" s="202"/>
      <c r="K38" s="208">
        <f t="shared" si="12"/>
        <v>1</v>
      </c>
      <c r="L38" s="202"/>
      <c r="M38" s="207"/>
      <c r="N38" s="202"/>
      <c r="O38" s="209"/>
      <c r="P38" s="202"/>
      <c r="Q38" s="206">
        <v>12</v>
      </c>
      <c r="R38" s="202"/>
      <c r="S38" s="207">
        <v>12</v>
      </c>
      <c r="T38" s="202"/>
      <c r="U38" s="207"/>
      <c r="V38" s="202"/>
      <c r="W38" s="208"/>
      <c r="X38" s="202"/>
      <c r="Y38" s="210">
        <f t="shared" si="13"/>
        <v>2</v>
      </c>
      <c r="Z38" s="202"/>
      <c r="AA38" s="207">
        <v>18</v>
      </c>
      <c r="AB38" s="202"/>
      <c r="AC38" s="209"/>
      <c r="AD38" s="202"/>
      <c r="AE38" s="206"/>
      <c r="AF38" s="202"/>
      <c r="AG38" s="207"/>
      <c r="AH38" s="202"/>
      <c r="AI38" s="207"/>
      <c r="AJ38" s="202"/>
      <c r="AK38" s="208"/>
      <c r="AL38" s="202"/>
      <c r="AM38" s="210">
        <f t="shared" si="14"/>
        <v>1</v>
      </c>
      <c r="AN38" s="202"/>
      <c r="AO38" s="207"/>
      <c r="AP38" s="202"/>
      <c r="AQ38" s="209"/>
      <c r="AR38" s="202"/>
      <c r="AS38" s="206"/>
      <c r="AT38" s="202"/>
      <c r="AU38" s="204"/>
      <c r="AV38" s="202"/>
      <c r="AW38" s="204"/>
      <c r="AX38" s="202"/>
      <c r="AY38" s="201"/>
      <c r="AZ38" s="202"/>
      <c r="BA38" s="210">
        <f t="shared" si="15"/>
        <v>0</v>
      </c>
      <c r="BB38" s="202"/>
      <c r="BC38" s="204"/>
      <c r="BD38" s="202"/>
      <c r="BE38" s="209"/>
      <c r="BF38" s="202"/>
      <c r="BG38" s="206"/>
      <c r="BH38" s="202"/>
      <c r="BI38" s="204"/>
      <c r="BJ38" s="202"/>
      <c r="BK38" s="204"/>
      <c r="BL38" s="202"/>
      <c r="BM38" s="201"/>
      <c r="BN38" s="202"/>
      <c r="BO38" s="203">
        <f t="shared" si="16"/>
        <v>0</v>
      </c>
      <c r="BP38" s="202"/>
      <c r="BQ38" s="138"/>
      <c r="BR38" s="128"/>
      <c r="BS38" s="128"/>
      <c r="BT38" s="128"/>
      <c r="BU38" s="128"/>
      <c r="BV38" s="148">
        <v>8</v>
      </c>
      <c r="BW38" s="144">
        <f ca="1">IFERROR(__xludf.DUMMYFUNCTION("COUNTIF(MAP($AA$8:$AJ$503,LAMBDA(c,IF(TRIM(c)="""","""",MIN(VALUE(SPLIT(SUBSTITUTE(SUBSTITUTE(SUBSTITUTE(c,"" "",""""),""，"","",""),"";"","",""),"","")))))),BV38)"),4)</f>
        <v>4</v>
      </c>
      <c r="BX38" s="145">
        <f t="shared" ca="1" si="22"/>
        <v>7.2727272727272725</v>
      </c>
      <c r="BY38" s="150">
        <f t="shared" ca="1" si="23"/>
        <v>0.8</v>
      </c>
      <c r="BZ38" s="143"/>
      <c r="CA38" s="143"/>
      <c r="CB38" s="143"/>
      <c r="CC38" s="143"/>
      <c r="CD38" s="143"/>
      <c r="CE38" s="134"/>
      <c r="CF38" s="134"/>
      <c r="CG38" s="157"/>
      <c r="CH38" s="134"/>
      <c r="CI38" s="134"/>
      <c r="CJ38" s="135"/>
      <c r="CK38" s="135"/>
    </row>
    <row r="39" spans="1:89" ht="14.25">
      <c r="A39" s="142"/>
      <c r="B39" s="30" t="s">
        <v>91</v>
      </c>
      <c r="C39" s="30" t="s">
        <v>4</v>
      </c>
      <c r="D39" s="137">
        <f t="shared" si="11"/>
        <v>4</v>
      </c>
      <c r="E39" s="208"/>
      <c r="F39" s="202"/>
      <c r="G39" s="207">
        <v>7</v>
      </c>
      <c r="H39" s="202"/>
      <c r="I39" s="208"/>
      <c r="J39" s="202"/>
      <c r="K39" s="208">
        <f t="shared" si="12"/>
        <v>1</v>
      </c>
      <c r="L39" s="202"/>
      <c r="M39" s="207">
        <v>7</v>
      </c>
      <c r="N39" s="202"/>
      <c r="O39" s="209"/>
      <c r="P39" s="202"/>
      <c r="Q39" s="206"/>
      <c r="R39" s="202"/>
      <c r="S39" s="207">
        <v>7</v>
      </c>
      <c r="T39" s="202"/>
      <c r="U39" s="207"/>
      <c r="V39" s="202"/>
      <c r="W39" s="208"/>
      <c r="X39" s="202"/>
      <c r="Y39" s="210">
        <f t="shared" si="13"/>
        <v>2</v>
      </c>
      <c r="Z39" s="202"/>
      <c r="AA39" s="207">
        <v>7</v>
      </c>
      <c r="AB39" s="202"/>
      <c r="AC39" s="209"/>
      <c r="AD39" s="202"/>
      <c r="AE39" s="206"/>
      <c r="AF39" s="202"/>
      <c r="AG39" s="207"/>
      <c r="AH39" s="202"/>
      <c r="AI39" s="207"/>
      <c r="AJ39" s="202"/>
      <c r="AK39" s="208"/>
      <c r="AL39" s="202"/>
      <c r="AM39" s="210">
        <f t="shared" si="14"/>
        <v>1</v>
      </c>
      <c r="AN39" s="202"/>
      <c r="AO39" s="207"/>
      <c r="AP39" s="202"/>
      <c r="AQ39" s="209"/>
      <c r="AR39" s="202"/>
      <c r="AS39" s="206"/>
      <c r="AT39" s="202"/>
      <c r="AU39" s="204"/>
      <c r="AV39" s="202"/>
      <c r="AW39" s="204"/>
      <c r="AX39" s="202"/>
      <c r="AY39" s="201"/>
      <c r="AZ39" s="202"/>
      <c r="BA39" s="210">
        <f t="shared" si="15"/>
        <v>0</v>
      </c>
      <c r="BB39" s="202"/>
      <c r="BC39" s="204"/>
      <c r="BD39" s="202"/>
      <c r="BE39" s="209"/>
      <c r="BF39" s="202"/>
      <c r="BG39" s="206"/>
      <c r="BH39" s="202"/>
      <c r="BI39" s="204"/>
      <c r="BJ39" s="202"/>
      <c r="BK39" s="204"/>
      <c r="BL39" s="202"/>
      <c r="BM39" s="201"/>
      <c r="BN39" s="202"/>
      <c r="BO39" s="203">
        <f t="shared" si="16"/>
        <v>0</v>
      </c>
      <c r="BP39" s="202"/>
      <c r="BQ39" s="138"/>
      <c r="BR39" s="128"/>
      <c r="BS39" s="128"/>
      <c r="BT39" s="128"/>
      <c r="BU39" s="128"/>
      <c r="BV39" s="148">
        <v>10</v>
      </c>
      <c r="BW39" s="144">
        <f ca="1">IFERROR(__xludf.DUMMYFUNCTION("COUNTIF(MAP($AA$8:$AJ$503,LAMBDA(c,IF(TRIM(c)="""","""",MIN(VALUE(SPLIT(SUBSTITUTE(SUBSTITUTE(SUBSTITUTE(c,"" "",""""),""，"","",""),"";"","",""),"","")))))),BV39)"),10)</f>
        <v>10</v>
      </c>
      <c r="BX39" s="145">
        <f t="shared" ca="1" si="22"/>
        <v>18.181818181818183</v>
      </c>
      <c r="BY39" s="150">
        <f t="shared" ca="1" si="23"/>
        <v>2</v>
      </c>
      <c r="BZ39" s="143"/>
      <c r="CA39" s="143"/>
      <c r="CB39" s="143"/>
      <c r="CC39" s="143"/>
      <c r="CD39" s="143"/>
      <c r="CE39" s="134"/>
      <c r="CF39" s="134"/>
      <c r="CG39" s="134"/>
      <c r="CH39" s="134"/>
      <c r="CI39" s="134"/>
      <c r="CJ39" s="135"/>
      <c r="CK39" s="135"/>
    </row>
    <row r="40" spans="1:89" ht="14.25">
      <c r="A40" s="142"/>
      <c r="B40" s="30" t="s">
        <v>93</v>
      </c>
      <c r="C40" s="30" t="s">
        <v>3</v>
      </c>
      <c r="D40" s="137">
        <f t="shared" si="11"/>
        <v>1</v>
      </c>
      <c r="E40" s="208"/>
      <c r="F40" s="202"/>
      <c r="G40" s="207"/>
      <c r="H40" s="202"/>
      <c r="I40" s="208"/>
      <c r="J40" s="202"/>
      <c r="K40" s="208">
        <f t="shared" si="12"/>
        <v>0</v>
      </c>
      <c r="L40" s="202"/>
      <c r="M40" s="207"/>
      <c r="N40" s="202"/>
      <c r="O40" s="209"/>
      <c r="P40" s="202"/>
      <c r="Q40" s="206"/>
      <c r="R40" s="202"/>
      <c r="S40" s="207">
        <v>8</v>
      </c>
      <c r="T40" s="202"/>
      <c r="U40" s="207"/>
      <c r="V40" s="202"/>
      <c r="W40" s="208"/>
      <c r="X40" s="202"/>
      <c r="Y40" s="210">
        <f t="shared" si="13"/>
        <v>1</v>
      </c>
      <c r="Z40" s="202"/>
      <c r="AA40" s="207"/>
      <c r="AB40" s="202"/>
      <c r="AC40" s="209"/>
      <c r="AD40" s="202"/>
      <c r="AE40" s="206"/>
      <c r="AF40" s="202"/>
      <c r="AG40" s="207"/>
      <c r="AH40" s="202"/>
      <c r="AI40" s="207"/>
      <c r="AJ40" s="202"/>
      <c r="AK40" s="208"/>
      <c r="AL40" s="202"/>
      <c r="AM40" s="210">
        <f t="shared" si="14"/>
        <v>0</v>
      </c>
      <c r="AN40" s="202"/>
      <c r="AO40" s="207"/>
      <c r="AP40" s="202"/>
      <c r="AQ40" s="209"/>
      <c r="AR40" s="202"/>
      <c r="AS40" s="206"/>
      <c r="AT40" s="202"/>
      <c r="AU40" s="204"/>
      <c r="AV40" s="202"/>
      <c r="AW40" s="204"/>
      <c r="AX40" s="202"/>
      <c r="AY40" s="201"/>
      <c r="AZ40" s="202"/>
      <c r="BA40" s="210">
        <f t="shared" si="15"/>
        <v>0</v>
      </c>
      <c r="BB40" s="202"/>
      <c r="BC40" s="204"/>
      <c r="BD40" s="202"/>
      <c r="BE40" s="209"/>
      <c r="BF40" s="202"/>
      <c r="BG40" s="206"/>
      <c r="BH40" s="202"/>
      <c r="BI40" s="204"/>
      <c r="BJ40" s="202"/>
      <c r="BK40" s="204"/>
      <c r="BL40" s="202"/>
      <c r="BM40" s="201"/>
      <c r="BN40" s="202"/>
      <c r="BO40" s="203">
        <f t="shared" si="16"/>
        <v>0</v>
      </c>
      <c r="BP40" s="202"/>
      <c r="BQ40" s="138"/>
      <c r="BR40" s="128"/>
      <c r="BS40" s="128"/>
      <c r="BT40" s="128"/>
      <c r="BU40" s="128"/>
      <c r="BV40" s="148">
        <v>12</v>
      </c>
      <c r="BW40" s="144">
        <f ca="1">IFERROR(__xludf.DUMMYFUNCTION("COUNTIF(MAP($AA$8:$AJ$503,LAMBDA(c,IF(TRIM(c)="""","""",MIN(VALUE(SPLIT(SUBSTITUTE(SUBSTITUTE(SUBSTITUTE(c,"" "",""""),""，"","",""),"";"","",""),"","")))))),BV40)"),0)</f>
        <v>0</v>
      </c>
      <c r="BX40" s="145">
        <f t="shared" ca="1" si="22"/>
        <v>0</v>
      </c>
      <c r="BY40" s="150">
        <f t="shared" ca="1" si="23"/>
        <v>0</v>
      </c>
      <c r="BZ40" s="143"/>
      <c r="CA40" s="143"/>
      <c r="CB40" s="143"/>
      <c r="CC40" s="143"/>
      <c r="CD40" s="143"/>
      <c r="CE40" s="134"/>
      <c r="CF40" s="134"/>
      <c r="CG40" s="157"/>
      <c r="CH40" s="134"/>
      <c r="CI40" s="134"/>
      <c r="CJ40" s="135"/>
      <c r="CK40" s="135"/>
    </row>
    <row r="41" spans="1:89" ht="14.25">
      <c r="A41" s="142"/>
      <c r="B41" s="30" t="s">
        <v>95</v>
      </c>
      <c r="C41" s="30" t="s">
        <v>4</v>
      </c>
      <c r="D41" s="137">
        <f t="shared" si="11"/>
        <v>4</v>
      </c>
      <c r="E41" s="208">
        <v>13</v>
      </c>
      <c r="F41" s="202"/>
      <c r="G41" s="207">
        <v>17</v>
      </c>
      <c r="H41" s="202"/>
      <c r="I41" s="208"/>
      <c r="J41" s="202"/>
      <c r="K41" s="208">
        <f t="shared" si="12"/>
        <v>1</v>
      </c>
      <c r="L41" s="202"/>
      <c r="M41" s="207">
        <v>17</v>
      </c>
      <c r="N41" s="202"/>
      <c r="O41" s="209"/>
      <c r="P41" s="202"/>
      <c r="Q41" s="206"/>
      <c r="R41" s="202"/>
      <c r="S41" s="207"/>
      <c r="T41" s="202"/>
      <c r="U41" s="207">
        <v>17</v>
      </c>
      <c r="V41" s="202"/>
      <c r="W41" s="208"/>
      <c r="X41" s="202"/>
      <c r="Y41" s="210">
        <f t="shared" si="13"/>
        <v>2</v>
      </c>
      <c r="Z41" s="202"/>
      <c r="AA41" s="207">
        <v>18</v>
      </c>
      <c r="AB41" s="202"/>
      <c r="AC41" s="209"/>
      <c r="AD41" s="202"/>
      <c r="AE41" s="206"/>
      <c r="AF41" s="202"/>
      <c r="AG41" s="207"/>
      <c r="AH41" s="202"/>
      <c r="AI41" s="207"/>
      <c r="AJ41" s="202"/>
      <c r="AK41" s="208"/>
      <c r="AL41" s="202"/>
      <c r="AM41" s="210">
        <f t="shared" si="14"/>
        <v>1</v>
      </c>
      <c r="AN41" s="202"/>
      <c r="AO41" s="207"/>
      <c r="AP41" s="202"/>
      <c r="AQ41" s="209"/>
      <c r="AR41" s="202"/>
      <c r="AS41" s="206"/>
      <c r="AT41" s="202"/>
      <c r="AU41" s="204"/>
      <c r="AV41" s="202"/>
      <c r="AW41" s="204"/>
      <c r="AX41" s="202"/>
      <c r="AY41" s="201"/>
      <c r="AZ41" s="202"/>
      <c r="BA41" s="210">
        <f t="shared" si="15"/>
        <v>0</v>
      </c>
      <c r="BB41" s="202"/>
      <c r="BC41" s="204"/>
      <c r="BD41" s="202"/>
      <c r="BE41" s="209"/>
      <c r="BF41" s="202"/>
      <c r="BG41" s="206"/>
      <c r="BH41" s="202"/>
      <c r="BI41" s="204"/>
      <c r="BJ41" s="202"/>
      <c r="BK41" s="204"/>
      <c r="BL41" s="202"/>
      <c r="BM41" s="201"/>
      <c r="BN41" s="202"/>
      <c r="BO41" s="203">
        <f t="shared" si="16"/>
        <v>0</v>
      </c>
      <c r="BP41" s="202"/>
      <c r="BQ41" s="138"/>
      <c r="BR41" s="128"/>
      <c r="BS41" s="128"/>
      <c r="BT41" s="128"/>
      <c r="BU41" s="128"/>
      <c r="BV41" s="148">
        <v>17</v>
      </c>
      <c r="BW41" s="144">
        <f ca="1">IFERROR(__xludf.DUMMYFUNCTION("COUNTIF(MAP($AA$8:$AJ$503,LAMBDA(c,IF(TRIM(c)="""","""",MIN(VALUE(SPLIT(SUBSTITUTE(SUBSTITUTE(SUBSTITUTE(c,"" "",""""),""，"","",""),"";"","",""),"","")))))),BV41)"),9)</f>
        <v>9</v>
      </c>
      <c r="BX41" s="145">
        <f t="shared" ca="1" si="22"/>
        <v>16.363636363636363</v>
      </c>
      <c r="BY41" s="150">
        <f t="shared" ca="1" si="23"/>
        <v>1.8</v>
      </c>
      <c r="BZ41" s="143"/>
      <c r="CA41" s="143"/>
      <c r="CB41" s="143"/>
      <c r="CC41" s="143"/>
      <c r="CD41" s="143"/>
      <c r="CE41" s="134"/>
      <c r="CF41" s="134"/>
      <c r="CG41" s="134"/>
      <c r="CH41" s="134"/>
      <c r="CI41" s="134"/>
      <c r="CJ41" s="135"/>
      <c r="CK41" s="135"/>
    </row>
    <row r="42" spans="1:89" ht="14.25">
      <c r="A42" s="136"/>
      <c r="B42" s="30" t="s">
        <v>97</v>
      </c>
      <c r="C42" s="30" t="s">
        <v>4</v>
      </c>
      <c r="D42" s="137">
        <f t="shared" si="11"/>
        <v>1</v>
      </c>
      <c r="E42" s="208"/>
      <c r="F42" s="202"/>
      <c r="G42" s="207"/>
      <c r="H42" s="202"/>
      <c r="I42" s="208"/>
      <c r="J42" s="202"/>
      <c r="K42" s="208">
        <f t="shared" si="12"/>
        <v>0</v>
      </c>
      <c r="L42" s="202"/>
      <c r="M42" s="207"/>
      <c r="N42" s="202"/>
      <c r="O42" s="209">
        <v>20</v>
      </c>
      <c r="P42" s="202"/>
      <c r="Q42" s="206"/>
      <c r="R42" s="202"/>
      <c r="S42" s="207"/>
      <c r="T42" s="202"/>
      <c r="U42" s="207"/>
      <c r="V42" s="202"/>
      <c r="W42" s="208"/>
      <c r="X42" s="202"/>
      <c r="Y42" s="210">
        <f t="shared" si="13"/>
        <v>1</v>
      </c>
      <c r="Z42" s="202"/>
      <c r="AA42" s="207"/>
      <c r="AB42" s="202"/>
      <c r="AC42" s="209"/>
      <c r="AD42" s="202"/>
      <c r="AE42" s="206"/>
      <c r="AF42" s="202"/>
      <c r="AG42" s="207"/>
      <c r="AH42" s="202"/>
      <c r="AI42" s="207"/>
      <c r="AJ42" s="202"/>
      <c r="AK42" s="208"/>
      <c r="AL42" s="202"/>
      <c r="AM42" s="210">
        <f t="shared" si="14"/>
        <v>0</v>
      </c>
      <c r="AN42" s="202"/>
      <c r="AO42" s="207"/>
      <c r="AP42" s="202"/>
      <c r="AQ42" s="209"/>
      <c r="AR42" s="202"/>
      <c r="AS42" s="206"/>
      <c r="AT42" s="202"/>
      <c r="AU42" s="204"/>
      <c r="AV42" s="202"/>
      <c r="AW42" s="204"/>
      <c r="AX42" s="202"/>
      <c r="AY42" s="201"/>
      <c r="AZ42" s="202"/>
      <c r="BA42" s="210">
        <f t="shared" si="15"/>
        <v>0</v>
      </c>
      <c r="BB42" s="202"/>
      <c r="BC42" s="204"/>
      <c r="BD42" s="202"/>
      <c r="BE42" s="209"/>
      <c r="BF42" s="202"/>
      <c r="BG42" s="206"/>
      <c r="BH42" s="202"/>
      <c r="BI42" s="204"/>
      <c r="BJ42" s="202"/>
      <c r="BK42" s="204"/>
      <c r="BL42" s="202"/>
      <c r="BM42" s="201"/>
      <c r="BN42" s="202"/>
      <c r="BO42" s="203">
        <f t="shared" si="16"/>
        <v>0</v>
      </c>
      <c r="BP42" s="202"/>
      <c r="BQ42" s="138"/>
      <c r="BR42" s="139"/>
      <c r="BS42" s="139"/>
      <c r="BT42" s="139"/>
      <c r="BU42" s="139"/>
      <c r="BV42" s="148">
        <v>18</v>
      </c>
      <c r="BW42" s="144">
        <f ca="1">IFERROR(__xludf.DUMMYFUNCTION("COUNTIF(MAP($AA$8:$AJ$503,LAMBDA(c,IF(TRIM(c)="""","""",MIN(VALUE(SPLIT(SUBSTITUTE(SUBSTITUTE(SUBSTITUTE(c,"" "",""""),""，"","",""),"";"","",""),"","")))))),BV42)"),9)</f>
        <v>9</v>
      </c>
      <c r="BX42" s="145">
        <f t="shared" ca="1" si="22"/>
        <v>16.363636363636363</v>
      </c>
      <c r="BY42" s="150">
        <f t="shared" ca="1" si="23"/>
        <v>1.8</v>
      </c>
      <c r="BZ42" s="143"/>
      <c r="CA42" s="143"/>
      <c r="CB42" s="143"/>
      <c r="CC42" s="143"/>
      <c r="CD42" s="143"/>
      <c r="CE42" s="139"/>
      <c r="CF42" s="139"/>
      <c r="CG42" s="136"/>
      <c r="CH42" s="139"/>
      <c r="CI42" s="139"/>
      <c r="CJ42" s="139"/>
      <c r="CK42" s="139"/>
    </row>
    <row r="43" spans="1:89" ht="14.25">
      <c r="A43" s="142"/>
      <c r="B43" s="30" t="s">
        <v>99</v>
      </c>
      <c r="C43" s="30" t="s">
        <v>4</v>
      </c>
      <c r="D43" s="137">
        <f t="shared" si="11"/>
        <v>1</v>
      </c>
      <c r="E43" s="208"/>
      <c r="F43" s="202"/>
      <c r="G43" s="207"/>
      <c r="H43" s="202"/>
      <c r="I43" s="208"/>
      <c r="J43" s="202"/>
      <c r="K43" s="208">
        <f t="shared" si="12"/>
        <v>0</v>
      </c>
      <c r="L43" s="202"/>
      <c r="M43" s="207">
        <v>17</v>
      </c>
      <c r="N43" s="202"/>
      <c r="O43" s="209"/>
      <c r="P43" s="202"/>
      <c r="Q43" s="206"/>
      <c r="R43" s="202"/>
      <c r="S43" s="207"/>
      <c r="T43" s="202"/>
      <c r="U43" s="207"/>
      <c r="V43" s="202"/>
      <c r="W43" s="208"/>
      <c r="X43" s="202"/>
      <c r="Y43" s="210">
        <f t="shared" si="13"/>
        <v>1</v>
      </c>
      <c r="Z43" s="202"/>
      <c r="AA43" s="207"/>
      <c r="AB43" s="202"/>
      <c r="AC43" s="209"/>
      <c r="AD43" s="202"/>
      <c r="AE43" s="206"/>
      <c r="AF43" s="202"/>
      <c r="AG43" s="207"/>
      <c r="AH43" s="202"/>
      <c r="AI43" s="207"/>
      <c r="AJ43" s="202"/>
      <c r="AK43" s="208"/>
      <c r="AL43" s="202"/>
      <c r="AM43" s="210">
        <f t="shared" si="14"/>
        <v>0</v>
      </c>
      <c r="AN43" s="202"/>
      <c r="AO43" s="207"/>
      <c r="AP43" s="202"/>
      <c r="AQ43" s="209"/>
      <c r="AR43" s="202"/>
      <c r="AS43" s="206"/>
      <c r="AT43" s="202"/>
      <c r="AU43" s="204"/>
      <c r="AV43" s="202"/>
      <c r="AW43" s="204"/>
      <c r="AX43" s="202"/>
      <c r="AY43" s="201"/>
      <c r="AZ43" s="202"/>
      <c r="BA43" s="210">
        <f t="shared" si="15"/>
        <v>0</v>
      </c>
      <c r="BB43" s="202"/>
      <c r="BC43" s="204"/>
      <c r="BD43" s="202"/>
      <c r="BE43" s="209"/>
      <c r="BF43" s="202"/>
      <c r="BG43" s="206"/>
      <c r="BH43" s="202"/>
      <c r="BI43" s="204"/>
      <c r="BJ43" s="202"/>
      <c r="BK43" s="204"/>
      <c r="BL43" s="202"/>
      <c r="BM43" s="201"/>
      <c r="BN43" s="202"/>
      <c r="BO43" s="203">
        <f t="shared" si="16"/>
        <v>0</v>
      </c>
      <c r="BP43" s="202"/>
      <c r="BQ43" s="138"/>
      <c r="BR43" s="128"/>
      <c r="BS43" s="128"/>
      <c r="BT43" s="128"/>
      <c r="BU43" s="128"/>
      <c r="BV43" s="148">
        <v>19</v>
      </c>
      <c r="BW43" s="144">
        <f ca="1">IFERROR(__xludf.DUMMYFUNCTION("COUNTIF(MAP($AA$8:$AJ$503,LAMBDA(c,IF(TRIM(c)="""","""",MIN(VALUE(SPLIT(SUBSTITUTE(SUBSTITUTE(SUBSTITUTE(c,"" "",""""),""，"","",""),"";"","",""),"","")))))),BV43)"),6)</f>
        <v>6</v>
      </c>
      <c r="BX43" s="145">
        <f t="shared" ca="1" si="22"/>
        <v>10.909090909090908</v>
      </c>
      <c r="BY43" s="150">
        <f t="shared" ca="1" si="23"/>
        <v>1.2</v>
      </c>
      <c r="BZ43" s="143"/>
      <c r="CA43" s="143"/>
      <c r="CB43" s="143"/>
      <c r="CC43" s="143"/>
      <c r="CD43" s="143"/>
      <c r="CE43" s="134"/>
      <c r="CF43" s="134"/>
      <c r="CG43" s="134"/>
      <c r="CH43" s="134"/>
      <c r="CI43" s="134"/>
      <c r="CJ43" s="135"/>
      <c r="CK43" s="135"/>
    </row>
    <row r="44" spans="1:89" ht="14.25">
      <c r="A44" s="142"/>
      <c r="B44" s="30" t="s">
        <v>102</v>
      </c>
      <c r="C44" s="30" t="s">
        <v>4</v>
      </c>
      <c r="D44" s="137">
        <f t="shared" si="11"/>
        <v>0</v>
      </c>
      <c r="E44" s="208"/>
      <c r="F44" s="202"/>
      <c r="G44" s="207"/>
      <c r="H44" s="202"/>
      <c r="I44" s="208"/>
      <c r="J44" s="202"/>
      <c r="K44" s="208">
        <f t="shared" si="12"/>
        <v>0</v>
      </c>
      <c r="L44" s="202"/>
      <c r="M44" s="207"/>
      <c r="N44" s="202"/>
      <c r="O44" s="209"/>
      <c r="P44" s="202"/>
      <c r="Q44" s="206"/>
      <c r="R44" s="202"/>
      <c r="S44" s="207"/>
      <c r="T44" s="202"/>
      <c r="U44" s="207"/>
      <c r="V44" s="202"/>
      <c r="W44" s="208"/>
      <c r="X44" s="202"/>
      <c r="Y44" s="210">
        <f t="shared" si="13"/>
        <v>0</v>
      </c>
      <c r="Z44" s="202"/>
      <c r="AA44" s="207"/>
      <c r="AB44" s="202"/>
      <c r="AC44" s="209"/>
      <c r="AD44" s="202"/>
      <c r="AE44" s="206"/>
      <c r="AF44" s="202"/>
      <c r="AG44" s="207"/>
      <c r="AH44" s="202"/>
      <c r="AI44" s="207"/>
      <c r="AJ44" s="202"/>
      <c r="AK44" s="208"/>
      <c r="AL44" s="202"/>
      <c r="AM44" s="210">
        <f t="shared" si="14"/>
        <v>0</v>
      </c>
      <c r="AN44" s="202"/>
      <c r="AO44" s="207"/>
      <c r="AP44" s="202"/>
      <c r="AQ44" s="209"/>
      <c r="AR44" s="202"/>
      <c r="AS44" s="206"/>
      <c r="AT44" s="202"/>
      <c r="AU44" s="204"/>
      <c r="AV44" s="202"/>
      <c r="AW44" s="204"/>
      <c r="AX44" s="202"/>
      <c r="AY44" s="201"/>
      <c r="AZ44" s="202"/>
      <c r="BA44" s="210">
        <f t="shared" si="15"/>
        <v>0</v>
      </c>
      <c r="BB44" s="202"/>
      <c r="BC44" s="204"/>
      <c r="BD44" s="202"/>
      <c r="BE44" s="209"/>
      <c r="BF44" s="202"/>
      <c r="BG44" s="206"/>
      <c r="BH44" s="202"/>
      <c r="BI44" s="204"/>
      <c r="BJ44" s="202"/>
      <c r="BK44" s="204"/>
      <c r="BL44" s="202"/>
      <c r="BM44" s="201"/>
      <c r="BN44" s="202"/>
      <c r="BO44" s="203">
        <f t="shared" si="16"/>
        <v>0</v>
      </c>
      <c r="BP44" s="202"/>
      <c r="BQ44" s="138"/>
      <c r="BR44" s="128"/>
      <c r="BS44" s="128"/>
      <c r="BT44" s="128"/>
      <c r="BU44" s="128"/>
      <c r="BV44" s="148">
        <v>20</v>
      </c>
      <c r="BW44" s="144">
        <f ca="1">IFERROR(__xludf.DUMMYFUNCTION("COUNTIF(MAP($AA$8:$AJ$503,LAMBDA(c,IF(TRIM(c)="""","""",MIN(VALUE(SPLIT(SUBSTITUTE(SUBSTITUTE(SUBSTITUTE(c,"" "",""""),""，"","",""),"";"","",""),"","")))))),BV44)"),8)</f>
        <v>8</v>
      </c>
      <c r="BX44" s="145">
        <f t="shared" ca="1" si="22"/>
        <v>14.545454545454545</v>
      </c>
      <c r="BY44" s="150">
        <f t="shared" ca="1" si="23"/>
        <v>1.6</v>
      </c>
      <c r="BZ44" s="143"/>
      <c r="CA44" s="143"/>
      <c r="CB44" s="143"/>
      <c r="CC44" s="143"/>
      <c r="CD44" s="143"/>
      <c r="CE44" s="134"/>
      <c r="CF44" s="134"/>
      <c r="CG44" s="134"/>
      <c r="CH44" s="134"/>
      <c r="CI44" s="134"/>
      <c r="CJ44" s="135"/>
      <c r="CK44" s="135"/>
    </row>
    <row r="45" spans="1:89" ht="14.25">
      <c r="A45" s="136"/>
      <c r="B45" s="30" t="s">
        <v>104</v>
      </c>
      <c r="C45" s="30" t="s">
        <v>4</v>
      </c>
      <c r="D45" s="137">
        <f t="shared" si="11"/>
        <v>0</v>
      </c>
      <c r="E45" s="208"/>
      <c r="F45" s="202"/>
      <c r="G45" s="207"/>
      <c r="H45" s="202"/>
      <c r="I45" s="208"/>
      <c r="J45" s="202"/>
      <c r="K45" s="208">
        <f t="shared" si="12"/>
        <v>0</v>
      </c>
      <c r="L45" s="202"/>
      <c r="M45" s="207"/>
      <c r="N45" s="202"/>
      <c r="O45" s="209"/>
      <c r="P45" s="202"/>
      <c r="Q45" s="206"/>
      <c r="R45" s="202"/>
      <c r="S45" s="207"/>
      <c r="T45" s="202"/>
      <c r="U45" s="207"/>
      <c r="V45" s="202"/>
      <c r="W45" s="208"/>
      <c r="X45" s="202"/>
      <c r="Y45" s="210">
        <f t="shared" si="13"/>
        <v>0</v>
      </c>
      <c r="Z45" s="202"/>
      <c r="AA45" s="207"/>
      <c r="AB45" s="202"/>
      <c r="AC45" s="209"/>
      <c r="AD45" s="202"/>
      <c r="AE45" s="206"/>
      <c r="AF45" s="202"/>
      <c r="AG45" s="207"/>
      <c r="AH45" s="202"/>
      <c r="AI45" s="207"/>
      <c r="AJ45" s="202"/>
      <c r="AK45" s="208"/>
      <c r="AL45" s="202"/>
      <c r="AM45" s="210">
        <f t="shared" si="14"/>
        <v>0</v>
      </c>
      <c r="AN45" s="202"/>
      <c r="AO45" s="207"/>
      <c r="AP45" s="202"/>
      <c r="AQ45" s="209"/>
      <c r="AR45" s="202"/>
      <c r="AS45" s="206"/>
      <c r="AT45" s="202"/>
      <c r="AU45" s="204"/>
      <c r="AV45" s="202"/>
      <c r="AW45" s="204"/>
      <c r="AX45" s="202"/>
      <c r="AY45" s="201"/>
      <c r="AZ45" s="202"/>
      <c r="BA45" s="210">
        <f t="shared" si="15"/>
        <v>0</v>
      </c>
      <c r="BB45" s="202"/>
      <c r="BC45" s="204"/>
      <c r="BD45" s="202"/>
      <c r="BE45" s="209"/>
      <c r="BF45" s="202"/>
      <c r="BG45" s="206"/>
      <c r="BH45" s="202"/>
      <c r="BI45" s="204"/>
      <c r="BJ45" s="202"/>
      <c r="BK45" s="204"/>
      <c r="BL45" s="202"/>
      <c r="BM45" s="201"/>
      <c r="BN45" s="202"/>
      <c r="BO45" s="203">
        <f t="shared" si="16"/>
        <v>0</v>
      </c>
      <c r="BP45" s="202"/>
      <c r="BQ45" s="138"/>
      <c r="BR45" s="139"/>
      <c r="BS45" s="139"/>
      <c r="BT45" s="139"/>
      <c r="BU45" s="139"/>
      <c r="BV45" s="148">
        <v>21</v>
      </c>
      <c r="BW45" s="144">
        <f ca="1">IFERROR(__xludf.DUMMYFUNCTION("COUNTIF(MAP($AA$8:$AJ$503,LAMBDA(c,IF(TRIM(c)="""","""",MIN(VALUE(SPLIT(SUBSTITUTE(SUBSTITUTE(SUBSTITUTE(c,"" "",""""),""，"","",""),"";"","",""),"","")))))),BV45)"),6)</f>
        <v>6</v>
      </c>
      <c r="BX45" s="145">
        <f t="shared" ca="1" si="22"/>
        <v>10.909090909090908</v>
      </c>
      <c r="BY45" s="150">
        <f t="shared" ca="1" si="23"/>
        <v>1.2</v>
      </c>
      <c r="BZ45" s="143"/>
      <c r="CA45" s="143"/>
      <c r="CB45" s="143"/>
      <c r="CC45" s="143"/>
      <c r="CD45" s="143"/>
      <c r="CE45" s="139"/>
      <c r="CF45" s="139"/>
      <c r="CG45" s="139"/>
      <c r="CH45" s="139"/>
      <c r="CI45" s="139"/>
      <c r="CJ45" s="139"/>
      <c r="CK45" s="139"/>
    </row>
    <row r="46" spans="1:89" ht="14.25">
      <c r="A46" s="136"/>
      <c r="B46" s="30" t="s">
        <v>106</v>
      </c>
      <c r="C46" s="30" t="s">
        <v>3</v>
      </c>
      <c r="D46" s="137">
        <f t="shared" si="11"/>
        <v>0</v>
      </c>
      <c r="E46" s="208"/>
      <c r="F46" s="202"/>
      <c r="G46" s="207"/>
      <c r="H46" s="202"/>
      <c r="I46" s="208"/>
      <c r="J46" s="202"/>
      <c r="K46" s="208">
        <f t="shared" si="12"/>
        <v>0</v>
      </c>
      <c r="L46" s="202"/>
      <c r="M46" s="207"/>
      <c r="N46" s="202"/>
      <c r="O46" s="209"/>
      <c r="P46" s="202"/>
      <c r="Q46" s="206"/>
      <c r="R46" s="202"/>
      <c r="S46" s="207"/>
      <c r="T46" s="202"/>
      <c r="U46" s="207"/>
      <c r="V46" s="202"/>
      <c r="W46" s="208"/>
      <c r="X46" s="202"/>
      <c r="Y46" s="210">
        <f t="shared" si="13"/>
        <v>0</v>
      </c>
      <c r="Z46" s="202"/>
      <c r="AA46" s="207"/>
      <c r="AB46" s="202"/>
      <c r="AC46" s="209"/>
      <c r="AD46" s="202"/>
      <c r="AE46" s="206"/>
      <c r="AF46" s="202"/>
      <c r="AG46" s="207"/>
      <c r="AH46" s="202"/>
      <c r="AI46" s="207"/>
      <c r="AJ46" s="202"/>
      <c r="AK46" s="208"/>
      <c r="AL46" s="202"/>
      <c r="AM46" s="210">
        <f t="shared" si="14"/>
        <v>0</v>
      </c>
      <c r="AN46" s="202"/>
      <c r="AO46" s="207"/>
      <c r="AP46" s="202"/>
      <c r="AQ46" s="209"/>
      <c r="AR46" s="202"/>
      <c r="AS46" s="206"/>
      <c r="AT46" s="202"/>
      <c r="AU46" s="204"/>
      <c r="AV46" s="202"/>
      <c r="AW46" s="204"/>
      <c r="AX46" s="202"/>
      <c r="AY46" s="201"/>
      <c r="AZ46" s="202"/>
      <c r="BA46" s="210">
        <f t="shared" si="15"/>
        <v>0</v>
      </c>
      <c r="BB46" s="202"/>
      <c r="BC46" s="204"/>
      <c r="BD46" s="202"/>
      <c r="BE46" s="209"/>
      <c r="BF46" s="202"/>
      <c r="BG46" s="206"/>
      <c r="BH46" s="202"/>
      <c r="BI46" s="204"/>
      <c r="BJ46" s="202"/>
      <c r="BK46" s="204"/>
      <c r="BL46" s="202"/>
      <c r="BM46" s="201"/>
      <c r="BN46" s="202"/>
      <c r="BO46" s="203">
        <f t="shared" si="16"/>
        <v>0</v>
      </c>
      <c r="BP46" s="202"/>
      <c r="BQ46" s="138"/>
      <c r="BR46" s="139"/>
      <c r="BS46" s="139"/>
      <c r="BT46" s="139"/>
      <c r="BU46" s="139"/>
      <c r="BZ46" s="143"/>
      <c r="CA46" s="143"/>
      <c r="CB46" s="143"/>
      <c r="CC46" s="143"/>
      <c r="CD46" s="143"/>
      <c r="CE46" s="139"/>
      <c r="CF46" s="139"/>
      <c r="CG46" s="136"/>
      <c r="CH46" s="139"/>
      <c r="CI46" s="139"/>
      <c r="CJ46" s="139"/>
      <c r="CK46" s="139"/>
    </row>
    <row r="47" spans="1:89" ht="14.25">
      <c r="A47" s="136"/>
      <c r="B47" s="30" t="s">
        <v>108</v>
      </c>
      <c r="C47" s="30" t="s">
        <v>4</v>
      </c>
      <c r="D47" s="137">
        <f t="shared" si="11"/>
        <v>3</v>
      </c>
      <c r="E47" s="208">
        <v>13</v>
      </c>
      <c r="F47" s="202"/>
      <c r="G47" s="207">
        <v>21</v>
      </c>
      <c r="H47" s="202"/>
      <c r="I47" s="208">
        <v>13</v>
      </c>
      <c r="J47" s="202"/>
      <c r="K47" s="208">
        <f t="shared" si="12"/>
        <v>1</v>
      </c>
      <c r="L47" s="202"/>
      <c r="M47" s="207">
        <v>21</v>
      </c>
      <c r="N47" s="202"/>
      <c r="O47" s="209"/>
      <c r="P47" s="202"/>
      <c r="Q47" s="206"/>
      <c r="R47" s="202"/>
      <c r="S47" s="207"/>
      <c r="T47" s="202"/>
      <c r="U47" s="207">
        <v>21</v>
      </c>
      <c r="V47" s="202"/>
      <c r="W47" s="208"/>
      <c r="X47" s="202"/>
      <c r="Y47" s="210">
        <f t="shared" si="13"/>
        <v>2</v>
      </c>
      <c r="Z47" s="202"/>
      <c r="AA47" s="207"/>
      <c r="AB47" s="202"/>
      <c r="AC47" s="209"/>
      <c r="AD47" s="202"/>
      <c r="AE47" s="206"/>
      <c r="AF47" s="202"/>
      <c r="AG47" s="207"/>
      <c r="AH47" s="202"/>
      <c r="AI47" s="207"/>
      <c r="AJ47" s="202"/>
      <c r="AK47" s="208"/>
      <c r="AL47" s="202"/>
      <c r="AM47" s="210">
        <f t="shared" si="14"/>
        <v>0</v>
      </c>
      <c r="AN47" s="202"/>
      <c r="AO47" s="207"/>
      <c r="AP47" s="202"/>
      <c r="AQ47" s="209"/>
      <c r="AR47" s="202"/>
      <c r="AS47" s="206"/>
      <c r="AT47" s="202"/>
      <c r="AU47" s="204"/>
      <c r="AV47" s="202"/>
      <c r="AW47" s="204"/>
      <c r="AX47" s="202"/>
      <c r="AY47" s="201"/>
      <c r="AZ47" s="202"/>
      <c r="BA47" s="210">
        <f t="shared" si="15"/>
        <v>0</v>
      </c>
      <c r="BB47" s="202"/>
      <c r="BC47" s="204"/>
      <c r="BD47" s="202"/>
      <c r="BE47" s="209"/>
      <c r="BF47" s="202"/>
      <c r="BG47" s="206"/>
      <c r="BH47" s="202"/>
      <c r="BI47" s="204"/>
      <c r="BJ47" s="202"/>
      <c r="BK47" s="204"/>
      <c r="BL47" s="202"/>
      <c r="BM47" s="201"/>
      <c r="BN47" s="202"/>
      <c r="BO47" s="203">
        <f t="shared" si="16"/>
        <v>0</v>
      </c>
      <c r="BP47" s="202"/>
      <c r="BQ47" s="138"/>
      <c r="BR47" s="139"/>
      <c r="BS47" s="139"/>
      <c r="BT47" s="139"/>
      <c r="BU47" s="139"/>
      <c r="BV47" s="228" t="s">
        <v>21</v>
      </c>
      <c r="BW47" s="225"/>
      <c r="BX47" s="225"/>
      <c r="BY47" s="202"/>
      <c r="BZ47" s="143"/>
      <c r="CA47" s="143"/>
      <c r="CB47" s="143"/>
      <c r="CC47" s="143"/>
      <c r="CD47" s="143"/>
      <c r="CE47" s="139"/>
      <c r="CF47" s="139"/>
      <c r="CG47" s="136"/>
      <c r="CH47" s="139"/>
      <c r="CI47" s="139"/>
      <c r="CJ47" s="139"/>
      <c r="CK47" s="139"/>
    </row>
    <row r="48" spans="1:89" ht="14.25">
      <c r="A48" s="136"/>
      <c r="B48" s="30" t="s">
        <v>110</v>
      </c>
      <c r="C48" s="30" t="s">
        <v>4</v>
      </c>
      <c r="D48" s="137">
        <f t="shared" si="11"/>
        <v>0</v>
      </c>
      <c r="E48" s="208"/>
      <c r="F48" s="202"/>
      <c r="G48" s="207"/>
      <c r="H48" s="202"/>
      <c r="I48" s="208"/>
      <c r="J48" s="202"/>
      <c r="K48" s="208">
        <f t="shared" si="12"/>
        <v>0</v>
      </c>
      <c r="L48" s="202"/>
      <c r="M48" s="207"/>
      <c r="N48" s="202"/>
      <c r="O48" s="209"/>
      <c r="P48" s="202"/>
      <c r="Q48" s="206"/>
      <c r="R48" s="202"/>
      <c r="S48" s="207"/>
      <c r="T48" s="202"/>
      <c r="U48" s="207"/>
      <c r="V48" s="202"/>
      <c r="W48" s="208"/>
      <c r="X48" s="202"/>
      <c r="Y48" s="210">
        <f t="shared" si="13"/>
        <v>0</v>
      </c>
      <c r="Z48" s="202"/>
      <c r="AA48" s="207"/>
      <c r="AB48" s="202"/>
      <c r="AC48" s="209"/>
      <c r="AD48" s="202"/>
      <c r="AE48" s="206"/>
      <c r="AF48" s="202"/>
      <c r="AG48" s="207"/>
      <c r="AH48" s="202"/>
      <c r="AI48" s="207"/>
      <c r="AJ48" s="202"/>
      <c r="AK48" s="208"/>
      <c r="AL48" s="202"/>
      <c r="AM48" s="210">
        <f t="shared" si="14"/>
        <v>0</v>
      </c>
      <c r="AN48" s="202"/>
      <c r="AO48" s="207"/>
      <c r="AP48" s="202"/>
      <c r="AQ48" s="209"/>
      <c r="AR48" s="202"/>
      <c r="AS48" s="206"/>
      <c r="AT48" s="202"/>
      <c r="AU48" s="204"/>
      <c r="AV48" s="202"/>
      <c r="AW48" s="204"/>
      <c r="AX48" s="202"/>
      <c r="AY48" s="201"/>
      <c r="AZ48" s="202"/>
      <c r="BA48" s="210">
        <f t="shared" si="15"/>
        <v>0</v>
      </c>
      <c r="BB48" s="202"/>
      <c r="BC48" s="204"/>
      <c r="BD48" s="202"/>
      <c r="BE48" s="209"/>
      <c r="BF48" s="202"/>
      <c r="BG48" s="206"/>
      <c r="BH48" s="202"/>
      <c r="BI48" s="204"/>
      <c r="BJ48" s="202"/>
      <c r="BK48" s="204"/>
      <c r="BL48" s="202"/>
      <c r="BM48" s="201"/>
      <c r="BN48" s="202"/>
      <c r="BO48" s="203">
        <f t="shared" si="16"/>
        <v>0</v>
      </c>
      <c r="BP48" s="202"/>
      <c r="BQ48" s="138"/>
      <c r="BR48" s="139"/>
      <c r="BS48" s="139"/>
      <c r="BT48" s="139"/>
      <c r="BU48" s="139"/>
      <c r="BV48" s="146" t="s">
        <v>367</v>
      </c>
      <c r="BW48" s="146" t="s">
        <v>370</v>
      </c>
      <c r="BX48" s="146" t="s">
        <v>369</v>
      </c>
      <c r="BY48" s="146" t="s">
        <v>356</v>
      </c>
      <c r="BZ48" s="143"/>
      <c r="CA48" s="143"/>
      <c r="CB48" s="143"/>
      <c r="CC48" s="143"/>
      <c r="CD48" s="143"/>
      <c r="CE48" s="139"/>
      <c r="CF48" s="139"/>
      <c r="CG48" s="139"/>
      <c r="CH48" s="139"/>
      <c r="CI48" s="139"/>
      <c r="CJ48" s="139"/>
      <c r="CK48" s="139"/>
    </row>
    <row r="49" spans="1:89" ht="14.25">
      <c r="A49" s="142"/>
      <c r="B49" s="30" t="s">
        <v>112</v>
      </c>
      <c r="C49" s="30" t="s">
        <v>3</v>
      </c>
      <c r="D49" s="137">
        <f t="shared" si="11"/>
        <v>0</v>
      </c>
      <c r="E49" s="208"/>
      <c r="F49" s="202"/>
      <c r="G49" s="207"/>
      <c r="H49" s="202"/>
      <c r="I49" s="208"/>
      <c r="J49" s="202"/>
      <c r="K49" s="208">
        <f t="shared" si="12"/>
        <v>0</v>
      </c>
      <c r="L49" s="202"/>
      <c r="M49" s="207"/>
      <c r="N49" s="202"/>
      <c r="O49" s="209"/>
      <c r="P49" s="202"/>
      <c r="Q49" s="206"/>
      <c r="R49" s="202"/>
      <c r="S49" s="207"/>
      <c r="T49" s="202"/>
      <c r="U49" s="207"/>
      <c r="V49" s="202"/>
      <c r="W49" s="208"/>
      <c r="X49" s="202"/>
      <c r="Y49" s="210">
        <f t="shared" si="13"/>
        <v>0</v>
      </c>
      <c r="Z49" s="202"/>
      <c r="AA49" s="207"/>
      <c r="AB49" s="202"/>
      <c r="AC49" s="209"/>
      <c r="AD49" s="202"/>
      <c r="AE49" s="206"/>
      <c r="AF49" s="202"/>
      <c r="AG49" s="207"/>
      <c r="AH49" s="202"/>
      <c r="AI49" s="207"/>
      <c r="AJ49" s="202"/>
      <c r="AK49" s="208"/>
      <c r="AL49" s="202"/>
      <c r="AM49" s="210">
        <f t="shared" si="14"/>
        <v>0</v>
      </c>
      <c r="AN49" s="202"/>
      <c r="AO49" s="207"/>
      <c r="AP49" s="202"/>
      <c r="AQ49" s="209"/>
      <c r="AR49" s="202"/>
      <c r="AS49" s="206"/>
      <c r="AT49" s="202"/>
      <c r="AU49" s="204"/>
      <c r="AV49" s="202"/>
      <c r="AW49" s="204"/>
      <c r="AX49" s="202"/>
      <c r="AY49" s="201"/>
      <c r="AZ49" s="202"/>
      <c r="BA49" s="210">
        <f t="shared" si="15"/>
        <v>0</v>
      </c>
      <c r="BB49" s="202"/>
      <c r="BC49" s="204"/>
      <c r="BD49" s="202"/>
      <c r="BE49" s="209"/>
      <c r="BF49" s="202"/>
      <c r="BG49" s="206"/>
      <c r="BH49" s="202"/>
      <c r="BI49" s="204"/>
      <c r="BJ49" s="202"/>
      <c r="BK49" s="204"/>
      <c r="BL49" s="202"/>
      <c r="BM49" s="201"/>
      <c r="BN49" s="202"/>
      <c r="BO49" s="203">
        <f t="shared" si="16"/>
        <v>0</v>
      </c>
      <c r="BP49" s="202"/>
      <c r="BQ49" s="138"/>
      <c r="BR49" s="128"/>
      <c r="BS49" s="128"/>
      <c r="BT49" s="128"/>
      <c r="BU49" s="128"/>
      <c r="BV49" s="148">
        <v>7</v>
      </c>
      <c r="BW49" s="149">
        <f ca="1">IFERROR(__xludf.DUMMYFUNCTION("COUNTIF(MAP($AO$8:$AX$503,LAMBDA(c,IF(TRIM(c)="""","""",MIN(VALUE(SPLIT(SUBSTITUTE(SUBSTITUTE(SUBSTITUTE(c,"" "",""""),""，"","",""),"";"","",""),"","")))))),BV49)"),0)</f>
        <v>0</v>
      </c>
      <c r="BX49" s="145" t="e">
        <f t="shared" ref="BX49:BX57" ca="1" si="24">BW49/SUM($BW$49:$BW$58)*100</f>
        <v>#DIV/0!</v>
      </c>
      <c r="BY49" s="150">
        <f t="shared" ref="BY49:BY57" ca="1" si="25">BW49/$BW$6</f>
        <v>0</v>
      </c>
      <c r="BZ49" s="143"/>
      <c r="CA49" s="143"/>
      <c r="CB49" s="143"/>
      <c r="CC49" s="143"/>
      <c r="CD49" s="143"/>
      <c r="CE49" s="134"/>
      <c r="CF49" s="134"/>
      <c r="CG49" s="134"/>
      <c r="CH49" s="134"/>
      <c r="CI49" s="134"/>
      <c r="CJ49" s="135"/>
      <c r="CK49" s="135"/>
    </row>
    <row r="50" spans="1:89" ht="14.25">
      <c r="A50" s="142"/>
      <c r="B50" s="30" t="s">
        <v>114</v>
      </c>
      <c r="C50" s="46" t="s">
        <v>4</v>
      </c>
      <c r="D50" s="137">
        <f t="shared" si="11"/>
        <v>2</v>
      </c>
      <c r="E50" s="208"/>
      <c r="F50" s="202"/>
      <c r="G50" s="207"/>
      <c r="H50" s="202"/>
      <c r="I50" s="208"/>
      <c r="J50" s="202"/>
      <c r="K50" s="208">
        <f t="shared" si="12"/>
        <v>0</v>
      </c>
      <c r="L50" s="202"/>
      <c r="M50" s="207"/>
      <c r="N50" s="202"/>
      <c r="O50" s="209">
        <v>12</v>
      </c>
      <c r="P50" s="202"/>
      <c r="Q50" s="206">
        <v>21</v>
      </c>
      <c r="R50" s="202"/>
      <c r="S50" s="207"/>
      <c r="T50" s="202"/>
      <c r="U50" s="207"/>
      <c r="V50" s="202"/>
      <c r="W50" s="208"/>
      <c r="X50" s="202"/>
      <c r="Y50" s="210">
        <f t="shared" si="13"/>
        <v>2</v>
      </c>
      <c r="Z50" s="202"/>
      <c r="AA50" s="207"/>
      <c r="AB50" s="202"/>
      <c r="AC50" s="209"/>
      <c r="AD50" s="202"/>
      <c r="AE50" s="206"/>
      <c r="AF50" s="202"/>
      <c r="AG50" s="207"/>
      <c r="AH50" s="202"/>
      <c r="AI50" s="207"/>
      <c r="AJ50" s="202"/>
      <c r="AK50" s="208"/>
      <c r="AL50" s="202"/>
      <c r="AM50" s="210">
        <f t="shared" si="14"/>
        <v>0</v>
      </c>
      <c r="AN50" s="202"/>
      <c r="AO50" s="207"/>
      <c r="AP50" s="202"/>
      <c r="AQ50" s="209"/>
      <c r="AR50" s="202"/>
      <c r="AS50" s="206"/>
      <c r="AT50" s="202"/>
      <c r="AU50" s="204"/>
      <c r="AV50" s="202"/>
      <c r="AW50" s="204"/>
      <c r="AX50" s="202"/>
      <c r="AY50" s="201"/>
      <c r="AZ50" s="202"/>
      <c r="BA50" s="210">
        <f t="shared" si="15"/>
        <v>0</v>
      </c>
      <c r="BB50" s="202"/>
      <c r="BC50" s="204"/>
      <c r="BD50" s="202"/>
      <c r="BE50" s="209"/>
      <c r="BF50" s="202"/>
      <c r="BG50" s="206"/>
      <c r="BH50" s="202"/>
      <c r="BI50" s="204"/>
      <c r="BJ50" s="202"/>
      <c r="BK50" s="204"/>
      <c r="BL50" s="202"/>
      <c r="BM50" s="201"/>
      <c r="BN50" s="202"/>
      <c r="BO50" s="203">
        <f t="shared" si="16"/>
        <v>0</v>
      </c>
      <c r="BP50" s="202"/>
      <c r="BQ50" s="138"/>
      <c r="BR50" s="128"/>
      <c r="BS50" s="128"/>
      <c r="BT50" s="128"/>
      <c r="BU50" s="128"/>
      <c r="BV50" s="148">
        <v>8</v>
      </c>
      <c r="BW50" s="149">
        <f ca="1">IFERROR(__xludf.DUMMYFUNCTION("COUNTIF(MAP($AO$8:$AX$503,LAMBDA(c,IF(TRIM(c)="""","""",MIN(VALUE(SPLIT(SUBSTITUTE(SUBSTITUTE(SUBSTITUTE(c,"" "",""""),""，"","",""),"";"","",""),"","")))))),BV50)"),0)</f>
        <v>0</v>
      </c>
      <c r="BX50" s="145" t="e">
        <f t="shared" ca="1" si="24"/>
        <v>#DIV/0!</v>
      </c>
      <c r="BY50" s="150">
        <f t="shared" ca="1" si="25"/>
        <v>0</v>
      </c>
      <c r="BZ50" s="143"/>
      <c r="CA50" s="143"/>
      <c r="CB50" s="143"/>
      <c r="CC50" s="143"/>
      <c r="CD50" s="143"/>
      <c r="CE50" s="134"/>
      <c r="CF50" s="134"/>
      <c r="CG50" s="134"/>
      <c r="CH50" s="134"/>
      <c r="CI50" s="134"/>
      <c r="CJ50" s="135"/>
      <c r="CK50" s="135"/>
    </row>
    <row r="51" spans="1:89" ht="14.25">
      <c r="A51" s="136"/>
      <c r="B51" s="30" t="s">
        <v>116</v>
      </c>
      <c r="C51" s="46" t="s">
        <v>4</v>
      </c>
      <c r="D51" s="137">
        <f t="shared" si="11"/>
        <v>0</v>
      </c>
      <c r="E51" s="208"/>
      <c r="F51" s="202"/>
      <c r="G51" s="207"/>
      <c r="H51" s="202"/>
      <c r="I51" s="208"/>
      <c r="J51" s="202"/>
      <c r="K51" s="208">
        <f t="shared" si="12"/>
        <v>0</v>
      </c>
      <c r="L51" s="202"/>
      <c r="M51" s="207"/>
      <c r="N51" s="202"/>
      <c r="O51" s="209"/>
      <c r="P51" s="202"/>
      <c r="Q51" s="206"/>
      <c r="R51" s="202"/>
      <c r="S51" s="207"/>
      <c r="T51" s="202"/>
      <c r="U51" s="207"/>
      <c r="V51" s="202"/>
      <c r="W51" s="208"/>
      <c r="X51" s="202"/>
      <c r="Y51" s="210">
        <f t="shared" si="13"/>
        <v>0</v>
      </c>
      <c r="Z51" s="202"/>
      <c r="AA51" s="207"/>
      <c r="AB51" s="202"/>
      <c r="AC51" s="209"/>
      <c r="AD51" s="202"/>
      <c r="AE51" s="206"/>
      <c r="AF51" s="202"/>
      <c r="AG51" s="207"/>
      <c r="AH51" s="202"/>
      <c r="AI51" s="207"/>
      <c r="AJ51" s="202"/>
      <c r="AK51" s="208"/>
      <c r="AL51" s="202"/>
      <c r="AM51" s="210">
        <f t="shared" si="14"/>
        <v>0</v>
      </c>
      <c r="AN51" s="202"/>
      <c r="AO51" s="207"/>
      <c r="AP51" s="202"/>
      <c r="AQ51" s="209"/>
      <c r="AR51" s="202"/>
      <c r="AS51" s="206"/>
      <c r="AT51" s="202"/>
      <c r="AU51" s="204"/>
      <c r="AV51" s="202"/>
      <c r="AW51" s="204"/>
      <c r="AX51" s="202"/>
      <c r="AY51" s="201"/>
      <c r="AZ51" s="202"/>
      <c r="BA51" s="210">
        <f t="shared" si="15"/>
        <v>0</v>
      </c>
      <c r="BB51" s="202"/>
      <c r="BC51" s="204"/>
      <c r="BD51" s="202"/>
      <c r="BE51" s="209"/>
      <c r="BF51" s="202"/>
      <c r="BG51" s="206"/>
      <c r="BH51" s="202"/>
      <c r="BI51" s="204"/>
      <c r="BJ51" s="202"/>
      <c r="BK51" s="204"/>
      <c r="BL51" s="202"/>
      <c r="BM51" s="201"/>
      <c r="BN51" s="202"/>
      <c r="BO51" s="203">
        <f t="shared" si="16"/>
        <v>0</v>
      </c>
      <c r="BP51" s="202"/>
      <c r="BQ51" s="138"/>
      <c r="BR51" s="139"/>
      <c r="BS51" s="139"/>
      <c r="BT51" s="139"/>
      <c r="BU51" s="139"/>
      <c r="BV51" s="148">
        <v>10</v>
      </c>
      <c r="BW51" s="149">
        <f ca="1">IFERROR(__xludf.DUMMYFUNCTION("COUNTIF(MAP($AO$8:$AX$503,LAMBDA(c,IF(TRIM(c)="""","""",MIN(VALUE(SPLIT(SUBSTITUTE(SUBSTITUTE(SUBSTITUTE(c,"" "",""""),""，"","",""),"";"","",""),"","")))))),BV51)"),0)</f>
        <v>0</v>
      </c>
      <c r="BX51" s="145" t="e">
        <f t="shared" ca="1" si="24"/>
        <v>#DIV/0!</v>
      </c>
      <c r="BY51" s="150">
        <f t="shared" ca="1" si="25"/>
        <v>0</v>
      </c>
      <c r="BZ51" s="143"/>
      <c r="CA51" s="143"/>
      <c r="CB51" s="143"/>
      <c r="CC51" s="143"/>
      <c r="CD51" s="143"/>
      <c r="CE51" s="139"/>
      <c r="CF51" s="139"/>
      <c r="CG51" s="139"/>
      <c r="CH51" s="139"/>
      <c r="CI51" s="139"/>
      <c r="CJ51" s="139"/>
      <c r="CK51" s="139"/>
    </row>
    <row r="52" spans="1:89" ht="14.25">
      <c r="A52" s="136"/>
      <c r="B52" s="30" t="s">
        <v>118</v>
      </c>
      <c r="C52" s="46" t="s">
        <v>4</v>
      </c>
      <c r="D52" s="137">
        <f t="shared" si="11"/>
        <v>7</v>
      </c>
      <c r="E52" s="208"/>
      <c r="F52" s="202"/>
      <c r="G52" s="207">
        <v>20</v>
      </c>
      <c r="H52" s="202"/>
      <c r="I52" s="208"/>
      <c r="J52" s="202"/>
      <c r="K52" s="208">
        <f t="shared" si="12"/>
        <v>1</v>
      </c>
      <c r="L52" s="202"/>
      <c r="M52" s="207">
        <v>20</v>
      </c>
      <c r="N52" s="202"/>
      <c r="O52" s="209">
        <v>20</v>
      </c>
      <c r="P52" s="202"/>
      <c r="Q52" s="206">
        <v>20</v>
      </c>
      <c r="R52" s="202"/>
      <c r="S52" s="207">
        <v>20</v>
      </c>
      <c r="T52" s="202"/>
      <c r="U52" s="207">
        <v>20</v>
      </c>
      <c r="V52" s="202"/>
      <c r="W52" s="208"/>
      <c r="X52" s="202"/>
      <c r="Y52" s="210">
        <f t="shared" si="13"/>
        <v>5</v>
      </c>
      <c r="Z52" s="202"/>
      <c r="AA52" s="207">
        <v>20</v>
      </c>
      <c r="AB52" s="202"/>
      <c r="AC52" s="209"/>
      <c r="AD52" s="202"/>
      <c r="AE52" s="206"/>
      <c r="AF52" s="202"/>
      <c r="AG52" s="207"/>
      <c r="AH52" s="202"/>
      <c r="AI52" s="207"/>
      <c r="AJ52" s="202"/>
      <c r="AK52" s="208"/>
      <c r="AL52" s="202"/>
      <c r="AM52" s="210">
        <f t="shared" si="14"/>
        <v>1</v>
      </c>
      <c r="AN52" s="202"/>
      <c r="AO52" s="207"/>
      <c r="AP52" s="202"/>
      <c r="AQ52" s="209"/>
      <c r="AR52" s="202"/>
      <c r="AS52" s="206"/>
      <c r="AT52" s="202"/>
      <c r="AU52" s="204"/>
      <c r="AV52" s="202"/>
      <c r="AW52" s="204"/>
      <c r="AX52" s="202"/>
      <c r="AY52" s="201"/>
      <c r="AZ52" s="202"/>
      <c r="BA52" s="210">
        <f t="shared" si="15"/>
        <v>0</v>
      </c>
      <c r="BB52" s="202"/>
      <c r="BC52" s="204"/>
      <c r="BD52" s="202"/>
      <c r="BE52" s="209"/>
      <c r="BF52" s="202"/>
      <c r="BG52" s="206"/>
      <c r="BH52" s="202"/>
      <c r="BI52" s="204"/>
      <c r="BJ52" s="202"/>
      <c r="BK52" s="204"/>
      <c r="BL52" s="202"/>
      <c r="BM52" s="201"/>
      <c r="BN52" s="202"/>
      <c r="BO52" s="203">
        <f t="shared" si="16"/>
        <v>0</v>
      </c>
      <c r="BP52" s="202"/>
      <c r="BQ52" s="138"/>
      <c r="BR52" s="139"/>
      <c r="BS52" s="139"/>
      <c r="BT52" s="139"/>
      <c r="BU52" s="139"/>
      <c r="BV52" s="148">
        <v>12</v>
      </c>
      <c r="BW52" s="149">
        <f ca="1">IFERROR(__xludf.DUMMYFUNCTION("COUNTIF(MAP($AO$8:$AX$503,LAMBDA(c,IF(TRIM(c)="""","""",MIN(VALUE(SPLIT(SUBSTITUTE(SUBSTITUTE(SUBSTITUTE(c,"" "",""""),""，"","",""),"";"","",""),"","")))))),BV52)"),0)</f>
        <v>0</v>
      </c>
      <c r="BX52" s="145" t="e">
        <f t="shared" ca="1" si="24"/>
        <v>#DIV/0!</v>
      </c>
      <c r="BY52" s="150">
        <f t="shared" ca="1" si="25"/>
        <v>0</v>
      </c>
      <c r="BZ52" s="143"/>
      <c r="CA52" s="143"/>
      <c r="CB52" s="143"/>
      <c r="CC52" s="143"/>
      <c r="CD52" s="143"/>
      <c r="CE52" s="139"/>
      <c r="CF52" s="139"/>
      <c r="CG52" s="139"/>
      <c r="CH52" s="139"/>
      <c r="CI52" s="139"/>
      <c r="CJ52" s="139"/>
      <c r="CK52" s="139"/>
    </row>
    <row r="53" spans="1:89" ht="14.25">
      <c r="A53" s="142"/>
      <c r="B53" s="30" t="s">
        <v>120</v>
      </c>
      <c r="C53" s="46" t="s">
        <v>3</v>
      </c>
      <c r="D53" s="137">
        <f t="shared" si="11"/>
        <v>6</v>
      </c>
      <c r="E53" s="208"/>
      <c r="F53" s="202"/>
      <c r="G53" s="207">
        <v>12</v>
      </c>
      <c r="H53" s="202"/>
      <c r="I53" s="208"/>
      <c r="J53" s="202"/>
      <c r="K53" s="208">
        <f t="shared" si="12"/>
        <v>1</v>
      </c>
      <c r="L53" s="202"/>
      <c r="M53" s="207">
        <v>19</v>
      </c>
      <c r="N53" s="202"/>
      <c r="O53" s="209">
        <v>18</v>
      </c>
      <c r="P53" s="202"/>
      <c r="Q53" s="206"/>
      <c r="R53" s="202"/>
      <c r="S53" s="207">
        <v>18</v>
      </c>
      <c r="T53" s="202"/>
      <c r="U53" s="207">
        <v>18</v>
      </c>
      <c r="V53" s="202"/>
      <c r="W53" s="208"/>
      <c r="X53" s="202"/>
      <c r="Y53" s="210">
        <f t="shared" si="13"/>
        <v>4</v>
      </c>
      <c r="Z53" s="202"/>
      <c r="AA53" s="207">
        <v>19</v>
      </c>
      <c r="AB53" s="202"/>
      <c r="AC53" s="209"/>
      <c r="AD53" s="202"/>
      <c r="AE53" s="206"/>
      <c r="AF53" s="202"/>
      <c r="AG53" s="207"/>
      <c r="AH53" s="202"/>
      <c r="AI53" s="207"/>
      <c r="AJ53" s="202"/>
      <c r="AK53" s="208"/>
      <c r="AL53" s="202"/>
      <c r="AM53" s="210">
        <f t="shared" si="14"/>
        <v>1</v>
      </c>
      <c r="AN53" s="202"/>
      <c r="AO53" s="207"/>
      <c r="AP53" s="202"/>
      <c r="AQ53" s="209"/>
      <c r="AR53" s="202"/>
      <c r="AS53" s="206"/>
      <c r="AT53" s="202"/>
      <c r="AU53" s="204"/>
      <c r="AV53" s="202"/>
      <c r="AW53" s="204"/>
      <c r="AX53" s="202"/>
      <c r="AY53" s="201"/>
      <c r="AZ53" s="202"/>
      <c r="BA53" s="210">
        <f t="shared" si="15"/>
        <v>0</v>
      </c>
      <c r="BB53" s="202"/>
      <c r="BC53" s="204"/>
      <c r="BD53" s="202"/>
      <c r="BE53" s="209"/>
      <c r="BF53" s="202"/>
      <c r="BG53" s="206"/>
      <c r="BH53" s="202"/>
      <c r="BI53" s="204"/>
      <c r="BJ53" s="202"/>
      <c r="BK53" s="204"/>
      <c r="BL53" s="202"/>
      <c r="BM53" s="201"/>
      <c r="BN53" s="202"/>
      <c r="BO53" s="203">
        <f t="shared" si="16"/>
        <v>0</v>
      </c>
      <c r="BP53" s="202"/>
      <c r="BQ53" s="138"/>
      <c r="BR53" s="128"/>
      <c r="BS53" s="128"/>
      <c r="BT53" s="128"/>
      <c r="BU53" s="128"/>
      <c r="BV53" s="148">
        <v>17</v>
      </c>
      <c r="BW53" s="149">
        <f ca="1">IFERROR(__xludf.DUMMYFUNCTION("COUNTIF(MAP($AO$8:$AX$503,LAMBDA(c,IF(TRIM(c)="""","""",MIN(VALUE(SPLIT(SUBSTITUTE(SUBSTITUTE(SUBSTITUTE(c,"" "",""""),""，"","",""),"";"","",""),"","")))))),BV53)"),0)</f>
        <v>0</v>
      </c>
      <c r="BX53" s="145" t="e">
        <f t="shared" ca="1" si="24"/>
        <v>#DIV/0!</v>
      </c>
      <c r="BY53" s="150">
        <f t="shared" ca="1" si="25"/>
        <v>0</v>
      </c>
      <c r="BZ53" s="143"/>
      <c r="CA53" s="143"/>
      <c r="CB53" s="143"/>
      <c r="CC53" s="143"/>
      <c r="CD53" s="143"/>
      <c r="CE53" s="134"/>
      <c r="CF53" s="134"/>
      <c r="CG53" s="134"/>
      <c r="CH53" s="134"/>
      <c r="CI53" s="134"/>
      <c r="CJ53" s="135"/>
      <c r="CK53" s="135"/>
    </row>
    <row r="54" spans="1:89" ht="14.25">
      <c r="A54" s="136"/>
      <c r="B54" s="30" t="s">
        <v>122</v>
      </c>
      <c r="C54" s="46" t="s">
        <v>4</v>
      </c>
      <c r="D54" s="137">
        <f t="shared" si="11"/>
        <v>5</v>
      </c>
      <c r="E54" s="208"/>
      <c r="F54" s="202"/>
      <c r="G54" s="207">
        <v>8</v>
      </c>
      <c r="H54" s="202"/>
      <c r="I54" s="208">
        <v>11</v>
      </c>
      <c r="J54" s="202"/>
      <c r="K54" s="208">
        <f t="shared" si="12"/>
        <v>1</v>
      </c>
      <c r="L54" s="202"/>
      <c r="M54" s="207">
        <v>17</v>
      </c>
      <c r="N54" s="202"/>
      <c r="O54" s="209"/>
      <c r="P54" s="202"/>
      <c r="Q54" s="206">
        <v>21</v>
      </c>
      <c r="R54" s="202"/>
      <c r="S54" s="207">
        <v>8</v>
      </c>
      <c r="T54" s="202"/>
      <c r="U54" s="207">
        <v>8</v>
      </c>
      <c r="V54" s="202"/>
      <c r="W54" s="208"/>
      <c r="X54" s="202"/>
      <c r="Y54" s="210">
        <f t="shared" si="13"/>
        <v>4</v>
      </c>
      <c r="Z54" s="202"/>
      <c r="AA54" s="207"/>
      <c r="AB54" s="202"/>
      <c r="AC54" s="209"/>
      <c r="AD54" s="202"/>
      <c r="AE54" s="206"/>
      <c r="AF54" s="202"/>
      <c r="AG54" s="207"/>
      <c r="AH54" s="202"/>
      <c r="AI54" s="207"/>
      <c r="AJ54" s="202"/>
      <c r="AK54" s="208"/>
      <c r="AL54" s="202"/>
      <c r="AM54" s="210">
        <f t="shared" si="14"/>
        <v>0</v>
      </c>
      <c r="AN54" s="202"/>
      <c r="AO54" s="207"/>
      <c r="AP54" s="202"/>
      <c r="AQ54" s="209"/>
      <c r="AR54" s="202"/>
      <c r="AS54" s="206"/>
      <c r="AT54" s="202"/>
      <c r="AU54" s="204"/>
      <c r="AV54" s="202"/>
      <c r="AW54" s="204"/>
      <c r="AX54" s="202"/>
      <c r="AY54" s="201"/>
      <c r="AZ54" s="202"/>
      <c r="BA54" s="210">
        <f t="shared" si="15"/>
        <v>0</v>
      </c>
      <c r="BB54" s="202"/>
      <c r="BC54" s="204"/>
      <c r="BD54" s="202"/>
      <c r="BE54" s="209"/>
      <c r="BF54" s="202"/>
      <c r="BG54" s="206"/>
      <c r="BH54" s="202"/>
      <c r="BI54" s="204"/>
      <c r="BJ54" s="202"/>
      <c r="BK54" s="204"/>
      <c r="BL54" s="202"/>
      <c r="BM54" s="201"/>
      <c r="BN54" s="202"/>
      <c r="BO54" s="203">
        <f t="shared" si="16"/>
        <v>0</v>
      </c>
      <c r="BP54" s="202"/>
      <c r="BQ54" s="138"/>
      <c r="BR54" s="139"/>
      <c r="BS54" s="139"/>
      <c r="BT54" s="139"/>
      <c r="BU54" s="139"/>
      <c r="BV54" s="148">
        <v>18</v>
      </c>
      <c r="BW54" s="149">
        <f ca="1">IFERROR(__xludf.DUMMYFUNCTION("COUNTIF(MAP($AO$8:$AX$503,LAMBDA(c,IF(TRIM(c)="""","""",MIN(VALUE(SPLIT(SUBSTITUTE(SUBSTITUTE(SUBSTITUTE(c,"" "",""""),""，"","",""),"";"","",""),"","")))))),BV54)"),0)</f>
        <v>0</v>
      </c>
      <c r="BX54" s="145" t="e">
        <f t="shared" ca="1" si="24"/>
        <v>#DIV/0!</v>
      </c>
      <c r="BY54" s="150">
        <f t="shared" ca="1" si="25"/>
        <v>0</v>
      </c>
      <c r="BZ54" s="143"/>
      <c r="CA54" s="143"/>
      <c r="CB54" s="143"/>
      <c r="CC54" s="143"/>
      <c r="CD54" s="143"/>
      <c r="CE54" s="139"/>
      <c r="CF54" s="139"/>
      <c r="CG54" s="139"/>
      <c r="CH54" s="139"/>
      <c r="CI54" s="139"/>
      <c r="CJ54" s="139"/>
      <c r="CK54" s="139"/>
    </row>
    <row r="55" spans="1:89" ht="14.25">
      <c r="A55" s="142"/>
      <c r="B55" s="30" t="s">
        <v>124</v>
      </c>
      <c r="C55" s="46" t="s">
        <v>3</v>
      </c>
      <c r="D55" s="137">
        <f t="shared" si="11"/>
        <v>2</v>
      </c>
      <c r="E55" s="208"/>
      <c r="F55" s="202"/>
      <c r="G55" s="207"/>
      <c r="H55" s="202"/>
      <c r="I55" s="208"/>
      <c r="J55" s="202"/>
      <c r="K55" s="208">
        <f t="shared" si="12"/>
        <v>0</v>
      </c>
      <c r="L55" s="202"/>
      <c r="M55" s="207"/>
      <c r="N55" s="202"/>
      <c r="O55" s="209"/>
      <c r="P55" s="202"/>
      <c r="Q55" s="206">
        <v>20</v>
      </c>
      <c r="R55" s="202"/>
      <c r="S55" s="207"/>
      <c r="T55" s="202"/>
      <c r="U55" s="207">
        <v>20</v>
      </c>
      <c r="V55" s="202"/>
      <c r="W55" s="208"/>
      <c r="X55" s="202"/>
      <c r="Y55" s="210">
        <f t="shared" si="13"/>
        <v>2</v>
      </c>
      <c r="Z55" s="202"/>
      <c r="AA55" s="207"/>
      <c r="AB55" s="202"/>
      <c r="AC55" s="209"/>
      <c r="AD55" s="202"/>
      <c r="AE55" s="206"/>
      <c r="AF55" s="202"/>
      <c r="AG55" s="207"/>
      <c r="AH55" s="202"/>
      <c r="AI55" s="207"/>
      <c r="AJ55" s="202"/>
      <c r="AK55" s="208"/>
      <c r="AL55" s="202"/>
      <c r="AM55" s="210">
        <f t="shared" si="14"/>
        <v>0</v>
      </c>
      <c r="AN55" s="202"/>
      <c r="AO55" s="207"/>
      <c r="AP55" s="202"/>
      <c r="AQ55" s="209"/>
      <c r="AR55" s="202"/>
      <c r="AS55" s="206"/>
      <c r="AT55" s="202"/>
      <c r="AU55" s="204"/>
      <c r="AV55" s="202"/>
      <c r="AW55" s="204"/>
      <c r="AX55" s="202"/>
      <c r="AY55" s="201"/>
      <c r="AZ55" s="202"/>
      <c r="BA55" s="210">
        <f t="shared" si="15"/>
        <v>0</v>
      </c>
      <c r="BB55" s="202"/>
      <c r="BC55" s="204"/>
      <c r="BD55" s="202"/>
      <c r="BE55" s="209"/>
      <c r="BF55" s="202"/>
      <c r="BG55" s="206"/>
      <c r="BH55" s="202"/>
      <c r="BI55" s="204"/>
      <c r="BJ55" s="202"/>
      <c r="BK55" s="204"/>
      <c r="BL55" s="202"/>
      <c r="BM55" s="201"/>
      <c r="BN55" s="202"/>
      <c r="BO55" s="203">
        <f t="shared" si="16"/>
        <v>0</v>
      </c>
      <c r="BP55" s="202"/>
      <c r="BQ55" s="138"/>
      <c r="BR55" s="128"/>
      <c r="BS55" s="128"/>
      <c r="BT55" s="128"/>
      <c r="BU55" s="128"/>
      <c r="BV55" s="148">
        <v>19</v>
      </c>
      <c r="BW55" s="149">
        <f ca="1">IFERROR(__xludf.DUMMYFUNCTION("COUNTIF(MAP($AO$8:$AX$503,LAMBDA(c,IF(TRIM(c)="""","""",MIN(VALUE(SPLIT(SUBSTITUTE(SUBSTITUTE(SUBSTITUTE(c,"" "",""""),""，"","",""),"";"","",""),"","")))))),BV55)"),0)</f>
        <v>0</v>
      </c>
      <c r="BX55" s="145" t="e">
        <f t="shared" ca="1" si="24"/>
        <v>#DIV/0!</v>
      </c>
      <c r="BY55" s="150">
        <f t="shared" ca="1" si="25"/>
        <v>0</v>
      </c>
      <c r="BZ55" s="143"/>
      <c r="CA55" s="143"/>
      <c r="CB55" s="143"/>
      <c r="CC55" s="143"/>
      <c r="CD55" s="143"/>
      <c r="CE55" s="134"/>
      <c r="CF55" s="134"/>
      <c r="CG55" s="134"/>
      <c r="CH55" s="134"/>
      <c r="CI55" s="134"/>
      <c r="CJ55" s="135"/>
      <c r="CK55" s="135"/>
    </row>
    <row r="56" spans="1:89" ht="14.25">
      <c r="A56" s="136"/>
      <c r="B56" s="30" t="s">
        <v>126</v>
      </c>
      <c r="C56" s="46" t="s">
        <v>4</v>
      </c>
      <c r="D56" s="137">
        <f t="shared" si="11"/>
        <v>0</v>
      </c>
      <c r="E56" s="208"/>
      <c r="F56" s="202"/>
      <c r="G56" s="207"/>
      <c r="H56" s="202"/>
      <c r="I56" s="208"/>
      <c r="J56" s="202"/>
      <c r="K56" s="208">
        <f t="shared" si="12"/>
        <v>0</v>
      </c>
      <c r="L56" s="202"/>
      <c r="M56" s="207"/>
      <c r="N56" s="202"/>
      <c r="O56" s="209"/>
      <c r="P56" s="202"/>
      <c r="Q56" s="206"/>
      <c r="R56" s="202"/>
      <c r="S56" s="207"/>
      <c r="T56" s="202"/>
      <c r="U56" s="207"/>
      <c r="V56" s="202"/>
      <c r="W56" s="208"/>
      <c r="X56" s="202"/>
      <c r="Y56" s="210">
        <f t="shared" si="13"/>
        <v>0</v>
      </c>
      <c r="Z56" s="202"/>
      <c r="AA56" s="207"/>
      <c r="AB56" s="202"/>
      <c r="AC56" s="209"/>
      <c r="AD56" s="202"/>
      <c r="AE56" s="206"/>
      <c r="AF56" s="202"/>
      <c r="AG56" s="207"/>
      <c r="AH56" s="202"/>
      <c r="AI56" s="207"/>
      <c r="AJ56" s="202"/>
      <c r="AK56" s="208"/>
      <c r="AL56" s="202"/>
      <c r="AM56" s="210">
        <f t="shared" si="14"/>
        <v>0</v>
      </c>
      <c r="AN56" s="202"/>
      <c r="AO56" s="207"/>
      <c r="AP56" s="202"/>
      <c r="AQ56" s="209"/>
      <c r="AR56" s="202"/>
      <c r="AS56" s="206"/>
      <c r="AT56" s="202"/>
      <c r="AU56" s="204"/>
      <c r="AV56" s="202"/>
      <c r="AW56" s="204"/>
      <c r="AX56" s="202"/>
      <c r="AY56" s="201"/>
      <c r="AZ56" s="202"/>
      <c r="BA56" s="210">
        <f t="shared" si="15"/>
        <v>0</v>
      </c>
      <c r="BB56" s="202"/>
      <c r="BC56" s="204"/>
      <c r="BD56" s="202"/>
      <c r="BE56" s="209"/>
      <c r="BF56" s="202"/>
      <c r="BG56" s="206"/>
      <c r="BH56" s="202"/>
      <c r="BI56" s="204"/>
      <c r="BJ56" s="202"/>
      <c r="BK56" s="204"/>
      <c r="BL56" s="202"/>
      <c r="BM56" s="201"/>
      <c r="BN56" s="202"/>
      <c r="BO56" s="203">
        <f t="shared" si="16"/>
        <v>0</v>
      </c>
      <c r="BP56" s="202"/>
      <c r="BQ56" s="138"/>
      <c r="BR56" s="139"/>
      <c r="BS56" s="139"/>
      <c r="BT56" s="139"/>
      <c r="BU56" s="139"/>
      <c r="BV56" s="148">
        <v>20</v>
      </c>
      <c r="BW56" s="149">
        <f ca="1">IFERROR(__xludf.DUMMYFUNCTION("COUNTIF(MAP($AO$8:$AX$503,LAMBDA(c,IF(TRIM(c)="""","""",MIN(VALUE(SPLIT(SUBSTITUTE(SUBSTITUTE(SUBSTITUTE(c,"" "",""""),""，"","",""),"";"","",""),"","")))))),BV56)"),0)</f>
        <v>0</v>
      </c>
      <c r="BX56" s="145" t="e">
        <f t="shared" ca="1" si="24"/>
        <v>#DIV/0!</v>
      </c>
      <c r="BY56" s="150">
        <f t="shared" ca="1" si="25"/>
        <v>0</v>
      </c>
      <c r="BZ56" s="143"/>
      <c r="CA56" s="143"/>
      <c r="CB56" s="143"/>
      <c r="CC56" s="143"/>
      <c r="CD56" s="143"/>
      <c r="CE56" s="139"/>
      <c r="CF56" s="139"/>
      <c r="CG56" s="139"/>
      <c r="CH56" s="139"/>
      <c r="CI56" s="139"/>
      <c r="CJ56" s="139"/>
      <c r="CK56" s="139"/>
    </row>
    <row r="57" spans="1:89" ht="14.25">
      <c r="A57" s="136"/>
      <c r="B57" s="30" t="s">
        <v>128</v>
      </c>
      <c r="C57" s="46" t="s">
        <v>4</v>
      </c>
      <c r="D57" s="137">
        <f t="shared" si="11"/>
        <v>0</v>
      </c>
      <c r="E57" s="208"/>
      <c r="F57" s="202"/>
      <c r="G57" s="207"/>
      <c r="H57" s="202"/>
      <c r="I57" s="208"/>
      <c r="J57" s="202"/>
      <c r="K57" s="208">
        <f t="shared" si="12"/>
        <v>0</v>
      </c>
      <c r="L57" s="202"/>
      <c r="M57" s="207"/>
      <c r="N57" s="202"/>
      <c r="O57" s="209"/>
      <c r="P57" s="202"/>
      <c r="Q57" s="206"/>
      <c r="R57" s="202"/>
      <c r="S57" s="207"/>
      <c r="T57" s="202"/>
      <c r="U57" s="207"/>
      <c r="V57" s="202"/>
      <c r="W57" s="208"/>
      <c r="X57" s="202"/>
      <c r="Y57" s="210">
        <f t="shared" si="13"/>
        <v>0</v>
      </c>
      <c r="Z57" s="202"/>
      <c r="AA57" s="207"/>
      <c r="AB57" s="202"/>
      <c r="AC57" s="209"/>
      <c r="AD57" s="202"/>
      <c r="AE57" s="206"/>
      <c r="AF57" s="202"/>
      <c r="AG57" s="207"/>
      <c r="AH57" s="202"/>
      <c r="AI57" s="207"/>
      <c r="AJ57" s="202"/>
      <c r="AK57" s="208"/>
      <c r="AL57" s="202"/>
      <c r="AM57" s="210">
        <f t="shared" si="14"/>
        <v>0</v>
      </c>
      <c r="AN57" s="202"/>
      <c r="AO57" s="207"/>
      <c r="AP57" s="202"/>
      <c r="AQ57" s="209"/>
      <c r="AR57" s="202"/>
      <c r="AS57" s="206"/>
      <c r="AT57" s="202"/>
      <c r="AU57" s="204"/>
      <c r="AV57" s="202"/>
      <c r="AW57" s="204"/>
      <c r="AX57" s="202"/>
      <c r="AY57" s="201"/>
      <c r="AZ57" s="202"/>
      <c r="BA57" s="210">
        <f t="shared" si="15"/>
        <v>0</v>
      </c>
      <c r="BB57" s="202"/>
      <c r="BC57" s="204"/>
      <c r="BD57" s="202"/>
      <c r="BE57" s="209"/>
      <c r="BF57" s="202"/>
      <c r="BG57" s="206"/>
      <c r="BH57" s="202"/>
      <c r="BI57" s="204"/>
      <c r="BJ57" s="202"/>
      <c r="BK57" s="204"/>
      <c r="BL57" s="202"/>
      <c r="BM57" s="201"/>
      <c r="BN57" s="202"/>
      <c r="BO57" s="203">
        <f t="shared" si="16"/>
        <v>0</v>
      </c>
      <c r="BP57" s="202"/>
      <c r="BQ57" s="138"/>
      <c r="BR57" s="139"/>
      <c r="BS57" s="139"/>
      <c r="BT57" s="139"/>
      <c r="BU57" s="139"/>
      <c r="BV57" s="148">
        <v>21</v>
      </c>
      <c r="BW57" s="149">
        <f ca="1">IFERROR(__xludf.DUMMYFUNCTION("COUNTIF(MAP($AO$8:$AX$503,LAMBDA(c,IF(TRIM(c)="""","""",MIN(VALUE(SPLIT(SUBSTITUTE(SUBSTITUTE(SUBSTITUTE(c,"" "",""""),""，"","",""),"";"","",""),"","")))))),BV57)"),0)</f>
        <v>0</v>
      </c>
      <c r="BX57" s="145" t="e">
        <f t="shared" ca="1" si="24"/>
        <v>#DIV/0!</v>
      </c>
      <c r="BY57" s="150">
        <f t="shared" ca="1" si="25"/>
        <v>0</v>
      </c>
      <c r="BZ57" s="143"/>
      <c r="CA57" s="143"/>
      <c r="CB57" s="143"/>
      <c r="CC57" s="143"/>
      <c r="CD57" s="143"/>
      <c r="CE57" s="139"/>
      <c r="CF57" s="139"/>
      <c r="CG57" s="139"/>
      <c r="CH57" s="139"/>
      <c r="CI57" s="139"/>
      <c r="CJ57" s="139"/>
      <c r="CK57" s="139"/>
    </row>
    <row r="58" spans="1:89" ht="14.25">
      <c r="A58" s="136"/>
      <c r="B58" s="30" t="s">
        <v>130</v>
      </c>
      <c r="C58" s="46" t="s">
        <v>4</v>
      </c>
      <c r="D58" s="137">
        <f t="shared" si="11"/>
        <v>3</v>
      </c>
      <c r="E58" s="208"/>
      <c r="F58" s="202"/>
      <c r="G58" s="207">
        <v>10</v>
      </c>
      <c r="H58" s="202"/>
      <c r="I58" s="208"/>
      <c r="J58" s="202"/>
      <c r="K58" s="208">
        <f t="shared" si="12"/>
        <v>1</v>
      </c>
      <c r="L58" s="202"/>
      <c r="M58" s="207"/>
      <c r="N58" s="202"/>
      <c r="O58" s="209"/>
      <c r="P58" s="202"/>
      <c r="Q58" s="206">
        <v>10</v>
      </c>
      <c r="R58" s="202"/>
      <c r="S58" s="207"/>
      <c r="T58" s="202"/>
      <c r="U58" s="207"/>
      <c r="V58" s="202"/>
      <c r="W58" s="208"/>
      <c r="X58" s="202"/>
      <c r="Y58" s="210">
        <f t="shared" si="13"/>
        <v>1</v>
      </c>
      <c r="Z58" s="202"/>
      <c r="AA58" s="207">
        <v>10</v>
      </c>
      <c r="AB58" s="202"/>
      <c r="AC58" s="209"/>
      <c r="AD58" s="202"/>
      <c r="AE58" s="206"/>
      <c r="AF58" s="202"/>
      <c r="AG58" s="207"/>
      <c r="AH58" s="202"/>
      <c r="AI58" s="207"/>
      <c r="AJ58" s="202"/>
      <c r="AK58" s="208"/>
      <c r="AL58" s="202"/>
      <c r="AM58" s="210">
        <f t="shared" si="14"/>
        <v>1</v>
      </c>
      <c r="AN58" s="202"/>
      <c r="AO58" s="207"/>
      <c r="AP58" s="202"/>
      <c r="AQ58" s="209"/>
      <c r="AR58" s="202"/>
      <c r="AS58" s="206"/>
      <c r="AT58" s="202"/>
      <c r="AU58" s="204"/>
      <c r="AV58" s="202"/>
      <c r="AW58" s="204"/>
      <c r="AX58" s="202"/>
      <c r="AY58" s="201"/>
      <c r="AZ58" s="202"/>
      <c r="BA58" s="210">
        <f t="shared" si="15"/>
        <v>0</v>
      </c>
      <c r="BB58" s="202"/>
      <c r="BC58" s="204"/>
      <c r="BD58" s="202"/>
      <c r="BE58" s="209"/>
      <c r="BF58" s="202"/>
      <c r="BG58" s="206"/>
      <c r="BH58" s="202"/>
      <c r="BI58" s="204"/>
      <c r="BJ58" s="202"/>
      <c r="BK58" s="204"/>
      <c r="BL58" s="202"/>
      <c r="BM58" s="201"/>
      <c r="BN58" s="202"/>
      <c r="BO58" s="203">
        <f t="shared" si="16"/>
        <v>0</v>
      </c>
      <c r="BP58" s="202"/>
      <c r="BQ58" s="138"/>
      <c r="BR58" s="139"/>
      <c r="BS58" s="139"/>
      <c r="BT58" s="139"/>
      <c r="BU58" s="139"/>
      <c r="BZ58" s="143"/>
      <c r="CA58" s="143"/>
      <c r="CB58" s="143"/>
      <c r="CC58" s="143"/>
      <c r="CD58" s="143"/>
      <c r="CE58" s="139"/>
      <c r="CF58" s="139"/>
      <c r="CG58" s="139"/>
      <c r="CH58" s="139"/>
      <c r="CI58" s="139"/>
      <c r="CJ58" s="139"/>
      <c r="CK58" s="139"/>
    </row>
    <row r="59" spans="1:89" ht="14.25">
      <c r="A59" s="136"/>
      <c r="B59" s="30" t="s">
        <v>132</v>
      </c>
      <c r="C59" s="46" t="s">
        <v>4</v>
      </c>
      <c r="D59" s="137">
        <f t="shared" si="11"/>
        <v>3</v>
      </c>
      <c r="E59" s="208"/>
      <c r="F59" s="202"/>
      <c r="G59" s="207">
        <v>10</v>
      </c>
      <c r="H59" s="202"/>
      <c r="I59" s="208"/>
      <c r="J59" s="202"/>
      <c r="K59" s="208">
        <f t="shared" si="12"/>
        <v>1</v>
      </c>
      <c r="L59" s="202"/>
      <c r="M59" s="207">
        <v>10</v>
      </c>
      <c r="N59" s="202"/>
      <c r="O59" s="209"/>
      <c r="P59" s="202"/>
      <c r="Q59" s="206"/>
      <c r="R59" s="202"/>
      <c r="S59" s="207"/>
      <c r="T59" s="202"/>
      <c r="U59" s="207"/>
      <c r="V59" s="202"/>
      <c r="W59" s="208"/>
      <c r="X59" s="202"/>
      <c r="Y59" s="210">
        <f t="shared" si="13"/>
        <v>1</v>
      </c>
      <c r="Z59" s="202"/>
      <c r="AA59" s="207">
        <v>10</v>
      </c>
      <c r="AB59" s="202"/>
      <c r="AC59" s="209"/>
      <c r="AD59" s="202"/>
      <c r="AE59" s="206"/>
      <c r="AF59" s="202"/>
      <c r="AG59" s="207"/>
      <c r="AH59" s="202"/>
      <c r="AI59" s="207"/>
      <c r="AJ59" s="202"/>
      <c r="AK59" s="208"/>
      <c r="AL59" s="202"/>
      <c r="AM59" s="210">
        <f t="shared" si="14"/>
        <v>1</v>
      </c>
      <c r="AN59" s="202"/>
      <c r="AO59" s="207"/>
      <c r="AP59" s="202"/>
      <c r="AQ59" s="209"/>
      <c r="AR59" s="202"/>
      <c r="AS59" s="206"/>
      <c r="AT59" s="202"/>
      <c r="AU59" s="204"/>
      <c r="AV59" s="202"/>
      <c r="AW59" s="204"/>
      <c r="AX59" s="202"/>
      <c r="AY59" s="201"/>
      <c r="AZ59" s="202"/>
      <c r="BA59" s="210">
        <f t="shared" si="15"/>
        <v>0</v>
      </c>
      <c r="BB59" s="202"/>
      <c r="BC59" s="204"/>
      <c r="BD59" s="202"/>
      <c r="BE59" s="209"/>
      <c r="BF59" s="202"/>
      <c r="BG59" s="206"/>
      <c r="BH59" s="202"/>
      <c r="BI59" s="204"/>
      <c r="BJ59" s="202"/>
      <c r="BK59" s="204"/>
      <c r="BL59" s="202"/>
      <c r="BM59" s="201"/>
      <c r="BN59" s="202"/>
      <c r="BO59" s="203">
        <f t="shared" si="16"/>
        <v>0</v>
      </c>
      <c r="BP59" s="202"/>
      <c r="BQ59" s="138"/>
      <c r="BR59" s="139"/>
      <c r="BS59" s="139"/>
      <c r="BT59" s="139"/>
      <c r="BU59" s="139"/>
      <c r="BV59" s="228" t="s">
        <v>22</v>
      </c>
      <c r="BW59" s="225"/>
      <c r="BX59" s="225"/>
      <c r="BY59" s="202"/>
      <c r="BZ59" s="143"/>
      <c r="CA59" s="143"/>
      <c r="CB59" s="143"/>
      <c r="CC59" s="143"/>
      <c r="CD59" s="143"/>
      <c r="CE59" s="139"/>
      <c r="CF59" s="139"/>
      <c r="CG59" s="139"/>
      <c r="CH59" s="139"/>
      <c r="CI59" s="139"/>
      <c r="CJ59" s="139"/>
      <c r="CK59" s="139"/>
    </row>
    <row r="60" spans="1:89" ht="14.25">
      <c r="A60" s="136"/>
      <c r="B60" s="30" t="s">
        <v>134</v>
      </c>
      <c r="C60" s="46" t="s">
        <v>4</v>
      </c>
      <c r="D60" s="137">
        <f t="shared" si="11"/>
        <v>0</v>
      </c>
      <c r="E60" s="208"/>
      <c r="F60" s="202"/>
      <c r="G60" s="207"/>
      <c r="H60" s="202"/>
      <c r="I60" s="208"/>
      <c r="J60" s="202"/>
      <c r="K60" s="208">
        <f t="shared" si="12"/>
        <v>0</v>
      </c>
      <c r="L60" s="202"/>
      <c r="M60" s="207"/>
      <c r="N60" s="202"/>
      <c r="O60" s="209"/>
      <c r="P60" s="202"/>
      <c r="Q60" s="206"/>
      <c r="R60" s="202"/>
      <c r="S60" s="207"/>
      <c r="T60" s="202"/>
      <c r="U60" s="207"/>
      <c r="V60" s="202"/>
      <c r="W60" s="208"/>
      <c r="X60" s="202"/>
      <c r="Y60" s="210">
        <f t="shared" si="13"/>
        <v>0</v>
      </c>
      <c r="Z60" s="202"/>
      <c r="AA60" s="207"/>
      <c r="AB60" s="202"/>
      <c r="AC60" s="209"/>
      <c r="AD60" s="202"/>
      <c r="AE60" s="206"/>
      <c r="AF60" s="202"/>
      <c r="AG60" s="207"/>
      <c r="AH60" s="202"/>
      <c r="AI60" s="207"/>
      <c r="AJ60" s="202"/>
      <c r="AK60" s="208"/>
      <c r="AL60" s="202"/>
      <c r="AM60" s="210">
        <f t="shared" si="14"/>
        <v>0</v>
      </c>
      <c r="AN60" s="202"/>
      <c r="AO60" s="207"/>
      <c r="AP60" s="202"/>
      <c r="AQ60" s="209"/>
      <c r="AR60" s="202"/>
      <c r="AS60" s="206"/>
      <c r="AT60" s="202"/>
      <c r="AU60" s="204"/>
      <c r="AV60" s="202"/>
      <c r="AW60" s="204"/>
      <c r="AX60" s="202"/>
      <c r="AY60" s="201"/>
      <c r="AZ60" s="202"/>
      <c r="BA60" s="210">
        <f t="shared" si="15"/>
        <v>0</v>
      </c>
      <c r="BB60" s="202"/>
      <c r="BC60" s="204"/>
      <c r="BD60" s="202"/>
      <c r="BE60" s="209"/>
      <c r="BF60" s="202"/>
      <c r="BG60" s="206"/>
      <c r="BH60" s="202"/>
      <c r="BI60" s="204"/>
      <c r="BJ60" s="202"/>
      <c r="BK60" s="204"/>
      <c r="BL60" s="202"/>
      <c r="BM60" s="201"/>
      <c r="BN60" s="202"/>
      <c r="BO60" s="203">
        <f t="shared" si="16"/>
        <v>0</v>
      </c>
      <c r="BP60" s="202"/>
      <c r="BQ60" s="138"/>
      <c r="BR60" s="139"/>
      <c r="BS60" s="139"/>
      <c r="BT60" s="139"/>
      <c r="BU60" s="139"/>
      <c r="BV60" s="146" t="s">
        <v>367</v>
      </c>
      <c r="BW60" s="146" t="s">
        <v>370</v>
      </c>
      <c r="BX60" s="146" t="s">
        <v>369</v>
      </c>
      <c r="BY60" s="146" t="s">
        <v>356</v>
      </c>
      <c r="BZ60" s="143"/>
      <c r="CA60" s="143"/>
      <c r="CB60" s="143"/>
      <c r="CC60" s="143"/>
      <c r="CD60" s="143"/>
      <c r="CE60" s="139"/>
      <c r="CF60" s="139"/>
      <c r="CG60" s="136"/>
      <c r="CH60" s="136"/>
      <c r="CI60" s="139"/>
      <c r="CJ60" s="139"/>
      <c r="CK60" s="139"/>
    </row>
    <row r="61" spans="1:89" ht="14.25">
      <c r="A61" s="136"/>
      <c r="B61" s="30" t="s">
        <v>136</v>
      </c>
      <c r="C61" s="46" t="s">
        <v>4</v>
      </c>
      <c r="D61" s="137">
        <f t="shared" si="11"/>
        <v>4</v>
      </c>
      <c r="E61" s="208"/>
      <c r="F61" s="202"/>
      <c r="G61" s="207"/>
      <c r="H61" s="202"/>
      <c r="I61" s="208"/>
      <c r="J61" s="202"/>
      <c r="K61" s="208">
        <f t="shared" si="12"/>
        <v>0</v>
      </c>
      <c r="L61" s="202"/>
      <c r="M61" s="207">
        <v>8</v>
      </c>
      <c r="N61" s="202"/>
      <c r="O61" s="209">
        <v>10</v>
      </c>
      <c r="P61" s="202"/>
      <c r="Q61" s="206">
        <v>8</v>
      </c>
      <c r="R61" s="202"/>
      <c r="S61" s="207"/>
      <c r="T61" s="202"/>
      <c r="U61" s="207">
        <v>8</v>
      </c>
      <c r="V61" s="202"/>
      <c r="W61" s="208"/>
      <c r="X61" s="202"/>
      <c r="Y61" s="210">
        <f t="shared" si="13"/>
        <v>4</v>
      </c>
      <c r="Z61" s="202"/>
      <c r="AA61" s="207"/>
      <c r="AB61" s="202"/>
      <c r="AC61" s="209"/>
      <c r="AD61" s="202"/>
      <c r="AE61" s="206"/>
      <c r="AF61" s="202"/>
      <c r="AG61" s="207"/>
      <c r="AH61" s="202"/>
      <c r="AI61" s="207"/>
      <c r="AJ61" s="202"/>
      <c r="AK61" s="208"/>
      <c r="AL61" s="202"/>
      <c r="AM61" s="210">
        <f t="shared" si="14"/>
        <v>0</v>
      </c>
      <c r="AN61" s="202"/>
      <c r="AO61" s="207"/>
      <c r="AP61" s="202"/>
      <c r="AQ61" s="209"/>
      <c r="AR61" s="202"/>
      <c r="AS61" s="206"/>
      <c r="AT61" s="202"/>
      <c r="AU61" s="204"/>
      <c r="AV61" s="202"/>
      <c r="AW61" s="204"/>
      <c r="AX61" s="202"/>
      <c r="AY61" s="201"/>
      <c r="AZ61" s="202"/>
      <c r="BA61" s="210">
        <f t="shared" si="15"/>
        <v>0</v>
      </c>
      <c r="BB61" s="202"/>
      <c r="BC61" s="204"/>
      <c r="BD61" s="202"/>
      <c r="BE61" s="209"/>
      <c r="BF61" s="202"/>
      <c r="BG61" s="206"/>
      <c r="BH61" s="202"/>
      <c r="BI61" s="204"/>
      <c r="BJ61" s="202"/>
      <c r="BK61" s="204"/>
      <c r="BL61" s="202"/>
      <c r="BM61" s="201"/>
      <c r="BN61" s="202"/>
      <c r="BO61" s="203">
        <f t="shared" si="16"/>
        <v>0</v>
      </c>
      <c r="BP61" s="202"/>
      <c r="BQ61" s="138"/>
      <c r="BR61" s="139"/>
      <c r="BS61" s="139"/>
      <c r="BT61" s="139"/>
      <c r="BU61" s="139"/>
      <c r="BV61" s="148">
        <v>7</v>
      </c>
      <c r="BW61" s="149">
        <f ca="1">IFERROR(__xludf.DUMMYFUNCTION("COUNTIF(MAP($BC$8:$BL$503,LAMBDA(c,IF(TRIM(c)="""","""",MIN(VALUE(SPLIT(SUBSTITUTE(SUBSTITUTE(SUBSTITUTE(c,"" "",""""),""，"","",""),"";"","",""),"","")))))),BV61)"),0)</f>
        <v>0</v>
      </c>
      <c r="BX61" s="145" t="e">
        <f t="shared" ref="BX61:BX69" ca="1" si="26">BW49/SUM($BW$61:$BW$69)*100</f>
        <v>#DIV/0!</v>
      </c>
      <c r="BY61" s="150">
        <f t="shared" ref="BY61:BY69" ca="1" si="27">BW61/$BW$7</f>
        <v>0</v>
      </c>
      <c r="BZ61" s="143"/>
      <c r="CA61" s="143"/>
      <c r="CB61" s="143"/>
      <c r="CC61" s="143"/>
      <c r="CD61" s="143"/>
      <c r="CE61" s="139"/>
      <c r="CF61" s="139"/>
      <c r="CG61" s="139"/>
      <c r="CH61" s="139"/>
      <c r="CI61" s="139"/>
      <c r="CJ61" s="139"/>
      <c r="CK61" s="139"/>
    </row>
    <row r="62" spans="1:89" ht="14.25">
      <c r="A62" s="142"/>
      <c r="B62" s="30" t="s">
        <v>138</v>
      </c>
      <c r="C62" s="46" t="s">
        <v>4</v>
      </c>
      <c r="D62" s="137">
        <f t="shared" si="11"/>
        <v>1</v>
      </c>
      <c r="E62" s="208"/>
      <c r="F62" s="202"/>
      <c r="G62" s="207"/>
      <c r="H62" s="202"/>
      <c r="I62" s="208"/>
      <c r="J62" s="202"/>
      <c r="K62" s="208">
        <f t="shared" si="12"/>
        <v>0</v>
      </c>
      <c r="L62" s="202"/>
      <c r="M62" s="207"/>
      <c r="N62" s="202"/>
      <c r="O62" s="209"/>
      <c r="P62" s="202"/>
      <c r="Q62" s="206"/>
      <c r="R62" s="202"/>
      <c r="S62" s="207"/>
      <c r="T62" s="202"/>
      <c r="U62" s="207"/>
      <c r="V62" s="202"/>
      <c r="W62" s="208"/>
      <c r="X62" s="202"/>
      <c r="Y62" s="210">
        <f t="shared" si="13"/>
        <v>0</v>
      </c>
      <c r="Z62" s="202"/>
      <c r="AA62" s="207">
        <v>10</v>
      </c>
      <c r="AB62" s="202"/>
      <c r="AC62" s="209"/>
      <c r="AD62" s="202"/>
      <c r="AE62" s="206"/>
      <c r="AF62" s="202"/>
      <c r="AG62" s="207"/>
      <c r="AH62" s="202"/>
      <c r="AI62" s="207"/>
      <c r="AJ62" s="202"/>
      <c r="AK62" s="208"/>
      <c r="AL62" s="202"/>
      <c r="AM62" s="210">
        <f t="shared" si="14"/>
        <v>1</v>
      </c>
      <c r="AN62" s="202"/>
      <c r="AO62" s="207"/>
      <c r="AP62" s="202"/>
      <c r="AQ62" s="209"/>
      <c r="AR62" s="202"/>
      <c r="AS62" s="206"/>
      <c r="AT62" s="202"/>
      <c r="AU62" s="204"/>
      <c r="AV62" s="202"/>
      <c r="AW62" s="204"/>
      <c r="AX62" s="202"/>
      <c r="AY62" s="201"/>
      <c r="AZ62" s="202"/>
      <c r="BA62" s="210">
        <f t="shared" si="15"/>
        <v>0</v>
      </c>
      <c r="BB62" s="202"/>
      <c r="BC62" s="204"/>
      <c r="BD62" s="202"/>
      <c r="BE62" s="209"/>
      <c r="BF62" s="202"/>
      <c r="BG62" s="206"/>
      <c r="BH62" s="202"/>
      <c r="BI62" s="204"/>
      <c r="BJ62" s="202"/>
      <c r="BK62" s="204"/>
      <c r="BL62" s="202"/>
      <c r="BM62" s="201"/>
      <c r="BN62" s="202"/>
      <c r="BO62" s="203">
        <f t="shared" si="16"/>
        <v>0</v>
      </c>
      <c r="BP62" s="202"/>
      <c r="BQ62" s="138"/>
      <c r="BR62" s="128"/>
      <c r="BS62" s="128"/>
      <c r="BT62" s="128"/>
      <c r="BU62" s="128"/>
      <c r="BV62" s="148">
        <v>8</v>
      </c>
      <c r="BW62" s="149">
        <f ca="1">IFERROR(__xludf.DUMMYFUNCTION("COUNTIF(MAP($BC$8:$BL$503,LAMBDA(c,IF(TRIM(c)="""","""",MIN(VALUE(SPLIT(SUBSTITUTE(SUBSTITUTE(SUBSTITUTE(c,"" "",""""),""，"","",""),"";"","",""),"","")))))),BV62)"),0)</f>
        <v>0</v>
      </c>
      <c r="BX62" s="145" t="e">
        <f t="shared" ca="1" si="26"/>
        <v>#DIV/0!</v>
      </c>
      <c r="BY62" s="150">
        <f t="shared" ca="1" si="27"/>
        <v>0</v>
      </c>
      <c r="BZ62" s="143"/>
      <c r="CA62" s="143"/>
      <c r="CB62" s="143"/>
      <c r="CC62" s="143"/>
      <c r="CD62" s="143"/>
      <c r="CE62" s="134"/>
      <c r="CF62" s="134"/>
      <c r="CG62" s="134"/>
      <c r="CH62" s="134"/>
      <c r="CI62" s="134"/>
      <c r="CJ62" s="135"/>
      <c r="CK62" s="135"/>
    </row>
    <row r="63" spans="1:89" ht="14.25">
      <c r="A63" s="136"/>
      <c r="B63" s="30" t="s">
        <v>140</v>
      </c>
      <c r="C63" s="46" t="s">
        <v>4</v>
      </c>
      <c r="D63" s="137">
        <f t="shared" si="11"/>
        <v>0</v>
      </c>
      <c r="E63" s="208"/>
      <c r="F63" s="202"/>
      <c r="G63" s="207"/>
      <c r="H63" s="202"/>
      <c r="I63" s="208"/>
      <c r="J63" s="202"/>
      <c r="K63" s="208">
        <f t="shared" si="12"/>
        <v>0</v>
      </c>
      <c r="L63" s="202"/>
      <c r="M63" s="207"/>
      <c r="N63" s="202"/>
      <c r="O63" s="209"/>
      <c r="P63" s="202"/>
      <c r="Q63" s="206"/>
      <c r="R63" s="202"/>
      <c r="S63" s="207"/>
      <c r="T63" s="202"/>
      <c r="U63" s="207"/>
      <c r="V63" s="202"/>
      <c r="W63" s="208"/>
      <c r="X63" s="202"/>
      <c r="Y63" s="210">
        <f t="shared" si="13"/>
        <v>0</v>
      </c>
      <c r="Z63" s="202"/>
      <c r="AA63" s="207"/>
      <c r="AB63" s="202"/>
      <c r="AC63" s="209"/>
      <c r="AD63" s="202"/>
      <c r="AE63" s="206"/>
      <c r="AF63" s="202"/>
      <c r="AG63" s="207"/>
      <c r="AH63" s="202"/>
      <c r="AI63" s="207"/>
      <c r="AJ63" s="202"/>
      <c r="AK63" s="208"/>
      <c r="AL63" s="202"/>
      <c r="AM63" s="210">
        <f t="shared" si="14"/>
        <v>0</v>
      </c>
      <c r="AN63" s="202"/>
      <c r="AO63" s="207"/>
      <c r="AP63" s="202"/>
      <c r="AQ63" s="209"/>
      <c r="AR63" s="202"/>
      <c r="AS63" s="206"/>
      <c r="AT63" s="202"/>
      <c r="AU63" s="204"/>
      <c r="AV63" s="202"/>
      <c r="AW63" s="204"/>
      <c r="AX63" s="202"/>
      <c r="AY63" s="201"/>
      <c r="AZ63" s="202"/>
      <c r="BA63" s="210">
        <f t="shared" si="15"/>
        <v>0</v>
      </c>
      <c r="BB63" s="202"/>
      <c r="BC63" s="204"/>
      <c r="BD63" s="202"/>
      <c r="BE63" s="209"/>
      <c r="BF63" s="202"/>
      <c r="BG63" s="206"/>
      <c r="BH63" s="202"/>
      <c r="BI63" s="204"/>
      <c r="BJ63" s="202"/>
      <c r="BK63" s="204"/>
      <c r="BL63" s="202"/>
      <c r="BM63" s="201"/>
      <c r="BN63" s="202"/>
      <c r="BO63" s="203">
        <f t="shared" si="16"/>
        <v>0</v>
      </c>
      <c r="BP63" s="202"/>
      <c r="BQ63" s="138"/>
      <c r="BR63" s="139"/>
      <c r="BS63" s="139"/>
      <c r="BT63" s="139"/>
      <c r="BU63" s="139"/>
      <c r="BV63" s="148">
        <v>10</v>
      </c>
      <c r="BW63" s="149">
        <f ca="1">IFERROR(__xludf.DUMMYFUNCTION("COUNTIF(MAP($BC$8:$BL$503,LAMBDA(c,IF(TRIM(c)="""","""",MIN(VALUE(SPLIT(SUBSTITUTE(SUBSTITUTE(SUBSTITUTE(c,"" "",""""),""，"","",""),"";"","",""),"","")))))),BV63)"),0)</f>
        <v>0</v>
      </c>
      <c r="BX63" s="145" t="e">
        <f t="shared" ca="1" si="26"/>
        <v>#DIV/0!</v>
      </c>
      <c r="BY63" s="150">
        <f t="shared" ca="1" si="27"/>
        <v>0</v>
      </c>
      <c r="BZ63" s="143"/>
      <c r="CA63" s="143"/>
      <c r="CB63" s="143"/>
      <c r="CC63" s="143"/>
      <c r="CD63" s="143"/>
      <c r="CE63" s="139"/>
      <c r="CF63" s="139"/>
      <c r="CG63" s="139"/>
      <c r="CH63" s="139"/>
      <c r="CI63" s="139"/>
      <c r="CJ63" s="139"/>
      <c r="CK63" s="139"/>
    </row>
    <row r="64" spans="1:89" ht="14.25">
      <c r="A64" s="136"/>
      <c r="B64" s="30" t="s">
        <v>142</v>
      </c>
      <c r="C64" s="46" t="s">
        <v>4</v>
      </c>
      <c r="D64" s="137">
        <f t="shared" si="11"/>
        <v>1</v>
      </c>
      <c r="E64" s="208"/>
      <c r="F64" s="202"/>
      <c r="G64" s="207"/>
      <c r="H64" s="202"/>
      <c r="I64" s="208"/>
      <c r="J64" s="202"/>
      <c r="K64" s="208">
        <f t="shared" si="12"/>
        <v>0</v>
      </c>
      <c r="L64" s="202"/>
      <c r="M64" s="207"/>
      <c r="N64" s="202"/>
      <c r="O64" s="209">
        <v>12</v>
      </c>
      <c r="P64" s="202"/>
      <c r="Q64" s="206"/>
      <c r="R64" s="202"/>
      <c r="S64" s="207"/>
      <c r="T64" s="202"/>
      <c r="U64" s="207"/>
      <c r="V64" s="202"/>
      <c r="W64" s="208"/>
      <c r="X64" s="202"/>
      <c r="Y64" s="210">
        <f t="shared" si="13"/>
        <v>1</v>
      </c>
      <c r="Z64" s="202"/>
      <c r="AA64" s="207"/>
      <c r="AB64" s="202"/>
      <c r="AC64" s="209"/>
      <c r="AD64" s="202"/>
      <c r="AE64" s="206"/>
      <c r="AF64" s="202"/>
      <c r="AG64" s="207"/>
      <c r="AH64" s="202"/>
      <c r="AI64" s="207"/>
      <c r="AJ64" s="202"/>
      <c r="AK64" s="208"/>
      <c r="AL64" s="202"/>
      <c r="AM64" s="210">
        <f t="shared" si="14"/>
        <v>0</v>
      </c>
      <c r="AN64" s="202"/>
      <c r="AO64" s="207"/>
      <c r="AP64" s="202"/>
      <c r="AQ64" s="209"/>
      <c r="AR64" s="202"/>
      <c r="AS64" s="206"/>
      <c r="AT64" s="202"/>
      <c r="AU64" s="204"/>
      <c r="AV64" s="202"/>
      <c r="AW64" s="204"/>
      <c r="AX64" s="202"/>
      <c r="AY64" s="201"/>
      <c r="AZ64" s="202"/>
      <c r="BA64" s="210">
        <f t="shared" si="15"/>
        <v>0</v>
      </c>
      <c r="BB64" s="202"/>
      <c r="BC64" s="204"/>
      <c r="BD64" s="202"/>
      <c r="BE64" s="209"/>
      <c r="BF64" s="202"/>
      <c r="BG64" s="206"/>
      <c r="BH64" s="202"/>
      <c r="BI64" s="204"/>
      <c r="BJ64" s="202"/>
      <c r="BK64" s="204"/>
      <c r="BL64" s="202"/>
      <c r="BM64" s="201"/>
      <c r="BN64" s="202"/>
      <c r="BO64" s="203">
        <f t="shared" si="16"/>
        <v>0</v>
      </c>
      <c r="BP64" s="202"/>
      <c r="BQ64" s="138"/>
      <c r="BR64" s="139"/>
      <c r="BS64" s="139"/>
      <c r="BT64" s="139"/>
      <c r="BU64" s="139"/>
      <c r="BV64" s="148">
        <v>12</v>
      </c>
      <c r="BW64" s="149">
        <f ca="1">IFERROR(__xludf.DUMMYFUNCTION("COUNTIF(MAP($BC$8:$BL$503,LAMBDA(c,IF(TRIM(c)="""","""",MIN(VALUE(SPLIT(SUBSTITUTE(SUBSTITUTE(SUBSTITUTE(c,"" "",""""),""，"","",""),"";"","",""),"","")))))),BV64)"),0)</f>
        <v>0</v>
      </c>
      <c r="BX64" s="145" t="e">
        <f t="shared" ca="1" si="26"/>
        <v>#DIV/0!</v>
      </c>
      <c r="BY64" s="150">
        <f t="shared" ca="1" si="27"/>
        <v>0</v>
      </c>
      <c r="BZ64" s="143"/>
      <c r="CA64" s="143"/>
      <c r="CB64" s="143"/>
      <c r="CC64" s="143"/>
      <c r="CD64" s="143"/>
      <c r="CE64" s="139"/>
      <c r="CF64" s="139"/>
      <c r="CG64" s="139"/>
      <c r="CH64" s="139"/>
      <c r="CI64" s="139"/>
      <c r="CJ64" s="139"/>
      <c r="CK64" s="139"/>
    </row>
    <row r="65" spans="1:89" ht="14.25">
      <c r="A65" s="142"/>
      <c r="B65" s="30" t="s">
        <v>144</v>
      </c>
      <c r="C65" s="46" t="s">
        <v>4</v>
      </c>
      <c r="D65" s="137">
        <f t="shared" si="11"/>
        <v>0</v>
      </c>
      <c r="E65" s="208"/>
      <c r="F65" s="202"/>
      <c r="G65" s="207"/>
      <c r="H65" s="202"/>
      <c r="I65" s="208"/>
      <c r="J65" s="202"/>
      <c r="K65" s="208">
        <f t="shared" si="12"/>
        <v>0</v>
      </c>
      <c r="L65" s="202"/>
      <c r="M65" s="207"/>
      <c r="N65" s="202"/>
      <c r="O65" s="209"/>
      <c r="P65" s="202"/>
      <c r="Q65" s="206"/>
      <c r="R65" s="202"/>
      <c r="S65" s="207"/>
      <c r="T65" s="202"/>
      <c r="U65" s="207"/>
      <c r="V65" s="202"/>
      <c r="W65" s="208"/>
      <c r="X65" s="202"/>
      <c r="Y65" s="210">
        <f t="shared" si="13"/>
        <v>0</v>
      </c>
      <c r="Z65" s="202"/>
      <c r="AA65" s="207"/>
      <c r="AB65" s="202"/>
      <c r="AC65" s="209"/>
      <c r="AD65" s="202"/>
      <c r="AE65" s="206"/>
      <c r="AF65" s="202"/>
      <c r="AG65" s="207"/>
      <c r="AH65" s="202"/>
      <c r="AI65" s="207"/>
      <c r="AJ65" s="202"/>
      <c r="AK65" s="208"/>
      <c r="AL65" s="202"/>
      <c r="AM65" s="210">
        <f t="shared" si="14"/>
        <v>0</v>
      </c>
      <c r="AN65" s="202"/>
      <c r="AO65" s="207"/>
      <c r="AP65" s="202"/>
      <c r="AQ65" s="209"/>
      <c r="AR65" s="202"/>
      <c r="AS65" s="206"/>
      <c r="AT65" s="202"/>
      <c r="AU65" s="204"/>
      <c r="AV65" s="202"/>
      <c r="AW65" s="204"/>
      <c r="AX65" s="202"/>
      <c r="AY65" s="201"/>
      <c r="AZ65" s="202"/>
      <c r="BA65" s="210">
        <f t="shared" si="15"/>
        <v>0</v>
      </c>
      <c r="BB65" s="202"/>
      <c r="BC65" s="204"/>
      <c r="BD65" s="202"/>
      <c r="BE65" s="209"/>
      <c r="BF65" s="202"/>
      <c r="BG65" s="206"/>
      <c r="BH65" s="202"/>
      <c r="BI65" s="204"/>
      <c r="BJ65" s="202"/>
      <c r="BK65" s="204"/>
      <c r="BL65" s="202"/>
      <c r="BM65" s="201"/>
      <c r="BN65" s="202"/>
      <c r="BO65" s="203">
        <f t="shared" si="16"/>
        <v>0</v>
      </c>
      <c r="BP65" s="202"/>
      <c r="BQ65" s="138"/>
      <c r="BR65" s="128"/>
      <c r="BS65" s="128"/>
      <c r="BT65" s="128"/>
      <c r="BU65" s="128"/>
      <c r="BV65" s="148">
        <v>17</v>
      </c>
      <c r="BW65" s="149">
        <f ca="1">IFERROR(__xludf.DUMMYFUNCTION("COUNTIF(MAP($BC$8:$BL$503,LAMBDA(c,IF(TRIM(c)="""","""",MIN(VALUE(SPLIT(SUBSTITUTE(SUBSTITUTE(SUBSTITUTE(c,"" "",""""),""，"","",""),"";"","",""),"","")))))),BV65)"),0)</f>
        <v>0</v>
      </c>
      <c r="BX65" s="145" t="e">
        <f t="shared" ca="1" si="26"/>
        <v>#DIV/0!</v>
      </c>
      <c r="BY65" s="150">
        <f t="shared" ca="1" si="27"/>
        <v>0</v>
      </c>
      <c r="BZ65" s="143"/>
      <c r="CA65" s="143"/>
      <c r="CB65" s="143"/>
      <c r="CC65" s="143"/>
      <c r="CD65" s="143"/>
      <c r="CE65" s="134"/>
      <c r="CF65" s="134"/>
      <c r="CG65" s="134"/>
      <c r="CH65" s="134"/>
      <c r="CI65" s="134"/>
      <c r="CJ65" s="135"/>
      <c r="CK65" s="135"/>
    </row>
    <row r="66" spans="1:89" ht="14.25">
      <c r="A66" s="136"/>
      <c r="B66" s="30" t="s">
        <v>146</v>
      </c>
      <c r="C66" s="46" t="s">
        <v>4</v>
      </c>
      <c r="D66" s="137">
        <f t="shared" si="11"/>
        <v>0</v>
      </c>
      <c r="E66" s="208"/>
      <c r="F66" s="202"/>
      <c r="G66" s="207"/>
      <c r="H66" s="202"/>
      <c r="I66" s="208"/>
      <c r="J66" s="202"/>
      <c r="K66" s="208">
        <f t="shared" si="12"/>
        <v>0</v>
      </c>
      <c r="L66" s="202"/>
      <c r="M66" s="207"/>
      <c r="N66" s="202"/>
      <c r="O66" s="209"/>
      <c r="P66" s="202"/>
      <c r="Q66" s="206"/>
      <c r="R66" s="202"/>
      <c r="S66" s="207"/>
      <c r="T66" s="202"/>
      <c r="U66" s="207"/>
      <c r="V66" s="202"/>
      <c r="W66" s="208"/>
      <c r="X66" s="202"/>
      <c r="Y66" s="210">
        <f t="shared" si="13"/>
        <v>0</v>
      </c>
      <c r="Z66" s="202"/>
      <c r="AA66" s="207"/>
      <c r="AB66" s="202"/>
      <c r="AC66" s="209"/>
      <c r="AD66" s="202"/>
      <c r="AE66" s="206"/>
      <c r="AF66" s="202"/>
      <c r="AG66" s="207"/>
      <c r="AH66" s="202"/>
      <c r="AI66" s="207"/>
      <c r="AJ66" s="202"/>
      <c r="AK66" s="208"/>
      <c r="AL66" s="202"/>
      <c r="AM66" s="210">
        <f t="shared" si="14"/>
        <v>0</v>
      </c>
      <c r="AN66" s="202"/>
      <c r="AO66" s="207"/>
      <c r="AP66" s="202"/>
      <c r="AQ66" s="209"/>
      <c r="AR66" s="202"/>
      <c r="AS66" s="206"/>
      <c r="AT66" s="202"/>
      <c r="AU66" s="204"/>
      <c r="AV66" s="202"/>
      <c r="AW66" s="204"/>
      <c r="AX66" s="202"/>
      <c r="AY66" s="201"/>
      <c r="AZ66" s="202"/>
      <c r="BA66" s="210">
        <f t="shared" si="15"/>
        <v>0</v>
      </c>
      <c r="BB66" s="202"/>
      <c r="BC66" s="204"/>
      <c r="BD66" s="202"/>
      <c r="BE66" s="209"/>
      <c r="BF66" s="202"/>
      <c r="BG66" s="206"/>
      <c r="BH66" s="202"/>
      <c r="BI66" s="204"/>
      <c r="BJ66" s="202"/>
      <c r="BK66" s="204"/>
      <c r="BL66" s="202"/>
      <c r="BM66" s="201"/>
      <c r="BN66" s="202"/>
      <c r="BO66" s="203">
        <f t="shared" si="16"/>
        <v>0</v>
      </c>
      <c r="BP66" s="202"/>
      <c r="BQ66" s="138"/>
      <c r="BR66" s="139"/>
      <c r="BS66" s="139"/>
      <c r="BT66" s="139"/>
      <c r="BU66" s="139"/>
      <c r="BV66" s="148">
        <v>18</v>
      </c>
      <c r="BW66" s="149">
        <f ca="1">IFERROR(__xludf.DUMMYFUNCTION("COUNTIF(MAP($BC$8:$BL$503,LAMBDA(c,IF(TRIM(c)="""","""",MIN(VALUE(SPLIT(SUBSTITUTE(SUBSTITUTE(SUBSTITUTE(c,"" "",""""),""，"","",""),"";"","",""),"","")))))),BV66)"),0)</f>
        <v>0</v>
      </c>
      <c r="BX66" s="145" t="e">
        <f t="shared" ca="1" si="26"/>
        <v>#DIV/0!</v>
      </c>
      <c r="BY66" s="150">
        <f t="shared" ca="1" si="27"/>
        <v>0</v>
      </c>
      <c r="BZ66" s="143"/>
      <c r="CA66" s="143"/>
      <c r="CB66" s="143"/>
      <c r="CC66" s="143"/>
      <c r="CD66" s="143"/>
      <c r="CE66" s="139"/>
      <c r="CF66" s="139"/>
      <c r="CG66" s="139"/>
      <c r="CH66" s="139"/>
      <c r="CI66" s="139"/>
      <c r="CJ66" s="139"/>
      <c r="CK66" s="139"/>
    </row>
    <row r="67" spans="1:89" ht="14.25">
      <c r="A67" s="142"/>
      <c r="B67" s="30" t="s">
        <v>148</v>
      </c>
      <c r="C67" s="46" t="s">
        <v>3</v>
      </c>
      <c r="D67" s="137">
        <f t="shared" si="11"/>
        <v>1</v>
      </c>
      <c r="E67" s="208"/>
      <c r="F67" s="202"/>
      <c r="G67" s="207">
        <v>17</v>
      </c>
      <c r="H67" s="202"/>
      <c r="I67" s="208"/>
      <c r="J67" s="202"/>
      <c r="K67" s="208">
        <f t="shared" si="12"/>
        <v>1</v>
      </c>
      <c r="L67" s="202"/>
      <c r="M67" s="207"/>
      <c r="N67" s="202"/>
      <c r="O67" s="209"/>
      <c r="P67" s="202"/>
      <c r="Q67" s="206"/>
      <c r="R67" s="202"/>
      <c r="S67" s="207"/>
      <c r="T67" s="202"/>
      <c r="U67" s="207"/>
      <c r="V67" s="202"/>
      <c r="W67" s="208"/>
      <c r="X67" s="202"/>
      <c r="Y67" s="210">
        <f t="shared" si="13"/>
        <v>0</v>
      </c>
      <c r="Z67" s="202"/>
      <c r="AA67" s="207"/>
      <c r="AB67" s="202"/>
      <c r="AC67" s="209"/>
      <c r="AD67" s="202"/>
      <c r="AE67" s="206"/>
      <c r="AF67" s="202"/>
      <c r="AG67" s="207"/>
      <c r="AH67" s="202"/>
      <c r="AI67" s="207"/>
      <c r="AJ67" s="202"/>
      <c r="AK67" s="208"/>
      <c r="AL67" s="202"/>
      <c r="AM67" s="210">
        <f t="shared" si="14"/>
        <v>0</v>
      </c>
      <c r="AN67" s="202"/>
      <c r="AO67" s="207"/>
      <c r="AP67" s="202"/>
      <c r="AQ67" s="209"/>
      <c r="AR67" s="202"/>
      <c r="AS67" s="206"/>
      <c r="AT67" s="202"/>
      <c r="AU67" s="204"/>
      <c r="AV67" s="202"/>
      <c r="AW67" s="204"/>
      <c r="AX67" s="202"/>
      <c r="AY67" s="201"/>
      <c r="AZ67" s="202"/>
      <c r="BA67" s="210">
        <f t="shared" si="15"/>
        <v>0</v>
      </c>
      <c r="BB67" s="202"/>
      <c r="BC67" s="204"/>
      <c r="BD67" s="202"/>
      <c r="BE67" s="209"/>
      <c r="BF67" s="202"/>
      <c r="BG67" s="206"/>
      <c r="BH67" s="202"/>
      <c r="BI67" s="204"/>
      <c r="BJ67" s="202"/>
      <c r="BK67" s="204"/>
      <c r="BL67" s="202"/>
      <c r="BM67" s="201"/>
      <c r="BN67" s="202"/>
      <c r="BO67" s="203">
        <f t="shared" si="16"/>
        <v>0</v>
      </c>
      <c r="BP67" s="202"/>
      <c r="BQ67" s="138"/>
      <c r="BR67" s="128"/>
      <c r="BS67" s="128"/>
      <c r="BT67" s="128"/>
      <c r="BU67" s="128"/>
      <c r="BV67" s="148">
        <v>19</v>
      </c>
      <c r="BW67" s="149">
        <f ca="1">IFERROR(__xludf.DUMMYFUNCTION("COUNTIF(MAP($BC$8:$BL$503,LAMBDA(c,IF(TRIM(c)="""","""",MIN(VALUE(SPLIT(SUBSTITUTE(SUBSTITUTE(SUBSTITUTE(c,"" "",""""),""，"","",""),"";"","",""),"","")))))),BV67)"),0)</f>
        <v>0</v>
      </c>
      <c r="BX67" s="145" t="e">
        <f t="shared" ca="1" si="26"/>
        <v>#DIV/0!</v>
      </c>
      <c r="BY67" s="150">
        <f t="shared" ca="1" si="27"/>
        <v>0</v>
      </c>
      <c r="BZ67" s="143"/>
      <c r="CA67" s="143"/>
      <c r="CB67" s="143"/>
      <c r="CC67" s="143"/>
      <c r="CD67" s="143"/>
      <c r="CE67" s="134"/>
      <c r="CF67" s="134"/>
      <c r="CG67" s="134"/>
      <c r="CH67" s="134"/>
      <c r="CI67" s="134"/>
      <c r="CJ67" s="135"/>
      <c r="CK67" s="135"/>
    </row>
    <row r="68" spans="1:89" ht="14.25">
      <c r="A68" s="136"/>
      <c r="B68" s="30" t="s">
        <v>150</v>
      </c>
      <c r="C68" s="46" t="s">
        <v>3</v>
      </c>
      <c r="D68" s="137">
        <f t="shared" si="11"/>
        <v>1</v>
      </c>
      <c r="E68" s="208"/>
      <c r="F68" s="202"/>
      <c r="G68" s="207"/>
      <c r="H68" s="202"/>
      <c r="I68" s="208"/>
      <c r="J68" s="202"/>
      <c r="K68" s="208">
        <f t="shared" si="12"/>
        <v>0</v>
      </c>
      <c r="L68" s="202"/>
      <c r="M68" s="207"/>
      <c r="N68" s="202"/>
      <c r="O68" s="209">
        <v>19</v>
      </c>
      <c r="P68" s="202"/>
      <c r="Q68" s="206"/>
      <c r="R68" s="202"/>
      <c r="S68" s="207"/>
      <c r="T68" s="202"/>
      <c r="U68" s="207"/>
      <c r="V68" s="202"/>
      <c r="W68" s="208"/>
      <c r="X68" s="202"/>
      <c r="Y68" s="210">
        <f t="shared" si="13"/>
        <v>1</v>
      </c>
      <c r="Z68" s="202"/>
      <c r="AA68" s="207"/>
      <c r="AB68" s="202"/>
      <c r="AC68" s="209"/>
      <c r="AD68" s="202"/>
      <c r="AE68" s="206"/>
      <c r="AF68" s="202"/>
      <c r="AG68" s="207"/>
      <c r="AH68" s="202"/>
      <c r="AI68" s="207"/>
      <c r="AJ68" s="202"/>
      <c r="AK68" s="208"/>
      <c r="AL68" s="202"/>
      <c r="AM68" s="210">
        <f t="shared" si="14"/>
        <v>0</v>
      </c>
      <c r="AN68" s="202"/>
      <c r="AO68" s="207"/>
      <c r="AP68" s="202"/>
      <c r="AQ68" s="209"/>
      <c r="AR68" s="202"/>
      <c r="AS68" s="206"/>
      <c r="AT68" s="202"/>
      <c r="AU68" s="204"/>
      <c r="AV68" s="202"/>
      <c r="AW68" s="204"/>
      <c r="AX68" s="202"/>
      <c r="AY68" s="201"/>
      <c r="AZ68" s="202"/>
      <c r="BA68" s="210">
        <f t="shared" si="15"/>
        <v>0</v>
      </c>
      <c r="BB68" s="202"/>
      <c r="BC68" s="204"/>
      <c r="BD68" s="202"/>
      <c r="BE68" s="209"/>
      <c r="BF68" s="202"/>
      <c r="BG68" s="206"/>
      <c r="BH68" s="202"/>
      <c r="BI68" s="204"/>
      <c r="BJ68" s="202"/>
      <c r="BK68" s="204"/>
      <c r="BL68" s="202"/>
      <c r="BM68" s="201"/>
      <c r="BN68" s="202"/>
      <c r="BO68" s="203">
        <f t="shared" si="16"/>
        <v>0</v>
      </c>
      <c r="BP68" s="202"/>
      <c r="BQ68" s="138"/>
      <c r="BR68" s="139"/>
      <c r="BS68" s="139"/>
      <c r="BT68" s="139"/>
      <c r="BU68" s="139"/>
      <c r="BV68" s="148">
        <v>20</v>
      </c>
      <c r="BW68" s="149">
        <f ca="1">IFERROR(__xludf.DUMMYFUNCTION("COUNTIF(MAP($BC$8:$BL$503,LAMBDA(c,IF(TRIM(c)="""","""",MIN(VALUE(SPLIT(SUBSTITUTE(SUBSTITUTE(SUBSTITUTE(c,"" "",""""),""，"","",""),"";"","",""),"","")))))),BV68)"),0)</f>
        <v>0</v>
      </c>
      <c r="BX68" s="145" t="e">
        <f t="shared" ca="1" si="26"/>
        <v>#DIV/0!</v>
      </c>
      <c r="BY68" s="150">
        <f t="shared" ca="1" si="27"/>
        <v>0</v>
      </c>
      <c r="BZ68" s="143"/>
      <c r="CA68" s="143"/>
      <c r="CB68" s="143"/>
      <c r="CC68" s="143"/>
      <c r="CD68" s="143"/>
      <c r="CE68" s="139"/>
      <c r="CF68" s="139"/>
      <c r="CG68" s="139"/>
      <c r="CH68" s="136"/>
      <c r="CI68" s="139"/>
      <c r="CJ68" s="139"/>
      <c r="CK68" s="139"/>
    </row>
    <row r="69" spans="1:89" ht="14.25">
      <c r="A69" s="136"/>
      <c r="B69" s="30" t="s">
        <v>152</v>
      </c>
      <c r="C69" s="46" t="s">
        <v>4</v>
      </c>
      <c r="D69" s="137">
        <f t="shared" si="11"/>
        <v>1</v>
      </c>
      <c r="E69" s="208"/>
      <c r="F69" s="202"/>
      <c r="G69" s="207"/>
      <c r="H69" s="202"/>
      <c r="I69" s="208"/>
      <c r="J69" s="202"/>
      <c r="K69" s="208">
        <f t="shared" si="12"/>
        <v>0</v>
      </c>
      <c r="L69" s="202"/>
      <c r="M69" s="207"/>
      <c r="N69" s="202"/>
      <c r="O69" s="209"/>
      <c r="P69" s="202"/>
      <c r="Q69" s="206">
        <v>21</v>
      </c>
      <c r="R69" s="202"/>
      <c r="S69" s="207"/>
      <c r="T69" s="202"/>
      <c r="U69" s="207"/>
      <c r="V69" s="202"/>
      <c r="W69" s="208"/>
      <c r="X69" s="202"/>
      <c r="Y69" s="210">
        <f t="shared" si="13"/>
        <v>1</v>
      </c>
      <c r="Z69" s="202"/>
      <c r="AA69" s="207"/>
      <c r="AB69" s="202"/>
      <c r="AC69" s="209"/>
      <c r="AD69" s="202"/>
      <c r="AE69" s="206"/>
      <c r="AF69" s="202"/>
      <c r="AG69" s="207"/>
      <c r="AH69" s="202"/>
      <c r="AI69" s="207"/>
      <c r="AJ69" s="202"/>
      <c r="AK69" s="208"/>
      <c r="AL69" s="202"/>
      <c r="AM69" s="210">
        <f t="shared" si="14"/>
        <v>0</v>
      </c>
      <c r="AN69" s="202"/>
      <c r="AO69" s="207"/>
      <c r="AP69" s="202"/>
      <c r="AQ69" s="209"/>
      <c r="AR69" s="202"/>
      <c r="AS69" s="206"/>
      <c r="AT69" s="202"/>
      <c r="AU69" s="204"/>
      <c r="AV69" s="202"/>
      <c r="AW69" s="204"/>
      <c r="AX69" s="202"/>
      <c r="AY69" s="201"/>
      <c r="AZ69" s="202"/>
      <c r="BA69" s="210">
        <f t="shared" si="15"/>
        <v>0</v>
      </c>
      <c r="BB69" s="202"/>
      <c r="BC69" s="204"/>
      <c r="BD69" s="202"/>
      <c r="BE69" s="209"/>
      <c r="BF69" s="202"/>
      <c r="BG69" s="206"/>
      <c r="BH69" s="202"/>
      <c r="BI69" s="204"/>
      <c r="BJ69" s="202"/>
      <c r="BK69" s="204"/>
      <c r="BL69" s="202"/>
      <c r="BM69" s="201"/>
      <c r="BN69" s="202"/>
      <c r="BO69" s="203">
        <f t="shared" si="16"/>
        <v>0</v>
      </c>
      <c r="BP69" s="202"/>
      <c r="BQ69" s="138"/>
      <c r="BR69" s="139"/>
      <c r="BS69" s="139"/>
      <c r="BT69" s="139"/>
      <c r="BU69" s="139"/>
      <c r="BV69" s="148">
        <v>21</v>
      </c>
      <c r="BW69" s="149">
        <f ca="1">IFERROR(__xludf.DUMMYFUNCTION("COUNTIF(MAP($BC$8:$BL$503,LAMBDA(c,IF(TRIM(c)="""","""",MIN(VALUE(SPLIT(SUBSTITUTE(SUBSTITUTE(SUBSTITUTE(c,"" "",""""),""，"","",""),"";"","",""),"","")))))),BV69)"),0)</f>
        <v>0</v>
      </c>
      <c r="BX69" s="145" t="e">
        <f t="shared" ca="1" si="26"/>
        <v>#DIV/0!</v>
      </c>
      <c r="BY69" s="150">
        <f t="shared" ca="1" si="27"/>
        <v>0</v>
      </c>
      <c r="BZ69" s="143"/>
      <c r="CA69" s="143"/>
      <c r="CB69" s="143"/>
      <c r="CC69" s="143"/>
      <c r="CD69" s="143"/>
      <c r="CE69" s="139"/>
      <c r="CF69" s="139"/>
      <c r="CG69" s="139"/>
      <c r="CH69" s="139"/>
      <c r="CI69" s="139"/>
      <c r="CJ69" s="139"/>
      <c r="CK69" s="139"/>
    </row>
    <row r="70" spans="1:89" ht="14.25">
      <c r="A70" s="136"/>
      <c r="B70" s="30" t="s">
        <v>154</v>
      </c>
      <c r="C70" s="46" t="s">
        <v>3</v>
      </c>
      <c r="D70" s="137">
        <f t="shared" si="11"/>
        <v>3</v>
      </c>
      <c r="E70" s="208"/>
      <c r="F70" s="202"/>
      <c r="G70" s="207"/>
      <c r="H70" s="202"/>
      <c r="I70" s="208"/>
      <c r="J70" s="202"/>
      <c r="K70" s="208">
        <f t="shared" si="12"/>
        <v>0</v>
      </c>
      <c r="L70" s="202"/>
      <c r="M70" s="207">
        <v>20</v>
      </c>
      <c r="N70" s="202"/>
      <c r="O70" s="209"/>
      <c r="P70" s="202"/>
      <c r="Q70" s="206">
        <v>21</v>
      </c>
      <c r="R70" s="202"/>
      <c r="S70" s="207"/>
      <c r="T70" s="202"/>
      <c r="U70" s="207">
        <v>21</v>
      </c>
      <c r="V70" s="202"/>
      <c r="W70" s="208"/>
      <c r="X70" s="202"/>
      <c r="Y70" s="210">
        <f t="shared" si="13"/>
        <v>3</v>
      </c>
      <c r="Z70" s="202"/>
      <c r="AA70" s="207"/>
      <c r="AB70" s="202"/>
      <c r="AC70" s="209"/>
      <c r="AD70" s="202"/>
      <c r="AE70" s="206"/>
      <c r="AF70" s="202"/>
      <c r="AG70" s="207"/>
      <c r="AH70" s="202"/>
      <c r="AI70" s="207"/>
      <c r="AJ70" s="202"/>
      <c r="AK70" s="208"/>
      <c r="AL70" s="202"/>
      <c r="AM70" s="210">
        <f t="shared" si="14"/>
        <v>0</v>
      </c>
      <c r="AN70" s="202"/>
      <c r="AO70" s="207"/>
      <c r="AP70" s="202"/>
      <c r="AQ70" s="209"/>
      <c r="AR70" s="202"/>
      <c r="AS70" s="206"/>
      <c r="AT70" s="202"/>
      <c r="AU70" s="204"/>
      <c r="AV70" s="202"/>
      <c r="AW70" s="204"/>
      <c r="AX70" s="202"/>
      <c r="AY70" s="201"/>
      <c r="AZ70" s="202"/>
      <c r="BA70" s="210">
        <f t="shared" si="15"/>
        <v>0</v>
      </c>
      <c r="BB70" s="202"/>
      <c r="BC70" s="204"/>
      <c r="BD70" s="202"/>
      <c r="BE70" s="209"/>
      <c r="BF70" s="202"/>
      <c r="BG70" s="206"/>
      <c r="BH70" s="202"/>
      <c r="BI70" s="204"/>
      <c r="BJ70" s="202"/>
      <c r="BK70" s="204"/>
      <c r="BL70" s="202"/>
      <c r="BM70" s="201"/>
      <c r="BN70" s="202"/>
      <c r="BO70" s="203">
        <f t="shared" si="16"/>
        <v>0</v>
      </c>
      <c r="BP70" s="202"/>
      <c r="BQ70" s="138"/>
      <c r="BR70" s="139"/>
      <c r="BS70" s="139"/>
      <c r="BT70" s="139"/>
      <c r="BU70" s="139"/>
      <c r="BZ70" s="143"/>
      <c r="CA70" s="143"/>
      <c r="CB70" s="143"/>
      <c r="CC70" s="143"/>
      <c r="CD70" s="143"/>
      <c r="CE70" s="139"/>
      <c r="CF70" s="139"/>
      <c r="CG70" s="139"/>
      <c r="CH70" s="139"/>
      <c r="CI70" s="139"/>
      <c r="CJ70" s="139"/>
      <c r="CK70" s="139"/>
    </row>
    <row r="71" spans="1:89" ht="14.25">
      <c r="A71" s="142"/>
      <c r="B71" s="30" t="s">
        <v>156</v>
      </c>
      <c r="C71" s="46" t="s">
        <v>4</v>
      </c>
      <c r="D71" s="137">
        <f t="shared" si="11"/>
        <v>2</v>
      </c>
      <c r="E71" s="208"/>
      <c r="F71" s="202"/>
      <c r="G71" s="207"/>
      <c r="H71" s="202"/>
      <c r="I71" s="208"/>
      <c r="J71" s="202"/>
      <c r="K71" s="208">
        <f t="shared" si="12"/>
        <v>0</v>
      </c>
      <c r="L71" s="202"/>
      <c r="M71" s="207"/>
      <c r="N71" s="202"/>
      <c r="O71" s="209"/>
      <c r="P71" s="202"/>
      <c r="Q71" s="206"/>
      <c r="R71" s="202"/>
      <c r="S71" s="207">
        <v>10</v>
      </c>
      <c r="T71" s="202"/>
      <c r="U71" s="207"/>
      <c r="V71" s="202"/>
      <c r="W71" s="208"/>
      <c r="X71" s="202"/>
      <c r="Y71" s="210">
        <f t="shared" si="13"/>
        <v>1</v>
      </c>
      <c r="Z71" s="202"/>
      <c r="AA71" s="207">
        <v>10</v>
      </c>
      <c r="AB71" s="202"/>
      <c r="AC71" s="209"/>
      <c r="AD71" s="202"/>
      <c r="AE71" s="206"/>
      <c r="AF71" s="202"/>
      <c r="AG71" s="207"/>
      <c r="AH71" s="202"/>
      <c r="AI71" s="207"/>
      <c r="AJ71" s="202"/>
      <c r="AK71" s="208"/>
      <c r="AL71" s="202"/>
      <c r="AM71" s="210">
        <f t="shared" si="14"/>
        <v>1</v>
      </c>
      <c r="AN71" s="202"/>
      <c r="AO71" s="207"/>
      <c r="AP71" s="202"/>
      <c r="AQ71" s="209"/>
      <c r="AR71" s="202"/>
      <c r="AS71" s="206"/>
      <c r="AT71" s="202"/>
      <c r="AU71" s="204"/>
      <c r="AV71" s="202"/>
      <c r="AW71" s="204"/>
      <c r="AX71" s="202"/>
      <c r="AY71" s="201"/>
      <c r="AZ71" s="202"/>
      <c r="BA71" s="210">
        <f t="shared" si="15"/>
        <v>0</v>
      </c>
      <c r="BB71" s="202"/>
      <c r="BC71" s="204"/>
      <c r="BD71" s="202"/>
      <c r="BE71" s="209"/>
      <c r="BF71" s="202"/>
      <c r="BG71" s="206"/>
      <c r="BH71" s="202"/>
      <c r="BI71" s="204"/>
      <c r="BJ71" s="202"/>
      <c r="BK71" s="204"/>
      <c r="BL71" s="202"/>
      <c r="BM71" s="201"/>
      <c r="BN71" s="202"/>
      <c r="BO71" s="203">
        <f t="shared" si="16"/>
        <v>0</v>
      </c>
      <c r="BP71" s="202"/>
      <c r="BQ71" s="138"/>
      <c r="BR71" s="128"/>
      <c r="BS71" s="128"/>
      <c r="BT71" s="128"/>
      <c r="BU71" s="128"/>
      <c r="BZ71" s="143"/>
      <c r="CA71" s="143"/>
      <c r="CB71" s="143"/>
      <c r="CC71" s="143"/>
      <c r="CD71" s="143"/>
      <c r="CE71" s="134"/>
      <c r="CF71" s="134"/>
      <c r="CG71" s="157"/>
      <c r="CH71" s="157"/>
      <c r="CI71" s="134"/>
      <c r="CJ71" s="135"/>
      <c r="CK71" s="135"/>
    </row>
    <row r="72" spans="1:89" ht="14.25">
      <c r="A72" s="142"/>
      <c r="B72" s="30" t="s">
        <v>158</v>
      </c>
      <c r="C72" s="46" t="s">
        <v>3</v>
      </c>
      <c r="D72" s="137">
        <f t="shared" si="11"/>
        <v>1</v>
      </c>
      <c r="E72" s="208"/>
      <c r="F72" s="202"/>
      <c r="G72" s="207"/>
      <c r="H72" s="202"/>
      <c r="I72" s="208"/>
      <c r="J72" s="202"/>
      <c r="K72" s="208">
        <f t="shared" si="12"/>
        <v>0</v>
      </c>
      <c r="L72" s="202"/>
      <c r="M72" s="207">
        <v>21</v>
      </c>
      <c r="N72" s="202"/>
      <c r="O72" s="209"/>
      <c r="P72" s="202"/>
      <c r="Q72" s="206"/>
      <c r="R72" s="202"/>
      <c r="S72" s="207"/>
      <c r="T72" s="202"/>
      <c r="U72" s="207"/>
      <c r="V72" s="202"/>
      <c r="W72" s="208"/>
      <c r="X72" s="202"/>
      <c r="Y72" s="210">
        <f t="shared" si="13"/>
        <v>1</v>
      </c>
      <c r="Z72" s="202"/>
      <c r="AA72" s="207"/>
      <c r="AB72" s="202"/>
      <c r="AC72" s="209"/>
      <c r="AD72" s="202"/>
      <c r="AE72" s="206"/>
      <c r="AF72" s="202"/>
      <c r="AG72" s="207"/>
      <c r="AH72" s="202"/>
      <c r="AI72" s="207"/>
      <c r="AJ72" s="202"/>
      <c r="AK72" s="208"/>
      <c r="AL72" s="202"/>
      <c r="AM72" s="210">
        <f t="shared" si="14"/>
        <v>0</v>
      </c>
      <c r="AN72" s="202"/>
      <c r="AO72" s="207"/>
      <c r="AP72" s="202"/>
      <c r="AQ72" s="209"/>
      <c r="AR72" s="202"/>
      <c r="AS72" s="206"/>
      <c r="AT72" s="202"/>
      <c r="AU72" s="204"/>
      <c r="AV72" s="202"/>
      <c r="AW72" s="204"/>
      <c r="AX72" s="202"/>
      <c r="AY72" s="201"/>
      <c r="AZ72" s="202"/>
      <c r="BA72" s="210">
        <f t="shared" si="15"/>
        <v>0</v>
      </c>
      <c r="BB72" s="202"/>
      <c r="BC72" s="204"/>
      <c r="BD72" s="202"/>
      <c r="BE72" s="209"/>
      <c r="BF72" s="202"/>
      <c r="BG72" s="206"/>
      <c r="BH72" s="202"/>
      <c r="BI72" s="204"/>
      <c r="BJ72" s="202"/>
      <c r="BK72" s="204"/>
      <c r="BL72" s="202"/>
      <c r="BM72" s="201"/>
      <c r="BN72" s="202"/>
      <c r="BO72" s="203">
        <f t="shared" si="16"/>
        <v>0</v>
      </c>
      <c r="BP72" s="202"/>
      <c r="BQ72" s="138"/>
      <c r="BR72" s="128"/>
      <c r="BS72" s="128"/>
      <c r="BT72" s="128"/>
      <c r="BU72" s="128"/>
      <c r="BZ72" s="143"/>
      <c r="CA72" s="143"/>
      <c r="CB72" s="143"/>
      <c r="CC72" s="143"/>
      <c r="CD72" s="143"/>
      <c r="CE72" s="134"/>
      <c r="CF72" s="134"/>
      <c r="CG72" s="134"/>
      <c r="CH72" s="134"/>
      <c r="CI72" s="134"/>
      <c r="CJ72" s="135"/>
      <c r="CK72" s="135"/>
    </row>
    <row r="73" spans="1:89" ht="14.25">
      <c r="A73" s="136"/>
      <c r="B73" s="30" t="s">
        <v>160</v>
      </c>
      <c r="C73" s="46" t="s">
        <v>4</v>
      </c>
      <c r="D73" s="137">
        <f t="shared" si="11"/>
        <v>0</v>
      </c>
      <c r="E73" s="208"/>
      <c r="F73" s="202"/>
      <c r="G73" s="207"/>
      <c r="H73" s="202"/>
      <c r="I73" s="208"/>
      <c r="J73" s="202"/>
      <c r="K73" s="208">
        <f t="shared" si="12"/>
        <v>0</v>
      </c>
      <c r="L73" s="202"/>
      <c r="M73" s="207"/>
      <c r="N73" s="202"/>
      <c r="O73" s="209"/>
      <c r="P73" s="202"/>
      <c r="Q73" s="206"/>
      <c r="R73" s="202"/>
      <c r="S73" s="207"/>
      <c r="T73" s="202"/>
      <c r="U73" s="207"/>
      <c r="V73" s="202"/>
      <c r="W73" s="208"/>
      <c r="X73" s="202"/>
      <c r="Y73" s="210">
        <f t="shared" si="13"/>
        <v>0</v>
      </c>
      <c r="Z73" s="202"/>
      <c r="AA73" s="207"/>
      <c r="AB73" s="202"/>
      <c r="AC73" s="209"/>
      <c r="AD73" s="202"/>
      <c r="AE73" s="206"/>
      <c r="AF73" s="202"/>
      <c r="AG73" s="207"/>
      <c r="AH73" s="202"/>
      <c r="AI73" s="207"/>
      <c r="AJ73" s="202"/>
      <c r="AK73" s="208"/>
      <c r="AL73" s="202"/>
      <c r="AM73" s="210">
        <f t="shared" si="14"/>
        <v>0</v>
      </c>
      <c r="AN73" s="202"/>
      <c r="AO73" s="207"/>
      <c r="AP73" s="202"/>
      <c r="AQ73" s="209"/>
      <c r="AR73" s="202"/>
      <c r="AS73" s="206"/>
      <c r="AT73" s="202"/>
      <c r="AU73" s="204"/>
      <c r="AV73" s="202"/>
      <c r="AW73" s="204"/>
      <c r="AX73" s="202"/>
      <c r="AY73" s="201"/>
      <c r="AZ73" s="202"/>
      <c r="BA73" s="210">
        <f t="shared" si="15"/>
        <v>0</v>
      </c>
      <c r="BB73" s="202"/>
      <c r="BC73" s="204"/>
      <c r="BD73" s="202"/>
      <c r="BE73" s="209"/>
      <c r="BF73" s="202"/>
      <c r="BG73" s="206"/>
      <c r="BH73" s="202"/>
      <c r="BI73" s="204"/>
      <c r="BJ73" s="202"/>
      <c r="BK73" s="204"/>
      <c r="BL73" s="202"/>
      <c r="BM73" s="201"/>
      <c r="BN73" s="202"/>
      <c r="BO73" s="203">
        <f t="shared" si="16"/>
        <v>0</v>
      </c>
      <c r="BP73" s="202"/>
      <c r="BQ73" s="138"/>
      <c r="BR73" s="139"/>
      <c r="BS73" s="139"/>
      <c r="BT73" s="139"/>
      <c r="BU73" s="139"/>
      <c r="BZ73" s="143"/>
      <c r="CA73" s="143"/>
      <c r="CB73" s="143"/>
      <c r="CC73" s="143"/>
      <c r="CD73" s="143"/>
      <c r="CE73" s="139"/>
      <c r="CF73" s="139"/>
      <c r="CG73" s="139"/>
      <c r="CH73" s="139"/>
      <c r="CI73" s="139"/>
      <c r="CJ73" s="139"/>
      <c r="CK73" s="139"/>
    </row>
    <row r="74" spans="1:89" ht="14.25">
      <c r="A74" s="136"/>
      <c r="B74" s="30" t="s">
        <v>162</v>
      </c>
      <c r="C74" s="46" t="s">
        <v>4</v>
      </c>
      <c r="D74" s="137">
        <f t="shared" si="11"/>
        <v>2</v>
      </c>
      <c r="E74" s="208"/>
      <c r="F74" s="202"/>
      <c r="G74" s="207"/>
      <c r="H74" s="202"/>
      <c r="I74" s="208"/>
      <c r="J74" s="202"/>
      <c r="K74" s="208">
        <f t="shared" si="12"/>
        <v>0</v>
      </c>
      <c r="L74" s="202"/>
      <c r="M74" s="207"/>
      <c r="N74" s="202"/>
      <c r="O74" s="209"/>
      <c r="P74" s="202"/>
      <c r="Q74" s="206">
        <v>19</v>
      </c>
      <c r="R74" s="202"/>
      <c r="S74" s="207">
        <v>20</v>
      </c>
      <c r="T74" s="202"/>
      <c r="U74" s="207"/>
      <c r="V74" s="202"/>
      <c r="W74" s="208"/>
      <c r="X74" s="202"/>
      <c r="Y74" s="210">
        <f t="shared" si="13"/>
        <v>2</v>
      </c>
      <c r="Z74" s="202"/>
      <c r="AA74" s="207"/>
      <c r="AB74" s="202"/>
      <c r="AC74" s="209"/>
      <c r="AD74" s="202"/>
      <c r="AE74" s="206"/>
      <c r="AF74" s="202"/>
      <c r="AG74" s="207"/>
      <c r="AH74" s="202"/>
      <c r="AI74" s="207"/>
      <c r="AJ74" s="202"/>
      <c r="AK74" s="208"/>
      <c r="AL74" s="202"/>
      <c r="AM74" s="210">
        <f t="shared" si="14"/>
        <v>0</v>
      </c>
      <c r="AN74" s="202"/>
      <c r="AO74" s="207"/>
      <c r="AP74" s="202"/>
      <c r="AQ74" s="209"/>
      <c r="AR74" s="202"/>
      <c r="AS74" s="206"/>
      <c r="AT74" s="202"/>
      <c r="AU74" s="204"/>
      <c r="AV74" s="202"/>
      <c r="AW74" s="204"/>
      <c r="AX74" s="202"/>
      <c r="AY74" s="201"/>
      <c r="AZ74" s="202"/>
      <c r="BA74" s="210">
        <f t="shared" si="15"/>
        <v>0</v>
      </c>
      <c r="BB74" s="202"/>
      <c r="BC74" s="204"/>
      <c r="BD74" s="202"/>
      <c r="BE74" s="209"/>
      <c r="BF74" s="202"/>
      <c r="BG74" s="206"/>
      <c r="BH74" s="202"/>
      <c r="BI74" s="204"/>
      <c r="BJ74" s="202"/>
      <c r="BK74" s="204"/>
      <c r="BL74" s="202"/>
      <c r="BM74" s="201"/>
      <c r="BN74" s="202"/>
      <c r="BO74" s="203">
        <f t="shared" si="16"/>
        <v>0</v>
      </c>
      <c r="BP74" s="202"/>
      <c r="BQ74" s="138"/>
      <c r="BR74" s="139"/>
      <c r="BS74" s="139"/>
      <c r="BT74" s="139"/>
      <c r="BU74" s="139"/>
      <c r="BZ74" s="143"/>
      <c r="CA74" s="143"/>
      <c r="CB74" s="143"/>
      <c r="CC74" s="143"/>
      <c r="CD74" s="143"/>
      <c r="CE74" s="139"/>
      <c r="CF74" s="139"/>
      <c r="CG74" s="139"/>
      <c r="CH74" s="139"/>
      <c r="CI74" s="139"/>
      <c r="CJ74" s="139"/>
      <c r="CK74" s="139"/>
    </row>
    <row r="75" spans="1:89" ht="14.25">
      <c r="A75" s="136"/>
      <c r="B75" s="30" t="s">
        <v>164</v>
      </c>
      <c r="C75" s="46" t="s">
        <v>4</v>
      </c>
      <c r="D75" s="137">
        <f t="shared" si="11"/>
        <v>3</v>
      </c>
      <c r="E75" s="208"/>
      <c r="F75" s="202"/>
      <c r="G75" s="207"/>
      <c r="H75" s="202"/>
      <c r="I75" s="208"/>
      <c r="J75" s="202"/>
      <c r="K75" s="208">
        <f t="shared" si="12"/>
        <v>0</v>
      </c>
      <c r="L75" s="202"/>
      <c r="M75" s="207">
        <v>12</v>
      </c>
      <c r="N75" s="202"/>
      <c r="O75" s="209"/>
      <c r="P75" s="202"/>
      <c r="Q75" s="206">
        <v>12</v>
      </c>
      <c r="R75" s="202"/>
      <c r="S75" s="207"/>
      <c r="T75" s="202"/>
      <c r="U75" s="207"/>
      <c r="V75" s="202"/>
      <c r="W75" s="208"/>
      <c r="X75" s="202"/>
      <c r="Y75" s="210">
        <f t="shared" si="13"/>
        <v>2</v>
      </c>
      <c r="Z75" s="202"/>
      <c r="AA75" s="207">
        <v>11</v>
      </c>
      <c r="AB75" s="202"/>
      <c r="AC75" s="209"/>
      <c r="AD75" s="202"/>
      <c r="AE75" s="206"/>
      <c r="AF75" s="202"/>
      <c r="AG75" s="207"/>
      <c r="AH75" s="202"/>
      <c r="AI75" s="207"/>
      <c r="AJ75" s="202"/>
      <c r="AK75" s="208"/>
      <c r="AL75" s="202"/>
      <c r="AM75" s="210">
        <f t="shared" si="14"/>
        <v>1</v>
      </c>
      <c r="AN75" s="202"/>
      <c r="AO75" s="207"/>
      <c r="AP75" s="202"/>
      <c r="AQ75" s="209"/>
      <c r="AR75" s="202"/>
      <c r="AS75" s="206"/>
      <c r="AT75" s="202"/>
      <c r="AU75" s="204"/>
      <c r="AV75" s="202"/>
      <c r="AW75" s="204"/>
      <c r="AX75" s="202"/>
      <c r="AY75" s="201"/>
      <c r="AZ75" s="202"/>
      <c r="BA75" s="210">
        <f t="shared" si="15"/>
        <v>0</v>
      </c>
      <c r="BB75" s="202"/>
      <c r="BC75" s="204"/>
      <c r="BD75" s="202"/>
      <c r="BE75" s="209"/>
      <c r="BF75" s="202"/>
      <c r="BG75" s="206"/>
      <c r="BH75" s="202"/>
      <c r="BI75" s="204"/>
      <c r="BJ75" s="202"/>
      <c r="BK75" s="204"/>
      <c r="BL75" s="202"/>
      <c r="BM75" s="201"/>
      <c r="BN75" s="202"/>
      <c r="BO75" s="203">
        <f t="shared" si="16"/>
        <v>0</v>
      </c>
      <c r="BP75" s="202"/>
      <c r="BQ75" s="138"/>
      <c r="BR75" s="139"/>
      <c r="BS75" s="139"/>
      <c r="BT75" s="139"/>
      <c r="BU75" s="139"/>
      <c r="BZ75" s="143"/>
      <c r="CA75" s="143"/>
      <c r="CB75" s="143"/>
      <c r="CC75" s="143"/>
      <c r="CD75" s="143"/>
      <c r="CE75" s="139"/>
      <c r="CF75" s="139"/>
      <c r="CG75" s="139"/>
      <c r="CH75" s="139"/>
      <c r="CI75" s="139"/>
      <c r="CJ75" s="139"/>
      <c r="CK75" s="139"/>
    </row>
    <row r="76" spans="1:89" ht="14.25">
      <c r="A76" s="136"/>
      <c r="B76" s="30" t="s">
        <v>166</v>
      </c>
      <c r="C76" s="46" t="s">
        <v>4</v>
      </c>
      <c r="D76" s="137">
        <f t="shared" si="11"/>
        <v>5</v>
      </c>
      <c r="E76" s="208"/>
      <c r="F76" s="202"/>
      <c r="G76" s="207"/>
      <c r="H76" s="202"/>
      <c r="I76" s="208"/>
      <c r="J76" s="202"/>
      <c r="K76" s="208">
        <f t="shared" si="12"/>
        <v>0</v>
      </c>
      <c r="L76" s="202"/>
      <c r="M76" s="207">
        <v>17</v>
      </c>
      <c r="N76" s="202"/>
      <c r="O76" s="209">
        <v>21</v>
      </c>
      <c r="P76" s="202"/>
      <c r="Q76" s="206"/>
      <c r="R76" s="202"/>
      <c r="S76" s="207">
        <v>21</v>
      </c>
      <c r="T76" s="202"/>
      <c r="U76" s="207">
        <v>18</v>
      </c>
      <c r="V76" s="202"/>
      <c r="W76" s="208"/>
      <c r="X76" s="202"/>
      <c r="Y76" s="210">
        <f t="shared" si="13"/>
        <v>4</v>
      </c>
      <c r="Z76" s="202"/>
      <c r="AA76" s="207">
        <v>21</v>
      </c>
      <c r="AB76" s="202"/>
      <c r="AC76" s="209"/>
      <c r="AD76" s="202"/>
      <c r="AE76" s="206"/>
      <c r="AF76" s="202"/>
      <c r="AG76" s="207"/>
      <c r="AH76" s="202"/>
      <c r="AI76" s="207"/>
      <c r="AJ76" s="202"/>
      <c r="AK76" s="208"/>
      <c r="AL76" s="202"/>
      <c r="AM76" s="210">
        <f t="shared" si="14"/>
        <v>1</v>
      </c>
      <c r="AN76" s="202"/>
      <c r="AO76" s="207"/>
      <c r="AP76" s="202"/>
      <c r="AQ76" s="209"/>
      <c r="AR76" s="202"/>
      <c r="AS76" s="206"/>
      <c r="AT76" s="202"/>
      <c r="AU76" s="204"/>
      <c r="AV76" s="202"/>
      <c r="AW76" s="204"/>
      <c r="AX76" s="202"/>
      <c r="AY76" s="201"/>
      <c r="AZ76" s="202"/>
      <c r="BA76" s="210">
        <f t="shared" si="15"/>
        <v>0</v>
      </c>
      <c r="BB76" s="202"/>
      <c r="BC76" s="204"/>
      <c r="BD76" s="202"/>
      <c r="BE76" s="209"/>
      <c r="BF76" s="202"/>
      <c r="BG76" s="206"/>
      <c r="BH76" s="202"/>
      <c r="BI76" s="204"/>
      <c r="BJ76" s="202"/>
      <c r="BK76" s="204"/>
      <c r="BL76" s="202"/>
      <c r="BM76" s="201"/>
      <c r="BN76" s="202"/>
      <c r="BO76" s="203">
        <f t="shared" si="16"/>
        <v>0</v>
      </c>
      <c r="BP76" s="202"/>
      <c r="BQ76" s="138"/>
      <c r="BR76" s="139"/>
      <c r="BS76" s="139"/>
      <c r="BT76" s="139"/>
      <c r="BU76" s="139"/>
      <c r="BZ76" s="143"/>
      <c r="CA76" s="143"/>
      <c r="CB76" s="143"/>
      <c r="CC76" s="143"/>
      <c r="CD76" s="143"/>
      <c r="CE76" s="139"/>
      <c r="CF76" s="139"/>
      <c r="CG76" s="139"/>
      <c r="CH76" s="139"/>
      <c r="CI76" s="139"/>
      <c r="CJ76" s="139"/>
      <c r="CK76" s="139"/>
    </row>
    <row r="77" spans="1:89" ht="14.25">
      <c r="A77" s="136"/>
      <c r="B77" s="30" t="s">
        <v>168</v>
      </c>
      <c r="C77" s="46" t="s">
        <v>3</v>
      </c>
      <c r="D77" s="137">
        <f t="shared" si="11"/>
        <v>6</v>
      </c>
      <c r="E77" s="208"/>
      <c r="F77" s="202"/>
      <c r="G77" s="207">
        <v>17</v>
      </c>
      <c r="H77" s="202"/>
      <c r="I77" s="208">
        <v>13</v>
      </c>
      <c r="J77" s="202"/>
      <c r="K77" s="208">
        <f t="shared" si="12"/>
        <v>1</v>
      </c>
      <c r="L77" s="202"/>
      <c r="M77" s="207">
        <v>17</v>
      </c>
      <c r="N77" s="202"/>
      <c r="O77" s="209">
        <v>17</v>
      </c>
      <c r="P77" s="202"/>
      <c r="Q77" s="206">
        <v>17</v>
      </c>
      <c r="R77" s="202"/>
      <c r="S77" s="207">
        <v>17</v>
      </c>
      <c r="T77" s="202"/>
      <c r="U77" s="207">
        <v>17</v>
      </c>
      <c r="V77" s="202"/>
      <c r="W77" s="208">
        <v>13</v>
      </c>
      <c r="X77" s="202"/>
      <c r="Y77" s="210">
        <f t="shared" si="13"/>
        <v>5</v>
      </c>
      <c r="Z77" s="202"/>
      <c r="AA77" s="207"/>
      <c r="AB77" s="202"/>
      <c r="AC77" s="209"/>
      <c r="AD77" s="202"/>
      <c r="AE77" s="206"/>
      <c r="AF77" s="202"/>
      <c r="AG77" s="207"/>
      <c r="AH77" s="202"/>
      <c r="AI77" s="207"/>
      <c r="AJ77" s="202"/>
      <c r="AK77" s="208"/>
      <c r="AL77" s="202"/>
      <c r="AM77" s="210">
        <f t="shared" si="14"/>
        <v>0</v>
      </c>
      <c r="AN77" s="202"/>
      <c r="AO77" s="207"/>
      <c r="AP77" s="202"/>
      <c r="AQ77" s="209"/>
      <c r="AR77" s="202"/>
      <c r="AS77" s="206"/>
      <c r="AT77" s="202"/>
      <c r="AU77" s="204"/>
      <c r="AV77" s="202"/>
      <c r="AW77" s="204"/>
      <c r="AX77" s="202"/>
      <c r="AY77" s="201"/>
      <c r="AZ77" s="202"/>
      <c r="BA77" s="210">
        <f t="shared" si="15"/>
        <v>0</v>
      </c>
      <c r="BB77" s="202"/>
      <c r="BC77" s="204"/>
      <c r="BD77" s="202"/>
      <c r="BE77" s="209"/>
      <c r="BF77" s="202"/>
      <c r="BG77" s="206"/>
      <c r="BH77" s="202"/>
      <c r="BI77" s="204"/>
      <c r="BJ77" s="202"/>
      <c r="BK77" s="204"/>
      <c r="BL77" s="202"/>
      <c r="BM77" s="201"/>
      <c r="BN77" s="202"/>
      <c r="BO77" s="203">
        <f t="shared" si="16"/>
        <v>0</v>
      </c>
      <c r="BP77" s="202"/>
      <c r="BQ77" s="138"/>
      <c r="BR77" s="139"/>
      <c r="BS77" s="139"/>
      <c r="BT77" s="139"/>
      <c r="BU77" s="139"/>
      <c r="BZ77" s="143"/>
      <c r="CA77" s="143"/>
      <c r="CB77" s="143"/>
      <c r="CC77" s="143"/>
      <c r="CD77" s="143"/>
      <c r="CE77" s="139"/>
      <c r="CF77" s="139"/>
      <c r="CG77" s="139"/>
      <c r="CH77" s="139"/>
      <c r="CI77" s="139"/>
      <c r="CJ77" s="139"/>
      <c r="CK77" s="139"/>
    </row>
    <row r="78" spans="1:89" ht="14.25">
      <c r="A78" s="142"/>
      <c r="B78" s="30" t="s">
        <v>170</v>
      </c>
      <c r="C78" s="46" t="s">
        <v>3</v>
      </c>
      <c r="D78" s="137">
        <f t="shared" si="11"/>
        <v>4</v>
      </c>
      <c r="E78" s="208"/>
      <c r="F78" s="202"/>
      <c r="G78" s="207"/>
      <c r="H78" s="202"/>
      <c r="I78" s="208"/>
      <c r="J78" s="202"/>
      <c r="K78" s="208">
        <f t="shared" si="12"/>
        <v>0</v>
      </c>
      <c r="L78" s="202"/>
      <c r="M78" s="207">
        <v>17</v>
      </c>
      <c r="N78" s="202"/>
      <c r="O78" s="209">
        <v>17</v>
      </c>
      <c r="P78" s="202"/>
      <c r="Q78" s="206"/>
      <c r="R78" s="202"/>
      <c r="S78" s="207">
        <v>18</v>
      </c>
      <c r="T78" s="202"/>
      <c r="U78" s="207">
        <v>18</v>
      </c>
      <c r="V78" s="202"/>
      <c r="W78" s="208"/>
      <c r="X78" s="202"/>
      <c r="Y78" s="210">
        <f t="shared" si="13"/>
        <v>4</v>
      </c>
      <c r="Z78" s="202"/>
      <c r="AA78" s="207"/>
      <c r="AB78" s="202"/>
      <c r="AC78" s="209"/>
      <c r="AD78" s="202"/>
      <c r="AE78" s="206"/>
      <c r="AF78" s="202"/>
      <c r="AG78" s="207"/>
      <c r="AH78" s="202"/>
      <c r="AI78" s="207"/>
      <c r="AJ78" s="202"/>
      <c r="AK78" s="208"/>
      <c r="AL78" s="202"/>
      <c r="AM78" s="210">
        <f t="shared" si="14"/>
        <v>0</v>
      </c>
      <c r="AN78" s="202"/>
      <c r="AO78" s="207"/>
      <c r="AP78" s="202"/>
      <c r="AQ78" s="209"/>
      <c r="AR78" s="202"/>
      <c r="AS78" s="206"/>
      <c r="AT78" s="202"/>
      <c r="AU78" s="204"/>
      <c r="AV78" s="202"/>
      <c r="AW78" s="204"/>
      <c r="AX78" s="202"/>
      <c r="AY78" s="201"/>
      <c r="AZ78" s="202"/>
      <c r="BA78" s="210">
        <f t="shared" si="15"/>
        <v>0</v>
      </c>
      <c r="BB78" s="202"/>
      <c r="BC78" s="204"/>
      <c r="BD78" s="202"/>
      <c r="BE78" s="209"/>
      <c r="BF78" s="202"/>
      <c r="BG78" s="206"/>
      <c r="BH78" s="202"/>
      <c r="BI78" s="204"/>
      <c r="BJ78" s="202"/>
      <c r="BK78" s="204"/>
      <c r="BL78" s="202"/>
      <c r="BM78" s="201"/>
      <c r="BN78" s="202"/>
      <c r="BO78" s="203">
        <f t="shared" si="16"/>
        <v>0</v>
      </c>
      <c r="BP78" s="202"/>
      <c r="BQ78" s="138"/>
      <c r="BR78" s="128"/>
      <c r="BS78" s="128"/>
      <c r="BT78" s="128"/>
      <c r="BU78" s="128"/>
      <c r="BZ78" s="143"/>
      <c r="CA78" s="143"/>
      <c r="CB78" s="143"/>
      <c r="CC78" s="143"/>
      <c r="CD78" s="143"/>
      <c r="CE78" s="134"/>
      <c r="CF78" s="134"/>
      <c r="CG78" s="134"/>
      <c r="CH78" s="134"/>
      <c r="CI78" s="134"/>
      <c r="CJ78" s="135"/>
      <c r="CK78" s="135"/>
    </row>
    <row r="79" spans="1:89" ht="14.25">
      <c r="A79" s="136"/>
      <c r="B79" s="30" t="s">
        <v>172</v>
      </c>
      <c r="C79" s="46" t="s">
        <v>4</v>
      </c>
      <c r="D79" s="137">
        <f t="shared" si="11"/>
        <v>4</v>
      </c>
      <c r="E79" s="208"/>
      <c r="F79" s="202"/>
      <c r="G79" s="207"/>
      <c r="H79" s="202"/>
      <c r="I79" s="208"/>
      <c r="J79" s="202"/>
      <c r="K79" s="208">
        <f t="shared" si="12"/>
        <v>0</v>
      </c>
      <c r="L79" s="202"/>
      <c r="M79" s="207">
        <v>19</v>
      </c>
      <c r="N79" s="202"/>
      <c r="O79" s="209">
        <v>19</v>
      </c>
      <c r="P79" s="202"/>
      <c r="Q79" s="206">
        <v>19</v>
      </c>
      <c r="R79" s="202"/>
      <c r="S79" s="207">
        <v>20</v>
      </c>
      <c r="T79" s="202"/>
      <c r="U79" s="207"/>
      <c r="V79" s="202"/>
      <c r="W79" s="208"/>
      <c r="X79" s="202"/>
      <c r="Y79" s="210">
        <f t="shared" si="13"/>
        <v>4</v>
      </c>
      <c r="Z79" s="202"/>
      <c r="AA79" s="207"/>
      <c r="AB79" s="202"/>
      <c r="AC79" s="209"/>
      <c r="AD79" s="202"/>
      <c r="AE79" s="206"/>
      <c r="AF79" s="202"/>
      <c r="AG79" s="207"/>
      <c r="AH79" s="202"/>
      <c r="AI79" s="207"/>
      <c r="AJ79" s="202"/>
      <c r="AK79" s="208"/>
      <c r="AL79" s="202"/>
      <c r="AM79" s="210">
        <f t="shared" si="14"/>
        <v>0</v>
      </c>
      <c r="AN79" s="202"/>
      <c r="AO79" s="207"/>
      <c r="AP79" s="202"/>
      <c r="AQ79" s="209"/>
      <c r="AR79" s="202"/>
      <c r="AS79" s="206"/>
      <c r="AT79" s="202"/>
      <c r="AU79" s="204"/>
      <c r="AV79" s="202"/>
      <c r="AW79" s="204"/>
      <c r="AX79" s="202"/>
      <c r="AY79" s="201"/>
      <c r="AZ79" s="202"/>
      <c r="BA79" s="210">
        <f t="shared" si="15"/>
        <v>0</v>
      </c>
      <c r="BB79" s="202"/>
      <c r="BC79" s="204"/>
      <c r="BD79" s="202"/>
      <c r="BE79" s="209"/>
      <c r="BF79" s="202"/>
      <c r="BG79" s="206"/>
      <c r="BH79" s="202"/>
      <c r="BI79" s="204"/>
      <c r="BJ79" s="202"/>
      <c r="BK79" s="204"/>
      <c r="BL79" s="202"/>
      <c r="BM79" s="201"/>
      <c r="BN79" s="202"/>
      <c r="BO79" s="203">
        <f t="shared" si="16"/>
        <v>0</v>
      </c>
      <c r="BP79" s="202"/>
      <c r="BQ79" s="138"/>
      <c r="BR79" s="139"/>
      <c r="BS79" s="139"/>
      <c r="BT79" s="139"/>
      <c r="BU79" s="139"/>
      <c r="BZ79" s="143"/>
      <c r="CA79" s="143"/>
      <c r="CB79" s="143"/>
      <c r="CC79" s="143"/>
      <c r="CD79" s="143"/>
      <c r="CE79" s="139"/>
      <c r="CF79" s="139"/>
      <c r="CG79" s="136"/>
      <c r="CH79" s="139"/>
      <c r="CI79" s="139"/>
      <c r="CJ79" s="139"/>
      <c r="CK79" s="139"/>
    </row>
    <row r="80" spans="1:89" ht="14.25">
      <c r="A80" s="142"/>
      <c r="B80" s="30" t="s">
        <v>174</v>
      </c>
      <c r="C80" s="46" t="s">
        <v>3</v>
      </c>
      <c r="D80" s="137">
        <f t="shared" si="11"/>
        <v>0</v>
      </c>
      <c r="E80" s="208"/>
      <c r="F80" s="202"/>
      <c r="G80" s="207"/>
      <c r="H80" s="202"/>
      <c r="I80" s="208"/>
      <c r="J80" s="202"/>
      <c r="K80" s="208">
        <f t="shared" si="12"/>
        <v>0</v>
      </c>
      <c r="L80" s="202"/>
      <c r="M80" s="207"/>
      <c r="N80" s="202"/>
      <c r="O80" s="209"/>
      <c r="P80" s="202"/>
      <c r="Q80" s="206"/>
      <c r="R80" s="202"/>
      <c r="S80" s="207"/>
      <c r="T80" s="202"/>
      <c r="U80" s="207"/>
      <c r="V80" s="202"/>
      <c r="W80" s="208"/>
      <c r="X80" s="202"/>
      <c r="Y80" s="210">
        <f t="shared" si="13"/>
        <v>0</v>
      </c>
      <c r="Z80" s="202"/>
      <c r="AA80" s="207"/>
      <c r="AB80" s="202"/>
      <c r="AC80" s="209"/>
      <c r="AD80" s="202"/>
      <c r="AE80" s="206"/>
      <c r="AF80" s="202"/>
      <c r="AG80" s="207"/>
      <c r="AH80" s="202"/>
      <c r="AI80" s="207"/>
      <c r="AJ80" s="202"/>
      <c r="AK80" s="208"/>
      <c r="AL80" s="202"/>
      <c r="AM80" s="210">
        <f t="shared" si="14"/>
        <v>0</v>
      </c>
      <c r="AN80" s="202"/>
      <c r="AO80" s="207"/>
      <c r="AP80" s="202"/>
      <c r="AQ80" s="209"/>
      <c r="AR80" s="202"/>
      <c r="AS80" s="206"/>
      <c r="AT80" s="202"/>
      <c r="AU80" s="204"/>
      <c r="AV80" s="202"/>
      <c r="AW80" s="204"/>
      <c r="AX80" s="202"/>
      <c r="AY80" s="201"/>
      <c r="AZ80" s="202"/>
      <c r="BA80" s="210">
        <f t="shared" si="15"/>
        <v>0</v>
      </c>
      <c r="BB80" s="202"/>
      <c r="BC80" s="204"/>
      <c r="BD80" s="202"/>
      <c r="BE80" s="209"/>
      <c r="BF80" s="202"/>
      <c r="BG80" s="206"/>
      <c r="BH80" s="202"/>
      <c r="BI80" s="204"/>
      <c r="BJ80" s="202"/>
      <c r="BK80" s="204"/>
      <c r="BL80" s="202"/>
      <c r="BM80" s="201"/>
      <c r="BN80" s="202"/>
      <c r="BO80" s="203">
        <f t="shared" si="16"/>
        <v>0</v>
      </c>
      <c r="BP80" s="202"/>
      <c r="BQ80" s="138"/>
      <c r="BR80" s="128"/>
      <c r="BS80" s="128"/>
      <c r="BT80" s="128"/>
      <c r="BU80" s="128"/>
      <c r="BZ80" s="143"/>
      <c r="CA80" s="143"/>
      <c r="CB80" s="143"/>
      <c r="CC80" s="143"/>
      <c r="CD80" s="143"/>
      <c r="CE80" s="134"/>
      <c r="CF80" s="134"/>
      <c r="CG80" s="157"/>
      <c r="CH80" s="134"/>
      <c r="CI80" s="134"/>
      <c r="CJ80" s="135"/>
      <c r="CK80" s="135"/>
    </row>
    <row r="81" spans="1:89" ht="14.25">
      <c r="A81" s="136"/>
      <c r="B81" s="30" t="s">
        <v>176</v>
      </c>
      <c r="C81" s="46" t="s">
        <v>4</v>
      </c>
      <c r="D81" s="137">
        <f t="shared" si="11"/>
        <v>0</v>
      </c>
      <c r="E81" s="208"/>
      <c r="F81" s="202"/>
      <c r="G81" s="207"/>
      <c r="H81" s="202"/>
      <c r="I81" s="208"/>
      <c r="J81" s="202"/>
      <c r="K81" s="208">
        <f t="shared" si="12"/>
        <v>0</v>
      </c>
      <c r="L81" s="202"/>
      <c r="M81" s="207"/>
      <c r="N81" s="202"/>
      <c r="O81" s="209"/>
      <c r="P81" s="202"/>
      <c r="Q81" s="206"/>
      <c r="R81" s="202"/>
      <c r="S81" s="207"/>
      <c r="T81" s="202"/>
      <c r="U81" s="207"/>
      <c r="V81" s="202"/>
      <c r="W81" s="208"/>
      <c r="X81" s="202"/>
      <c r="Y81" s="210">
        <f t="shared" si="13"/>
        <v>0</v>
      </c>
      <c r="Z81" s="202"/>
      <c r="AA81" s="207"/>
      <c r="AB81" s="202"/>
      <c r="AC81" s="209"/>
      <c r="AD81" s="202"/>
      <c r="AE81" s="206"/>
      <c r="AF81" s="202"/>
      <c r="AG81" s="207"/>
      <c r="AH81" s="202"/>
      <c r="AI81" s="207"/>
      <c r="AJ81" s="202"/>
      <c r="AK81" s="208"/>
      <c r="AL81" s="202"/>
      <c r="AM81" s="210">
        <f t="shared" si="14"/>
        <v>0</v>
      </c>
      <c r="AN81" s="202"/>
      <c r="AO81" s="207"/>
      <c r="AP81" s="202"/>
      <c r="AQ81" s="209"/>
      <c r="AR81" s="202"/>
      <c r="AS81" s="206"/>
      <c r="AT81" s="202"/>
      <c r="AU81" s="204"/>
      <c r="AV81" s="202"/>
      <c r="AW81" s="204"/>
      <c r="AX81" s="202"/>
      <c r="AY81" s="201"/>
      <c r="AZ81" s="202"/>
      <c r="BA81" s="210">
        <f t="shared" si="15"/>
        <v>0</v>
      </c>
      <c r="BB81" s="202"/>
      <c r="BC81" s="204"/>
      <c r="BD81" s="202"/>
      <c r="BE81" s="209"/>
      <c r="BF81" s="202"/>
      <c r="BG81" s="206"/>
      <c r="BH81" s="202"/>
      <c r="BI81" s="204"/>
      <c r="BJ81" s="202"/>
      <c r="BK81" s="204"/>
      <c r="BL81" s="202"/>
      <c r="BM81" s="201"/>
      <c r="BN81" s="202"/>
      <c r="BO81" s="203">
        <f t="shared" si="16"/>
        <v>0</v>
      </c>
      <c r="BP81" s="202"/>
      <c r="BQ81" s="138"/>
      <c r="BR81" s="139"/>
      <c r="BS81" s="139"/>
      <c r="BT81" s="139"/>
      <c r="BU81" s="139"/>
      <c r="BZ81" s="143"/>
      <c r="CA81" s="143"/>
      <c r="CB81" s="143"/>
      <c r="CC81" s="143"/>
      <c r="CD81" s="143"/>
      <c r="CE81" s="139"/>
      <c r="CF81" s="139"/>
      <c r="CG81" s="139"/>
      <c r="CH81" s="139"/>
      <c r="CI81" s="139"/>
      <c r="CJ81" s="139"/>
      <c r="CK81" s="139"/>
    </row>
    <row r="82" spans="1:89" ht="14.25">
      <c r="A82" s="136"/>
      <c r="B82" s="30" t="s">
        <v>178</v>
      </c>
      <c r="C82" s="46" t="s">
        <v>4</v>
      </c>
      <c r="D82" s="137">
        <f t="shared" si="11"/>
        <v>2</v>
      </c>
      <c r="E82" s="208"/>
      <c r="F82" s="202"/>
      <c r="G82" s="207"/>
      <c r="H82" s="202"/>
      <c r="I82" s="208"/>
      <c r="J82" s="202"/>
      <c r="K82" s="208">
        <f t="shared" si="12"/>
        <v>0</v>
      </c>
      <c r="L82" s="202"/>
      <c r="M82" s="207"/>
      <c r="N82" s="202"/>
      <c r="O82" s="209">
        <v>8</v>
      </c>
      <c r="P82" s="202"/>
      <c r="Q82" s="206"/>
      <c r="R82" s="202"/>
      <c r="S82" s="207">
        <v>10</v>
      </c>
      <c r="T82" s="202"/>
      <c r="U82" s="207"/>
      <c r="V82" s="202"/>
      <c r="W82" s="208"/>
      <c r="X82" s="202"/>
      <c r="Y82" s="210">
        <f t="shared" si="13"/>
        <v>2</v>
      </c>
      <c r="Z82" s="202"/>
      <c r="AA82" s="207"/>
      <c r="AB82" s="202"/>
      <c r="AC82" s="209"/>
      <c r="AD82" s="202"/>
      <c r="AE82" s="206"/>
      <c r="AF82" s="202"/>
      <c r="AG82" s="207"/>
      <c r="AH82" s="202"/>
      <c r="AI82" s="207"/>
      <c r="AJ82" s="202"/>
      <c r="AK82" s="208"/>
      <c r="AL82" s="202"/>
      <c r="AM82" s="210">
        <f t="shared" si="14"/>
        <v>0</v>
      </c>
      <c r="AN82" s="202"/>
      <c r="AO82" s="207"/>
      <c r="AP82" s="202"/>
      <c r="AQ82" s="209"/>
      <c r="AR82" s="202"/>
      <c r="AS82" s="206"/>
      <c r="AT82" s="202"/>
      <c r="AU82" s="204"/>
      <c r="AV82" s="202"/>
      <c r="AW82" s="204"/>
      <c r="AX82" s="202"/>
      <c r="AY82" s="201"/>
      <c r="AZ82" s="202"/>
      <c r="BA82" s="210">
        <f t="shared" si="15"/>
        <v>0</v>
      </c>
      <c r="BB82" s="202"/>
      <c r="BC82" s="204"/>
      <c r="BD82" s="202"/>
      <c r="BE82" s="209"/>
      <c r="BF82" s="202"/>
      <c r="BG82" s="206"/>
      <c r="BH82" s="202"/>
      <c r="BI82" s="204"/>
      <c r="BJ82" s="202"/>
      <c r="BK82" s="204"/>
      <c r="BL82" s="202"/>
      <c r="BM82" s="201"/>
      <c r="BN82" s="202"/>
      <c r="BO82" s="203">
        <f t="shared" si="16"/>
        <v>0</v>
      </c>
      <c r="BP82" s="202"/>
      <c r="BQ82" s="138"/>
      <c r="BR82" s="139"/>
      <c r="BS82" s="139"/>
      <c r="BT82" s="139"/>
      <c r="BU82" s="139"/>
      <c r="BV82" s="139"/>
      <c r="BW82" s="139"/>
      <c r="BX82" s="140"/>
      <c r="BY82" s="139"/>
      <c r="BZ82" s="139"/>
      <c r="CA82" s="139"/>
      <c r="CB82" s="139"/>
      <c r="CC82" s="139"/>
      <c r="CD82" s="139"/>
      <c r="CE82" s="139"/>
      <c r="CF82" s="139"/>
      <c r="CG82" s="139"/>
      <c r="CH82" s="139"/>
      <c r="CI82" s="139"/>
      <c r="CJ82" s="139"/>
      <c r="CK82" s="139"/>
    </row>
    <row r="83" spans="1:89" ht="14.25">
      <c r="A83" s="136"/>
      <c r="B83" s="30" t="s">
        <v>180</v>
      </c>
      <c r="C83" s="46" t="s">
        <v>4</v>
      </c>
      <c r="D83" s="137">
        <f t="shared" si="11"/>
        <v>3</v>
      </c>
      <c r="E83" s="208"/>
      <c r="F83" s="202"/>
      <c r="G83" s="207"/>
      <c r="H83" s="202"/>
      <c r="I83" s="208">
        <v>11</v>
      </c>
      <c r="J83" s="202"/>
      <c r="K83" s="208">
        <f t="shared" si="12"/>
        <v>0</v>
      </c>
      <c r="L83" s="202"/>
      <c r="M83" s="207">
        <v>21</v>
      </c>
      <c r="N83" s="202"/>
      <c r="O83" s="209">
        <v>21</v>
      </c>
      <c r="P83" s="202"/>
      <c r="Q83" s="206"/>
      <c r="R83" s="202"/>
      <c r="S83" s="207">
        <v>21</v>
      </c>
      <c r="T83" s="202"/>
      <c r="U83" s="207"/>
      <c r="V83" s="202"/>
      <c r="W83" s="208"/>
      <c r="X83" s="202"/>
      <c r="Y83" s="210">
        <f t="shared" si="13"/>
        <v>3</v>
      </c>
      <c r="Z83" s="202"/>
      <c r="AA83" s="207"/>
      <c r="AB83" s="202"/>
      <c r="AC83" s="209"/>
      <c r="AD83" s="202"/>
      <c r="AE83" s="206"/>
      <c r="AF83" s="202"/>
      <c r="AG83" s="207"/>
      <c r="AH83" s="202"/>
      <c r="AI83" s="207"/>
      <c r="AJ83" s="202"/>
      <c r="AK83" s="208"/>
      <c r="AL83" s="202"/>
      <c r="AM83" s="210">
        <f t="shared" si="14"/>
        <v>0</v>
      </c>
      <c r="AN83" s="202"/>
      <c r="AO83" s="207"/>
      <c r="AP83" s="202"/>
      <c r="AQ83" s="209"/>
      <c r="AR83" s="202"/>
      <c r="AS83" s="206"/>
      <c r="AT83" s="202"/>
      <c r="AU83" s="204"/>
      <c r="AV83" s="202"/>
      <c r="AW83" s="204"/>
      <c r="AX83" s="202"/>
      <c r="AY83" s="201"/>
      <c r="AZ83" s="202"/>
      <c r="BA83" s="210">
        <f t="shared" si="15"/>
        <v>0</v>
      </c>
      <c r="BB83" s="202"/>
      <c r="BC83" s="204"/>
      <c r="BD83" s="202"/>
      <c r="BE83" s="209"/>
      <c r="BF83" s="202"/>
      <c r="BG83" s="206"/>
      <c r="BH83" s="202"/>
      <c r="BI83" s="204"/>
      <c r="BJ83" s="202"/>
      <c r="BK83" s="204"/>
      <c r="BL83" s="202"/>
      <c r="BM83" s="201"/>
      <c r="BN83" s="202"/>
      <c r="BO83" s="203">
        <f t="shared" si="16"/>
        <v>0</v>
      </c>
      <c r="BP83" s="202"/>
      <c r="BQ83" s="138"/>
      <c r="BR83" s="139"/>
      <c r="BS83" s="139"/>
      <c r="BT83" s="139"/>
      <c r="BU83" s="139"/>
      <c r="BV83" s="139"/>
      <c r="BW83" s="139"/>
      <c r="BX83" s="140"/>
      <c r="BY83" s="139"/>
      <c r="BZ83" s="139"/>
      <c r="CA83" s="139"/>
      <c r="CB83" s="139"/>
      <c r="CC83" s="139"/>
      <c r="CD83" s="139"/>
      <c r="CE83" s="139"/>
      <c r="CF83" s="139"/>
      <c r="CG83" s="139"/>
      <c r="CH83" s="139"/>
      <c r="CI83" s="139"/>
      <c r="CJ83" s="139"/>
      <c r="CK83" s="139"/>
    </row>
    <row r="84" spans="1:89" ht="14.25">
      <c r="A84" s="142"/>
      <c r="B84" s="30" t="s">
        <v>182</v>
      </c>
      <c r="C84" s="46" t="s">
        <v>4</v>
      </c>
      <c r="D84" s="137">
        <f t="shared" si="11"/>
        <v>0</v>
      </c>
      <c r="E84" s="208"/>
      <c r="F84" s="202"/>
      <c r="G84" s="207"/>
      <c r="H84" s="202"/>
      <c r="I84" s="208"/>
      <c r="J84" s="202"/>
      <c r="K84" s="208">
        <f t="shared" si="12"/>
        <v>0</v>
      </c>
      <c r="L84" s="202"/>
      <c r="M84" s="207"/>
      <c r="N84" s="202"/>
      <c r="O84" s="209"/>
      <c r="P84" s="202"/>
      <c r="Q84" s="206"/>
      <c r="R84" s="202"/>
      <c r="S84" s="207"/>
      <c r="T84" s="202"/>
      <c r="U84" s="207"/>
      <c r="V84" s="202"/>
      <c r="W84" s="208"/>
      <c r="X84" s="202"/>
      <c r="Y84" s="210">
        <f t="shared" si="13"/>
        <v>0</v>
      </c>
      <c r="Z84" s="202"/>
      <c r="AA84" s="207"/>
      <c r="AB84" s="202"/>
      <c r="AC84" s="209"/>
      <c r="AD84" s="202"/>
      <c r="AE84" s="206"/>
      <c r="AF84" s="202"/>
      <c r="AG84" s="207"/>
      <c r="AH84" s="202"/>
      <c r="AI84" s="207"/>
      <c r="AJ84" s="202"/>
      <c r="AK84" s="208"/>
      <c r="AL84" s="202"/>
      <c r="AM84" s="210">
        <f t="shared" si="14"/>
        <v>0</v>
      </c>
      <c r="AN84" s="202"/>
      <c r="AO84" s="207"/>
      <c r="AP84" s="202"/>
      <c r="AQ84" s="209"/>
      <c r="AR84" s="202"/>
      <c r="AS84" s="206"/>
      <c r="AT84" s="202"/>
      <c r="AU84" s="204"/>
      <c r="AV84" s="202"/>
      <c r="AW84" s="204"/>
      <c r="AX84" s="202"/>
      <c r="AY84" s="201"/>
      <c r="AZ84" s="202"/>
      <c r="BA84" s="210">
        <f t="shared" si="15"/>
        <v>0</v>
      </c>
      <c r="BB84" s="202"/>
      <c r="BC84" s="204"/>
      <c r="BD84" s="202"/>
      <c r="BE84" s="209"/>
      <c r="BF84" s="202"/>
      <c r="BG84" s="206"/>
      <c r="BH84" s="202"/>
      <c r="BI84" s="204"/>
      <c r="BJ84" s="202"/>
      <c r="BK84" s="204"/>
      <c r="BL84" s="202"/>
      <c r="BM84" s="201"/>
      <c r="BN84" s="202"/>
      <c r="BO84" s="203">
        <f t="shared" si="16"/>
        <v>0</v>
      </c>
      <c r="BP84" s="202"/>
      <c r="BQ84" s="138"/>
      <c r="BR84" s="128"/>
      <c r="BS84" s="128"/>
      <c r="BT84" s="128"/>
      <c r="BU84" s="128"/>
      <c r="BV84" s="128"/>
      <c r="BW84" s="139"/>
      <c r="BX84" s="140"/>
      <c r="BY84" s="139"/>
      <c r="BZ84" s="139"/>
      <c r="CA84" s="134"/>
      <c r="CB84" s="134"/>
      <c r="CC84" s="134"/>
      <c r="CD84" s="134"/>
      <c r="CE84" s="134"/>
      <c r="CF84" s="134"/>
      <c r="CG84" s="134"/>
      <c r="CH84" s="134"/>
      <c r="CI84" s="134"/>
      <c r="CJ84" s="135"/>
      <c r="CK84" s="135"/>
    </row>
    <row r="85" spans="1:89" ht="14.25">
      <c r="A85" s="136"/>
      <c r="B85" s="30" t="s">
        <v>184</v>
      </c>
      <c r="C85" s="46" t="s">
        <v>3</v>
      </c>
      <c r="D85" s="137">
        <f t="shared" si="11"/>
        <v>0</v>
      </c>
      <c r="E85" s="208"/>
      <c r="F85" s="202"/>
      <c r="G85" s="207"/>
      <c r="H85" s="202"/>
      <c r="I85" s="208"/>
      <c r="J85" s="202"/>
      <c r="K85" s="208">
        <f t="shared" si="12"/>
        <v>0</v>
      </c>
      <c r="L85" s="202"/>
      <c r="M85" s="207"/>
      <c r="N85" s="202"/>
      <c r="O85" s="209"/>
      <c r="P85" s="202"/>
      <c r="Q85" s="206"/>
      <c r="R85" s="202"/>
      <c r="S85" s="207"/>
      <c r="T85" s="202"/>
      <c r="U85" s="207"/>
      <c r="V85" s="202"/>
      <c r="W85" s="208"/>
      <c r="X85" s="202"/>
      <c r="Y85" s="210">
        <f t="shared" si="13"/>
        <v>0</v>
      </c>
      <c r="Z85" s="202"/>
      <c r="AA85" s="207"/>
      <c r="AB85" s="202"/>
      <c r="AC85" s="209"/>
      <c r="AD85" s="202"/>
      <c r="AE85" s="206"/>
      <c r="AF85" s="202"/>
      <c r="AG85" s="207"/>
      <c r="AH85" s="202"/>
      <c r="AI85" s="207"/>
      <c r="AJ85" s="202"/>
      <c r="AK85" s="208"/>
      <c r="AL85" s="202"/>
      <c r="AM85" s="210">
        <f t="shared" si="14"/>
        <v>0</v>
      </c>
      <c r="AN85" s="202"/>
      <c r="AO85" s="207"/>
      <c r="AP85" s="202"/>
      <c r="AQ85" s="209"/>
      <c r="AR85" s="202"/>
      <c r="AS85" s="206"/>
      <c r="AT85" s="202"/>
      <c r="AU85" s="204"/>
      <c r="AV85" s="202"/>
      <c r="AW85" s="204"/>
      <c r="AX85" s="202"/>
      <c r="AY85" s="201"/>
      <c r="AZ85" s="202"/>
      <c r="BA85" s="210">
        <f t="shared" si="15"/>
        <v>0</v>
      </c>
      <c r="BB85" s="202"/>
      <c r="BC85" s="204"/>
      <c r="BD85" s="202"/>
      <c r="BE85" s="209"/>
      <c r="BF85" s="202"/>
      <c r="BG85" s="206"/>
      <c r="BH85" s="202"/>
      <c r="BI85" s="204"/>
      <c r="BJ85" s="202"/>
      <c r="BK85" s="204"/>
      <c r="BL85" s="202"/>
      <c r="BM85" s="201"/>
      <c r="BN85" s="202"/>
      <c r="BO85" s="203">
        <f t="shared" si="16"/>
        <v>0</v>
      </c>
      <c r="BP85" s="202"/>
      <c r="BQ85" s="138"/>
      <c r="BR85" s="139"/>
      <c r="BS85" s="139"/>
      <c r="BT85" s="139"/>
      <c r="BU85" s="139"/>
      <c r="BV85" s="139"/>
      <c r="BW85" s="139"/>
      <c r="BX85" s="140"/>
      <c r="BY85" s="139"/>
      <c r="BZ85" s="139"/>
      <c r="CA85" s="139"/>
      <c r="CB85" s="139"/>
      <c r="CC85" s="139"/>
      <c r="CD85" s="139"/>
      <c r="CE85" s="139"/>
      <c r="CF85" s="139"/>
      <c r="CG85" s="139"/>
      <c r="CH85" s="139"/>
      <c r="CI85" s="139"/>
      <c r="CJ85" s="139"/>
      <c r="CK85" s="139"/>
    </row>
    <row r="86" spans="1:89" ht="14.25">
      <c r="A86" s="142"/>
      <c r="B86" s="30" t="s">
        <v>187</v>
      </c>
      <c r="C86" s="46" t="s">
        <v>4</v>
      </c>
      <c r="D86" s="137">
        <f t="shared" si="11"/>
        <v>2</v>
      </c>
      <c r="E86" s="208"/>
      <c r="F86" s="202"/>
      <c r="G86" s="207"/>
      <c r="H86" s="202"/>
      <c r="I86" s="208"/>
      <c r="J86" s="202"/>
      <c r="K86" s="208">
        <f t="shared" si="12"/>
        <v>0</v>
      </c>
      <c r="L86" s="202"/>
      <c r="M86" s="207">
        <v>20</v>
      </c>
      <c r="N86" s="202"/>
      <c r="O86" s="209"/>
      <c r="P86" s="202"/>
      <c r="Q86" s="206">
        <v>20</v>
      </c>
      <c r="R86" s="202"/>
      <c r="S86" s="207"/>
      <c r="T86" s="202"/>
      <c r="U86" s="207"/>
      <c r="V86" s="202"/>
      <c r="W86" s="208"/>
      <c r="X86" s="202"/>
      <c r="Y86" s="210">
        <f t="shared" si="13"/>
        <v>2</v>
      </c>
      <c r="Z86" s="202"/>
      <c r="AA86" s="207"/>
      <c r="AB86" s="202"/>
      <c r="AC86" s="209"/>
      <c r="AD86" s="202"/>
      <c r="AE86" s="206"/>
      <c r="AF86" s="202"/>
      <c r="AG86" s="207"/>
      <c r="AH86" s="202"/>
      <c r="AI86" s="207"/>
      <c r="AJ86" s="202"/>
      <c r="AK86" s="208"/>
      <c r="AL86" s="202"/>
      <c r="AM86" s="210">
        <f t="shared" si="14"/>
        <v>0</v>
      </c>
      <c r="AN86" s="202"/>
      <c r="AO86" s="207"/>
      <c r="AP86" s="202"/>
      <c r="AQ86" s="209"/>
      <c r="AR86" s="202"/>
      <c r="AS86" s="206"/>
      <c r="AT86" s="202"/>
      <c r="AU86" s="204"/>
      <c r="AV86" s="202"/>
      <c r="AW86" s="204"/>
      <c r="AX86" s="202"/>
      <c r="AY86" s="201"/>
      <c r="AZ86" s="202"/>
      <c r="BA86" s="210">
        <f t="shared" si="15"/>
        <v>0</v>
      </c>
      <c r="BB86" s="202"/>
      <c r="BC86" s="204"/>
      <c r="BD86" s="202"/>
      <c r="BE86" s="209"/>
      <c r="BF86" s="202"/>
      <c r="BG86" s="206"/>
      <c r="BH86" s="202"/>
      <c r="BI86" s="204"/>
      <c r="BJ86" s="202"/>
      <c r="BK86" s="204"/>
      <c r="BL86" s="202"/>
      <c r="BM86" s="201"/>
      <c r="BN86" s="202"/>
      <c r="BO86" s="203">
        <f t="shared" si="16"/>
        <v>0</v>
      </c>
      <c r="BP86" s="202"/>
      <c r="BQ86" s="138"/>
      <c r="BR86" s="128"/>
      <c r="BS86" s="128"/>
      <c r="BT86" s="128"/>
      <c r="BU86" s="128"/>
      <c r="BV86" s="128"/>
      <c r="BW86" s="139"/>
      <c r="BX86" s="140"/>
      <c r="BY86" s="139"/>
      <c r="BZ86" s="139"/>
      <c r="CA86" s="134"/>
      <c r="CB86" s="134"/>
      <c r="CC86" s="134"/>
      <c r="CD86" s="134"/>
      <c r="CE86" s="134"/>
      <c r="CF86" s="134"/>
      <c r="CG86" s="134"/>
      <c r="CH86" s="134"/>
      <c r="CI86" s="134"/>
      <c r="CJ86" s="135"/>
      <c r="CK86" s="135"/>
    </row>
    <row r="87" spans="1:89" ht="14.25">
      <c r="A87" s="142"/>
      <c r="B87" s="30" t="s">
        <v>189</v>
      </c>
      <c r="C87" s="46" t="s">
        <v>4</v>
      </c>
      <c r="D87" s="137">
        <f t="shared" si="11"/>
        <v>0</v>
      </c>
      <c r="E87" s="208"/>
      <c r="F87" s="202"/>
      <c r="G87" s="207"/>
      <c r="H87" s="202"/>
      <c r="I87" s="208"/>
      <c r="J87" s="202"/>
      <c r="K87" s="208">
        <f t="shared" si="12"/>
        <v>0</v>
      </c>
      <c r="L87" s="202"/>
      <c r="M87" s="207"/>
      <c r="N87" s="202"/>
      <c r="O87" s="209"/>
      <c r="P87" s="202"/>
      <c r="Q87" s="206"/>
      <c r="R87" s="202"/>
      <c r="S87" s="207"/>
      <c r="T87" s="202"/>
      <c r="U87" s="207"/>
      <c r="V87" s="202"/>
      <c r="W87" s="208"/>
      <c r="X87" s="202"/>
      <c r="Y87" s="210">
        <f t="shared" si="13"/>
        <v>0</v>
      </c>
      <c r="Z87" s="202"/>
      <c r="AA87" s="207"/>
      <c r="AB87" s="202"/>
      <c r="AC87" s="209"/>
      <c r="AD87" s="202"/>
      <c r="AE87" s="206"/>
      <c r="AF87" s="202"/>
      <c r="AG87" s="207"/>
      <c r="AH87" s="202"/>
      <c r="AI87" s="207"/>
      <c r="AJ87" s="202"/>
      <c r="AK87" s="208"/>
      <c r="AL87" s="202"/>
      <c r="AM87" s="210">
        <f t="shared" si="14"/>
        <v>0</v>
      </c>
      <c r="AN87" s="202"/>
      <c r="AO87" s="207"/>
      <c r="AP87" s="202"/>
      <c r="AQ87" s="209"/>
      <c r="AR87" s="202"/>
      <c r="AS87" s="206"/>
      <c r="AT87" s="202"/>
      <c r="AU87" s="204"/>
      <c r="AV87" s="202"/>
      <c r="AW87" s="204"/>
      <c r="AX87" s="202"/>
      <c r="AY87" s="201"/>
      <c r="AZ87" s="202"/>
      <c r="BA87" s="210">
        <f t="shared" si="15"/>
        <v>0</v>
      </c>
      <c r="BB87" s="202"/>
      <c r="BC87" s="204"/>
      <c r="BD87" s="202"/>
      <c r="BE87" s="209"/>
      <c r="BF87" s="202"/>
      <c r="BG87" s="206"/>
      <c r="BH87" s="202"/>
      <c r="BI87" s="204"/>
      <c r="BJ87" s="202"/>
      <c r="BK87" s="204"/>
      <c r="BL87" s="202"/>
      <c r="BM87" s="201"/>
      <c r="BN87" s="202"/>
      <c r="BO87" s="203">
        <f t="shared" si="16"/>
        <v>0</v>
      </c>
      <c r="BP87" s="202"/>
      <c r="BQ87" s="138"/>
      <c r="BR87" s="128"/>
      <c r="BS87" s="128"/>
      <c r="BT87" s="128"/>
      <c r="BU87" s="128"/>
      <c r="BV87" s="128"/>
      <c r="BW87" s="139"/>
      <c r="BX87" s="140"/>
      <c r="BY87" s="139"/>
      <c r="BZ87" s="139"/>
      <c r="CA87" s="134"/>
      <c r="CB87" s="134"/>
      <c r="CC87" s="134"/>
      <c r="CD87" s="134"/>
      <c r="CE87" s="134"/>
      <c r="CF87" s="134"/>
      <c r="CG87" s="134"/>
      <c r="CH87" s="134"/>
      <c r="CI87" s="134"/>
      <c r="CJ87" s="135"/>
      <c r="CK87" s="135"/>
    </row>
    <row r="88" spans="1:89" ht="14.25">
      <c r="A88" s="142"/>
      <c r="B88" s="30" t="s">
        <v>191</v>
      </c>
      <c r="C88" s="46" t="s">
        <v>4</v>
      </c>
      <c r="D88" s="137">
        <f t="shared" si="11"/>
        <v>0</v>
      </c>
      <c r="E88" s="208"/>
      <c r="F88" s="202"/>
      <c r="G88" s="207"/>
      <c r="H88" s="202"/>
      <c r="I88" s="208"/>
      <c r="J88" s="202"/>
      <c r="K88" s="208">
        <f t="shared" si="12"/>
        <v>0</v>
      </c>
      <c r="L88" s="202"/>
      <c r="M88" s="207"/>
      <c r="N88" s="202"/>
      <c r="O88" s="209"/>
      <c r="P88" s="202"/>
      <c r="Q88" s="206"/>
      <c r="R88" s="202"/>
      <c r="S88" s="207"/>
      <c r="T88" s="202"/>
      <c r="U88" s="207"/>
      <c r="V88" s="202"/>
      <c r="W88" s="208"/>
      <c r="X88" s="202"/>
      <c r="Y88" s="210">
        <f t="shared" si="13"/>
        <v>0</v>
      </c>
      <c r="Z88" s="202"/>
      <c r="AA88" s="207"/>
      <c r="AB88" s="202"/>
      <c r="AC88" s="209"/>
      <c r="AD88" s="202"/>
      <c r="AE88" s="206"/>
      <c r="AF88" s="202"/>
      <c r="AG88" s="207"/>
      <c r="AH88" s="202"/>
      <c r="AI88" s="207"/>
      <c r="AJ88" s="202"/>
      <c r="AK88" s="208"/>
      <c r="AL88" s="202"/>
      <c r="AM88" s="210">
        <f t="shared" si="14"/>
        <v>0</v>
      </c>
      <c r="AN88" s="202"/>
      <c r="AO88" s="207"/>
      <c r="AP88" s="202"/>
      <c r="AQ88" s="209"/>
      <c r="AR88" s="202"/>
      <c r="AS88" s="206"/>
      <c r="AT88" s="202"/>
      <c r="AU88" s="204"/>
      <c r="AV88" s="202"/>
      <c r="AW88" s="204"/>
      <c r="AX88" s="202"/>
      <c r="AY88" s="201"/>
      <c r="AZ88" s="202"/>
      <c r="BA88" s="210">
        <f t="shared" si="15"/>
        <v>0</v>
      </c>
      <c r="BB88" s="202"/>
      <c r="BC88" s="204"/>
      <c r="BD88" s="202"/>
      <c r="BE88" s="209"/>
      <c r="BF88" s="202"/>
      <c r="BG88" s="206"/>
      <c r="BH88" s="202"/>
      <c r="BI88" s="204"/>
      <c r="BJ88" s="202"/>
      <c r="BK88" s="204"/>
      <c r="BL88" s="202"/>
      <c r="BM88" s="201"/>
      <c r="BN88" s="202"/>
      <c r="BO88" s="203">
        <f t="shared" si="16"/>
        <v>0</v>
      </c>
      <c r="BP88" s="202"/>
      <c r="BQ88" s="138"/>
      <c r="BR88" s="128"/>
      <c r="BS88" s="128"/>
      <c r="BT88" s="128"/>
      <c r="BU88" s="128"/>
      <c r="BV88" s="128"/>
      <c r="BW88" s="139"/>
      <c r="BX88" s="140"/>
      <c r="BY88" s="139"/>
      <c r="BZ88" s="139"/>
      <c r="CA88" s="134"/>
      <c r="CB88" s="134"/>
      <c r="CC88" s="134"/>
      <c r="CD88" s="134"/>
      <c r="CE88" s="134"/>
      <c r="CF88" s="134"/>
      <c r="CG88" s="134"/>
      <c r="CH88" s="157"/>
      <c r="CI88" s="134"/>
      <c r="CJ88" s="135"/>
      <c r="CK88" s="135"/>
    </row>
    <row r="89" spans="1:89" ht="14.25">
      <c r="A89" s="136"/>
      <c r="B89" s="30" t="s">
        <v>193</v>
      </c>
      <c r="C89" s="46" t="s">
        <v>4</v>
      </c>
      <c r="D89" s="137">
        <f t="shared" si="11"/>
        <v>6</v>
      </c>
      <c r="E89" s="208">
        <v>13</v>
      </c>
      <c r="F89" s="202"/>
      <c r="G89" s="207">
        <v>21</v>
      </c>
      <c r="H89" s="202"/>
      <c r="I89" s="208"/>
      <c r="J89" s="202"/>
      <c r="K89" s="208">
        <f t="shared" si="12"/>
        <v>1</v>
      </c>
      <c r="L89" s="202"/>
      <c r="M89" s="207">
        <v>21</v>
      </c>
      <c r="N89" s="202"/>
      <c r="O89" s="209">
        <v>21</v>
      </c>
      <c r="P89" s="202"/>
      <c r="Q89" s="206">
        <v>21</v>
      </c>
      <c r="R89" s="202"/>
      <c r="S89" s="207">
        <v>21</v>
      </c>
      <c r="T89" s="202"/>
      <c r="U89" s="207"/>
      <c r="V89" s="202"/>
      <c r="W89" s="208"/>
      <c r="X89" s="202"/>
      <c r="Y89" s="210">
        <f t="shared" si="13"/>
        <v>4</v>
      </c>
      <c r="Z89" s="202"/>
      <c r="AA89" s="207">
        <v>20</v>
      </c>
      <c r="AB89" s="202"/>
      <c r="AC89" s="209"/>
      <c r="AD89" s="202"/>
      <c r="AE89" s="206"/>
      <c r="AF89" s="202"/>
      <c r="AG89" s="207"/>
      <c r="AH89" s="202"/>
      <c r="AI89" s="207"/>
      <c r="AJ89" s="202"/>
      <c r="AK89" s="208"/>
      <c r="AL89" s="202"/>
      <c r="AM89" s="210">
        <f t="shared" si="14"/>
        <v>1</v>
      </c>
      <c r="AN89" s="202"/>
      <c r="AO89" s="207"/>
      <c r="AP89" s="202"/>
      <c r="AQ89" s="209"/>
      <c r="AR89" s="202"/>
      <c r="AS89" s="206"/>
      <c r="AT89" s="202"/>
      <c r="AU89" s="204"/>
      <c r="AV89" s="202"/>
      <c r="AW89" s="204"/>
      <c r="AX89" s="202"/>
      <c r="AY89" s="201"/>
      <c r="AZ89" s="202"/>
      <c r="BA89" s="210">
        <f t="shared" si="15"/>
        <v>0</v>
      </c>
      <c r="BB89" s="202"/>
      <c r="BC89" s="204"/>
      <c r="BD89" s="202"/>
      <c r="BE89" s="209"/>
      <c r="BF89" s="202"/>
      <c r="BG89" s="206"/>
      <c r="BH89" s="202"/>
      <c r="BI89" s="204"/>
      <c r="BJ89" s="202"/>
      <c r="BK89" s="204"/>
      <c r="BL89" s="202"/>
      <c r="BM89" s="201"/>
      <c r="BN89" s="202"/>
      <c r="BO89" s="203">
        <f t="shared" si="16"/>
        <v>0</v>
      </c>
      <c r="BP89" s="202"/>
      <c r="BQ89" s="138"/>
      <c r="BR89" s="139"/>
      <c r="BS89" s="139"/>
      <c r="BT89" s="139"/>
      <c r="BU89" s="139"/>
      <c r="BV89" s="139"/>
      <c r="BW89" s="139"/>
      <c r="BX89" s="140"/>
      <c r="BY89" s="139"/>
      <c r="BZ89" s="139"/>
      <c r="CA89" s="139"/>
      <c r="CB89" s="139"/>
      <c r="CC89" s="139"/>
      <c r="CD89" s="139"/>
      <c r="CE89" s="139"/>
      <c r="CF89" s="139"/>
      <c r="CG89" s="139"/>
      <c r="CH89" s="139"/>
      <c r="CI89" s="139"/>
      <c r="CJ89" s="139"/>
      <c r="CK89" s="139"/>
    </row>
    <row r="90" spans="1:89" ht="14.25">
      <c r="A90" s="136"/>
      <c r="B90" s="30" t="s">
        <v>195</v>
      </c>
      <c r="C90" s="46" t="s">
        <v>3</v>
      </c>
      <c r="D90" s="137">
        <f t="shared" si="11"/>
        <v>0</v>
      </c>
      <c r="E90" s="208"/>
      <c r="F90" s="202"/>
      <c r="G90" s="207"/>
      <c r="H90" s="202"/>
      <c r="I90" s="208"/>
      <c r="J90" s="202"/>
      <c r="K90" s="208">
        <f t="shared" si="12"/>
        <v>0</v>
      </c>
      <c r="L90" s="202"/>
      <c r="M90" s="207"/>
      <c r="N90" s="202"/>
      <c r="O90" s="209"/>
      <c r="P90" s="202"/>
      <c r="Q90" s="206"/>
      <c r="R90" s="202"/>
      <c r="S90" s="207"/>
      <c r="T90" s="202"/>
      <c r="U90" s="207"/>
      <c r="V90" s="202"/>
      <c r="W90" s="208"/>
      <c r="X90" s="202"/>
      <c r="Y90" s="210">
        <f t="shared" si="13"/>
        <v>0</v>
      </c>
      <c r="Z90" s="202"/>
      <c r="AA90" s="207"/>
      <c r="AB90" s="202"/>
      <c r="AC90" s="209"/>
      <c r="AD90" s="202"/>
      <c r="AE90" s="206"/>
      <c r="AF90" s="202"/>
      <c r="AG90" s="207"/>
      <c r="AH90" s="202"/>
      <c r="AI90" s="207"/>
      <c r="AJ90" s="202"/>
      <c r="AK90" s="208"/>
      <c r="AL90" s="202"/>
      <c r="AM90" s="210">
        <f t="shared" si="14"/>
        <v>0</v>
      </c>
      <c r="AN90" s="202"/>
      <c r="AO90" s="207"/>
      <c r="AP90" s="202"/>
      <c r="AQ90" s="209"/>
      <c r="AR90" s="202"/>
      <c r="AS90" s="206"/>
      <c r="AT90" s="202"/>
      <c r="AU90" s="204"/>
      <c r="AV90" s="202"/>
      <c r="AW90" s="204"/>
      <c r="AX90" s="202"/>
      <c r="AY90" s="201"/>
      <c r="AZ90" s="202"/>
      <c r="BA90" s="210">
        <f t="shared" si="15"/>
        <v>0</v>
      </c>
      <c r="BB90" s="202"/>
      <c r="BC90" s="204"/>
      <c r="BD90" s="202"/>
      <c r="BE90" s="209"/>
      <c r="BF90" s="202"/>
      <c r="BG90" s="206"/>
      <c r="BH90" s="202"/>
      <c r="BI90" s="204"/>
      <c r="BJ90" s="202"/>
      <c r="BK90" s="204"/>
      <c r="BL90" s="202"/>
      <c r="BM90" s="201"/>
      <c r="BN90" s="202"/>
      <c r="BO90" s="203">
        <f t="shared" si="16"/>
        <v>0</v>
      </c>
      <c r="BP90" s="202"/>
      <c r="BQ90" s="138"/>
      <c r="BR90" s="139"/>
      <c r="BS90" s="139"/>
      <c r="BT90" s="139"/>
      <c r="BU90" s="139"/>
      <c r="BV90" s="139"/>
      <c r="BW90" s="139"/>
      <c r="BX90" s="140"/>
      <c r="BY90" s="139"/>
      <c r="BZ90" s="139"/>
      <c r="CA90" s="139"/>
      <c r="CB90" s="139"/>
      <c r="CC90" s="139"/>
      <c r="CD90" s="139"/>
      <c r="CE90" s="139"/>
      <c r="CF90" s="139"/>
      <c r="CG90" s="139"/>
      <c r="CH90" s="139"/>
      <c r="CI90" s="139"/>
      <c r="CJ90" s="139"/>
      <c r="CK90" s="139"/>
    </row>
    <row r="91" spans="1:89" ht="14.25">
      <c r="A91" s="136"/>
      <c r="B91" s="30" t="s">
        <v>198</v>
      </c>
      <c r="C91" s="46" t="s">
        <v>4</v>
      </c>
      <c r="D91" s="137">
        <f t="shared" si="11"/>
        <v>0</v>
      </c>
      <c r="E91" s="208"/>
      <c r="F91" s="202"/>
      <c r="G91" s="207"/>
      <c r="H91" s="202"/>
      <c r="I91" s="208"/>
      <c r="J91" s="202"/>
      <c r="K91" s="208">
        <f t="shared" si="12"/>
        <v>0</v>
      </c>
      <c r="L91" s="202"/>
      <c r="M91" s="207"/>
      <c r="N91" s="202"/>
      <c r="O91" s="209"/>
      <c r="P91" s="202"/>
      <c r="Q91" s="206"/>
      <c r="R91" s="202"/>
      <c r="S91" s="207"/>
      <c r="T91" s="202"/>
      <c r="U91" s="207"/>
      <c r="V91" s="202"/>
      <c r="W91" s="208"/>
      <c r="X91" s="202"/>
      <c r="Y91" s="210">
        <f t="shared" si="13"/>
        <v>0</v>
      </c>
      <c r="Z91" s="202"/>
      <c r="AA91" s="207"/>
      <c r="AB91" s="202"/>
      <c r="AC91" s="209"/>
      <c r="AD91" s="202"/>
      <c r="AE91" s="206"/>
      <c r="AF91" s="202"/>
      <c r="AG91" s="207"/>
      <c r="AH91" s="202"/>
      <c r="AI91" s="207"/>
      <c r="AJ91" s="202"/>
      <c r="AK91" s="208"/>
      <c r="AL91" s="202"/>
      <c r="AM91" s="210">
        <f t="shared" si="14"/>
        <v>0</v>
      </c>
      <c r="AN91" s="202"/>
      <c r="AO91" s="207"/>
      <c r="AP91" s="202"/>
      <c r="AQ91" s="209"/>
      <c r="AR91" s="202"/>
      <c r="AS91" s="206"/>
      <c r="AT91" s="202"/>
      <c r="AU91" s="204"/>
      <c r="AV91" s="202"/>
      <c r="AW91" s="204"/>
      <c r="AX91" s="202"/>
      <c r="AY91" s="201"/>
      <c r="AZ91" s="202"/>
      <c r="BA91" s="210">
        <f t="shared" si="15"/>
        <v>0</v>
      </c>
      <c r="BB91" s="202"/>
      <c r="BC91" s="204"/>
      <c r="BD91" s="202"/>
      <c r="BE91" s="209"/>
      <c r="BF91" s="202"/>
      <c r="BG91" s="206"/>
      <c r="BH91" s="202"/>
      <c r="BI91" s="204"/>
      <c r="BJ91" s="202"/>
      <c r="BK91" s="204"/>
      <c r="BL91" s="202"/>
      <c r="BM91" s="201"/>
      <c r="BN91" s="202"/>
      <c r="BO91" s="203">
        <f t="shared" si="16"/>
        <v>0</v>
      </c>
      <c r="BP91" s="202"/>
      <c r="BQ91" s="138"/>
      <c r="BR91" s="139"/>
      <c r="BS91" s="139"/>
      <c r="BT91" s="139"/>
      <c r="BU91" s="139"/>
      <c r="BV91" s="139"/>
      <c r="BW91" s="139"/>
      <c r="BX91" s="140"/>
      <c r="BY91" s="139"/>
      <c r="BZ91" s="139"/>
      <c r="CA91" s="139"/>
      <c r="CB91" s="139"/>
      <c r="CC91" s="139"/>
      <c r="CD91" s="139"/>
      <c r="CE91" s="139"/>
      <c r="CF91" s="139"/>
      <c r="CG91" s="139"/>
      <c r="CH91" s="139"/>
      <c r="CI91" s="139"/>
      <c r="CJ91" s="139"/>
      <c r="CK91" s="139"/>
    </row>
    <row r="92" spans="1:89" ht="14.25">
      <c r="A92" s="142"/>
      <c r="B92" s="30" t="s">
        <v>200</v>
      </c>
      <c r="C92" s="46" t="s">
        <v>3</v>
      </c>
      <c r="D92" s="137">
        <f t="shared" si="11"/>
        <v>0</v>
      </c>
      <c r="E92" s="208"/>
      <c r="F92" s="202"/>
      <c r="G92" s="207"/>
      <c r="H92" s="202"/>
      <c r="I92" s="208"/>
      <c r="J92" s="202"/>
      <c r="K92" s="208">
        <f t="shared" si="12"/>
        <v>0</v>
      </c>
      <c r="L92" s="202"/>
      <c r="M92" s="207"/>
      <c r="N92" s="202"/>
      <c r="O92" s="209"/>
      <c r="P92" s="202"/>
      <c r="Q92" s="206"/>
      <c r="R92" s="202"/>
      <c r="S92" s="207"/>
      <c r="T92" s="202"/>
      <c r="U92" s="207"/>
      <c r="V92" s="202"/>
      <c r="W92" s="208"/>
      <c r="X92" s="202"/>
      <c r="Y92" s="210">
        <f t="shared" si="13"/>
        <v>0</v>
      </c>
      <c r="Z92" s="202"/>
      <c r="AA92" s="207"/>
      <c r="AB92" s="202"/>
      <c r="AC92" s="209"/>
      <c r="AD92" s="202"/>
      <c r="AE92" s="206"/>
      <c r="AF92" s="202"/>
      <c r="AG92" s="207"/>
      <c r="AH92" s="202"/>
      <c r="AI92" s="207"/>
      <c r="AJ92" s="202"/>
      <c r="AK92" s="208"/>
      <c r="AL92" s="202"/>
      <c r="AM92" s="210">
        <f t="shared" si="14"/>
        <v>0</v>
      </c>
      <c r="AN92" s="202"/>
      <c r="AO92" s="207"/>
      <c r="AP92" s="202"/>
      <c r="AQ92" s="209"/>
      <c r="AR92" s="202"/>
      <c r="AS92" s="206"/>
      <c r="AT92" s="202"/>
      <c r="AU92" s="204"/>
      <c r="AV92" s="202"/>
      <c r="AW92" s="204"/>
      <c r="AX92" s="202"/>
      <c r="AY92" s="201"/>
      <c r="AZ92" s="202"/>
      <c r="BA92" s="210">
        <f t="shared" si="15"/>
        <v>0</v>
      </c>
      <c r="BB92" s="202"/>
      <c r="BC92" s="204"/>
      <c r="BD92" s="202"/>
      <c r="BE92" s="209"/>
      <c r="BF92" s="202"/>
      <c r="BG92" s="206"/>
      <c r="BH92" s="202"/>
      <c r="BI92" s="204"/>
      <c r="BJ92" s="202"/>
      <c r="BK92" s="204"/>
      <c r="BL92" s="202"/>
      <c r="BM92" s="201"/>
      <c r="BN92" s="202"/>
      <c r="BO92" s="203">
        <f t="shared" si="16"/>
        <v>0</v>
      </c>
      <c r="BP92" s="202"/>
      <c r="BQ92" s="138"/>
      <c r="BR92" s="128"/>
      <c r="BS92" s="128"/>
      <c r="BT92" s="128"/>
      <c r="BU92" s="128"/>
      <c r="BV92" s="128"/>
      <c r="BW92" s="139"/>
      <c r="BX92" s="140"/>
      <c r="BY92" s="139"/>
      <c r="BZ92" s="139"/>
      <c r="CA92" s="134"/>
      <c r="CB92" s="134"/>
      <c r="CC92" s="134"/>
      <c r="CD92" s="134"/>
      <c r="CE92" s="134"/>
      <c r="CF92" s="134"/>
      <c r="CG92" s="134"/>
      <c r="CH92" s="134"/>
      <c r="CI92" s="134"/>
      <c r="CJ92" s="135"/>
      <c r="CK92" s="135"/>
    </row>
    <row r="93" spans="1:89" ht="14.25">
      <c r="A93" s="142"/>
      <c r="B93" s="30" t="s">
        <v>202</v>
      </c>
      <c r="C93" s="46" t="s">
        <v>4</v>
      </c>
      <c r="D93" s="137">
        <f t="shared" si="11"/>
        <v>0</v>
      </c>
      <c r="E93" s="208"/>
      <c r="F93" s="202"/>
      <c r="G93" s="207"/>
      <c r="H93" s="202"/>
      <c r="I93" s="208"/>
      <c r="J93" s="202"/>
      <c r="K93" s="208">
        <f t="shared" si="12"/>
        <v>0</v>
      </c>
      <c r="L93" s="202"/>
      <c r="M93" s="207"/>
      <c r="N93" s="202"/>
      <c r="O93" s="209"/>
      <c r="P93" s="202"/>
      <c r="Q93" s="206"/>
      <c r="R93" s="202"/>
      <c r="S93" s="207"/>
      <c r="T93" s="202"/>
      <c r="U93" s="207"/>
      <c r="V93" s="202"/>
      <c r="W93" s="208"/>
      <c r="X93" s="202"/>
      <c r="Y93" s="210">
        <f t="shared" si="13"/>
        <v>0</v>
      </c>
      <c r="Z93" s="202"/>
      <c r="AA93" s="207"/>
      <c r="AB93" s="202"/>
      <c r="AC93" s="209"/>
      <c r="AD93" s="202"/>
      <c r="AE93" s="206"/>
      <c r="AF93" s="202"/>
      <c r="AG93" s="207"/>
      <c r="AH93" s="202"/>
      <c r="AI93" s="207"/>
      <c r="AJ93" s="202"/>
      <c r="AK93" s="208"/>
      <c r="AL93" s="202"/>
      <c r="AM93" s="210">
        <f t="shared" si="14"/>
        <v>0</v>
      </c>
      <c r="AN93" s="202"/>
      <c r="AO93" s="207"/>
      <c r="AP93" s="202"/>
      <c r="AQ93" s="209"/>
      <c r="AR93" s="202"/>
      <c r="AS93" s="206"/>
      <c r="AT93" s="202"/>
      <c r="AU93" s="204"/>
      <c r="AV93" s="202"/>
      <c r="AW93" s="204"/>
      <c r="AX93" s="202"/>
      <c r="AY93" s="201"/>
      <c r="AZ93" s="202"/>
      <c r="BA93" s="210">
        <f t="shared" si="15"/>
        <v>0</v>
      </c>
      <c r="BB93" s="202"/>
      <c r="BC93" s="204"/>
      <c r="BD93" s="202"/>
      <c r="BE93" s="209"/>
      <c r="BF93" s="202"/>
      <c r="BG93" s="206"/>
      <c r="BH93" s="202"/>
      <c r="BI93" s="204"/>
      <c r="BJ93" s="202"/>
      <c r="BK93" s="204"/>
      <c r="BL93" s="202"/>
      <c r="BM93" s="201"/>
      <c r="BN93" s="202"/>
      <c r="BO93" s="203">
        <f t="shared" si="16"/>
        <v>0</v>
      </c>
      <c r="BP93" s="202"/>
      <c r="BQ93" s="138"/>
      <c r="BR93" s="128"/>
      <c r="BS93" s="128"/>
      <c r="BT93" s="128"/>
      <c r="BU93" s="128"/>
      <c r="BV93" s="128"/>
      <c r="BW93" s="139"/>
      <c r="BX93" s="140"/>
      <c r="BY93" s="139"/>
      <c r="BZ93" s="139"/>
      <c r="CA93" s="134"/>
      <c r="CB93" s="134"/>
      <c r="CC93" s="134"/>
      <c r="CD93" s="134"/>
      <c r="CE93" s="134"/>
      <c r="CF93" s="134"/>
      <c r="CG93" s="157"/>
      <c r="CH93" s="134"/>
      <c r="CI93" s="134"/>
      <c r="CJ93" s="135"/>
      <c r="CK93" s="135"/>
    </row>
    <row r="94" spans="1:89" ht="14.25">
      <c r="A94" s="142"/>
      <c r="B94" s="30" t="s">
        <v>204</v>
      </c>
      <c r="C94" s="46" t="s">
        <v>4</v>
      </c>
      <c r="D94" s="137">
        <f t="shared" si="11"/>
        <v>0</v>
      </c>
      <c r="E94" s="208"/>
      <c r="F94" s="202"/>
      <c r="G94" s="207"/>
      <c r="H94" s="202"/>
      <c r="I94" s="208"/>
      <c r="J94" s="202"/>
      <c r="K94" s="208">
        <f t="shared" si="12"/>
        <v>0</v>
      </c>
      <c r="L94" s="202"/>
      <c r="M94" s="207"/>
      <c r="N94" s="202"/>
      <c r="O94" s="209"/>
      <c r="P94" s="202"/>
      <c r="Q94" s="206"/>
      <c r="R94" s="202"/>
      <c r="S94" s="207"/>
      <c r="T94" s="202"/>
      <c r="U94" s="207"/>
      <c r="V94" s="202"/>
      <c r="W94" s="208"/>
      <c r="X94" s="202"/>
      <c r="Y94" s="210">
        <f t="shared" si="13"/>
        <v>0</v>
      </c>
      <c r="Z94" s="202"/>
      <c r="AA94" s="207"/>
      <c r="AB94" s="202"/>
      <c r="AC94" s="209"/>
      <c r="AD94" s="202"/>
      <c r="AE94" s="206"/>
      <c r="AF94" s="202"/>
      <c r="AG94" s="207"/>
      <c r="AH94" s="202"/>
      <c r="AI94" s="207"/>
      <c r="AJ94" s="202"/>
      <c r="AK94" s="208"/>
      <c r="AL94" s="202"/>
      <c r="AM94" s="210">
        <f t="shared" si="14"/>
        <v>0</v>
      </c>
      <c r="AN94" s="202"/>
      <c r="AO94" s="207"/>
      <c r="AP94" s="202"/>
      <c r="AQ94" s="209"/>
      <c r="AR94" s="202"/>
      <c r="AS94" s="206"/>
      <c r="AT94" s="202"/>
      <c r="AU94" s="204"/>
      <c r="AV94" s="202"/>
      <c r="AW94" s="204"/>
      <c r="AX94" s="202"/>
      <c r="AY94" s="201"/>
      <c r="AZ94" s="202"/>
      <c r="BA94" s="210">
        <f t="shared" si="15"/>
        <v>0</v>
      </c>
      <c r="BB94" s="202"/>
      <c r="BC94" s="204"/>
      <c r="BD94" s="202"/>
      <c r="BE94" s="209"/>
      <c r="BF94" s="202"/>
      <c r="BG94" s="206"/>
      <c r="BH94" s="202"/>
      <c r="BI94" s="204"/>
      <c r="BJ94" s="202"/>
      <c r="BK94" s="204"/>
      <c r="BL94" s="202"/>
      <c r="BM94" s="201"/>
      <c r="BN94" s="202"/>
      <c r="BO94" s="203">
        <f t="shared" si="16"/>
        <v>0</v>
      </c>
      <c r="BP94" s="202"/>
      <c r="BQ94" s="138"/>
      <c r="BR94" s="128"/>
      <c r="BS94" s="128"/>
      <c r="BT94" s="128"/>
      <c r="BU94" s="128"/>
      <c r="BV94" s="128"/>
      <c r="BW94" s="139"/>
      <c r="BX94" s="140"/>
      <c r="BY94" s="139"/>
      <c r="BZ94" s="139"/>
      <c r="CA94" s="134"/>
      <c r="CB94" s="134"/>
      <c r="CC94" s="134"/>
      <c r="CD94" s="134"/>
      <c r="CE94" s="134"/>
      <c r="CF94" s="134"/>
      <c r="CG94" s="134"/>
      <c r="CH94" s="134"/>
      <c r="CI94" s="134"/>
      <c r="CJ94" s="135"/>
      <c r="CK94" s="135"/>
    </row>
    <row r="95" spans="1:89" ht="14.25">
      <c r="A95" s="142"/>
      <c r="B95" s="30" t="s">
        <v>206</v>
      </c>
      <c r="C95" s="46" t="s">
        <v>4</v>
      </c>
      <c r="D95" s="137">
        <f t="shared" si="11"/>
        <v>3</v>
      </c>
      <c r="E95" s="208"/>
      <c r="F95" s="202"/>
      <c r="G95" s="207"/>
      <c r="H95" s="202"/>
      <c r="I95" s="208"/>
      <c r="J95" s="202"/>
      <c r="K95" s="208">
        <f t="shared" si="12"/>
        <v>0</v>
      </c>
      <c r="L95" s="202"/>
      <c r="M95" s="207"/>
      <c r="N95" s="202"/>
      <c r="O95" s="209">
        <v>19</v>
      </c>
      <c r="P95" s="202"/>
      <c r="Q95" s="206"/>
      <c r="R95" s="202"/>
      <c r="S95" s="207">
        <v>19</v>
      </c>
      <c r="T95" s="202"/>
      <c r="U95" s="207"/>
      <c r="V95" s="202"/>
      <c r="W95" s="208"/>
      <c r="X95" s="202"/>
      <c r="Y95" s="210">
        <f t="shared" si="13"/>
        <v>2</v>
      </c>
      <c r="Z95" s="202"/>
      <c r="AA95" s="207">
        <v>19</v>
      </c>
      <c r="AB95" s="202"/>
      <c r="AC95" s="209"/>
      <c r="AD95" s="202"/>
      <c r="AE95" s="206"/>
      <c r="AF95" s="202"/>
      <c r="AG95" s="207"/>
      <c r="AH95" s="202"/>
      <c r="AI95" s="207"/>
      <c r="AJ95" s="202"/>
      <c r="AK95" s="208"/>
      <c r="AL95" s="202"/>
      <c r="AM95" s="210">
        <f t="shared" si="14"/>
        <v>1</v>
      </c>
      <c r="AN95" s="202"/>
      <c r="AO95" s="207"/>
      <c r="AP95" s="202"/>
      <c r="AQ95" s="209"/>
      <c r="AR95" s="202"/>
      <c r="AS95" s="206"/>
      <c r="AT95" s="202"/>
      <c r="AU95" s="204"/>
      <c r="AV95" s="202"/>
      <c r="AW95" s="204"/>
      <c r="AX95" s="202"/>
      <c r="AY95" s="201"/>
      <c r="AZ95" s="202"/>
      <c r="BA95" s="210">
        <f t="shared" si="15"/>
        <v>0</v>
      </c>
      <c r="BB95" s="202"/>
      <c r="BC95" s="204"/>
      <c r="BD95" s="202"/>
      <c r="BE95" s="209"/>
      <c r="BF95" s="202"/>
      <c r="BG95" s="206"/>
      <c r="BH95" s="202"/>
      <c r="BI95" s="204"/>
      <c r="BJ95" s="202"/>
      <c r="BK95" s="204"/>
      <c r="BL95" s="202"/>
      <c r="BM95" s="201"/>
      <c r="BN95" s="202"/>
      <c r="BO95" s="203">
        <f t="shared" si="16"/>
        <v>0</v>
      </c>
      <c r="BP95" s="202"/>
      <c r="BQ95" s="138"/>
      <c r="BR95" s="128"/>
      <c r="BS95" s="128"/>
      <c r="BT95" s="128"/>
      <c r="BU95" s="128"/>
      <c r="BV95" s="128"/>
      <c r="BW95" s="139"/>
      <c r="BX95" s="140"/>
      <c r="BY95" s="139"/>
      <c r="BZ95" s="139"/>
      <c r="CA95" s="134"/>
      <c r="CB95" s="134"/>
      <c r="CC95" s="134"/>
      <c r="CD95" s="134"/>
      <c r="CE95" s="134"/>
      <c r="CF95" s="134"/>
      <c r="CG95" s="134"/>
      <c r="CH95" s="134"/>
      <c r="CI95" s="134"/>
      <c r="CJ95" s="135"/>
      <c r="CK95" s="135"/>
    </row>
    <row r="96" spans="1:89" ht="14.25">
      <c r="A96" s="136"/>
      <c r="B96" s="30" t="s">
        <v>208</v>
      </c>
      <c r="C96" s="46" t="s">
        <v>4</v>
      </c>
      <c r="D96" s="137">
        <f t="shared" si="11"/>
        <v>5</v>
      </c>
      <c r="E96" s="208">
        <v>13</v>
      </c>
      <c r="F96" s="202"/>
      <c r="G96" s="207">
        <v>19</v>
      </c>
      <c r="H96" s="202"/>
      <c r="I96" s="208">
        <v>13</v>
      </c>
      <c r="J96" s="202"/>
      <c r="K96" s="208">
        <f t="shared" si="12"/>
        <v>1</v>
      </c>
      <c r="L96" s="202"/>
      <c r="M96" s="207">
        <v>19</v>
      </c>
      <c r="N96" s="202"/>
      <c r="O96" s="209"/>
      <c r="P96" s="202"/>
      <c r="Q96" s="206">
        <v>20</v>
      </c>
      <c r="R96" s="202"/>
      <c r="S96" s="207">
        <v>19</v>
      </c>
      <c r="T96" s="202"/>
      <c r="U96" s="207">
        <v>20</v>
      </c>
      <c r="V96" s="202"/>
      <c r="W96" s="208"/>
      <c r="X96" s="202"/>
      <c r="Y96" s="210">
        <f t="shared" si="13"/>
        <v>4</v>
      </c>
      <c r="Z96" s="202"/>
      <c r="AA96" s="207"/>
      <c r="AB96" s="202"/>
      <c r="AC96" s="209"/>
      <c r="AD96" s="202"/>
      <c r="AE96" s="206"/>
      <c r="AF96" s="202"/>
      <c r="AG96" s="207"/>
      <c r="AH96" s="202"/>
      <c r="AI96" s="207"/>
      <c r="AJ96" s="202"/>
      <c r="AK96" s="208"/>
      <c r="AL96" s="202"/>
      <c r="AM96" s="210">
        <f t="shared" si="14"/>
        <v>0</v>
      </c>
      <c r="AN96" s="202"/>
      <c r="AO96" s="207"/>
      <c r="AP96" s="202"/>
      <c r="AQ96" s="209"/>
      <c r="AR96" s="202"/>
      <c r="AS96" s="206"/>
      <c r="AT96" s="202"/>
      <c r="AU96" s="204"/>
      <c r="AV96" s="202"/>
      <c r="AW96" s="204"/>
      <c r="AX96" s="202"/>
      <c r="AY96" s="201"/>
      <c r="AZ96" s="202"/>
      <c r="BA96" s="210">
        <f t="shared" si="15"/>
        <v>0</v>
      </c>
      <c r="BB96" s="202"/>
      <c r="BC96" s="204"/>
      <c r="BD96" s="202"/>
      <c r="BE96" s="209"/>
      <c r="BF96" s="202"/>
      <c r="BG96" s="206"/>
      <c r="BH96" s="202"/>
      <c r="BI96" s="204"/>
      <c r="BJ96" s="202"/>
      <c r="BK96" s="204"/>
      <c r="BL96" s="202"/>
      <c r="BM96" s="201"/>
      <c r="BN96" s="202"/>
      <c r="BO96" s="203">
        <f t="shared" si="16"/>
        <v>0</v>
      </c>
      <c r="BP96" s="202"/>
      <c r="BQ96" s="138"/>
      <c r="BR96" s="139"/>
      <c r="BS96" s="139"/>
      <c r="BT96" s="139"/>
      <c r="BU96" s="139"/>
      <c r="BV96" s="139"/>
      <c r="BW96" s="139"/>
      <c r="BX96" s="140"/>
      <c r="BY96" s="139"/>
      <c r="BZ96" s="139"/>
      <c r="CA96" s="139"/>
      <c r="CB96" s="139"/>
      <c r="CC96" s="139"/>
      <c r="CD96" s="139"/>
      <c r="CE96" s="139"/>
      <c r="CF96" s="139"/>
      <c r="CG96" s="139"/>
      <c r="CH96" s="139"/>
      <c r="CI96" s="139"/>
      <c r="CJ96" s="139"/>
      <c r="CK96" s="139"/>
    </row>
    <row r="97" spans="1:89" ht="14.25">
      <c r="A97" s="142"/>
      <c r="B97" s="30" t="s">
        <v>210</v>
      </c>
      <c r="C97" s="46" t="s">
        <v>4</v>
      </c>
      <c r="D97" s="137">
        <f t="shared" si="11"/>
        <v>0</v>
      </c>
      <c r="E97" s="208"/>
      <c r="F97" s="202"/>
      <c r="G97" s="207"/>
      <c r="H97" s="202"/>
      <c r="I97" s="208"/>
      <c r="J97" s="202"/>
      <c r="K97" s="208">
        <f t="shared" si="12"/>
        <v>0</v>
      </c>
      <c r="L97" s="202"/>
      <c r="M97" s="207"/>
      <c r="N97" s="202"/>
      <c r="O97" s="209"/>
      <c r="P97" s="202"/>
      <c r="Q97" s="206"/>
      <c r="R97" s="202"/>
      <c r="S97" s="207"/>
      <c r="T97" s="202"/>
      <c r="U97" s="207"/>
      <c r="V97" s="202"/>
      <c r="W97" s="208"/>
      <c r="X97" s="202"/>
      <c r="Y97" s="210">
        <f t="shared" si="13"/>
        <v>0</v>
      </c>
      <c r="Z97" s="202"/>
      <c r="AA97" s="207"/>
      <c r="AB97" s="202"/>
      <c r="AC97" s="209"/>
      <c r="AD97" s="202"/>
      <c r="AE97" s="206"/>
      <c r="AF97" s="202"/>
      <c r="AG97" s="207"/>
      <c r="AH97" s="202"/>
      <c r="AI97" s="207"/>
      <c r="AJ97" s="202"/>
      <c r="AK97" s="208"/>
      <c r="AL97" s="202"/>
      <c r="AM97" s="210">
        <f t="shared" si="14"/>
        <v>0</v>
      </c>
      <c r="AN97" s="202"/>
      <c r="AO97" s="207"/>
      <c r="AP97" s="202"/>
      <c r="AQ97" s="209"/>
      <c r="AR97" s="202"/>
      <c r="AS97" s="206"/>
      <c r="AT97" s="202"/>
      <c r="AU97" s="204"/>
      <c r="AV97" s="202"/>
      <c r="AW97" s="204"/>
      <c r="AX97" s="202"/>
      <c r="AY97" s="201"/>
      <c r="AZ97" s="202"/>
      <c r="BA97" s="210">
        <f t="shared" si="15"/>
        <v>0</v>
      </c>
      <c r="BB97" s="202"/>
      <c r="BC97" s="204"/>
      <c r="BD97" s="202"/>
      <c r="BE97" s="209"/>
      <c r="BF97" s="202"/>
      <c r="BG97" s="206"/>
      <c r="BH97" s="202"/>
      <c r="BI97" s="204"/>
      <c r="BJ97" s="202"/>
      <c r="BK97" s="204"/>
      <c r="BL97" s="202"/>
      <c r="BM97" s="201"/>
      <c r="BN97" s="202"/>
      <c r="BO97" s="203">
        <f t="shared" si="16"/>
        <v>0</v>
      </c>
      <c r="BP97" s="202"/>
      <c r="BQ97" s="138"/>
      <c r="BR97" s="128"/>
      <c r="BS97" s="128"/>
      <c r="BT97" s="128"/>
      <c r="BU97" s="128"/>
      <c r="BV97" s="128"/>
      <c r="BW97" s="139"/>
      <c r="BX97" s="140"/>
      <c r="BY97" s="139"/>
      <c r="BZ97" s="139"/>
      <c r="CA97" s="134"/>
      <c r="CB97" s="134"/>
      <c r="CC97" s="134"/>
      <c r="CD97" s="134"/>
      <c r="CE97" s="134"/>
      <c r="CF97" s="134"/>
      <c r="CG97" s="134"/>
      <c r="CH97" s="134"/>
      <c r="CI97" s="134"/>
      <c r="CJ97" s="135"/>
      <c r="CK97" s="135"/>
    </row>
    <row r="98" spans="1:89" ht="14.25">
      <c r="A98" s="142"/>
      <c r="B98" s="30" t="s">
        <v>212</v>
      </c>
      <c r="C98" s="46" t="s">
        <v>4</v>
      </c>
      <c r="D98" s="137">
        <f t="shared" si="11"/>
        <v>0</v>
      </c>
      <c r="E98" s="208">
        <v>11</v>
      </c>
      <c r="F98" s="202"/>
      <c r="G98" s="207"/>
      <c r="H98" s="202"/>
      <c r="I98" s="208">
        <v>11</v>
      </c>
      <c r="J98" s="202"/>
      <c r="K98" s="208">
        <f t="shared" si="12"/>
        <v>0</v>
      </c>
      <c r="L98" s="202"/>
      <c r="M98" s="207"/>
      <c r="N98" s="202"/>
      <c r="O98" s="209"/>
      <c r="P98" s="202"/>
      <c r="Q98" s="206"/>
      <c r="R98" s="202"/>
      <c r="S98" s="207"/>
      <c r="T98" s="202"/>
      <c r="U98" s="207"/>
      <c r="V98" s="202"/>
      <c r="W98" s="208"/>
      <c r="X98" s="202"/>
      <c r="Y98" s="210">
        <f t="shared" si="13"/>
        <v>0</v>
      </c>
      <c r="Z98" s="202"/>
      <c r="AA98" s="207"/>
      <c r="AB98" s="202"/>
      <c r="AC98" s="209"/>
      <c r="AD98" s="202"/>
      <c r="AE98" s="206"/>
      <c r="AF98" s="202"/>
      <c r="AG98" s="207"/>
      <c r="AH98" s="202"/>
      <c r="AI98" s="207"/>
      <c r="AJ98" s="202"/>
      <c r="AK98" s="208"/>
      <c r="AL98" s="202"/>
      <c r="AM98" s="210">
        <f t="shared" si="14"/>
        <v>0</v>
      </c>
      <c r="AN98" s="202"/>
      <c r="AO98" s="207"/>
      <c r="AP98" s="202"/>
      <c r="AQ98" s="209"/>
      <c r="AR98" s="202"/>
      <c r="AS98" s="206"/>
      <c r="AT98" s="202"/>
      <c r="AU98" s="204"/>
      <c r="AV98" s="202"/>
      <c r="AW98" s="204"/>
      <c r="AX98" s="202"/>
      <c r="AY98" s="201"/>
      <c r="AZ98" s="202"/>
      <c r="BA98" s="210">
        <f t="shared" si="15"/>
        <v>0</v>
      </c>
      <c r="BB98" s="202"/>
      <c r="BC98" s="204"/>
      <c r="BD98" s="202"/>
      <c r="BE98" s="209"/>
      <c r="BF98" s="202"/>
      <c r="BG98" s="206"/>
      <c r="BH98" s="202"/>
      <c r="BI98" s="204"/>
      <c r="BJ98" s="202"/>
      <c r="BK98" s="204"/>
      <c r="BL98" s="202"/>
      <c r="BM98" s="201"/>
      <c r="BN98" s="202"/>
      <c r="BO98" s="203">
        <f t="shared" si="16"/>
        <v>0</v>
      </c>
      <c r="BP98" s="202"/>
      <c r="BQ98" s="138"/>
      <c r="BR98" s="128"/>
      <c r="BS98" s="128"/>
      <c r="BT98" s="128"/>
      <c r="BU98" s="128"/>
      <c r="BV98" s="128"/>
      <c r="BW98" s="139"/>
      <c r="BX98" s="140"/>
      <c r="BY98" s="139"/>
      <c r="BZ98" s="139"/>
      <c r="CA98" s="134"/>
      <c r="CB98" s="134"/>
      <c r="CC98" s="134"/>
      <c r="CD98" s="134"/>
      <c r="CE98" s="134"/>
      <c r="CF98" s="134"/>
      <c r="CG98" s="134"/>
      <c r="CH98" s="134"/>
      <c r="CI98" s="134"/>
      <c r="CJ98" s="135"/>
      <c r="CK98" s="135"/>
    </row>
    <row r="99" spans="1:89" ht="14.25">
      <c r="A99" s="136"/>
      <c r="B99" s="30" t="s">
        <v>214</v>
      </c>
      <c r="C99" s="46" t="s">
        <v>3</v>
      </c>
      <c r="D99" s="137">
        <f t="shared" si="11"/>
        <v>2</v>
      </c>
      <c r="E99" s="208"/>
      <c r="F99" s="202"/>
      <c r="G99" s="207"/>
      <c r="H99" s="202"/>
      <c r="I99" s="208"/>
      <c r="J99" s="202"/>
      <c r="K99" s="208">
        <f t="shared" si="12"/>
        <v>0</v>
      </c>
      <c r="L99" s="202"/>
      <c r="M99" s="207">
        <v>21</v>
      </c>
      <c r="N99" s="202"/>
      <c r="O99" s="209"/>
      <c r="P99" s="202"/>
      <c r="Q99" s="206">
        <v>21</v>
      </c>
      <c r="R99" s="202"/>
      <c r="S99" s="207"/>
      <c r="T99" s="202"/>
      <c r="U99" s="207"/>
      <c r="V99" s="202"/>
      <c r="W99" s="208"/>
      <c r="X99" s="202"/>
      <c r="Y99" s="210">
        <f t="shared" si="13"/>
        <v>2</v>
      </c>
      <c r="Z99" s="202"/>
      <c r="AA99" s="207"/>
      <c r="AB99" s="202"/>
      <c r="AC99" s="209"/>
      <c r="AD99" s="202"/>
      <c r="AE99" s="206"/>
      <c r="AF99" s="202"/>
      <c r="AG99" s="207"/>
      <c r="AH99" s="202"/>
      <c r="AI99" s="207"/>
      <c r="AJ99" s="202"/>
      <c r="AK99" s="208"/>
      <c r="AL99" s="202"/>
      <c r="AM99" s="210">
        <f t="shared" si="14"/>
        <v>0</v>
      </c>
      <c r="AN99" s="202"/>
      <c r="AO99" s="207"/>
      <c r="AP99" s="202"/>
      <c r="AQ99" s="209"/>
      <c r="AR99" s="202"/>
      <c r="AS99" s="206"/>
      <c r="AT99" s="202"/>
      <c r="AU99" s="204"/>
      <c r="AV99" s="202"/>
      <c r="AW99" s="204"/>
      <c r="AX99" s="202"/>
      <c r="AY99" s="201"/>
      <c r="AZ99" s="202"/>
      <c r="BA99" s="210">
        <f t="shared" si="15"/>
        <v>0</v>
      </c>
      <c r="BB99" s="202"/>
      <c r="BC99" s="204"/>
      <c r="BD99" s="202"/>
      <c r="BE99" s="209"/>
      <c r="BF99" s="202"/>
      <c r="BG99" s="206"/>
      <c r="BH99" s="202"/>
      <c r="BI99" s="204"/>
      <c r="BJ99" s="202"/>
      <c r="BK99" s="204"/>
      <c r="BL99" s="202"/>
      <c r="BM99" s="201"/>
      <c r="BN99" s="202"/>
      <c r="BO99" s="203">
        <f t="shared" si="16"/>
        <v>0</v>
      </c>
      <c r="BP99" s="202"/>
      <c r="BQ99" s="138"/>
      <c r="BR99" s="139"/>
      <c r="BS99" s="139"/>
      <c r="BT99" s="139"/>
      <c r="BU99" s="139"/>
      <c r="BV99" s="139"/>
      <c r="BW99" s="139"/>
      <c r="BX99" s="140"/>
      <c r="BY99" s="139"/>
      <c r="BZ99" s="139"/>
      <c r="CA99" s="139"/>
      <c r="CB99" s="139"/>
      <c r="CC99" s="139"/>
      <c r="CD99" s="139"/>
      <c r="CE99" s="139"/>
      <c r="CF99" s="139"/>
      <c r="CG99" s="139"/>
      <c r="CH99" s="139"/>
      <c r="CI99" s="139"/>
      <c r="CJ99" s="139"/>
      <c r="CK99" s="139"/>
    </row>
    <row r="100" spans="1:89" ht="14.25">
      <c r="A100" s="142"/>
      <c r="B100" s="30" t="s">
        <v>216</v>
      </c>
      <c r="C100" s="46" t="s">
        <v>4</v>
      </c>
      <c r="D100" s="137">
        <f t="shared" si="11"/>
        <v>0</v>
      </c>
      <c r="E100" s="208"/>
      <c r="F100" s="202"/>
      <c r="G100" s="207"/>
      <c r="H100" s="202"/>
      <c r="I100" s="208"/>
      <c r="J100" s="202"/>
      <c r="K100" s="208">
        <f t="shared" si="12"/>
        <v>0</v>
      </c>
      <c r="L100" s="202"/>
      <c r="M100" s="207"/>
      <c r="N100" s="202"/>
      <c r="O100" s="209"/>
      <c r="P100" s="202"/>
      <c r="Q100" s="206"/>
      <c r="R100" s="202"/>
      <c r="S100" s="207"/>
      <c r="T100" s="202"/>
      <c r="U100" s="207"/>
      <c r="V100" s="202"/>
      <c r="W100" s="208"/>
      <c r="X100" s="202"/>
      <c r="Y100" s="210">
        <f t="shared" si="13"/>
        <v>0</v>
      </c>
      <c r="Z100" s="202"/>
      <c r="AA100" s="207"/>
      <c r="AB100" s="202"/>
      <c r="AC100" s="209"/>
      <c r="AD100" s="202"/>
      <c r="AE100" s="206"/>
      <c r="AF100" s="202"/>
      <c r="AG100" s="207"/>
      <c r="AH100" s="202"/>
      <c r="AI100" s="207"/>
      <c r="AJ100" s="202"/>
      <c r="AK100" s="208"/>
      <c r="AL100" s="202"/>
      <c r="AM100" s="210">
        <f t="shared" si="14"/>
        <v>0</v>
      </c>
      <c r="AN100" s="202"/>
      <c r="AO100" s="207"/>
      <c r="AP100" s="202"/>
      <c r="AQ100" s="209"/>
      <c r="AR100" s="202"/>
      <c r="AS100" s="206"/>
      <c r="AT100" s="202"/>
      <c r="AU100" s="204"/>
      <c r="AV100" s="202"/>
      <c r="AW100" s="204"/>
      <c r="AX100" s="202"/>
      <c r="AY100" s="201"/>
      <c r="AZ100" s="202"/>
      <c r="BA100" s="210">
        <f t="shared" si="15"/>
        <v>0</v>
      </c>
      <c r="BB100" s="202"/>
      <c r="BC100" s="204"/>
      <c r="BD100" s="202"/>
      <c r="BE100" s="209"/>
      <c r="BF100" s="202"/>
      <c r="BG100" s="206"/>
      <c r="BH100" s="202"/>
      <c r="BI100" s="204"/>
      <c r="BJ100" s="202"/>
      <c r="BK100" s="204"/>
      <c r="BL100" s="202"/>
      <c r="BM100" s="201"/>
      <c r="BN100" s="202"/>
      <c r="BO100" s="203">
        <f t="shared" si="16"/>
        <v>0</v>
      </c>
      <c r="BP100" s="202"/>
      <c r="BQ100" s="138"/>
      <c r="BR100" s="128"/>
      <c r="BS100" s="128"/>
      <c r="BT100" s="128"/>
      <c r="BU100" s="128"/>
      <c r="BV100" s="128"/>
      <c r="BW100" s="139"/>
      <c r="BX100" s="140"/>
      <c r="BY100" s="139"/>
      <c r="BZ100" s="139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5"/>
      <c r="CK100" s="135"/>
    </row>
    <row r="101" spans="1:89" ht="14.25">
      <c r="A101" s="136"/>
      <c r="B101" s="30" t="s">
        <v>218</v>
      </c>
      <c r="C101" s="46" t="s">
        <v>4</v>
      </c>
      <c r="D101" s="137">
        <f t="shared" si="11"/>
        <v>0</v>
      </c>
      <c r="E101" s="208"/>
      <c r="F101" s="202"/>
      <c r="G101" s="207"/>
      <c r="H101" s="202"/>
      <c r="I101" s="208"/>
      <c r="J101" s="202"/>
      <c r="K101" s="208">
        <f t="shared" si="12"/>
        <v>0</v>
      </c>
      <c r="L101" s="202"/>
      <c r="M101" s="207"/>
      <c r="N101" s="202"/>
      <c r="O101" s="209"/>
      <c r="P101" s="202"/>
      <c r="Q101" s="206"/>
      <c r="R101" s="202"/>
      <c r="S101" s="207"/>
      <c r="T101" s="202"/>
      <c r="U101" s="207"/>
      <c r="V101" s="202"/>
      <c r="W101" s="208"/>
      <c r="X101" s="202"/>
      <c r="Y101" s="210">
        <f t="shared" si="13"/>
        <v>0</v>
      </c>
      <c r="Z101" s="202"/>
      <c r="AA101" s="207"/>
      <c r="AB101" s="202"/>
      <c r="AC101" s="209"/>
      <c r="AD101" s="202"/>
      <c r="AE101" s="206"/>
      <c r="AF101" s="202"/>
      <c r="AG101" s="207"/>
      <c r="AH101" s="202"/>
      <c r="AI101" s="207"/>
      <c r="AJ101" s="202"/>
      <c r="AK101" s="208"/>
      <c r="AL101" s="202"/>
      <c r="AM101" s="210">
        <f t="shared" si="14"/>
        <v>0</v>
      </c>
      <c r="AN101" s="202"/>
      <c r="AO101" s="207"/>
      <c r="AP101" s="202"/>
      <c r="AQ101" s="209"/>
      <c r="AR101" s="202"/>
      <c r="AS101" s="206"/>
      <c r="AT101" s="202"/>
      <c r="AU101" s="204"/>
      <c r="AV101" s="202"/>
      <c r="AW101" s="204"/>
      <c r="AX101" s="202"/>
      <c r="AY101" s="201"/>
      <c r="AZ101" s="202"/>
      <c r="BA101" s="210">
        <f t="shared" si="15"/>
        <v>0</v>
      </c>
      <c r="BB101" s="202"/>
      <c r="BC101" s="204"/>
      <c r="BD101" s="202"/>
      <c r="BE101" s="209"/>
      <c r="BF101" s="202"/>
      <c r="BG101" s="206"/>
      <c r="BH101" s="202"/>
      <c r="BI101" s="204"/>
      <c r="BJ101" s="202"/>
      <c r="BK101" s="204"/>
      <c r="BL101" s="202"/>
      <c r="BM101" s="201"/>
      <c r="BN101" s="202"/>
      <c r="BO101" s="203">
        <f t="shared" si="16"/>
        <v>0</v>
      </c>
      <c r="BP101" s="202"/>
      <c r="BQ101" s="138"/>
      <c r="BR101" s="139"/>
      <c r="BS101" s="139"/>
      <c r="BT101" s="139"/>
      <c r="BU101" s="139"/>
      <c r="BV101" s="139"/>
      <c r="BW101" s="139"/>
      <c r="BX101" s="140"/>
      <c r="BY101" s="139"/>
      <c r="BZ101" s="139"/>
      <c r="CA101" s="139"/>
      <c r="CB101" s="139"/>
      <c r="CC101" s="139"/>
      <c r="CD101" s="139"/>
      <c r="CE101" s="139"/>
      <c r="CF101" s="139"/>
      <c r="CG101" s="136"/>
      <c r="CH101" s="139"/>
      <c r="CI101" s="139"/>
      <c r="CJ101" s="139"/>
      <c r="CK101" s="139"/>
    </row>
    <row r="102" spans="1:89" ht="14.25">
      <c r="A102" s="136"/>
      <c r="B102" s="30" t="s">
        <v>220</v>
      </c>
      <c r="C102" s="46" t="s">
        <v>4</v>
      </c>
      <c r="D102" s="137">
        <f t="shared" si="11"/>
        <v>0</v>
      </c>
      <c r="E102" s="208"/>
      <c r="F102" s="202"/>
      <c r="G102" s="207"/>
      <c r="H102" s="202"/>
      <c r="I102" s="208"/>
      <c r="J102" s="202"/>
      <c r="K102" s="208">
        <f t="shared" si="12"/>
        <v>0</v>
      </c>
      <c r="L102" s="202"/>
      <c r="M102" s="207"/>
      <c r="N102" s="202"/>
      <c r="O102" s="209"/>
      <c r="P102" s="202"/>
      <c r="Q102" s="206"/>
      <c r="R102" s="202"/>
      <c r="S102" s="207"/>
      <c r="T102" s="202"/>
      <c r="U102" s="207"/>
      <c r="V102" s="202"/>
      <c r="W102" s="208"/>
      <c r="X102" s="202"/>
      <c r="Y102" s="210">
        <f t="shared" si="13"/>
        <v>0</v>
      </c>
      <c r="Z102" s="202"/>
      <c r="AA102" s="207"/>
      <c r="AB102" s="202"/>
      <c r="AC102" s="209"/>
      <c r="AD102" s="202"/>
      <c r="AE102" s="206"/>
      <c r="AF102" s="202"/>
      <c r="AG102" s="207"/>
      <c r="AH102" s="202"/>
      <c r="AI102" s="207"/>
      <c r="AJ102" s="202"/>
      <c r="AK102" s="208"/>
      <c r="AL102" s="202"/>
      <c r="AM102" s="210">
        <f t="shared" si="14"/>
        <v>0</v>
      </c>
      <c r="AN102" s="202"/>
      <c r="AO102" s="207"/>
      <c r="AP102" s="202"/>
      <c r="AQ102" s="209"/>
      <c r="AR102" s="202"/>
      <c r="AS102" s="206"/>
      <c r="AT102" s="202"/>
      <c r="AU102" s="204"/>
      <c r="AV102" s="202"/>
      <c r="AW102" s="204"/>
      <c r="AX102" s="202"/>
      <c r="AY102" s="201"/>
      <c r="AZ102" s="202"/>
      <c r="BA102" s="210">
        <f t="shared" si="15"/>
        <v>0</v>
      </c>
      <c r="BB102" s="202"/>
      <c r="BC102" s="204"/>
      <c r="BD102" s="202"/>
      <c r="BE102" s="209"/>
      <c r="BF102" s="202"/>
      <c r="BG102" s="206"/>
      <c r="BH102" s="202"/>
      <c r="BI102" s="204"/>
      <c r="BJ102" s="202"/>
      <c r="BK102" s="204"/>
      <c r="BL102" s="202"/>
      <c r="BM102" s="201"/>
      <c r="BN102" s="202"/>
      <c r="BO102" s="203">
        <f t="shared" si="16"/>
        <v>0</v>
      </c>
      <c r="BP102" s="202"/>
      <c r="BQ102" s="138"/>
      <c r="BR102" s="139"/>
      <c r="BS102" s="139"/>
      <c r="BT102" s="139"/>
      <c r="BU102" s="139"/>
      <c r="BV102" s="139"/>
      <c r="BW102" s="139"/>
      <c r="BX102" s="140"/>
      <c r="BY102" s="139"/>
      <c r="BZ102" s="139"/>
      <c r="CA102" s="139"/>
      <c r="CB102" s="139"/>
      <c r="CC102" s="139"/>
      <c r="CD102" s="139"/>
      <c r="CE102" s="139"/>
      <c r="CF102" s="139"/>
      <c r="CG102" s="139"/>
      <c r="CH102" s="139"/>
      <c r="CI102" s="139"/>
      <c r="CJ102" s="139"/>
      <c r="CK102" s="139"/>
    </row>
    <row r="103" spans="1:89" ht="14.25">
      <c r="A103" s="136"/>
      <c r="B103" s="30" t="s">
        <v>222</v>
      </c>
      <c r="C103" s="46" t="s">
        <v>4</v>
      </c>
      <c r="D103" s="137">
        <f t="shared" si="11"/>
        <v>1</v>
      </c>
      <c r="E103" s="208"/>
      <c r="F103" s="202"/>
      <c r="G103" s="207"/>
      <c r="H103" s="202"/>
      <c r="I103" s="208"/>
      <c r="J103" s="202"/>
      <c r="K103" s="208">
        <f t="shared" si="12"/>
        <v>0</v>
      </c>
      <c r="L103" s="202"/>
      <c r="M103" s="207"/>
      <c r="N103" s="202"/>
      <c r="O103" s="209"/>
      <c r="P103" s="202"/>
      <c r="Q103" s="206"/>
      <c r="R103" s="202"/>
      <c r="S103" s="207"/>
      <c r="T103" s="202"/>
      <c r="U103" s="207"/>
      <c r="V103" s="202"/>
      <c r="W103" s="208"/>
      <c r="X103" s="202"/>
      <c r="Y103" s="210">
        <f t="shared" si="13"/>
        <v>0</v>
      </c>
      <c r="Z103" s="202"/>
      <c r="AA103" s="207">
        <v>21</v>
      </c>
      <c r="AB103" s="202"/>
      <c r="AC103" s="209"/>
      <c r="AD103" s="202"/>
      <c r="AE103" s="206"/>
      <c r="AF103" s="202"/>
      <c r="AG103" s="207"/>
      <c r="AH103" s="202"/>
      <c r="AI103" s="207"/>
      <c r="AJ103" s="202"/>
      <c r="AK103" s="208"/>
      <c r="AL103" s="202"/>
      <c r="AM103" s="210">
        <f t="shared" si="14"/>
        <v>1</v>
      </c>
      <c r="AN103" s="202"/>
      <c r="AO103" s="207"/>
      <c r="AP103" s="202"/>
      <c r="AQ103" s="209"/>
      <c r="AR103" s="202"/>
      <c r="AS103" s="206"/>
      <c r="AT103" s="202"/>
      <c r="AU103" s="204"/>
      <c r="AV103" s="202"/>
      <c r="AW103" s="204"/>
      <c r="AX103" s="202"/>
      <c r="AY103" s="201"/>
      <c r="AZ103" s="202"/>
      <c r="BA103" s="210">
        <f t="shared" si="15"/>
        <v>0</v>
      </c>
      <c r="BB103" s="202"/>
      <c r="BC103" s="204"/>
      <c r="BD103" s="202"/>
      <c r="BE103" s="209"/>
      <c r="BF103" s="202"/>
      <c r="BG103" s="206"/>
      <c r="BH103" s="202"/>
      <c r="BI103" s="204"/>
      <c r="BJ103" s="202"/>
      <c r="BK103" s="204"/>
      <c r="BL103" s="202"/>
      <c r="BM103" s="201"/>
      <c r="BN103" s="202"/>
      <c r="BO103" s="203">
        <f t="shared" si="16"/>
        <v>0</v>
      </c>
      <c r="BP103" s="202"/>
      <c r="BQ103" s="138"/>
      <c r="BR103" s="139"/>
      <c r="BS103" s="139"/>
      <c r="BT103" s="139"/>
      <c r="BU103" s="139"/>
      <c r="BV103" s="139"/>
      <c r="BW103" s="139"/>
      <c r="BX103" s="140"/>
      <c r="BY103" s="139"/>
      <c r="BZ103" s="139"/>
      <c r="CA103" s="139"/>
      <c r="CB103" s="139"/>
      <c r="CC103" s="139"/>
      <c r="CD103" s="139"/>
      <c r="CE103" s="139"/>
      <c r="CF103" s="139"/>
      <c r="CG103" s="139"/>
      <c r="CH103" s="139"/>
      <c r="CI103" s="139"/>
      <c r="CJ103" s="139"/>
      <c r="CK103" s="139"/>
    </row>
    <row r="104" spans="1:89" ht="14.25">
      <c r="A104" s="136"/>
      <c r="B104" s="30" t="s">
        <v>224</v>
      </c>
      <c r="C104" s="46" t="s">
        <v>4</v>
      </c>
      <c r="D104" s="137">
        <f t="shared" si="11"/>
        <v>4</v>
      </c>
      <c r="E104" s="208"/>
      <c r="F104" s="202"/>
      <c r="G104" s="207">
        <v>20</v>
      </c>
      <c r="H104" s="202"/>
      <c r="I104" s="208"/>
      <c r="J104" s="202"/>
      <c r="K104" s="208">
        <f t="shared" si="12"/>
        <v>1</v>
      </c>
      <c r="L104" s="202"/>
      <c r="M104" s="207"/>
      <c r="N104" s="202"/>
      <c r="O104" s="209">
        <v>20</v>
      </c>
      <c r="P104" s="202"/>
      <c r="Q104" s="206"/>
      <c r="R104" s="202"/>
      <c r="S104" s="207">
        <v>20</v>
      </c>
      <c r="T104" s="202"/>
      <c r="U104" s="207"/>
      <c r="V104" s="202"/>
      <c r="W104" s="208"/>
      <c r="X104" s="202"/>
      <c r="Y104" s="210">
        <f t="shared" si="13"/>
        <v>2</v>
      </c>
      <c r="Z104" s="202"/>
      <c r="AA104" s="207">
        <v>20</v>
      </c>
      <c r="AB104" s="202"/>
      <c r="AC104" s="209"/>
      <c r="AD104" s="202"/>
      <c r="AE104" s="206"/>
      <c r="AF104" s="202"/>
      <c r="AG104" s="207"/>
      <c r="AH104" s="202"/>
      <c r="AI104" s="207"/>
      <c r="AJ104" s="202"/>
      <c r="AK104" s="208"/>
      <c r="AL104" s="202"/>
      <c r="AM104" s="210">
        <f t="shared" si="14"/>
        <v>1</v>
      </c>
      <c r="AN104" s="202"/>
      <c r="AO104" s="207"/>
      <c r="AP104" s="202"/>
      <c r="AQ104" s="209"/>
      <c r="AR104" s="202"/>
      <c r="AS104" s="206"/>
      <c r="AT104" s="202"/>
      <c r="AU104" s="204"/>
      <c r="AV104" s="202"/>
      <c r="AW104" s="204"/>
      <c r="AX104" s="202"/>
      <c r="AY104" s="201"/>
      <c r="AZ104" s="202"/>
      <c r="BA104" s="210">
        <f t="shared" si="15"/>
        <v>0</v>
      </c>
      <c r="BB104" s="202"/>
      <c r="BC104" s="204"/>
      <c r="BD104" s="202"/>
      <c r="BE104" s="209"/>
      <c r="BF104" s="202"/>
      <c r="BG104" s="206"/>
      <c r="BH104" s="202"/>
      <c r="BI104" s="204"/>
      <c r="BJ104" s="202"/>
      <c r="BK104" s="204"/>
      <c r="BL104" s="202"/>
      <c r="BM104" s="201"/>
      <c r="BN104" s="202"/>
      <c r="BO104" s="203">
        <f t="shared" si="16"/>
        <v>0</v>
      </c>
      <c r="BP104" s="202"/>
      <c r="BQ104" s="138"/>
      <c r="BR104" s="139"/>
      <c r="BS104" s="139"/>
      <c r="BT104" s="139"/>
      <c r="BU104" s="139"/>
      <c r="BV104" s="139"/>
      <c r="BW104" s="139"/>
      <c r="BX104" s="140"/>
      <c r="BY104" s="139"/>
      <c r="BZ104" s="139"/>
      <c r="CA104" s="139"/>
      <c r="CB104" s="139"/>
      <c r="CC104" s="139"/>
      <c r="CD104" s="139"/>
      <c r="CE104" s="139"/>
      <c r="CF104" s="139"/>
      <c r="CG104" s="139"/>
      <c r="CH104" s="139"/>
      <c r="CI104" s="139"/>
      <c r="CJ104" s="139"/>
      <c r="CK104" s="139"/>
    </row>
    <row r="105" spans="1:89" ht="14.25">
      <c r="A105" s="142"/>
      <c r="B105" s="30" t="s">
        <v>226</v>
      </c>
      <c r="C105" s="46" t="s">
        <v>4</v>
      </c>
      <c r="D105" s="137">
        <f t="shared" si="11"/>
        <v>1</v>
      </c>
      <c r="E105" s="208"/>
      <c r="F105" s="202"/>
      <c r="G105" s="207">
        <v>18</v>
      </c>
      <c r="H105" s="202"/>
      <c r="I105" s="208"/>
      <c r="J105" s="202"/>
      <c r="K105" s="208">
        <f t="shared" si="12"/>
        <v>1</v>
      </c>
      <c r="L105" s="202"/>
      <c r="M105" s="207"/>
      <c r="N105" s="202"/>
      <c r="O105" s="209"/>
      <c r="P105" s="202"/>
      <c r="Q105" s="206"/>
      <c r="R105" s="202"/>
      <c r="S105" s="207"/>
      <c r="T105" s="202"/>
      <c r="U105" s="207"/>
      <c r="V105" s="202"/>
      <c r="W105" s="208"/>
      <c r="X105" s="202"/>
      <c r="Y105" s="210">
        <f t="shared" si="13"/>
        <v>0</v>
      </c>
      <c r="Z105" s="202"/>
      <c r="AA105" s="207"/>
      <c r="AB105" s="202"/>
      <c r="AC105" s="209"/>
      <c r="AD105" s="202"/>
      <c r="AE105" s="206"/>
      <c r="AF105" s="202"/>
      <c r="AG105" s="207"/>
      <c r="AH105" s="202"/>
      <c r="AI105" s="207"/>
      <c r="AJ105" s="202"/>
      <c r="AK105" s="208"/>
      <c r="AL105" s="202"/>
      <c r="AM105" s="210">
        <f t="shared" si="14"/>
        <v>0</v>
      </c>
      <c r="AN105" s="202"/>
      <c r="AO105" s="207"/>
      <c r="AP105" s="202"/>
      <c r="AQ105" s="209"/>
      <c r="AR105" s="202"/>
      <c r="AS105" s="206"/>
      <c r="AT105" s="202"/>
      <c r="AU105" s="204"/>
      <c r="AV105" s="202"/>
      <c r="AW105" s="204"/>
      <c r="AX105" s="202"/>
      <c r="AY105" s="201"/>
      <c r="AZ105" s="202"/>
      <c r="BA105" s="210">
        <f t="shared" si="15"/>
        <v>0</v>
      </c>
      <c r="BB105" s="202"/>
      <c r="BC105" s="204"/>
      <c r="BD105" s="202"/>
      <c r="BE105" s="209"/>
      <c r="BF105" s="202"/>
      <c r="BG105" s="206"/>
      <c r="BH105" s="202"/>
      <c r="BI105" s="204"/>
      <c r="BJ105" s="202"/>
      <c r="BK105" s="204"/>
      <c r="BL105" s="202"/>
      <c r="BM105" s="201"/>
      <c r="BN105" s="202"/>
      <c r="BO105" s="203">
        <f t="shared" si="16"/>
        <v>0</v>
      </c>
      <c r="BP105" s="202"/>
      <c r="BQ105" s="138"/>
      <c r="BR105" s="128"/>
      <c r="BS105" s="128"/>
      <c r="BT105" s="128"/>
      <c r="BU105" s="128"/>
      <c r="BV105" s="128"/>
      <c r="BW105" s="139"/>
      <c r="BX105" s="140"/>
      <c r="BY105" s="139"/>
      <c r="BZ105" s="139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5"/>
      <c r="CK105" s="135"/>
    </row>
    <row r="106" spans="1:89" ht="14.25">
      <c r="A106" s="136"/>
      <c r="B106" s="30" t="s">
        <v>228</v>
      </c>
      <c r="C106" s="46" t="s">
        <v>4</v>
      </c>
      <c r="D106" s="158">
        <v>0</v>
      </c>
      <c r="E106" s="208"/>
      <c r="F106" s="202"/>
      <c r="G106" s="207"/>
      <c r="H106" s="202"/>
      <c r="I106" s="208"/>
      <c r="J106" s="202"/>
      <c r="K106" s="208">
        <f t="shared" si="12"/>
        <v>0</v>
      </c>
      <c r="L106" s="202"/>
      <c r="M106" s="207"/>
      <c r="N106" s="202"/>
      <c r="O106" s="209">
        <v>20</v>
      </c>
      <c r="P106" s="202"/>
      <c r="Q106" s="206"/>
      <c r="R106" s="202"/>
      <c r="S106" s="207">
        <v>19</v>
      </c>
      <c r="T106" s="202"/>
      <c r="U106" s="207"/>
      <c r="V106" s="202"/>
      <c r="W106" s="208"/>
      <c r="X106" s="202"/>
      <c r="Y106" s="210">
        <v>1</v>
      </c>
      <c r="Z106" s="202"/>
      <c r="AA106" s="207">
        <v>19</v>
      </c>
      <c r="AB106" s="202"/>
      <c r="AC106" s="209"/>
      <c r="AD106" s="202"/>
      <c r="AE106" s="206"/>
      <c r="AF106" s="202"/>
      <c r="AG106" s="207"/>
      <c r="AH106" s="202"/>
      <c r="AI106" s="207"/>
      <c r="AJ106" s="202"/>
      <c r="AK106" s="208"/>
      <c r="AL106" s="202"/>
      <c r="AM106" s="210">
        <f t="shared" si="14"/>
        <v>1</v>
      </c>
      <c r="AN106" s="202"/>
      <c r="AO106" s="207"/>
      <c r="AP106" s="202"/>
      <c r="AQ106" s="209"/>
      <c r="AR106" s="202"/>
      <c r="AS106" s="206"/>
      <c r="AT106" s="202"/>
      <c r="AU106" s="204"/>
      <c r="AV106" s="202"/>
      <c r="AW106" s="204"/>
      <c r="AX106" s="202"/>
      <c r="AY106" s="201"/>
      <c r="AZ106" s="202"/>
      <c r="BA106" s="210">
        <f t="shared" si="15"/>
        <v>0</v>
      </c>
      <c r="BB106" s="202"/>
      <c r="BC106" s="204"/>
      <c r="BD106" s="202"/>
      <c r="BE106" s="209"/>
      <c r="BF106" s="202"/>
      <c r="BG106" s="206"/>
      <c r="BH106" s="202"/>
      <c r="BI106" s="204"/>
      <c r="BJ106" s="202"/>
      <c r="BK106" s="204"/>
      <c r="BL106" s="202"/>
      <c r="BM106" s="201"/>
      <c r="BN106" s="202"/>
      <c r="BO106" s="203">
        <f t="shared" si="16"/>
        <v>0</v>
      </c>
      <c r="BP106" s="202"/>
      <c r="BQ106" s="138"/>
      <c r="BR106" s="139"/>
      <c r="BS106" s="139"/>
      <c r="BT106" s="139"/>
      <c r="BU106" s="139"/>
      <c r="BV106" s="139"/>
      <c r="BW106" s="139"/>
      <c r="BX106" s="140"/>
      <c r="BY106" s="139"/>
      <c r="BZ106" s="139"/>
      <c r="CA106" s="139"/>
      <c r="CB106" s="139"/>
      <c r="CC106" s="139"/>
      <c r="CD106" s="139"/>
      <c r="CE106" s="139"/>
      <c r="CF106" s="139"/>
      <c r="CG106" s="139"/>
      <c r="CH106" s="136"/>
      <c r="CI106" s="139"/>
      <c r="CJ106" s="139"/>
      <c r="CK106" s="139"/>
    </row>
    <row r="107" spans="1:89" ht="14.25">
      <c r="A107" s="136"/>
      <c r="B107" s="30" t="s">
        <v>230</v>
      </c>
      <c r="C107" s="46" t="s">
        <v>3</v>
      </c>
      <c r="D107" s="137">
        <f t="shared" ref="D107:D381" si="28">SUM(K107,Y107,AM107,BA107,BO107)</f>
        <v>0</v>
      </c>
      <c r="E107" s="208"/>
      <c r="F107" s="202"/>
      <c r="G107" s="207"/>
      <c r="H107" s="202"/>
      <c r="I107" s="208"/>
      <c r="J107" s="202"/>
      <c r="K107" s="208">
        <f t="shared" si="12"/>
        <v>0</v>
      </c>
      <c r="L107" s="202"/>
      <c r="M107" s="207"/>
      <c r="N107" s="202"/>
      <c r="O107" s="209"/>
      <c r="P107" s="202"/>
      <c r="Q107" s="206"/>
      <c r="R107" s="202"/>
      <c r="S107" s="207"/>
      <c r="T107" s="202"/>
      <c r="U107" s="207"/>
      <c r="V107" s="202"/>
      <c r="W107" s="208"/>
      <c r="X107" s="202"/>
      <c r="Y107" s="210">
        <f t="shared" ref="Y107:Y188" si="29">COUNTA(M107:V107)</f>
        <v>0</v>
      </c>
      <c r="Z107" s="202"/>
      <c r="AA107" s="207"/>
      <c r="AB107" s="202"/>
      <c r="AC107" s="209"/>
      <c r="AD107" s="202"/>
      <c r="AE107" s="206"/>
      <c r="AF107" s="202"/>
      <c r="AG107" s="207"/>
      <c r="AH107" s="202"/>
      <c r="AI107" s="207"/>
      <c r="AJ107" s="202"/>
      <c r="AK107" s="208"/>
      <c r="AL107" s="202"/>
      <c r="AM107" s="210">
        <f t="shared" si="14"/>
        <v>0</v>
      </c>
      <c r="AN107" s="202"/>
      <c r="AO107" s="207"/>
      <c r="AP107" s="202"/>
      <c r="AQ107" s="209"/>
      <c r="AR107" s="202"/>
      <c r="AS107" s="206"/>
      <c r="AT107" s="202"/>
      <c r="AU107" s="204"/>
      <c r="AV107" s="202"/>
      <c r="AW107" s="204"/>
      <c r="AX107" s="202"/>
      <c r="AY107" s="201"/>
      <c r="AZ107" s="202"/>
      <c r="BA107" s="210">
        <f t="shared" si="15"/>
        <v>0</v>
      </c>
      <c r="BB107" s="202"/>
      <c r="BC107" s="204"/>
      <c r="BD107" s="202"/>
      <c r="BE107" s="209"/>
      <c r="BF107" s="202"/>
      <c r="BG107" s="206"/>
      <c r="BH107" s="202"/>
      <c r="BI107" s="204"/>
      <c r="BJ107" s="202"/>
      <c r="BK107" s="204"/>
      <c r="BL107" s="202"/>
      <c r="BM107" s="201"/>
      <c r="BN107" s="202"/>
      <c r="BO107" s="203">
        <f t="shared" si="16"/>
        <v>0</v>
      </c>
      <c r="BP107" s="202"/>
      <c r="BQ107" s="138"/>
      <c r="BR107" s="139"/>
      <c r="BS107" s="139"/>
      <c r="BT107" s="139"/>
      <c r="BU107" s="139"/>
      <c r="BV107" s="139"/>
      <c r="BW107" s="139"/>
      <c r="BX107" s="140"/>
      <c r="BY107" s="139"/>
      <c r="BZ107" s="139"/>
      <c r="CA107" s="139"/>
      <c r="CB107" s="139"/>
      <c r="CC107" s="139"/>
      <c r="CD107" s="139"/>
      <c r="CE107" s="139"/>
      <c r="CF107" s="139"/>
      <c r="CG107" s="139"/>
      <c r="CH107" s="139"/>
      <c r="CI107" s="139"/>
      <c r="CJ107" s="139"/>
      <c r="CK107" s="139"/>
    </row>
    <row r="108" spans="1:89" ht="14.25">
      <c r="A108" s="136"/>
      <c r="B108" s="30" t="s">
        <v>232</v>
      </c>
      <c r="C108" s="46" t="s">
        <v>4</v>
      </c>
      <c r="D108" s="137">
        <f t="shared" si="28"/>
        <v>5</v>
      </c>
      <c r="E108" s="208"/>
      <c r="F108" s="202"/>
      <c r="G108" s="207">
        <v>8</v>
      </c>
      <c r="H108" s="202"/>
      <c r="I108" s="208"/>
      <c r="J108" s="202"/>
      <c r="K108" s="208">
        <f t="shared" si="12"/>
        <v>1</v>
      </c>
      <c r="L108" s="202"/>
      <c r="M108" s="207">
        <v>8</v>
      </c>
      <c r="N108" s="202"/>
      <c r="O108" s="209">
        <v>8</v>
      </c>
      <c r="P108" s="202"/>
      <c r="Q108" s="206"/>
      <c r="R108" s="202"/>
      <c r="S108" s="207">
        <v>8</v>
      </c>
      <c r="T108" s="202"/>
      <c r="U108" s="207"/>
      <c r="V108" s="202"/>
      <c r="W108" s="208"/>
      <c r="X108" s="202"/>
      <c r="Y108" s="210">
        <f t="shared" si="29"/>
        <v>3</v>
      </c>
      <c r="Z108" s="202"/>
      <c r="AA108" s="207">
        <v>8</v>
      </c>
      <c r="AB108" s="202"/>
      <c r="AC108" s="209"/>
      <c r="AD108" s="202"/>
      <c r="AE108" s="206"/>
      <c r="AF108" s="202"/>
      <c r="AG108" s="207"/>
      <c r="AH108" s="202"/>
      <c r="AI108" s="207"/>
      <c r="AJ108" s="202"/>
      <c r="AK108" s="208"/>
      <c r="AL108" s="202"/>
      <c r="AM108" s="210">
        <f t="shared" si="14"/>
        <v>1</v>
      </c>
      <c r="AN108" s="202"/>
      <c r="AO108" s="207"/>
      <c r="AP108" s="202"/>
      <c r="AQ108" s="209"/>
      <c r="AR108" s="202"/>
      <c r="AS108" s="206"/>
      <c r="AT108" s="202"/>
      <c r="AU108" s="204"/>
      <c r="AV108" s="202"/>
      <c r="AW108" s="204"/>
      <c r="AX108" s="202"/>
      <c r="AY108" s="201"/>
      <c r="AZ108" s="202"/>
      <c r="BA108" s="210">
        <f t="shared" si="15"/>
        <v>0</v>
      </c>
      <c r="BB108" s="202"/>
      <c r="BC108" s="204"/>
      <c r="BD108" s="202"/>
      <c r="BE108" s="209"/>
      <c r="BF108" s="202"/>
      <c r="BG108" s="206"/>
      <c r="BH108" s="202"/>
      <c r="BI108" s="204"/>
      <c r="BJ108" s="202"/>
      <c r="BK108" s="204"/>
      <c r="BL108" s="202"/>
      <c r="BM108" s="201"/>
      <c r="BN108" s="202"/>
      <c r="BO108" s="203">
        <f t="shared" si="16"/>
        <v>0</v>
      </c>
      <c r="BP108" s="202"/>
      <c r="BQ108" s="138"/>
      <c r="BR108" s="139"/>
      <c r="BS108" s="139"/>
      <c r="BT108" s="139"/>
      <c r="BU108" s="139"/>
      <c r="BV108" s="139"/>
      <c r="BW108" s="139"/>
      <c r="BX108" s="140"/>
      <c r="BY108" s="139"/>
      <c r="BZ108" s="139"/>
      <c r="CA108" s="139"/>
      <c r="CB108" s="139"/>
      <c r="CC108" s="139"/>
      <c r="CD108" s="139"/>
      <c r="CE108" s="139"/>
      <c r="CF108" s="139"/>
      <c r="CG108" s="139"/>
      <c r="CH108" s="139"/>
      <c r="CI108" s="139"/>
      <c r="CJ108" s="139"/>
      <c r="CK108" s="139"/>
    </row>
    <row r="109" spans="1:89" ht="14.25">
      <c r="A109" s="136"/>
      <c r="B109" s="30" t="s">
        <v>234</v>
      </c>
      <c r="C109" s="46" t="s">
        <v>4</v>
      </c>
      <c r="D109" s="137">
        <f t="shared" si="28"/>
        <v>7</v>
      </c>
      <c r="E109" s="208">
        <v>11</v>
      </c>
      <c r="F109" s="202"/>
      <c r="G109" s="207">
        <v>18</v>
      </c>
      <c r="H109" s="202"/>
      <c r="I109" s="208"/>
      <c r="J109" s="202"/>
      <c r="K109" s="208">
        <f t="shared" si="12"/>
        <v>1</v>
      </c>
      <c r="L109" s="202"/>
      <c r="M109" s="207">
        <v>19</v>
      </c>
      <c r="N109" s="202"/>
      <c r="O109" s="209">
        <v>19</v>
      </c>
      <c r="P109" s="202"/>
      <c r="Q109" s="206">
        <v>17</v>
      </c>
      <c r="R109" s="202"/>
      <c r="S109" s="207">
        <v>19</v>
      </c>
      <c r="T109" s="202"/>
      <c r="U109" s="207">
        <v>18</v>
      </c>
      <c r="V109" s="202"/>
      <c r="W109" s="208"/>
      <c r="X109" s="202"/>
      <c r="Y109" s="210">
        <f t="shared" si="29"/>
        <v>5</v>
      </c>
      <c r="Z109" s="202"/>
      <c r="AA109" s="207">
        <v>19</v>
      </c>
      <c r="AB109" s="202"/>
      <c r="AC109" s="209"/>
      <c r="AD109" s="202"/>
      <c r="AE109" s="206"/>
      <c r="AF109" s="202"/>
      <c r="AG109" s="207"/>
      <c r="AH109" s="202"/>
      <c r="AI109" s="207"/>
      <c r="AJ109" s="202"/>
      <c r="AK109" s="208"/>
      <c r="AL109" s="202"/>
      <c r="AM109" s="210">
        <f t="shared" si="14"/>
        <v>1</v>
      </c>
      <c r="AN109" s="202"/>
      <c r="AO109" s="207"/>
      <c r="AP109" s="202"/>
      <c r="AQ109" s="209"/>
      <c r="AR109" s="202"/>
      <c r="AS109" s="206"/>
      <c r="AT109" s="202"/>
      <c r="AU109" s="204"/>
      <c r="AV109" s="202"/>
      <c r="AW109" s="204"/>
      <c r="AX109" s="202"/>
      <c r="AY109" s="201"/>
      <c r="AZ109" s="202"/>
      <c r="BA109" s="210">
        <f t="shared" si="15"/>
        <v>0</v>
      </c>
      <c r="BB109" s="202"/>
      <c r="BC109" s="204"/>
      <c r="BD109" s="202"/>
      <c r="BE109" s="209"/>
      <c r="BF109" s="202"/>
      <c r="BG109" s="206"/>
      <c r="BH109" s="202"/>
      <c r="BI109" s="204"/>
      <c r="BJ109" s="202"/>
      <c r="BK109" s="204"/>
      <c r="BL109" s="202"/>
      <c r="BM109" s="201"/>
      <c r="BN109" s="202"/>
      <c r="BO109" s="203">
        <f t="shared" si="16"/>
        <v>0</v>
      </c>
      <c r="BP109" s="202"/>
      <c r="BQ109" s="138"/>
      <c r="BR109" s="139"/>
      <c r="BS109" s="139"/>
      <c r="BT109" s="139"/>
      <c r="BU109" s="139"/>
      <c r="BV109" s="139"/>
      <c r="BW109" s="139"/>
      <c r="BX109" s="140"/>
      <c r="BY109" s="139"/>
      <c r="BZ109" s="139"/>
      <c r="CA109" s="139"/>
      <c r="CB109" s="139"/>
      <c r="CC109" s="139"/>
      <c r="CD109" s="139"/>
      <c r="CE109" s="139"/>
      <c r="CF109" s="139"/>
      <c r="CG109" s="139"/>
      <c r="CH109" s="139"/>
      <c r="CI109" s="139"/>
      <c r="CJ109" s="139"/>
      <c r="CK109" s="139"/>
    </row>
    <row r="110" spans="1:89" ht="14.25">
      <c r="A110" s="136"/>
      <c r="B110" s="30" t="s">
        <v>236</v>
      </c>
      <c r="C110" s="46" t="s">
        <v>3</v>
      </c>
      <c r="D110" s="137">
        <f t="shared" si="28"/>
        <v>0</v>
      </c>
      <c r="E110" s="208"/>
      <c r="F110" s="202"/>
      <c r="G110" s="207"/>
      <c r="H110" s="202"/>
      <c r="I110" s="208"/>
      <c r="J110" s="202"/>
      <c r="K110" s="208">
        <f t="shared" si="12"/>
        <v>0</v>
      </c>
      <c r="L110" s="202"/>
      <c r="M110" s="207"/>
      <c r="N110" s="202"/>
      <c r="O110" s="209"/>
      <c r="P110" s="202"/>
      <c r="Q110" s="206"/>
      <c r="R110" s="202"/>
      <c r="S110" s="207"/>
      <c r="T110" s="202"/>
      <c r="U110" s="207"/>
      <c r="V110" s="202"/>
      <c r="W110" s="208"/>
      <c r="X110" s="202"/>
      <c r="Y110" s="210">
        <f t="shared" si="29"/>
        <v>0</v>
      </c>
      <c r="Z110" s="202"/>
      <c r="AA110" s="207"/>
      <c r="AB110" s="202"/>
      <c r="AC110" s="209"/>
      <c r="AD110" s="202"/>
      <c r="AE110" s="206"/>
      <c r="AF110" s="202"/>
      <c r="AG110" s="207"/>
      <c r="AH110" s="202"/>
      <c r="AI110" s="207"/>
      <c r="AJ110" s="202"/>
      <c r="AK110" s="208"/>
      <c r="AL110" s="202"/>
      <c r="AM110" s="210">
        <f t="shared" si="14"/>
        <v>0</v>
      </c>
      <c r="AN110" s="202"/>
      <c r="AO110" s="207"/>
      <c r="AP110" s="202"/>
      <c r="AQ110" s="209"/>
      <c r="AR110" s="202"/>
      <c r="AS110" s="206"/>
      <c r="AT110" s="202"/>
      <c r="AU110" s="204"/>
      <c r="AV110" s="202"/>
      <c r="AW110" s="204"/>
      <c r="AX110" s="202"/>
      <c r="AY110" s="201"/>
      <c r="AZ110" s="202"/>
      <c r="BA110" s="210">
        <f t="shared" si="15"/>
        <v>0</v>
      </c>
      <c r="BB110" s="202"/>
      <c r="BC110" s="204"/>
      <c r="BD110" s="202"/>
      <c r="BE110" s="209"/>
      <c r="BF110" s="202"/>
      <c r="BG110" s="206"/>
      <c r="BH110" s="202"/>
      <c r="BI110" s="204"/>
      <c r="BJ110" s="202"/>
      <c r="BK110" s="204"/>
      <c r="BL110" s="202"/>
      <c r="BM110" s="201"/>
      <c r="BN110" s="202"/>
      <c r="BO110" s="203">
        <f t="shared" si="16"/>
        <v>0</v>
      </c>
      <c r="BP110" s="202"/>
      <c r="BQ110" s="138"/>
      <c r="BR110" s="139"/>
      <c r="BS110" s="139"/>
      <c r="BT110" s="139"/>
      <c r="BU110" s="139"/>
      <c r="BV110" s="139"/>
      <c r="BW110" s="139"/>
      <c r="BX110" s="140"/>
      <c r="BY110" s="139"/>
      <c r="BZ110" s="139"/>
      <c r="CA110" s="139"/>
      <c r="CB110" s="139"/>
      <c r="CC110" s="139"/>
      <c r="CD110" s="139"/>
      <c r="CE110" s="139"/>
      <c r="CF110" s="139"/>
      <c r="CG110" s="139"/>
      <c r="CH110" s="139"/>
      <c r="CI110" s="139"/>
      <c r="CJ110" s="139"/>
      <c r="CK110" s="139"/>
    </row>
    <row r="111" spans="1:89" ht="14.25">
      <c r="A111" s="136"/>
      <c r="B111" s="30" t="s">
        <v>238</v>
      </c>
      <c r="C111" s="46" t="s">
        <v>4</v>
      </c>
      <c r="D111" s="137">
        <f t="shared" si="28"/>
        <v>2</v>
      </c>
      <c r="E111" s="208"/>
      <c r="F111" s="202"/>
      <c r="G111" s="207"/>
      <c r="H111" s="202"/>
      <c r="I111" s="208"/>
      <c r="J111" s="202"/>
      <c r="K111" s="208">
        <f t="shared" si="12"/>
        <v>0</v>
      </c>
      <c r="L111" s="202"/>
      <c r="M111" s="207">
        <v>8</v>
      </c>
      <c r="N111" s="202"/>
      <c r="O111" s="209"/>
      <c r="P111" s="202"/>
      <c r="Q111" s="206">
        <v>17</v>
      </c>
      <c r="R111" s="202"/>
      <c r="S111" s="207"/>
      <c r="T111" s="202"/>
      <c r="U111" s="207"/>
      <c r="V111" s="202"/>
      <c r="W111" s="208"/>
      <c r="X111" s="202"/>
      <c r="Y111" s="210">
        <f t="shared" si="29"/>
        <v>2</v>
      </c>
      <c r="Z111" s="202"/>
      <c r="AA111" s="207"/>
      <c r="AB111" s="202"/>
      <c r="AC111" s="209"/>
      <c r="AD111" s="202"/>
      <c r="AE111" s="206"/>
      <c r="AF111" s="202"/>
      <c r="AG111" s="207"/>
      <c r="AH111" s="202"/>
      <c r="AI111" s="207"/>
      <c r="AJ111" s="202"/>
      <c r="AK111" s="208"/>
      <c r="AL111" s="202"/>
      <c r="AM111" s="210">
        <f t="shared" si="14"/>
        <v>0</v>
      </c>
      <c r="AN111" s="202"/>
      <c r="AO111" s="207"/>
      <c r="AP111" s="202"/>
      <c r="AQ111" s="209"/>
      <c r="AR111" s="202"/>
      <c r="AS111" s="206"/>
      <c r="AT111" s="202"/>
      <c r="AU111" s="204"/>
      <c r="AV111" s="202"/>
      <c r="AW111" s="204"/>
      <c r="AX111" s="202"/>
      <c r="AY111" s="201"/>
      <c r="AZ111" s="202"/>
      <c r="BA111" s="210">
        <f t="shared" si="15"/>
        <v>0</v>
      </c>
      <c r="BB111" s="202"/>
      <c r="BC111" s="204"/>
      <c r="BD111" s="202"/>
      <c r="BE111" s="209"/>
      <c r="BF111" s="202"/>
      <c r="BG111" s="206"/>
      <c r="BH111" s="202"/>
      <c r="BI111" s="204"/>
      <c r="BJ111" s="202"/>
      <c r="BK111" s="204"/>
      <c r="BL111" s="202"/>
      <c r="BM111" s="201"/>
      <c r="BN111" s="202"/>
      <c r="BO111" s="203">
        <f t="shared" si="16"/>
        <v>0</v>
      </c>
      <c r="BP111" s="202"/>
      <c r="BQ111" s="138"/>
      <c r="BR111" s="139"/>
      <c r="BS111" s="139"/>
      <c r="BT111" s="139"/>
      <c r="BU111" s="139"/>
      <c r="BV111" s="139"/>
      <c r="BW111" s="139"/>
      <c r="BX111" s="140"/>
      <c r="BY111" s="139"/>
      <c r="BZ111" s="139"/>
      <c r="CA111" s="139"/>
      <c r="CB111" s="139"/>
      <c r="CC111" s="139"/>
      <c r="CD111" s="139"/>
      <c r="CE111" s="139"/>
      <c r="CF111" s="139"/>
      <c r="CG111" s="139"/>
      <c r="CH111" s="139"/>
      <c r="CI111" s="139"/>
      <c r="CJ111" s="139"/>
      <c r="CK111" s="139"/>
    </row>
    <row r="112" spans="1:89" ht="14.25">
      <c r="A112" s="136"/>
      <c r="B112" s="30" t="s">
        <v>240</v>
      </c>
      <c r="C112" s="46" t="s">
        <v>4</v>
      </c>
      <c r="D112" s="137">
        <f t="shared" si="28"/>
        <v>3</v>
      </c>
      <c r="E112" s="208"/>
      <c r="F112" s="202"/>
      <c r="G112" s="207">
        <v>8</v>
      </c>
      <c r="H112" s="202"/>
      <c r="I112" s="208"/>
      <c r="J112" s="202"/>
      <c r="K112" s="208">
        <f t="shared" si="12"/>
        <v>1</v>
      </c>
      <c r="L112" s="202"/>
      <c r="M112" s="207"/>
      <c r="N112" s="202"/>
      <c r="O112" s="209">
        <v>8</v>
      </c>
      <c r="P112" s="202"/>
      <c r="Q112" s="206"/>
      <c r="R112" s="202"/>
      <c r="S112" s="207"/>
      <c r="T112" s="202"/>
      <c r="U112" s="207">
        <v>8</v>
      </c>
      <c r="V112" s="202"/>
      <c r="W112" s="208"/>
      <c r="X112" s="202"/>
      <c r="Y112" s="210">
        <f t="shared" si="29"/>
        <v>2</v>
      </c>
      <c r="Z112" s="202"/>
      <c r="AA112" s="207"/>
      <c r="AB112" s="202"/>
      <c r="AC112" s="209"/>
      <c r="AD112" s="202"/>
      <c r="AE112" s="206"/>
      <c r="AF112" s="202"/>
      <c r="AG112" s="207"/>
      <c r="AH112" s="202"/>
      <c r="AI112" s="207"/>
      <c r="AJ112" s="202"/>
      <c r="AK112" s="208"/>
      <c r="AL112" s="202"/>
      <c r="AM112" s="210">
        <f t="shared" si="14"/>
        <v>0</v>
      </c>
      <c r="AN112" s="202"/>
      <c r="AO112" s="207"/>
      <c r="AP112" s="202"/>
      <c r="AQ112" s="209"/>
      <c r="AR112" s="202"/>
      <c r="AS112" s="206"/>
      <c r="AT112" s="202"/>
      <c r="AU112" s="204"/>
      <c r="AV112" s="202"/>
      <c r="AW112" s="204"/>
      <c r="AX112" s="202"/>
      <c r="AY112" s="201"/>
      <c r="AZ112" s="202"/>
      <c r="BA112" s="210">
        <f t="shared" si="15"/>
        <v>0</v>
      </c>
      <c r="BB112" s="202"/>
      <c r="BC112" s="204"/>
      <c r="BD112" s="202"/>
      <c r="BE112" s="209"/>
      <c r="BF112" s="202"/>
      <c r="BG112" s="206"/>
      <c r="BH112" s="202"/>
      <c r="BI112" s="204"/>
      <c r="BJ112" s="202"/>
      <c r="BK112" s="204"/>
      <c r="BL112" s="202"/>
      <c r="BM112" s="201"/>
      <c r="BN112" s="202"/>
      <c r="BO112" s="203">
        <f t="shared" si="16"/>
        <v>0</v>
      </c>
      <c r="BP112" s="202"/>
      <c r="BQ112" s="138"/>
      <c r="BR112" s="139"/>
      <c r="BS112" s="139"/>
      <c r="BT112" s="139"/>
      <c r="BU112" s="139"/>
      <c r="BV112" s="139"/>
      <c r="BW112" s="139"/>
      <c r="BX112" s="140"/>
      <c r="BY112" s="139"/>
      <c r="BZ112" s="139"/>
      <c r="CA112" s="139"/>
      <c r="CB112" s="139"/>
      <c r="CC112" s="139"/>
      <c r="CD112" s="139"/>
      <c r="CE112" s="139"/>
      <c r="CF112" s="139"/>
      <c r="CG112" s="139"/>
      <c r="CH112" s="139"/>
      <c r="CI112" s="139"/>
      <c r="CJ112" s="139"/>
      <c r="CK112" s="139"/>
    </row>
    <row r="113" spans="1:89" ht="14.25">
      <c r="A113" s="136"/>
      <c r="B113" s="30" t="s">
        <v>242</v>
      </c>
      <c r="C113" s="46" t="s">
        <v>3</v>
      </c>
      <c r="D113" s="137">
        <f t="shared" si="28"/>
        <v>4</v>
      </c>
      <c r="E113" s="208"/>
      <c r="F113" s="202"/>
      <c r="G113" s="207"/>
      <c r="H113" s="202"/>
      <c r="I113" s="208"/>
      <c r="J113" s="202"/>
      <c r="K113" s="208">
        <f t="shared" si="12"/>
        <v>0</v>
      </c>
      <c r="L113" s="202"/>
      <c r="M113" s="207">
        <v>17</v>
      </c>
      <c r="N113" s="202"/>
      <c r="O113" s="209">
        <v>17</v>
      </c>
      <c r="P113" s="202"/>
      <c r="Q113" s="206">
        <v>17</v>
      </c>
      <c r="R113" s="202"/>
      <c r="S113" s="207">
        <v>17</v>
      </c>
      <c r="T113" s="202"/>
      <c r="U113" s="207"/>
      <c r="V113" s="202"/>
      <c r="W113" s="208"/>
      <c r="X113" s="202"/>
      <c r="Y113" s="210">
        <f t="shared" si="29"/>
        <v>4</v>
      </c>
      <c r="Z113" s="202"/>
      <c r="AA113" s="207"/>
      <c r="AB113" s="202"/>
      <c r="AC113" s="209"/>
      <c r="AD113" s="202"/>
      <c r="AE113" s="206"/>
      <c r="AF113" s="202"/>
      <c r="AG113" s="207"/>
      <c r="AH113" s="202"/>
      <c r="AI113" s="207"/>
      <c r="AJ113" s="202"/>
      <c r="AK113" s="208"/>
      <c r="AL113" s="202"/>
      <c r="AM113" s="210">
        <f t="shared" si="14"/>
        <v>0</v>
      </c>
      <c r="AN113" s="202"/>
      <c r="AO113" s="207"/>
      <c r="AP113" s="202"/>
      <c r="AQ113" s="209"/>
      <c r="AR113" s="202"/>
      <c r="AS113" s="206"/>
      <c r="AT113" s="202"/>
      <c r="AU113" s="204"/>
      <c r="AV113" s="202"/>
      <c r="AW113" s="204"/>
      <c r="AX113" s="202"/>
      <c r="AY113" s="201"/>
      <c r="AZ113" s="202"/>
      <c r="BA113" s="210">
        <f t="shared" si="15"/>
        <v>0</v>
      </c>
      <c r="BB113" s="202"/>
      <c r="BC113" s="204"/>
      <c r="BD113" s="202"/>
      <c r="BE113" s="209"/>
      <c r="BF113" s="202"/>
      <c r="BG113" s="206"/>
      <c r="BH113" s="202"/>
      <c r="BI113" s="204"/>
      <c r="BJ113" s="202"/>
      <c r="BK113" s="204"/>
      <c r="BL113" s="202"/>
      <c r="BM113" s="201"/>
      <c r="BN113" s="202"/>
      <c r="BO113" s="203">
        <f t="shared" si="16"/>
        <v>0</v>
      </c>
      <c r="BP113" s="202"/>
      <c r="BQ113" s="138"/>
      <c r="BR113" s="139"/>
      <c r="BS113" s="139"/>
      <c r="BT113" s="139"/>
      <c r="BU113" s="139"/>
      <c r="BV113" s="139"/>
      <c r="BW113" s="139"/>
      <c r="BX113" s="140"/>
      <c r="BY113" s="139"/>
      <c r="BZ113" s="139"/>
      <c r="CA113" s="139"/>
      <c r="CB113" s="139"/>
      <c r="CC113" s="139"/>
      <c r="CD113" s="139"/>
      <c r="CE113" s="139"/>
      <c r="CF113" s="139"/>
      <c r="CG113" s="139"/>
      <c r="CH113" s="139"/>
      <c r="CI113" s="139"/>
      <c r="CJ113" s="139"/>
      <c r="CK113" s="139"/>
    </row>
    <row r="114" spans="1:89" ht="14.25">
      <c r="A114" s="136"/>
      <c r="B114" s="30" t="s">
        <v>244</v>
      </c>
      <c r="C114" s="46" t="s">
        <v>4</v>
      </c>
      <c r="D114" s="137">
        <f t="shared" si="28"/>
        <v>0</v>
      </c>
      <c r="E114" s="208"/>
      <c r="F114" s="202"/>
      <c r="G114" s="207"/>
      <c r="H114" s="202"/>
      <c r="I114" s="208"/>
      <c r="J114" s="202"/>
      <c r="K114" s="208">
        <f t="shared" si="12"/>
        <v>0</v>
      </c>
      <c r="L114" s="202"/>
      <c r="M114" s="207"/>
      <c r="N114" s="202"/>
      <c r="O114" s="209"/>
      <c r="P114" s="202"/>
      <c r="Q114" s="206"/>
      <c r="R114" s="202"/>
      <c r="S114" s="207"/>
      <c r="T114" s="202"/>
      <c r="U114" s="207"/>
      <c r="V114" s="202"/>
      <c r="W114" s="208"/>
      <c r="X114" s="202"/>
      <c r="Y114" s="210">
        <f t="shared" si="29"/>
        <v>0</v>
      </c>
      <c r="Z114" s="202"/>
      <c r="AA114" s="207"/>
      <c r="AB114" s="202"/>
      <c r="AC114" s="209"/>
      <c r="AD114" s="202"/>
      <c r="AE114" s="206"/>
      <c r="AF114" s="202"/>
      <c r="AG114" s="207"/>
      <c r="AH114" s="202"/>
      <c r="AI114" s="207"/>
      <c r="AJ114" s="202"/>
      <c r="AK114" s="208"/>
      <c r="AL114" s="202"/>
      <c r="AM114" s="210">
        <f t="shared" si="14"/>
        <v>0</v>
      </c>
      <c r="AN114" s="202"/>
      <c r="AO114" s="207"/>
      <c r="AP114" s="202"/>
      <c r="AQ114" s="209"/>
      <c r="AR114" s="202"/>
      <c r="AS114" s="206"/>
      <c r="AT114" s="202"/>
      <c r="AU114" s="204"/>
      <c r="AV114" s="202"/>
      <c r="AW114" s="204"/>
      <c r="AX114" s="202"/>
      <c r="AY114" s="201"/>
      <c r="AZ114" s="202"/>
      <c r="BA114" s="210">
        <f t="shared" si="15"/>
        <v>0</v>
      </c>
      <c r="BB114" s="202"/>
      <c r="BC114" s="204"/>
      <c r="BD114" s="202"/>
      <c r="BE114" s="209"/>
      <c r="BF114" s="202"/>
      <c r="BG114" s="206"/>
      <c r="BH114" s="202"/>
      <c r="BI114" s="204"/>
      <c r="BJ114" s="202"/>
      <c r="BK114" s="204"/>
      <c r="BL114" s="202"/>
      <c r="BM114" s="201"/>
      <c r="BN114" s="202"/>
      <c r="BO114" s="203">
        <f t="shared" si="16"/>
        <v>0</v>
      </c>
      <c r="BP114" s="202"/>
      <c r="BQ114" s="138"/>
      <c r="BR114" s="139"/>
      <c r="BS114" s="139"/>
      <c r="BT114" s="139"/>
      <c r="BU114" s="139"/>
      <c r="BV114" s="139"/>
      <c r="BW114" s="139"/>
      <c r="BX114" s="140"/>
      <c r="BY114" s="139"/>
      <c r="BZ114" s="139"/>
      <c r="CA114" s="139"/>
      <c r="CB114" s="139"/>
      <c r="CC114" s="139"/>
      <c r="CD114" s="139"/>
      <c r="CE114" s="139"/>
      <c r="CF114" s="139"/>
      <c r="CG114" s="139"/>
      <c r="CH114" s="139"/>
      <c r="CI114" s="139"/>
      <c r="CJ114" s="139"/>
      <c r="CK114" s="139"/>
    </row>
    <row r="115" spans="1:89" ht="14.25">
      <c r="A115" s="136"/>
      <c r="B115" s="30" t="s">
        <v>246</v>
      </c>
      <c r="C115" s="46" t="s">
        <v>4</v>
      </c>
      <c r="D115" s="137">
        <f t="shared" si="28"/>
        <v>5</v>
      </c>
      <c r="E115" s="208"/>
      <c r="F115" s="202"/>
      <c r="G115" s="207">
        <v>10</v>
      </c>
      <c r="H115" s="202"/>
      <c r="I115" s="208"/>
      <c r="J115" s="202"/>
      <c r="K115" s="208">
        <f t="shared" si="12"/>
        <v>1</v>
      </c>
      <c r="L115" s="202"/>
      <c r="M115" s="207">
        <v>10</v>
      </c>
      <c r="N115" s="202"/>
      <c r="O115" s="209"/>
      <c r="P115" s="202"/>
      <c r="Q115" s="206">
        <v>10</v>
      </c>
      <c r="R115" s="202"/>
      <c r="S115" s="207">
        <v>10</v>
      </c>
      <c r="T115" s="202"/>
      <c r="U115" s="207"/>
      <c r="V115" s="202"/>
      <c r="W115" s="208"/>
      <c r="X115" s="202"/>
      <c r="Y115" s="210">
        <f t="shared" si="29"/>
        <v>3</v>
      </c>
      <c r="Z115" s="202"/>
      <c r="AA115" s="207">
        <v>10</v>
      </c>
      <c r="AB115" s="202"/>
      <c r="AC115" s="209"/>
      <c r="AD115" s="202"/>
      <c r="AE115" s="206"/>
      <c r="AF115" s="202"/>
      <c r="AG115" s="207"/>
      <c r="AH115" s="202"/>
      <c r="AI115" s="207"/>
      <c r="AJ115" s="202"/>
      <c r="AK115" s="208"/>
      <c r="AL115" s="202"/>
      <c r="AM115" s="210">
        <f t="shared" si="14"/>
        <v>1</v>
      </c>
      <c r="AN115" s="202"/>
      <c r="AO115" s="207"/>
      <c r="AP115" s="202"/>
      <c r="AQ115" s="209"/>
      <c r="AR115" s="202"/>
      <c r="AS115" s="206"/>
      <c r="AT115" s="202"/>
      <c r="AU115" s="204"/>
      <c r="AV115" s="202"/>
      <c r="AW115" s="204"/>
      <c r="AX115" s="202"/>
      <c r="AY115" s="201"/>
      <c r="AZ115" s="202"/>
      <c r="BA115" s="210">
        <f t="shared" si="15"/>
        <v>0</v>
      </c>
      <c r="BB115" s="202"/>
      <c r="BC115" s="204"/>
      <c r="BD115" s="202"/>
      <c r="BE115" s="209"/>
      <c r="BF115" s="202"/>
      <c r="BG115" s="206"/>
      <c r="BH115" s="202"/>
      <c r="BI115" s="204"/>
      <c r="BJ115" s="202"/>
      <c r="BK115" s="204"/>
      <c r="BL115" s="202"/>
      <c r="BM115" s="201"/>
      <c r="BN115" s="202"/>
      <c r="BO115" s="203">
        <f t="shared" si="16"/>
        <v>0</v>
      </c>
      <c r="BP115" s="202"/>
      <c r="BQ115" s="138"/>
      <c r="BR115" s="139"/>
      <c r="BS115" s="139"/>
      <c r="BT115" s="139"/>
      <c r="BU115" s="139"/>
      <c r="BV115" s="139"/>
      <c r="BW115" s="139"/>
      <c r="BX115" s="140"/>
      <c r="BY115" s="139"/>
      <c r="BZ115" s="139"/>
      <c r="CA115" s="139"/>
      <c r="CB115" s="139"/>
      <c r="CC115" s="139"/>
      <c r="CD115" s="139"/>
      <c r="CE115" s="139"/>
      <c r="CF115" s="139"/>
      <c r="CG115" s="139"/>
      <c r="CH115" s="139"/>
      <c r="CI115" s="139"/>
      <c r="CJ115" s="139"/>
      <c r="CK115" s="139"/>
    </row>
    <row r="116" spans="1:89" ht="14.25">
      <c r="A116" s="136"/>
      <c r="B116" s="30" t="s">
        <v>248</v>
      </c>
      <c r="C116" s="46" t="s">
        <v>4</v>
      </c>
      <c r="D116" s="137">
        <f t="shared" si="28"/>
        <v>0</v>
      </c>
      <c r="E116" s="208"/>
      <c r="F116" s="202"/>
      <c r="G116" s="207"/>
      <c r="H116" s="202"/>
      <c r="I116" s="208"/>
      <c r="J116" s="202"/>
      <c r="K116" s="208">
        <f t="shared" si="12"/>
        <v>0</v>
      </c>
      <c r="L116" s="202"/>
      <c r="M116" s="207"/>
      <c r="N116" s="202"/>
      <c r="O116" s="209"/>
      <c r="P116" s="202"/>
      <c r="Q116" s="206"/>
      <c r="R116" s="202"/>
      <c r="S116" s="207"/>
      <c r="T116" s="202"/>
      <c r="U116" s="207"/>
      <c r="V116" s="202"/>
      <c r="W116" s="208"/>
      <c r="X116" s="202"/>
      <c r="Y116" s="210">
        <f t="shared" si="29"/>
        <v>0</v>
      </c>
      <c r="Z116" s="202"/>
      <c r="AA116" s="207"/>
      <c r="AB116" s="202"/>
      <c r="AC116" s="209"/>
      <c r="AD116" s="202"/>
      <c r="AE116" s="206"/>
      <c r="AF116" s="202"/>
      <c r="AG116" s="207"/>
      <c r="AH116" s="202"/>
      <c r="AI116" s="207"/>
      <c r="AJ116" s="202"/>
      <c r="AK116" s="208"/>
      <c r="AL116" s="202"/>
      <c r="AM116" s="210">
        <f t="shared" si="14"/>
        <v>0</v>
      </c>
      <c r="AN116" s="202"/>
      <c r="AO116" s="207"/>
      <c r="AP116" s="202"/>
      <c r="AQ116" s="209"/>
      <c r="AR116" s="202"/>
      <c r="AS116" s="206"/>
      <c r="AT116" s="202"/>
      <c r="AU116" s="204"/>
      <c r="AV116" s="202"/>
      <c r="AW116" s="204"/>
      <c r="AX116" s="202"/>
      <c r="AY116" s="201"/>
      <c r="AZ116" s="202"/>
      <c r="BA116" s="210">
        <f t="shared" si="15"/>
        <v>0</v>
      </c>
      <c r="BB116" s="202"/>
      <c r="BC116" s="204"/>
      <c r="BD116" s="202"/>
      <c r="BE116" s="209"/>
      <c r="BF116" s="202"/>
      <c r="BG116" s="206"/>
      <c r="BH116" s="202"/>
      <c r="BI116" s="204"/>
      <c r="BJ116" s="202"/>
      <c r="BK116" s="204"/>
      <c r="BL116" s="202"/>
      <c r="BM116" s="201"/>
      <c r="BN116" s="202"/>
      <c r="BO116" s="203">
        <f t="shared" si="16"/>
        <v>0</v>
      </c>
      <c r="BP116" s="202"/>
      <c r="BQ116" s="138"/>
      <c r="BR116" s="139"/>
      <c r="BS116" s="139"/>
      <c r="BT116" s="139"/>
      <c r="BU116" s="139"/>
      <c r="BV116" s="139"/>
      <c r="BW116" s="139"/>
      <c r="BX116" s="140"/>
      <c r="BY116" s="139"/>
      <c r="BZ116" s="139"/>
      <c r="CA116" s="139"/>
      <c r="CB116" s="139"/>
      <c r="CC116" s="139"/>
      <c r="CD116" s="139"/>
      <c r="CE116" s="139"/>
      <c r="CF116" s="139"/>
      <c r="CG116" s="139"/>
      <c r="CH116" s="139"/>
      <c r="CI116" s="139"/>
      <c r="CJ116" s="139"/>
      <c r="CK116" s="139"/>
    </row>
    <row r="117" spans="1:89" ht="14.25">
      <c r="A117" s="136"/>
      <c r="B117" s="30" t="s">
        <v>250</v>
      </c>
      <c r="C117" s="46" t="s">
        <v>4</v>
      </c>
      <c r="D117" s="137">
        <f t="shared" si="28"/>
        <v>4</v>
      </c>
      <c r="E117" s="208"/>
      <c r="F117" s="202"/>
      <c r="G117" s="207"/>
      <c r="H117" s="202"/>
      <c r="I117" s="208"/>
      <c r="J117" s="202"/>
      <c r="K117" s="208">
        <f t="shared" si="12"/>
        <v>0</v>
      </c>
      <c r="L117" s="202"/>
      <c r="M117" s="207">
        <v>19</v>
      </c>
      <c r="N117" s="202"/>
      <c r="O117" s="209">
        <v>19</v>
      </c>
      <c r="P117" s="202"/>
      <c r="Q117" s="206"/>
      <c r="R117" s="202"/>
      <c r="S117" s="207">
        <v>19</v>
      </c>
      <c r="T117" s="202"/>
      <c r="U117" s="207"/>
      <c r="V117" s="202"/>
      <c r="W117" s="208"/>
      <c r="X117" s="202"/>
      <c r="Y117" s="210">
        <f t="shared" si="29"/>
        <v>3</v>
      </c>
      <c r="Z117" s="202"/>
      <c r="AA117" s="207">
        <v>19</v>
      </c>
      <c r="AB117" s="202"/>
      <c r="AC117" s="209"/>
      <c r="AD117" s="202"/>
      <c r="AE117" s="206"/>
      <c r="AF117" s="202"/>
      <c r="AG117" s="207"/>
      <c r="AH117" s="202"/>
      <c r="AI117" s="207"/>
      <c r="AJ117" s="202"/>
      <c r="AK117" s="208"/>
      <c r="AL117" s="202"/>
      <c r="AM117" s="210">
        <f t="shared" si="14"/>
        <v>1</v>
      </c>
      <c r="AN117" s="202"/>
      <c r="AO117" s="207"/>
      <c r="AP117" s="202"/>
      <c r="AQ117" s="209"/>
      <c r="AR117" s="202"/>
      <c r="AS117" s="206"/>
      <c r="AT117" s="202"/>
      <c r="AU117" s="204"/>
      <c r="AV117" s="202"/>
      <c r="AW117" s="204"/>
      <c r="AX117" s="202"/>
      <c r="AY117" s="201"/>
      <c r="AZ117" s="202"/>
      <c r="BA117" s="210">
        <f t="shared" si="15"/>
        <v>0</v>
      </c>
      <c r="BB117" s="202"/>
      <c r="BC117" s="204"/>
      <c r="BD117" s="202"/>
      <c r="BE117" s="209"/>
      <c r="BF117" s="202"/>
      <c r="BG117" s="206"/>
      <c r="BH117" s="202"/>
      <c r="BI117" s="204"/>
      <c r="BJ117" s="202"/>
      <c r="BK117" s="204"/>
      <c r="BL117" s="202"/>
      <c r="BM117" s="201"/>
      <c r="BN117" s="202"/>
      <c r="BO117" s="203">
        <f t="shared" si="16"/>
        <v>0</v>
      </c>
      <c r="BP117" s="202"/>
      <c r="BQ117" s="138"/>
      <c r="BR117" s="139"/>
      <c r="BS117" s="139"/>
      <c r="BT117" s="139"/>
      <c r="BU117" s="139"/>
      <c r="BV117" s="139"/>
      <c r="BW117" s="139"/>
      <c r="BX117" s="140"/>
      <c r="BY117" s="139"/>
      <c r="BZ117" s="139"/>
      <c r="CA117" s="139"/>
      <c r="CB117" s="139"/>
      <c r="CC117" s="139"/>
      <c r="CD117" s="139"/>
      <c r="CE117" s="139"/>
      <c r="CF117" s="139"/>
      <c r="CG117" s="139"/>
      <c r="CH117" s="139"/>
      <c r="CI117" s="139"/>
      <c r="CJ117" s="139"/>
      <c r="CK117" s="139"/>
    </row>
    <row r="118" spans="1:89" ht="14.25">
      <c r="A118" s="142"/>
      <c r="B118" s="30" t="s">
        <v>252</v>
      </c>
      <c r="C118" s="46" t="s">
        <v>4</v>
      </c>
      <c r="D118" s="137">
        <f t="shared" si="28"/>
        <v>1</v>
      </c>
      <c r="E118" s="208"/>
      <c r="F118" s="202"/>
      <c r="G118" s="207"/>
      <c r="H118" s="202"/>
      <c r="I118" s="208"/>
      <c r="J118" s="202"/>
      <c r="K118" s="208">
        <f t="shared" si="12"/>
        <v>0</v>
      </c>
      <c r="L118" s="202"/>
      <c r="M118" s="207"/>
      <c r="N118" s="202"/>
      <c r="O118" s="209"/>
      <c r="P118" s="202"/>
      <c r="Q118" s="206">
        <v>18</v>
      </c>
      <c r="R118" s="202"/>
      <c r="S118" s="207"/>
      <c r="T118" s="202"/>
      <c r="U118" s="207"/>
      <c r="V118" s="202"/>
      <c r="W118" s="208"/>
      <c r="X118" s="202"/>
      <c r="Y118" s="210">
        <f t="shared" si="29"/>
        <v>1</v>
      </c>
      <c r="Z118" s="202"/>
      <c r="AA118" s="207"/>
      <c r="AB118" s="202"/>
      <c r="AC118" s="209"/>
      <c r="AD118" s="202"/>
      <c r="AE118" s="206"/>
      <c r="AF118" s="202"/>
      <c r="AG118" s="207"/>
      <c r="AH118" s="202"/>
      <c r="AI118" s="207"/>
      <c r="AJ118" s="202"/>
      <c r="AK118" s="208"/>
      <c r="AL118" s="202"/>
      <c r="AM118" s="210">
        <f t="shared" si="14"/>
        <v>0</v>
      </c>
      <c r="AN118" s="202"/>
      <c r="AO118" s="207"/>
      <c r="AP118" s="202"/>
      <c r="AQ118" s="209"/>
      <c r="AR118" s="202"/>
      <c r="AS118" s="206"/>
      <c r="AT118" s="202"/>
      <c r="AU118" s="204"/>
      <c r="AV118" s="202"/>
      <c r="AW118" s="204"/>
      <c r="AX118" s="202"/>
      <c r="AY118" s="201"/>
      <c r="AZ118" s="202"/>
      <c r="BA118" s="210">
        <f t="shared" si="15"/>
        <v>0</v>
      </c>
      <c r="BB118" s="202"/>
      <c r="BC118" s="204"/>
      <c r="BD118" s="202"/>
      <c r="BE118" s="209"/>
      <c r="BF118" s="202"/>
      <c r="BG118" s="206"/>
      <c r="BH118" s="202"/>
      <c r="BI118" s="204"/>
      <c r="BJ118" s="202"/>
      <c r="BK118" s="204"/>
      <c r="BL118" s="202"/>
      <c r="BM118" s="201"/>
      <c r="BN118" s="202"/>
      <c r="BO118" s="203">
        <f t="shared" si="16"/>
        <v>0</v>
      </c>
      <c r="BP118" s="202"/>
      <c r="BQ118" s="138"/>
      <c r="BR118" s="128"/>
      <c r="BS118" s="128"/>
      <c r="BT118" s="128"/>
      <c r="BU118" s="128"/>
      <c r="BV118" s="128"/>
      <c r="BW118" s="139"/>
      <c r="BX118" s="140"/>
      <c r="BY118" s="139"/>
      <c r="BZ118" s="139"/>
      <c r="CA118" s="134"/>
      <c r="CB118" s="134"/>
      <c r="CC118" s="134"/>
      <c r="CD118" s="134"/>
      <c r="CE118" s="134"/>
      <c r="CF118" s="134"/>
      <c r="CG118" s="134"/>
      <c r="CH118" s="134"/>
      <c r="CI118" s="134"/>
      <c r="CJ118" s="135"/>
      <c r="CK118" s="135"/>
    </row>
    <row r="119" spans="1:89" ht="14.25">
      <c r="A119" s="136"/>
      <c r="B119" s="30" t="s">
        <v>254</v>
      </c>
      <c r="C119" s="46" t="s">
        <v>4</v>
      </c>
      <c r="D119" s="137">
        <f t="shared" si="28"/>
        <v>3</v>
      </c>
      <c r="E119" s="208"/>
      <c r="F119" s="202"/>
      <c r="G119" s="207">
        <v>17</v>
      </c>
      <c r="H119" s="202"/>
      <c r="I119" s="208"/>
      <c r="J119" s="202"/>
      <c r="K119" s="208">
        <f t="shared" si="12"/>
        <v>1</v>
      </c>
      <c r="L119" s="202"/>
      <c r="M119" s="207"/>
      <c r="N119" s="202"/>
      <c r="O119" s="209"/>
      <c r="P119" s="202"/>
      <c r="Q119" s="206">
        <v>17</v>
      </c>
      <c r="R119" s="202"/>
      <c r="S119" s="207"/>
      <c r="T119" s="202"/>
      <c r="U119" s="207"/>
      <c r="V119" s="202"/>
      <c r="W119" s="208"/>
      <c r="X119" s="202"/>
      <c r="Y119" s="210">
        <f t="shared" si="29"/>
        <v>1</v>
      </c>
      <c r="Z119" s="202"/>
      <c r="AA119" s="207">
        <v>17</v>
      </c>
      <c r="AB119" s="202"/>
      <c r="AC119" s="209"/>
      <c r="AD119" s="202"/>
      <c r="AE119" s="206"/>
      <c r="AF119" s="202"/>
      <c r="AG119" s="207"/>
      <c r="AH119" s="202"/>
      <c r="AI119" s="207"/>
      <c r="AJ119" s="202"/>
      <c r="AK119" s="208"/>
      <c r="AL119" s="202"/>
      <c r="AM119" s="210">
        <f t="shared" si="14"/>
        <v>1</v>
      </c>
      <c r="AN119" s="202"/>
      <c r="AO119" s="207"/>
      <c r="AP119" s="202"/>
      <c r="AQ119" s="209"/>
      <c r="AR119" s="202"/>
      <c r="AS119" s="206"/>
      <c r="AT119" s="202"/>
      <c r="AU119" s="204"/>
      <c r="AV119" s="202"/>
      <c r="AW119" s="204"/>
      <c r="AX119" s="202"/>
      <c r="AY119" s="201"/>
      <c r="AZ119" s="202"/>
      <c r="BA119" s="210">
        <f t="shared" si="15"/>
        <v>0</v>
      </c>
      <c r="BB119" s="202"/>
      <c r="BC119" s="204"/>
      <c r="BD119" s="202"/>
      <c r="BE119" s="209"/>
      <c r="BF119" s="202"/>
      <c r="BG119" s="206"/>
      <c r="BH119" s="202"/>
      <c r="BI119" s="204"/>
      <c r="BJ119" s="202"/>
      <c r="BK119" s="204"/>
      <c r="BL119" s="202"/>
      <c r="BM119" s="201"/>
      <c r="BN119" s="202"/>
      <c r="BO119" s="203">
        <f t="shared" si="16"/>
        <v>0</v>
      </c>
      <c r="BP119" s="202"/>
      <c r="BQ119" s="138"/>
      <c r="BR119" s="139"/>
      <c r="BS119" s="139"/>
      <c r="BT119" s="139"/>
      <c r="BU119" s="139"/>
      <c r="BV119" s="139"/>
      <c r="BW119" s="139"/>
      <c r="BX119" s="140"/>
      <c r="BY119" s="139"/>
      <c r="BZ119" s="139"/>
      <c r="CA119" s="139"/>
      <c r="CB119" s="139"/>
      <c r="CC119" s="139"/>
      <c r="CD119" s="139"/>
      <c r="CE119" s="139"/>
      <c r="CF119" s="139"/>
      <c r="CG119" s="139"/>
      <c r="CH119" s="139"/>
      <c r="CI119" s="139"/>
      <c r="CJ119" s="139"/>
      <c r="CK119" s="139"/>
    </row>
    <row r="120" spans="1:89" ht="14.25">
      <c r="A120" s="136"/>
      <c r="B120" s="30" t="s">
        <v>256</v>
      </c>
      <c r="C120" s="46" t="s">
        <v>4</v>
      </c>
      <c r="D120" s="137">
        <f t="shared" si="28"/>
        <v>3</v>
      </c>
      <c r="E120" s="208"/>
      <c r="F120" s="202"/>
      <c r="G120" s="207"/>
      <c r="H120" s="202"/>
      <c r="I120" s="208"/>
      <c r="J120" s="202"/>
      <c r="K120" s="208">
        <f t="shared" si="12"/>
        <v>0</v>
      </c>
      <c r="L120" s="202"/>
      <c r="M120" s="207">
        <v>21</v>
      </c>
      <c r="N120" s="202"/>
      <c r="O120" s="209"/>
      <c r="P120" s="202"/>
      <c r="Q120" s="206">
        <v>20</v>
      </c>
      <c r="R120" s="202"/>
      <c r="S120" s="207"/>
      <c r="T120" s="202"/>
      <c r="U120" s="207">
        <v>20</v>
      </c>
      <c r="V120" s="202"/>
      <c r="W120" s="208">
        <v>13</v>
      </c>
      <c r="X120" s="202"/>
      <c r="Y120" s="210">
        <f t="shared" si="29"/>
        <v>3</v>
      </c>
      <c r="Z120" s="202"/>
      <c r="AA120" s="207"/>
      <c r="AB120" s="202"/>
      <c r="AC120" s="209"/>
      <c r="AD120" s="202"/>
      <c r="AE120" s="206"/>
      <c r="AF120" s="202"/>
      <c r="AG120" s="207"/>
      <c r="AH120" s="202"/>
      <c r="AI120" s="207"/>
      <c r="AJ120" s="202"/>
      <c r="AK120" s="208"/>
      <c r="AL120" s="202"/>
      <c r="AM120" s="210">
        <f t="shared" si="14"/>
        <v>0</v>
      </c>
      <c r="AN120" s="202"/>
      <c r="AO120" s="207"/>
      <c r="AP120" s="202"/>
      <c r="AQ120" s="209"/>
      <c r="AR120" s="202"/>
      <c r="AS120" s="206"/>
      <c r="AT120" s="202"/>
      <c r="AU120" s="204"/>
      <c r="AV120" s="202"/>
      <c r="AW120" s="204"/>
      <c r="AX120" s="202"/>
      <c r="AY120" s="201"/>
      <c r="AZ120" s="202"/>
      <c r="BA120" s="210">
        <f t="shared" si="15"/>
        <v>0</v>
      </c>
      <c r="BB120" s="202"/>
      <c r="BC120" s="204"/>
      <c r="BD120" s="202"/>
      <c r="BE120" s="209"/>
      <c r="BF120" s="202"/>
      <c r="BG120" s="206"/>
      <c r="BH120" s="202"/>
      <c r="BI120" s="204"/>
      <c r="BJ120" s="202"/>
      <c r="BK120" s="204"/>
      <c r="BL120" s="202"/>
      <c r="BM120" s="201"/>
      <c r="BN120" s="202"/>
      <c r="BO120" s="203">
        <f t="shared" si="16"/>
        <v>0</v>
      </c>
      <c r="BP120" s="202"/>
      <c r="BQ120" s="138"/>
      <c r="BR120" s="139"/>
      <c r="BS120" s="139"/>
      <c r="BT120" s="139"/>
      <c r="BU120" s="139"/>
      <c r="BV120" s="139"/>
      <c r="BW120" s="139"/>
      <c r="BX120" s="140"/>
      <c r="BY120" s="139"/>
      <c r="BZ120" s="139"/>
      <c r="CA120" s="139"/>
      <c r="CB120" s="139"/>
      <c r="CC120" s="139"/>
      <c r="CD120" s="139"/>
      <c r="CE120" s="139"/>
      <c r="CF120" s="139"/>
      <c r="CG120" s="139"/>
      <c r="CH120" s="139"/>
      <c r="CI120" s="139"/>
      <c r="CJ120" s="139"/>
      <c r="CK120" s="139"/>
    </row>
    <row r="121" spans="1:89" ht="14.25">
      <c r="A121" s="142"/>
      <c r="B121" s="30" t="s">
        <v>258</v>
      </c>
      <c r="C121" s="46" t="s">
        <v>4</v>
      </c>
      <c r="D121" s="137">
        <f t="shared" si="28"/>
        <v>5</v>
      </c>
      <c r="E121" s="208">
        <v>11</v>
      </c>
      <c r="F121" s="202"/>
      <c r="G121" s="207">
        <v>18</v>
      </c>
      <c r="H121" s="202"/>
      <c r="I121" s="208"/>
      <c r="J121" s="202"/>
      <c r="K121" s="208">
        <f t="shared" si="12"/>
        <v>1</v>
      </c>
      <c r="L121" s="202"/>
      <c r="M121" s="207"/>
      <c r="N121" s="202"/>
      <c r="O121" s="209">
        <v>10</v>
      </c>
      <c r="P121" s="202"/>
      <c r="Q121" s="206"/>
      <c r="R121" s="202"/>
      <c r="S121" s="207">
        <v>17</v>
      </c>
      <c r="T121" s="202"/>
      <c r="U121" s="207">
        <v>12</v>
      </c>
      <c r="V121" s="202"/>
      <c r="W121" s="208"/>
      <c r="X121" s="202"/>
      <c r="Y121" s="210">
        <f t="shared" si="29"/>
        <v>3</v>
      </c>
      <c r="Z121" s="202"/>
      <c r="AA121" s="207">
        <v>18</v>
      </c>
      <c r="AB121" s="202"/>
      <c r="AC121" s="209"/>
      <c r="AD121" s="202"/>
      <c r="AE121" s="206"/>
      <c r="AF121" s="202"/>
      <c r="AG121" s="207"/>
      <c r="AH121" s="202"/>
      <c r="AI121" s="207"/>
      <c r="AJ121" s="202"/>
      <c r="AK121" s="208"/>
      <c r="AL121" s="202"/>
      <c r="AM121" s="210">
        <f t="shared" si="14"/>
        <v>1</v>
      </c>
      <c r="AN121" s="202"/>
      <c r="AO121" s="207"/>
      <c r="AP121" s="202"/>
      <c r="AQ121" s="209"/>
      <c r="AR121" s="202"/>
      <c r="AS121" s="206"/>
      <c r="AT121" s="202"/>
      <c r="AU121" s="204"/>
      <c r="AV121" s="202"/>
      <c r="AW121" s="204"/>
      <c r="AX121" s="202"/>
      <c r="AY121" s="201"/>
      <c r="AZ121" s="202"/>
      <c r="BA121" s="210">
        <f t="shared" si="15"/>
        <v>0</v>
      </c>
      <c r="BB121" s="202"/>
      <c r="BC121" s="204"/>
      <c r="BD121" s="202"/>
      <c r="BE121" s="209"/>
      <c r="BF121" s="202"/>
      <c r="BG121" s="206"/>
      <c r="BH121" s="202"/>
      <c r="BI121" s="204"/>
      <c r="BJ121" s="202"/>
      <c r="BK121" s="204"/>
      <c r="BL121" s="202"/>
      <c r="BM121" s="201"/>
      <c r="BN121" s="202"/>
      <c r="BO121" s="203">
        <f t="shared" si="16"/>
        <v>0</v>
      </c>
      <c r="BP121" s="202"/>
      <c r="BQ121" s="138"/>
      <c r="BR121" s="128"/>
      <c r="BS121" s="128"/>
      <c r="BT121" s="128"/>
      <c r="BU121" s="128"/>
      <c r="BV121" s="128"/>
      <c r="BW121" s="139"/>
      <c r="BX121" s="140"/>
      <c r="BY121" s="139"/>
      <c r="BZ121" s="139"/>
      <c r="CA121" s="134"/>
      <c r="CB121" s="134"/>
      <c r="CC121" s="134"/>
      <c r="CD121" s="134"/>
      <c r="CE121" s="134"/>
      <c r="CF121" s="134"/>
      <c r="CG121" s="134"/>
      <c r="CH121" s="134"/>
      <c r="CI121" s="134"/>
      <c r="CJ121" s="135"/>
      <c r="CK121" s="135"/>
    </row>
    <row r="122" spans="1:89" ht="14.25">
      <c r="A122" s="136"/>
      <c r="B122" s="30" t="s">
        <v>260</v>
      </c>
      <c r="C122" s="46" t="s">
        <v>4</v>
      </c>
      <c r="D122" s="137">
        <f t="shared" si="28"/>
        <v>0</v>
      </c>
      <c r="E122" s="208"/>
      <c r="F122" s="202"/>
      <c r="G122" s="207"/>
      <c r="H122" s="202"/>
      <c r="I122" s="208"/>
      <c r="J122" s="202"/>
      <c r="K122" s="208">
        <f t="shared" si="12"/>
        <v>0</v>
      </c>
      <c r="L122" s="202"/>
      <c r="M122" s="207"/>
      <c r="N122" s="202"/>
      <c r="O122" s="209"/>
      <c r="P122" s="202"/>
      <c r="Q122" s="206"/>
      <c r="R122" s="202"/>
      <c r="S122" s="207"/>
      <c r="T122" s="202"/>
      <c r="U122" s="207"/>
      <c r="V122" s="202"/>
      <c r="W122" s="208"/>
      <c r="X122" s="202"/>
      <c r="Y122" s="210">
        <f t="shared" si="29"/>
        <v>0</v>
      </c>
      <c r="Z122" s="202"/>
      <c r="AA122" s="207"/>
      <c r="AB122" s="202"/>
      <c r="AC122" s="209"/>
      <c r="AD122" s="202"/>
      <c r="AE122" s="206"/>
      <c r="AF122" s="202"/>
      <c r="AG122" s="207"/>
      <c r="AH122" s="202"/>
      <c r="AI122" s="207"/>
      <c r="AJ122" s="202"/>
      <c r="AK122" s="208"/>
      <c r="AL122" s="202"/>
      <c r="AM122" s="210">
        <f t="shared" si="14"/>
        <v>0</v>
      </c>
      <c r="AN122" s="202"/>
      <c r="AO122" s="207"/>
      <c r="AP122" s="202"/>
      <c r="AQ122" s="209"/>
      <c r="AR122" s="202"/>
      <c r="AS122" s="206"/>
      <c r="AT122" s="202"/>
      <c r="AU122" s="204"/>
      <c r="AV122" s="202"/>
      <c r="AW122" s="204"/>
      <c r="AX122" s="202"/>
      <c r="AY122" s="201"/>
      <c r="AZ122" s="202"/>
      <c r="BA122" s="210">
        <f t="shared" si="15"/>
        <v>0</v>
      </c>
      <c r="BB122" s="202"/>
      <c r="BC122" s="204"/>
      <c r="BD122" s="202"/>
      <c r="BE122" s="209"/>
      <c r="BF122" s="202"/>
      <c r="BG122" s="206"/>
      <c r="BH122" s="202"/>
      <c r="BI122" s="204"/>
      <c r="BJ122" s="202"/>
      <c r="BK122" s="204"/>
      <c r="BL122" s="202"/>
      <c r="BM122" s="201"/>
      <c r="BN122" s="202"/>
      <c r="BO122" s="203">
        <f t="shared" si="16"/>
        <v>0</v>
      </c>
      <c r="BP122" s="202"/>
      <c r="BQ122" s="138"/>
      <c r="BR122" s="139"/>
      <c r="BS122" s="139"/>
      <c r="BT122" s="139"/>
      <c r="BU122" s="139"/>
      <c r="BV122" s="139"/>
      <c r="BW122" s="139"/>
      <c r="BX122" s="140"/>
      <c r="BY122" s="139"/>
      <c r="BZ122" s="139"/>
      <c r="CA122" s="139"/>
      <c r="CB122" s="139"/>
      <c r="CC122" s="139"/>
      <c r="CD122" s="139"/>
      <c r="CE122" s="139"/>
      <c r="CF122" s="139"/>
      <c r="CG122" s="139"/>
      <c r="CH122" s="139"/>
      <c r="CI122" s="139"/>
      <c r="CJ122" s="139"/>
      <c r="CK122" s="139"/>
    </row>
    <row r="123" spans="1:89" ht="14.25">
      <c r="A123" s="136"/>
      <c r="B123" s="30" t="s">
        <v>262</v>
      </c>
      <c r="C123" s="46" t="s">
        <v>3</v>
      </c>
      <c r="D123" s="137">
        <f t="shared" si="28"/>
        <v>6</v>
      </c>
      <c r="E123" s="208">
        <v>13</v>
      </c>
      <c r="F123" s="202"/>
      <c r="G123" s="207">
        <v>21</v>
      </c>
      <c r="H123" s="202"/>
      <c r="I123" s="208"/>
      <c r="J123" s="202"/>
      <c r="K123" s="208">
        <f t="shared" si="12"/>
        <v>1</v>
      </c>
      <c r="L123" s="202"/>
      <c r="M123" s="207">
        <v>21</v>
      </c>
      <c r="N123" s="202"/>
      <c r="O123" s="209">
        <v>19</v>
      </c>
      <c r="P123" s="202"/>
      <c r="Q123" s="206"/>
      <c r="R123" s="202"/>
      <c r="S123" s="207">
        <v>18</v>
      </c>
      <c r="T123" s="202"/>
      <c r="U123" s="207">
        <v>21</v>
      </c>
      <c r="V123" s="202"/>
      <c r="W123" s="208"/>
      <c r="X123" s="202"/>
      <c r="Y123" s="210">
        <f t="shared" si="29"/>
        <v>4</v>
      </c>
      <c r="Z123" s="202"/>
      <c r="AA123" s="207">
        <v>20</v>
      </c>
      <c r="AB123" s="202"/>
      <c r="AC123" s="209"/>
      <c r="AD123" s="202"/>
      <c r="AE123" s="206"/>
      <c r="AF123" s="202"/>
      <c r="AG123" s="207"/>
      <c r="AH123" s="202"/>
      <c r="AI123" s="207"/>
      <c r="AJ123" s="202"/>
      <c r="AK123" s="208"/>
      <c r="AL123" s="202"/>
      <c r="AM123" s="210">
        <f t="shared" si="14"/>
        <v>1</v>
      </c>
      <c r="AN123" s="202"/>
      <c r="AO123" s="207"/>
      <c r="AP123" s="202"/>
      <c r="AQ123" s="209"/>
      <c r="AR123" s="202"/>
      <c r="AS123" s="206"/>
      <c r="AT123" s="202"/>
      <c r="AU123" s="204"/>
      <c r="AV123" s="202"/>
      <c r="AW123" s="204"/>
      <c r="AX123" s="202"/>
      <c r="AY123" s="201"/>
      <c r="AZ123" s="202"/>
      <c r="BA123" s="210">
        <f t="shared" si="15"/>
        <v>0</v>
      </c>
      <c r="BB123" s="202"/>
      <c r="BC123" s="204"/>
      <c r="BD123" s="202"/>
      <c r="BE123" s="209"/>
      <c r="BF123" s="202"/>
      <c r="BG123" s="206"/>
      <c r="BH123" s="202"/>
      <c r="BI123" s="204"/>
      <c r="BJ123" s="202"/>
      <c r="BK123" s="204"/>
      <c r="BL123" s="202"/>
      <c r="BM123" s="201"/>
      <c r="BN123" s="202"/>
      <c r="BO123" s="203">
        <f t="shared" si="16"/>
        <v>0</v>
      </c>
      <c r="BP123" s="202"/>
      <c r="BQ123" s="138"/>
      <c r="BR123" s="139"/>
      <c r="BS123" s="139"/>
      <c r="BT123" s="139"/>
      <c r="BU123" s="139"/>
      <c r="BV123" s="139"/>
      <c r="BW123" s="139"/>
      <c r="BX123" s="140"/>
      <c r="BY123" s="139"/>
      <c r="BZ123" s="139"/>
      <c r="CA123" s="139"/>
      <c r="CB123" s="139"/>
      <c r="CC123" s="139"/>
      <c r="CD123" s="139"/>
      <c r="CE123" s="139"/>
      <c r="CF123" s="139"/>
      <c r="CG123" s="139"/>
      <c r="CH123" s="139"/>
      <c r="CI123" s="139"/>
      <c r="CJ123" s="139"/>
      <c r="CK123" s="139"/>
    </row>
    <row r="124" spans="1:89" ht="14.25">
      <c r="A124" s="142"/>
      <c r="B124" s="30" t="s">
        <v>264</v>
      </c>
      <c r="C124" s="46" t="s">
        <v>4</v>
      </c>
      <c r="D124" s="137">
        <f t="shared" si="28"/>
        <v>0</v>
      </c>
      <c r="E124" s="208"/>
      <c r="F124" s="202"/>
      <c r="G124" s="207"/>
      <c r="H124" s="202"/>
      <c r="I124" s="208"/>
      <c r="J124" s="202"/>
      <c r="K124" s="208">
        <f t="shared" si="12"/>
        <v>0</v>
      </c>
      <c r="L124" s="202"/>
      <c r="M124" s="207"/>
      <c r="N124" s="202"/>
      <c r="O124" s="209"/>
      <c r="P124" s="202"/>
      <c r="Q124" s="206"/>
      <c r="R124" s="202"/>
      <c r="S124" s="207"/>
      <c r="T124" s="202"/>
      <c r="U124" s="207"/>
      <c r="V124" s="202"/>
      <c r="W124" s="208"/>
      <c r="X124" s="202"/>
      <c r="Y124" s="210">
        <f t="shared" si="29"/>
        <v>0</v>
      </c>
      <c r="Z124" s="202"/>
      <c r="AA124" s="207"/>
      <c r="AB124" s="202"/>
      <c r="AC124" s="209"/>
      <c r="AD124" s="202"/>
      <c r="AE124" s="206"/>
      <c r="AF124" s="202"/>
      <c r="AG124" s="207"/>
      <c r="AH124" s="202"/>
      <c r="AI124" s="207"/>
      <c r="AJ124" s="202"/>
      <c r="AK124" s="208"/>
      <c r="AL124" s="202"/>
      <c r="AM124" s="210">
        <f t="shared" si="14"/>
        <v>0</v>
      </c>
      <c r="AN124" s="202"/>
      <c r="AO124" s="207"/>
      <c r="AP124" s="202"/>
      <c r="AQ124" s="209"/>
      <c r="AR124" s="202"/>
      <c r="AS124" s="206"/>
      <c r="AT124" s="202"/>
      <c r="AU124" s="204"/>
      <c r="AV124" s="202"/>
      <c r="AW124" s="204"/>
      <c r="AX124" s="202"/>
      <c r="AY124" s="201"/>
      <c r="AZ124" s="202"/>
      <c r="BA124" s="210">
        <f t="shared" si="15"/>
        <v>0</v>
      </c>
      <c r="BB124" s="202"/>
      <c r="BC124" s="204"/>
      <c r="BD124" s="202"/>
      <c r="BE124" s="209"/>
      <c r="BF124" s="202"/>
      <c r="BG124" s="206"/>
      <c r="BH124" s="202"/>
      <c r="BI124" s="204"/>
      <c r="BJ124" s="202"/>
      <c r="BK124" s="204"/>
      <c r="BL124" s="202"/>
      <c r="BM124" s="201"/>
      <c r="BN124" s="202"/>
      <c r="BO124" s="203">
        <f t="shared" si="16"/>
        <v>0</v>
      </c>
      <c r="BP124" s="202"/>
      <c r="BQ124" s="138"/>
      <c r="BR124" s="128"/>
      <c r="BS124" s="128"/>
      <c r="BT124" s="128"/>
      <c r="BU124" s="128"/>
      <c r="BV124" s="128"/>
      <c r="BW124" s="139"/>
      <c r="BX124" s="140"/>
      <c r="BY124" s="139"/>
      <c r="BZ124" s="139"/>
      <c r="CA124" s="134"/>
      <c r="CB124" s="134"/>
      <c r="CC124" s="134"/>
      <c r="CD124" s="134"/>
      <c r="CE124" s="134"/>
      <c r="CF124" s="134"/>
      <c r="CG124" s="134"/>
      <c r="CH124" s="134"/>
      <c r="CI124" s="134"/>
      <c r="CJ124" s="135"/>
      <c r="CK124" s="135"/>
    </row>
    <row r="125" spans="1:89" ht="14.25">
      <c r="A125" s="136"/>
      <c r="B125" s="30" t="s">
        <v>266</v>
      </c>
      <c r="C125" s="46" t="s">
        <v>4</v>
      </c>
      <c r="D125" s="137">
        <f t="shared" si="28"/>
        <v>0</v>
      </c>
      <c r="E125" s="208"/>
      <c r="F125" s="202"/>
      <c r="G125" s="207"/>
      <c r="H125" s="202"/>
      <c r="I125" s="208"/>
      <c r="J125" s="202"/>
      <c r="K125" s="208">
        <f t="shared" si="12"/>
        <v>0</v>
      </c>
      <c r="L125" s="202"/>
      <c r="M125" s="207"/>
      <c r="N125" s="202"/>
      <c r="O125" s="209"/>
      <c r="P125" s="202"/>
      <c r="Q125" s="206"/>
      <c r="R125" s="202"/>
      <c r="S125" s="207"/>
      <c r="T125" s="202"/>
      <c r="U125" s="207"/>
      <c r="V125" s="202"/>
      <c r="W125" s="208"/>
      <c r="X125" s="202"/>
      <c r="Y125" s="210">
        <f t="shared" si="29"/>
        <v>0</v>
      </c>
      <c r="Z125" s="202"/>
      <c r="AA125" s="207"/>
      <c r="AB125" s="202"/>
      <c r="AC125" s="209"/>
      <c r="AD125" s="202"/>
      <c r="AE125" s="206"/>
      <c r="AF125" s="202"/>
      <c r="AG125" s="207"/>
      <c r="AH125" s="202"/>
      <c r="AI125" s="207"/>
      <c r="AJ125" s="202"/>
      <c r="AK125" s="208"/>
      <c r="AL125" s="202"/>
      <c r="AM125" s="210">
        <f t="shared" si="14"/>
        <v>0</v>
      </c>
      <c r="AN125" s="202"/>
      <c r="AO125" s="207"/>
      <c r="AP125" s="202"/>
      <c r="AQ125" s="209"/>
      <c r="AR125" s="202"/>
      <c r="AS125" s="206"/>
      <c r="AT125" s="202"/>
      <c r="AU125" s="204"/>
      <c r="AV125" s="202"/>
      <c r="AW125" s="204"/>
      <c r="AX125" s="202"/>
      <c r="AY125" s="201"/>
      <c r="AZ125" s="202"/>
      <c r="BA125" s="210">
        <f t="shared" si="15"/>
        <v>0</v>
      </c>
      <c r="BB125" s="202"/>
      <c r="BC125" s="204"/>
      <c r="BD125" s="202"/>
      <c r="BE125" s="209"/>
      <c r="BF125" s="202"/>
      <c r="BG125" s="206"/>
      <c r="BH125" s="202"/>
      <c r="BI125" s="204"/>
      <c r="BJ125" s="202"/>
      <c r="BK125" s="204"/>
      <c r="BL125" s="202"/>
      <c r="BM125" s="201"/>
      <c r="BN125" s="202"/>
      <c r="BO125" s="203">
        <f t="shared" si="16"/>
        <v>0</v>
      </c>
      <c r="BP125" s="202"/>
      <c r="BQ125" s="138"/>
      <c r="BR125" s="139"/>
      <c r="BS125" s="139"/>
      <c r="BT125" s="139"/>
      <c r="BU125" s="139"/>
      <c r="BV125" s="139"/>
      <c r="BW125" s="139"/>
      <c r="BX125" s="140"/>
      <c r="BY125" s="139"/>
      <c r="BZ125" s="139"/>
      <c r="CA125" s="139"/>
      <c r="CB125" s="139"/>
      <c r="CC125" s="139"/>
      <c r="CD125" s="139"/>
      <c r="CE125" s="139"/>
      <c r="CF125" s="139"/>
      <c r="CG125" s="139"/>
      <c r="CH125" s="139"/>
      <c r="CI125" s="139"/>
      <c r="CJ125" s="139"/>
      <c r="CK125" s="139"/>
    </row>
    <row r="126" spans="1:89" ht="14.25">
      <c r="A126" s="142"/>
      <c r="B126" s="30" t="s">
        <v>268</v>
      </c>
      <c r="C126" s="46" t="s">
        <v>4</v>
      </c>
      <c r="D126" s="137">
        <f t="shared" si="28"/>
        <v>6</v>
      </c>
      <c r="E126" s="208">
        <v>13</v>
      </c>
      <c r="F126" s="202"/>
      <c r="G126" s="207"/>
      <c r="H126" s="202"/>
      <c r="I126" s="208"/>
      <c r="J126" s="202"/>
      <c r="K126" s="208">
        <f t="shared" si="12"/>
        <v>0</v>
      </c>
      <c r="L126" s="202"/>
      <c r="M126" s="207">
        <v>19</v>
      </c>
      <c r="N126" s="202"/>
      <c r="O126" s="209">
        <v>18</v>
      </c>
      <c r="P126" s="202"/>
      <c r="Q126" s="206">
        <v>18</v>
      </c>
      <c r="R126" s="202"/>
      <c r="S126" s="207">
        <v>18</v>
      </c>
      <c r="T126" s="202"/>
      <c r="U126" s="207">
        <v>18</v>
      </c>
      <c r="V126" s="202"/>
      <c r="W126" s="208">
        <v>11</v>
      </c>
      <c r="X126" s="202"/>
      <c r="Y126" s="210">
        <f t="shared" si="29"/>
        <v>5</v>
      </c>
      <c r="Z126" s="202"/>
      <c r="AA126" s="207">
        <v>18</v>
      </c>
      <c r="AB126" s="202"/>
      <c r="AC126" s="209"/>
      <c r="AD126" s="202"/>
      <c r="AE126" s="206"/>
      <c r="AF126" s="202"/>
      <c r="AG126" s="207"/>
      <c r="AH126" s="202"/>
      <c r="AI126" s="207"/>
      <c r="AJ126" s="202"/>
      <c r="AK126" s="208"/>
      <c r="AL126" s="202"/>
      <c r="AM126" s="210">
        <f t="shared" si="14"/>
        <v>1</v>
      </c>
      <c r="AN126" s="202"/>
      <c r="AO126" s="207"/>
      <c r="AP126" s="202"/>
      <c r="AQ126" s="209"/>
      <c r="AR126" s="202"/>
      <c r="AS126" s="206"/>
      <c r="AT126" s="202"/>
      <c r="AU126" s="204"/>
      <c r="AV126" s="202"/>
      <c r="AW126" s="204"/>
      <c r="AX126" s="202"/>
      <c r="AY126" s="201"/>
      <c r="AZ126" s="202"/>
      <c r="BA126" s="210">
        <f t="shared" si="15"/>
        <v>0</v>
      </c>
      <c r="BB126" s="202"/>
      <c r="BC126" s="204"/>
      <c r="BD126" s="202"/>
      <c r="BE126" s="209"/>
      <c r="BF126" s="202"/>
      <c r="BG126" s="206"/>
      <c r="BH126" s="202"/>
      <c r="BI126" s="204"/>
      <c r="BJ126" s="202"/>
      <c r="BK126" s="204"/>
      <c r="BL126" s="202"/>
      <c r="BM126" s="201"/>
      <c r="BN126" s="202"/>
      <c r="BO126" s="203">
        <f t="shared" si="16"/>
        <v>0</v>
      </c>
      <c r="BP126" s="202"/>
      <c r="BQ126" s="138"/>
      <c r="BR126" s="128"/>
      <c r="BS126" s="128"/>
      <c r="BT126" s="128"/>
      <c r="BU126" s="128"/>
      <c r="BV126" s="128"/>
      <c r="BW126" s="139"/>
      <c r="BX126" s="140"/>
      <c r="BY126" s="139"/>
      <c r="BZ126" s="139"/>
      <c r="CA126" s="134"/>
      <c r="CB126" s="134"/>
      <c r="CC126" s="134"/>
      <c r="CD126" s="134"/>
      <c r="CE126" s="134"/>
      <c r="CF126" s="134"/>
      <c r="CG126" s="134"/>
      <c r="CH126" s="134"/>
      <c r="CI126" s="134"/>
      <c r="CJ126" s="135"/>
      <c r="CK126" s="135"/>
    </row>
    <row r="127" spans="1:89" ht="14.25">
      <c r="A127" s="142"/>
      <c r="B127" s="30" t="s">
        <v>270</v>
      </c>
      <c r="C127" s="46" t="s">
        <v>4</v>
      </c>
      <c r="D127" s="137">
        <f t="shared" si="28"/>
        <v>0</v>
      </c>
      <c r="E127" s="208"/>
      <c r="F127" s="202"/>
      <c r="G127" s="207"/>
      <c r="H127" s="202"/>
      <c r="I127" s="208"/>
      <c r="J127" s="202"/>
      <c r="K127" s="208">
        <f t="shared" si="12"/>
        <v>0</v>
      </c>
      <c r="L127" s="202"/>
      <c r="M127" s="207"/>
      <c r="N127" s="202"/>
      <c r="O127" s="209"/>
      <c r="P127" s="202"/>
      <c r="Q127" s="206"/>
      <c r="R127" s="202"/>
      <c r="S127" s="207"/>
      <c r="T127" s="202"/>
      <c r="U127" s="207"/>
      <c r="V127" s="202"/>
      <c r="W127" s="208"/>
      <c r="X127" s="202"/>
      <c r="Y127" s="210">
        <f t="shared" si="29"/>
        <v>0</v>
      </c>
      <c r="Z127" s="202"/>
      <c r="AA127" s="207"/>
      <c r="AB127" s="202"/>
      <c r="AC127" s="209"/>
      <c r="AD127" s="202"/>
      <c r="AE127" s="206"/>
      <c r="AF127" s="202"/>
      <c r="AG127" s="207"/>
      <c r="AH127" s="202"/>
      <c r="AI127" s="207"/>
      <c r="AJ127" s="202"/>
      <c r="AK127" s="208"/>
      <c r="AL127" s="202"/>
      <c r="AM127" s="210">
        <f t="shared" si="14"/>
        <v>0</v>
      </c>
      <c r="AN127" s="202"/>
      <c r="AO127" s="207"/>
      <c r="AP127" s="202"/>
      <c r="AQ127" s="209"/>
      <c r="AR127" s="202"/>
      <c r="AS127" s="206"/>
      <c r="AT127" s="202"/>
      <c r="AU127" s="204"/>
      <c r="AV127" s="202"/>
      <c r="AW127" s="204"/>
      <c r="AX127" s="202"/>
      <c r="AY127" s="201"/>
      <c r="AZ127" s="202"/>
      <c r="BA127" s="210">
        <f t="shared" si="15"/>
        <v>0</v>
      </c>
      <c r="BB127" s="202"/>
      <c r="BC127" s="204"/>
      <c r="BD127" s="202"/>
      <c r="BE127" s="209"/>
      <c r="BF127" s="202"/>
      <c r="BG127" s="206"/>
      <c r="BH127" s="202"/>
      <c r="BI127" s="204"/>
      <c r="BJ127" s="202"/>
      <c r="BK127" s="204"/>
      <c r="BL127" s="202"/>
      <c r="BM127" s="201"/>
      <c r="BN127" s="202"/>
      <c r="BO127" s="203">
        <f t="shared" si="16"/>
        <v>0</v>
      </c>
      <c r="BP127" s="202"/>
      <c r="BQ127" s="138"/>
      <c r="BR127" s="128"/>
      <c r="BS127" s="128"/>
      <c r="BT127" s="128"/>
      <c r="BU127" s="128"/>
      <c r="BV127" s="128"/>
      <c r="BW127" s="139"/>
      <c r="BX127" s="140"/>
      <c r="BY127" s="139"/>
      <c r="BZ127" s="139"/>
      <c r="CA127" s="134"/>
      <c r="CB127" s="134"/>
      <c r="CC127" s="134"/>
      <c r="CD127" s="134"/>
      <c r="CE127" s="134"/>
      <c r="CF127" s="134"/>
      <c r="CG127" s="134"/>
      <c r="CH127" s="134"/>
      <c r="CI127" s="134"/>
      <c r="CJ127" s="135"/>
      <c r="CK127" s="135"/>
    </row>
    <row r="128" spans="1:89" ht="14.25">
      <c r="A128" s="136"/>
      <c r="B128" s="30" t="s">
        <v>272</v>
      </c>
      <c r="C128" s="46" t="s">
        <v>4</v>
      </c>
      <c r="D128" s="137">
        <f t="shared" si="28"/>
        <v>4</v>
      </c>
      <c r="E128" s="208"/>
      <c r="F128" s="202"/>
      <c r="G128" s="207"/>
      <c r="H128" s="202"/>
      <c r="I128" s="208"/>
      <c r="J128" s="202"/>
      <c r="K128" s="208">
        <f t="shared" si="12"/>
        <v>0</v>
      </c>
      <c r="L128" s="202"/>
      <c r="M128" s="207">
        <v>20</v>
      </c>
      <c r="N128" s="202"/>
      <c r="O128" s="209"/>
      <c r="P128" s="202"/>
      <c r="Q128" s="206">
        <v>12</v>
      </c>
      <c r="R128" s="202"/>
      <c r="S128" s="207">
        <v>20</v>
      </c>
      <c r="T128" s="202"/>
      <c r="U128" s="207">
        <v>17</v>
      </c>
      <c r="V128" s="202"/>
      <c r="W128" s="208"/>
      <c r="X128" s="202"/>
      <c r="Y128" s="210">
        <f t="shared" si="29"/>
        <v>4</v>
      </c>
      <c r="Z128" s="202"/>
      <c r="AA128" s="207"/>
      <c r="AB128" s="202"/>
      <c r="AC128" s="209"/>
      <c r="AD128" s="202"/>
      <c r="AE128" s="206"/>
      <c r="AF128" s="202"/>
      <c r="AG128" s="207"/>
      <c r="AH128" s="202"/>
      <c r="AI128" s="207"/>
      <c r="AJ128" s="202"/>
      <c r="AK128" s="208"/>
      <c r="AL128" s="202"/>
      <c r="AM128" s="210">
        <f t="shared" si="14"/>
        <v>0</v>
      </c>
      <c r="AN128" s="202"/>
      <c r="AO128" s="207"/>
      <c r="AP128" s="202"/>
      <c r="AQ128" s="209"/>
      <c r="AR128" s="202"/>
      <c r="AS128" s="206"/>
      <c r="AT128" s="202"/>
      <c r="AU128" s="204"/>
      <c r="AV128" s="202"/>
      <c r="AW128" s="204"/>
      <c r="AX128" s="202"/>
      <c r="AY128" s="201"/>
      <c r="AZ128" s="202"/>
      <c r="BA128" s="210">
        <f t="shared" si="15"/>
        <v>0</v>
      </c>
      <c r="BB128" s="202"/>
      <c r="BC128" s="204"/>
      <c r="BD128" s="202"/>
      <c r="BE128" s="209"/>
      <c r="BF128" s="202"/>
      <c r="BG128" s="206"/>
      <c r="BH128" s="202"/>
      <c r="BI128" s="204"/>
      <c r="BJ128" s="202"/>
      <c r="BK128" s="204"/>
      <c r="BL128" s="202"/>
      <c r="BM128" s="201"/>
      <c r="BN128" s="202"/>
      <c r="BO128" s="203">
        <f t="shared" si="16"/>
        <v>0</v>
      </c>
      <c r="BP128" s="202"/>
      <c r="BQ128" s="138"/>
      <c r="BR128" s="139"/>
      <c r="BS128" s="139"/>
      <c r="BT128" s="139"/>
      <c r="BU128" s="139"/>
      <c r="BV128" s="139"/>
      <c r="BW128" s="139"/>
      <c r="BX128" s="140"/>
      <c r="BY128" s="139"/>
      <c r="BZ128" s="139"/>
      <c r="CA128" s="139"/>
      <c r="CB128" s="139"/>
      <c r="CC128" s="139"/>
      <c r="CD128" s="139"/>
      <c r="CE128" s="139"/>
      <c r="CF128" s="139"/>
      <c r="CG128" s="139"/>
      <c r="CH128" s="139"/>
      <c r="CI128" s="139"/>
      <c r="CJ128" s="139"/>
      <c r="CK128" s="139"/>
    </row>
    <row r="129" spans="1:89" ht="14.25">
      <c r="A129" s="136"/>
      <c r="B129" s="30" t="s">
        <v>274</v>
      </c>
      <c r="C129" s="46" t="s">
        <v>4</v>
      </c>
      <c r="D129" s="137">
        <f t="shared" si="28"/>
        <v>3</v>
      </c>
      <c r="E129" s="208"/>
      <c r="F129" s="202"/>
      <c r="G129" s="207">
        <v>21</v>
      </c>
      <c r="H129" s="202"/>
      <c r="I129" s="208"/>
      <c r="J129" s="202"/>
      <c r="K129" s="208">
        <f t="shared" si="12"/>
        <v>1</v>
      </c>
      <c r="L129" s="202"/>
      <c r="M129" s="207"/>
      <c r="N129" s="202"/>
      <c r="O129" s="209">
        <v>20</v>
      </c>
      <c r="P129" s="202"/>
      <c r="Q129" s="206"/>
      <c r="R129" s="202"/>
      <c r="S129" s="207"/>
      <c r="T129" s="202"/>
      <c r="U129" s="207">
        <v>19</v>
      </c>
      <c r="V129" s="202"/>
      <c r="W129" s="208"/>
      <c r="X129" s="202"/>
      <c r="Y129" s="210">
        <f t="shared" si="29"/>
        <v>2</v>
      </c>
      <c r="Z129" s="202"/>
      <c r="AA129" s="207"/>
      <c r="AB129" s="202"/>
      <c r="AC129" s="209"/>
      <c r="AD129" s="202"/>
      <c r="AE129" s="206"/>
      <c r="AF129" s="202"/>
      <c r="AG129" s="207"/>
      <c r="AH129" s="202"/>
      <c r="AI129" s="207"/>
      <c r="AJ129" s="202"/>
      <c r="AK129" s="208"/>
      <c r="AL129" s="202"/>
      <c r="AM129" s="210">
        <f t="shared" si="14"/>
        <v>0</v>
      </c>
      <c r="AN129" s="202"/>
      <c r="AO129" s="207"/>
      <c r="AP129" s="202"/>
      <c r="AQ129" s="209"/>
      <c r="AR129" s="202"/>
      <c r="AS129" s="206"/>
      <c r="AT129" s="202"/>
      <c r="AU129" s="204"/>
      <c r="AV129" s="202"/>
      <c r="AW129" s="204"/>
      <c r="AX129" s="202"/>
      <c r="AY129" s="201"/>
      <c r="AZ129" s="202"/>
      <c r="BA129" s="210">
        <f t="shared" si="15"/>
        <v>0</v>
      </c>
      <c r="BB129" s="202"/>
      <c r="BC129" s="204"/>
      <c r="BD129" s="202"/>
      <c r="BE129" s="209"/>
      <c r="BF129" s="202"/>
      <c r="BG129" s="206"/>
      <c r="BH129" s="202"/>
      <c r="BI129" s="204"/>
      <c r="BJ129" s="202"/>
      <c r="BK129" s="204"/>
      <c r="BL129" s="202"/>
      <c r="BM129" s="201"/>
      <c r="BN129" s="202"/>
      <c r="BO129" s="203">
        <f t="shared" si="16"/>
        <v>0</v>
      </c>
      <c r="BP129" s="202"/>
      <c r="BQ129" s="138"/>
      <c r="BR129" s="139"/>
      <c r="BS129" s="139"/>
      <c r="BT129" s="139"/>
      <c r="BU129" s="139"/>
      <c r="BV129" s="139"/>
      <c r="BW129" s="139"/>
      <c r="BX129" s="140"/>
      <c r="BY129" s="139"/>
      <c r="BZ129" s="139"/>
      <c r="CA129" s="139"/>
      <c r="CB129" s="139"/>
      <c r="CC129" s="139"/>
      <c r="CD129" s="139"/>
      <c r="CE129" s="139"/>
      <c r="CF129" s="139"/>
      <c r="CG129" s="139"/>
      <c r="CH129" s="139"/>
      <c r="CI129" s="139"/>
      <c r="CJ129" s="139"/>
      <c r="CK129" s="139"/>
    </row>
    <row r="130" spans="1:89" ht="14.25">
      <c r="A130" s="142"/>
      <c r="B130" s="30" t="s">
        <v>276</v>
      </c>
      <c r="C130" s="46" t="s">
        <v>4</v>
      </c>
      <c r="D130" s="137">
        <f t="shared" si="28"/>
        <v>2</v>
      </c>
      <c r="E130" s="208"/>
      <c r="F130" s="202"/>
      <c r="G130" s="207"/>
      <c r="H130" s="202"/>
      <c r="I130" s="208"/>
      <c r="J130" s="202"/>
      <c r="K130" s="208">
        <f t="shared" si="12"/>
        <v>0</v>
      </c>
      <c r="L130" s="202"/>
      <c r="M130" s="207">
        <v>20</v>
      </c>
      <c r="N130" s="202"/>
      <c r="O130" s="209"/>
      <c r="P130" s="202"/>
      <c r="Q130" s="206">
        <v>21</v>
      </c>
      <c r="R130" s="202"/>
      <c r="S130" s="207"/>
      <c r="T130" s="202"/>
      <c r="U130" s="207"/>
      <c r="V130" s="202"/>
      <c r="W130" s="208"/>
      <c r="X130" s="202"/>
      <c r="Y130" s="210">
        <f t="shared" si="29"/>
        <v>2</v>
      </c>
      <c r="Z130" s="202"/>
      <c r="AA130" s="207"/>
      <c r="AB130" s="202"/>
      <c r="AC130" s="209"/>
      <c r="AD130" s="202"/>
      <c r="AE130" s="206"/>
      <c r="AF130" s="202"/>
      <c r="AG130" s="207"/>
      <c r="AH130" s="202"/>
      <c r="AI130" s="207"/>
      <c r="AJ130" s="202"/>
      <c r="AK130" s="208"/>
      <c r="AL130" s="202"/>
      <c r="AM130" s="210">
        <f t="shared" si="14"/>
        <v>0</v>
      </c>
      <c r="AN130" s="202"/>
      <c r="AO130" s="207"/>
      <c r="AP130" s="202"/>
      <c r="AQ130" s="209"/>
      <c r="AR130" s="202"/>
      <c r="AS130" s="206"/>
      <c r="AT130" s="202"/>
      <c r="AU130" s="204"/>
      <c r="AV130" s="202"/>
      <c r="AW130" s="204"/>
      <c r="AX130" s="202"/>
      <c r="AY130" s="201"/>
      <c r="AZ130" s="202"/>
      <c r="BA130" s="210">
        <f t="shared" si="15"/>
        <v>0</v>
      </c>
      <c r="BB130" s="202"/>
      <c r="BC130" s="204"/>
      <c r="BD130" s="202"/>
      <c r="BE130" s="209"/>
      <c r="BF130" s="202"/>
      <c r="BG130" s="206"/>
      <c r="BH130" s="202"/>
      <c r="BI130" s="204"/>
      <c r="BJ130" s="202"/>
      <c r="BK130" s="204"/>
      <c r="BL130" s="202"/>
      <c r="BM130" s="201"/>
      <c r="BN130" s="202"/>
      <c r="BO130" s="203">
        <f t="shared" si="16"/>
        <v>0</v>
      </c>
      <c r="BP130" s="202"/>
      <c r="BQ130" s="138"/>
      <c r="BR130" s="128"/>
      <c r="BS130" s="128"/>
      <c r="BT130" s="128"/>
      <c r="BU130" s="128"/>
      <c r="BV130" s="128"/>
      <c r="BW130" s="139"/>
      <c r="BX130" s="140"/>
      <c r="BY130" s="139"/>
      <c r="BZ130" s="139"/>
      <c r="CA130" s="134"/>
      <c r="CB130" s="134"/>
      <c r="CC130" s="134"/>
      <c r="CD130" s="134"/>
      <c r="CE130" s="134"/>
      <c r="CF130" s="134"/>
      <c r="CG130" s="134"/>
      <c r="CH130" s="134"/>
      <c r="CI130" s="134"/>
      <c r="CJ130" s="135"/>
      <c r="CK130" s="135"/>
    </row>
    <row r="131" spans="1:89" ht="14.25">
      <c r="A131" s="136"/>
      <c r="B131" s="30" t="s">
        <v>278</v>
      </c>
      <c r="C131" s="46" t="s">
        <v>3</v>
      </c>
      <c r="D131" s="137">
        <f t="shared" si="28"/>
        <v>4</v>
      </c>
      <c r="E131" s="208"/>
      <c r="F131" s="202"/>
      <c r="G131" s="207">
        <v>8</v>
      </c>
      <c r="H131" s="202"/>
      <c r="I131" s="208"/>
      <c r="J131" s="202"/>
      <c r="K131" s="208">
        <f t="shared" si="12"/>
        <v>1</v>
      </c>
      <c r="L131" s="202"/>
      <c r="M131" s="207">
        <v>8</v>
      </c>
      <c r="N131" s="202"/>
      <c r="O131" s="209">
        <v>10</v>
      </c>
      <c r="P131" s="202"/>
      <c r="Q131" s="206">
        <v>8</v>
      </c>
      <c r="R131" s="202"/>
      <c r="S131" s="207"/>
      <c r="T131" s="202"/>
      <c r="U131" s="207"/>
      <c r="V131" s="202"/>
      <c r="W131" s="208"/>
      <c r="X131" s="202"/>
      <c r="Y131" s="210">
        <f t="shared" si="29"/>
        <v>3</v>
      </c>
      <c r="Z131" s="202"/>
      <c r="AA131" s="207"/>
      <c r="AB131" s="202"/>
      <c r="AC131" s="209"/>
      <c r="AD131" s="202"/>
      <c r="AE131" s="206"/>
      <c r="AF131" s="202"/>
      <c r="AG131" s="207"/>
      <c r="AH131" s="202"/>
      <c r="AI131" s="207"/>
      <c r="AJ131" s="202"/>
      <c r="AK131" s="208"/>
      <c r="AL131" s="202"/>
      <c r="AM131" s="210">
        <f t="shared" si="14"/>
        <v>0</v>
      </c>
      <c r="AN131" s="202"/>
      <c r="AO131" s="207"/>
      <c r="AP131" s="202"/>
      <c r="AQ131" s="209"/>
      <c r="AR131" s="202"/>
      <c r="AS131" s="206"/>
      <c r="AT131" s="202"/>
      <c r="AU131" s="204"/>
      <c r="AV131" s="202"/>
      <c r="AW131" s="204"/>
      <c r="AX131" s="202"/>
      <c r="AY131" s="201"/>
      <c r="AZ131" s="202"/>
      <c r="BA131" s="210">
        <f t="shared" si="15"/>
        <v>0</v>
      </c>
      <c r="BB131" s="202"/>
      <c r="BC131" s="204"/>
      <c r="BD131" s="202"/>
      <c r="BE131" s="209"/>
      <c r="BF131" s="202"/>
      <c r="BG131" s="206"/>
      <c r="BH131" s="202"/>
      <c r="BI131" s="204"/>
      <c r="BJ131" s="202"/>
      <c r="BK131" s="204"/>
      <c r="BL131" s="202"/>
      <c r="BM131" s="201"/>
      <c r="BN131" s="202"/>
      <c r="BO131" s="203">
        <f t="shared" si="16"/>
        <v>0</v>
      </c>
      <c r="BP131" s="202"/>
      <c r="BQ131" s="138"/>
      <c r="BR131" s="139"/>
      <c r="BS131" s="139"/>
      <c r="BT131" s="139"/>
      <c r="BU131" s="139"/>
      <c r="BV131" s="139"/>
      <c r="BW131" s="139"/>
      <c r="BX131" s="140"/>
      <c r="BY131" s="139"/>
      <c r="BZ131" s="139"/>
      <c r="CA131" s="139"/>
      <c r="CB131" s="139"/>
      <c r="CC131" s="139"/>
      <c r="CD131" s="139"/>
      <c r="CE131" s="139"/>
      <c r="CF131" s="139"/>
      <c r="CG131" s="139"/>
      <c r="CH131" s="139"/>
      <c r="CI131" s="139"/>
      <c r="CJ131" s="139"/>
      <c r="CK131" s="139"/>
    </row>
    <row r="132" spans="1:89" ht="14.25">
      <c r="A132" s="142"/>
      <c r="B132" s="30" t="s">
        <v>280</v>
      </c>
      <c r="C132" s="46" t="s">
        <v>3</v>
      </c>
      <c r="D132" s="137">
        <f t="shared" si="28"/>
        <v>1</v>
      </c>
      <c r="E132" s="208"/>
      <c r="F132" s="202"/>
      <c r="G132" s="207"/>
      <c r="H132" s="202"/>
      <c r="I132" s="208"/>
      <c r="J132" s="202"/>
      <c r="K132" s="208">
        <f t="shared" si="12"/>
        <v>0</v>
      </c>
      <c r="L132" s="202"/>
      <c r="M132" s="207"/>
      <c r="N132" s="202"/>
      <c r="O132" s="209">
        <v>20</v>
      </c>
      <c r="P132" s="202"/>
      <c r="Q132" s="206"/>
      <c r="R132" s="202"/>
      <c r="S132" s="207"/>
      <c r="T132" s="202"/>
      <c r="U132" s="207"/>
      <c r="V132" s="202"/>
      <c r="W132" s="208"/>
      <c r="X132" s="202"/>
      <c r="Y132" s="210">
        <f t="shared" si="29"/>
        <v>1</v>
      </c>
      <c r="Z132" s="202"/>
      <c r="AA132" s="207"/>
      <c r="AB132" s="202"/>
      <c r="AC132" s="209"/>
      <c r="AD132" s="202"/>
      <c r="AE132" s="206"/>
      <c r="AF132" s="202"/>
      <c r="AG132" s="207"/>
      <c r="AH132" s="202"/>
      <c r="AI132" s="207"/>
      <c r="AJ132" s="202"/>
      <c r="AK132" s="208"/>
      <c r="AL132" s="202"/>
      <c r="AM132" s="210">
        <f t="shared" si="14"/>
        <v>0</v>
      </c>
      <c r="AN132" s="202"/>
      <c r="AO132" s="207"/>
      <c r="AP132" s="202"/>
      <c r="AQ132" s="209"/>
      <c r="AR132" s="202"/>
      <c r="AS132" s="206"/>
      <c r="AT132" s="202"/>
      <c r="AU132" s="204"/>
      <c r="AV132" s="202"/>
      <c r="AW132" s="204"/>
      <c r="AX132" s="202"/>
      <c r="AY132" s="201"/>
      <c r="AZ132" s="202"/>
      <c r="BA132" s="210">
        <f t="shared" si="15"/>
        <v>0</v>
      </c>
      <c r="BB132" s="202"/>
      <c r="BC132" s="204"/>
      <c r="BD132" s="202"/>
      <c r="BE132" s="209"/>
      <c r="BF132" s="202"/>
      <c r="BG132" s="206"/>
      <c r="BH132" s="202"/>
      <c r="BI132" s="204"/>
      <c r="BJ132" s="202"/>
      <c r="BK132" s="204"/>
      <c r="BL132" s="202"/>
      <c r="BM132" s="201"/>
      <c r="BN132" s="202"/>
      <c r="BO132" s="203">
        <f t="shared" si="16"/>
        <v>0</v>
      </c>
      <c r="BP132" s="202"/>
      <c r="BQ132" s="138"/>
      <c r="BR132" s="128"/>
      <c r="BS132" s="128"/>
      <c r="BT132" s="128"/>
      <c r="BU132" s="128"/>
      <c r="BV132" s="128"/>
      <c r="BW132" s="139"/>
      <c r="BX132" s="140"/>
      <c r="BY132" s="139"/>
      <c r="BZ132" s="139"/>
      <c r="CA132" s="134"/>
      <c r="CB132" s="134"/>
      <c r="CC132" s="134"/>
      <c r="CD132" s="134"/>
      <c r="CE132" s="134"/>
      <c r="CF132" s="134"/>
      <c r="CG132" s="134"/>
      <c r="CH132" s="134"/>
      <c r="CI132" s="134"/>
      <c r="CJ132" s="135"/>
      <c r="CK132" s="135"/>
    </row>
    <row r="133" spans="1:89" ht="14.25">
      <c r="A133" s="136"/>
      <c r="B133" s="30" t="s">
        <v>282</v>
      </c>
      <c r="C133" s="46" t="s">
        <v>4</v>
      </c>
      <c r="D133" s="137">
        <f t="shared" si="28"/>
        <v>7</v>
      </c>
      <c r="E133" s="208">
        <v>13</v>
      </c>
      <c r="F133" s="202"/>
      <c r="G133" s="207">
        <v>12</v>
      </c>
      <c r="H133" s="202"/>
      <c r="I133" s="208">
        <v>13</v>
      </c>
      <c r="J133" s="202"/>
      <c r="K133" s="208">
        <f t="shared" si="12"/>
        <v>1</v>
      </c>
      <c r="L133" s="202"/>
      <c r="M133" s="207">
        <v>12</v>
      </c>
      <c r="N133" s="202"/>
      <c r="O133" s="209">
        <v>12</v>
      </c>
      <c r="P133" s="202"/>
      <c r="Q133" s="206">
        <v>12</v>
      </c>
      <c r="R133" s="202"/>
      <c r="S133" s="207">
        <v>17</v>
      </c>
      <c r="T133" s="202"/>
      <c r="U133" s="207">
        <v>17</v>
      </c>
      <c r="V133" s="202"/>
      <c r="W133" s="208">
        <v>13</v>
      </c>
      <c r="X133" s="202"/>
      <c r="Y133" s="210">
        <f t="shared" si="29"/>
        <v>5</v>
      </c>
      <c r="Z133" s="202"/>
      <c r="AA133" s="207">
        <v>17</v>
      </c>
      <c r="AB133" s="202"/>
      <c r="AC133" s="209"/>
      <c r="AD133" s="202"/>
      <c r="AE133" s="206"/>
      <c r="AF133" s="202"/>
      <c r="AG133" s="207"/>
      <c r="AH133" s="202"/>
      <c r="AI133" s="207"/>
      <c r="AJ133" s="202"/>
      <c r="AK133" s="208"/>
      <c r="AL133" s="202"/>
      <c r="AM133" s="210">
        <f t="shared" si="14"/>
        <v>1</v>
      </c>
      <c r="AN133" s="202"/>
      <c r="AO133" s="207"/>
      <c r="AP133" s="202"/>
      <c r="AQ133" s="209"/>
      <c r="AR133" s="202"/>
      <c r="AS133" s="206"/>
      <c r="AT133" s="202"/>
      <c r="AU133" s="204"/>
      <c r="AV133" s="202"/>
      <c r="AW133" s="204"/>
      <c r="AX133" s="202"/>
      <c r="AY133" s="201"/>
      <c r="AZ133" s="202"/>
      <c r="BA133" s="210">
        <f t="shared" si="15"/>
        <v>0</v>
      </c>
      <c r="BB133" s="202"/>
      <c r="BC133" s="204"/>
      <c r="BD133" s="202"/>
      <c r="BE133" s="209"/>
      <c r="BF133" s="202"/>
      <c r="BG133" s="206"/>
      <c r="BH133" s="202"/>
      <c r="BI133" s="204"/>
      <c r="BJ133" s="202"/>
      <c r="BK133" s="204"/>
      <c r="BL133" s="202"/>
      <c r="BM133" s="201"/>
      <c r="BN133" s="202"/>
      <c r="BO133" s="203">
        <f t="shared" si="16"/>
        <v>0</v>
      </c>
      <c r="BP133" s="202"/>
      <c r="BQ133" s="138"/>
      <c r="BR133" s="139"/>
      <c r="BS133" s="139"/>
      <c r="BT133" s="139"/>
      <c r="BU133" s="139"/>
      <c r="BV133" s="139"/>
      <c r="BW133" s="139"/>
      <c r="BX133" s="140"/>
      <c r="BY133" s="139"/>
      <c r="BZ133" s="139"/>
      <c r="CA133" s="139"/>
      <c r="CB133" s="139"/>
      <c r="CC133" s="139"/>
      <c r="CD133" s="139"/>
      <c r="CE133" s="139"/>
      <c r="CF133" s="139"/>
      <c r="CG133" s="139"/>
      <c r="CH133" s="139"/>
      <c r="CI133" s="139"/>
      <c r="CJ133" s="139"/>
      <c r="CK133" s="139"/>
    </row>
    <row r="134" spans="1:89" ht="14.25">
      <c r="A134" s="142"/>
      <c r="B134" s="30" t="s">
        <v>284</v>
      </c>
      <c r="C134" s="46" t="s">
        <v>4</v>
      </c>
      <c r="D134" s="137">
        <f t="shared" si="28"/>
        <v>6</v>
      </c>
      <c r="E134" s="208"/>
      <c r="F134" s="202"/>
      <c r="G134" s="207">
        <v>20</v>
      </c>
      <c r="H134" s="202"/>
      <c r="I134" s="208"/>
      <c r="J134" s="202"/>
      <c r="K134" s="208">
        <f t="shared" si="12"/>
        <v>1</v>
      </c>
      <c r="L134" s="202"/>
      <c r="M134" s="207">
        <v>20</v>
      </c>
      <c r="N134" s="202"/>
      <c r="O134" s="209">
        <v>20</v>
      </c>
      <c r="P134" s="202"/>
      <c r="Q134" s="206">
        <v>20</v>
      </c>
      <c r="R134" s="202"/>
      <c r="S134" s="207"/>
      <c r="T134" s="202"/>
      <c r="U134" s="207">
        <v>20</v>
      </c>
      <c r="V134" s="202"/>
      <c r="W134" s="208"/>
      <c r="X134" s="202"/>
      <c r="Y134" s="210">
        <f t="shared" si="29"/>
        <v>4</v>
      </c>
      <c r="Z134" s="202"/>
      <c r="AA134" s="207">
        <v>20</v>
      </c>
      <c r="AB134" s="202"/>
      <c r="AC134" s="209"/>
      <c r="AD134" s="202"/>
      <c r="AE134" s="206"/>
      <c r="AF134" s="202"/>
      <c r="AG134" s="207"/>
      <c r="AH134" s="202"/>
      <c r="AI134" s="207"/>
      <c r="AJ134" s="202"/>
      <c r="AK134" s="208"/>
      <c r="AL134" s="202"/>
      <c r="AM134" s="210">
        <f t="shared" si="14"/>
        <v>1</v>
      </c>
      <c r="AN134" s="202"/>
      <c r="AO134" s="207"/>
      <c r="AP134" s="202"/>
      <c r="AQ134" s="209"/>
      <c r="AR134" s="202"/>
      <c r="AS134" s="206"/>
      <c r="AT134" s="202"/>
      <c r="AU134" s="204"/>
      <c r="AV134" s="202"/>
      <c r="AW134" s="204"/>
      <c r="AX134" s="202"/>
      <c r="AY134" s="201"/>
      <c r="AZ134" s="202"/>
      <c r="BA134" s="210">
        <f t="shared" si="15"/>
        <v>0</v>
      </c>
      <c r="BB134" s="202"/>
      <c r="BC134" s="204"/>
      <c r="BD134" s="202"/>
      <c r="BE134" s="209"/>
      <c r="BF134" s="202"/>
      <c r="BG134" s="206"/>
      <c r="BH134" s="202"/>
      <c r="BI134" s="204"/>
      <c r="BJ134" s="202"/>
      <c r="BK134" s="204"/>
      <c r="BL134" s="202"/>
      <c r="BM134" s="201"/>
      <c r="BN134" s="202"/>
      <c r="BO134" s="203">
        <f t="shared" si="16"/>
        <v>0</v>
      </c>
      <c r="BP134" s="202"/>
      <c r="BQ134" s="138"/>
      <c r="BR134" s="128"/>
      <c r="BS134" s="128"/>
      <c r="BT134" s="128"/>
      <c r="BU134" s="128"/>
      <c r="BV134" s="128"/>
      <c r="BW134" s="139"/>
      <c r="BX134" s="140"/>
      <c r="BY134" s="139"/>
      <c r="BZ134" s="139"/>
      <c r="CA134" s="134"/>
      <c r="CB134" s="134"/>
      <c r="CC134" s="134"/>
      <c r="CD134" s="134"/>
      <c r="CE134" s="134"/>
      <c r="CF134" s="134"/>
      <c r="CG134" s="134"/>
      <c r="CH134" s="134"/>
      <c r="CI134" s="134"/>
      <c r="CJ134" s="135"/>
      <c r="CK134" s="135"/>
    </row>
    <row r="135" spans="1:89" ht="14.25">
      <c r="A135" s="136"/>
      <c r="B135" s="30" t="s">
        <v>286</v>
      </c>
      <c r="C135" s="46" t="s">
        <v>3</v>
      </c>
      <c r="D135" s="137">
        <f t="shared" si="28"/>
        <v>6</v>
      </c>
      <c r="E135" s="208">
        <v>13</v>
      </c>
      <c r="F135" s="202"/>
      <c r="G135" s="207">
        <v>10</v>
      </c>
      <c r="H135" s="202"/>
      <c r="I135" s="208"/>
      <c r="J135" s="202"/>
      <c r="K135" s="208">
        <f t="shared" si="12"/>
        <v>1</v>
      </c>
      <c r="L135" s="202"/>
      <c r="M135" s="207">
        <v>10</v>
      </c>
      <c r="N135" s="202"/>
      <c r="O135" s="209">
        <v>10</v>
      </c>
      <c r="P135" s="202"/>
      <c r="Q135" s="206">
        <v>10</v>
      </c>
      <c r="R135" s="202"/>
      <c r="S135" s="207">
        <v>10</v>
      </c>
      <c r="T135" s="202"/>
      <c r="U135" s="207">
        <v>1</v>
      </c>
      <c r="V135" s="202"/>
      <c r="W135" s="208"/>
      <c r="X135" s="202"/>
      <c r="Y135" s="210">
        <f t="shared" si="29"/>
        <v>5</v>
      </c>
      <c r="Z135" s="202"/>
      <c r="AA135" s="207"/>
      <c r="AB135" s="202"/>
      <c r="AC135" s="209"/>
      <c r="AD135" s="202"/>
      <c r="AE135" s="206"/>
      <c r="AF135" s="202"/>
      <c r="AG135" s="207"/>
      <c r="AH135" s="202"/>
      <c r="AI135" s="207"/>
      <c r="AJ135" s="202"/>
      <c r="AK135" s="208"/>
      <c r="AL135" s="202"/>
      <c r="AM135" s="210">
        <f t="shared" si="14"/>
        <v>0</v>
      </c>
      <c r="AN135" s="202"/>
      <c r="AO135" s="207"/>
      <c r="AP135" s="202"/>
      <c r="AQ135" s="209"/>
      <c r="AR135" s="202"/>
      <c r="AS135" s="206"/>
      <c r="AT135" s="202"/>
      <c r="AU135" s="204"/>
      <c r="AV135" s="202"/>
      <c r="AW135" s="204"/>
      <c r="AX135" s="202"/>
      <c r="AY135" s="201"/>
      <c r="AZ135" s="202"/>
      <c r="BA135" s="210">
        <f t="shared" si="15"/>
        <v>0</v>
      </c>
      <c r="BB135" s="202"/>
      <c r="BC135" s="204"/>
      <c r="BD135" s="202"/>
      <c r="BE135" s="209"/>
      <c r="BF135" s="202"/>
      <c r="BG135" s="206"/>
      <c r="BH135" s="202"/>
      <c r="BI135" s="204"/>
      <c r="BJ135" s="202"/>
      <c r="BK135" s="204"/>
      <c r="BL135" s="202"/>
      <c r="BM135" s="201"/>
      <c r="BN135" s="202"/>
      <c r="BO135" s="203">
        <f t="shared" si="16"/>
        <v>0</v>
      </c>
      <c r="BP135" s="202"/>
      <c r="BQ135" s="138"/>
      <c r="BR135" s="139"/>
      <c r="BS135" s="139"/>
      <c r="BT135" s="139"/>
      <c r="BU135" s="139"/>
      <c r="BV135" s="139"/>
      <c r="BW135" s="139"/>
      <c r="BX135" s="140"/>
      <c r="BY135" s="139"/>
      <c r="BZ135" s="139"/>
      <c r="CA135" s="139"/>
      <c r="CB135" s="139"/>
      <c r="CC135" s="139"/>
      <c r="CD135" s="139"/>
      <c r="CE135" s="139"/>
      <c r="CF135" s="139"/>
      <c r="CG135" s="139"/>
      <c r="CH135" s="139"/>
      <c r="CI135" s="139"/>
      <c r="CJ135" s="139"/>
      <c r="CK135" s="139"/>
    </row>
    <row r="136" spans="1:89" ht="14.25">
      <c r="A136" s="142"/>
      <c r="B136" s="30" t="s">
        <v>288</v>
      </c>
      <c r="C136" s="46" t="s">
        <v>3</v>
      </c>
      <c r="D136" s="137">
        <f t="shared" si="28"/>
        <v>2</v>
      </c>
      <c r="E136" s="208">
        <v>13</v>
      </c>
      <c r="F136" s="202"/>
      <c r="G136" s="207"/>
      <c r="H136" s="202"/>
      <c r="I136" s="208"/>
      <c r="J136" s="202"/>
      <c r="K136" s="208">
        <f t="shared" si="12"/>
        <v>0</v>
      </c>
      <c r="L136" s="202"/>
      <c r="M136" s="207">
        <v>10</v>
      </c>
      <c r="N136" s="202"/>
      <c r="O136" s="209"/>
      <c r="P136" s="202"/>
      <c r="Q136" s="206">
        <v>10</v>
      </c>
      <c r="R136" s="202"/>
      <c r="S136" s="207"/>
      <c r="T136" s="202"/>
      <c r="U136" s="207"/>
      <c r="V136" s="202"/>
      <c r="W136" s="208"/>
      <c r="X136" s="202"/>
      <c r="Y136" s="210">
        <f t="shared" si="29"/>
        <v>2</v>
      </c>
      <c r="Z136" s="202"/>
      <c r="AA136" s="207"/>
      <c r="AB136" s="202"/>
      <c r="AC136" s="209"/>
      <c r="AD136" s="202"/>
      <c r="AE136" s="206"/>
      <c r="AF136" s="202"/>
      <c r="AG136" s="207"/>
      <c r="AH136" s="202"/>
      <c r="AI136" s="207"/>
      <c r="AJ136" s="202"/>
      <c r="AK136" s="208"/>
      <c r="AL136" s="202"/>
      <c r="AM136" s="210">
        <f t="shared" si="14"/>
        <v>0</v>
      </c>
      <c r="AN136" s="202"/>
      <c r="AO136" s="207"/>
      <c r="AP136" s="202"/>
      <c r="AQ136" s="209"/>
      <c r="AR136" s="202"/>
      <c r="AS136" s="206"/>
      <c r="AT136" s="202"/>
      <c r="AU136" s="204"/>
      <c r="AV136" s="202"/>
      <c r="AW136" s="204"/>
      <c r="AX136" s="202"/>
      <c r="AY136" s="201"/>
      <c r="AZ136" s="202"/>
      <c r="BA136" s="210">
        <f t="shared" si="15"/>
        <v>0</v>
      </c>
      <c r="BB136" s="202"/>
      <c r="BC136" s="204"/>
      <c r="BD136" s="202"/>
      <c r="BE136" s="209"/>
      <c r="BF136" s="202"/>
      <c r="BG136" s="206"/>
      <c r="BH136" s="202"/>
      <c r="BI136" s="204"/>
      <c r="BJ136" s="202"/>
      <c r="BK136" s="204"/>
      <c r="BL136" s="202"/>
      <c r="BM136" s="201"/>
      <c r="BN136" s="202"/>
      <c r="BO136" s="203">
        <f t="shared" si="16"/>
        <v>0</v>
      </c>
      <c r="BP136" s="202"/>
      <c r="BQ136" s="138"/>
      <c r="BR136" s="128"/>
      <c r="BS136" s="128"/>
      <c r="BT136" s="128"/>
      <c r="BU136" s="128"/>
      <c r="BV136" s="128"/>
      <c r="BW136" s="139"/>
      <c r="BX136" s="140"/>
      <c r="BY136" s="139"/>
      <c r="BZ136" s="139"/>
      <c r="CA136" s="134"/>
      <c r="CB136" s="134"/>
      <c r="CC136" s="134"/>
      <c r="CD136" s="134"/>
      <c r="CE136" s="134"/>
      <c r="CF136" s="134"/>
      <c r="CG136" s="134"/>
      <c r="CH136" s="134"/>
      <c r="CI136" s="134"/>
      <c r="CJ136" s="135"/>
      <c r="CK136" s="135"/>
    </row>
    <row r="137" spans="1:89" ht="14.25">
      <c r="A137" s="136"/>
      <c r="B137" s="159" t="s">
        <v>290</v>
      </c>
      <c r="C137" s="46" t="s">
        <v>3</v>
      </c>
      <c r="D137" s="137">
        <f t="shared" si="28"/>
        <v>6</v>
      </c>
      <c r="E137" s="208"/>
      <c r="F137" s="202"/>
      <c r="G137" s="207">
        <v>7</v>
      </c>
      <c r="H137" s="202"/>
      <c r="I137" s="208"/>
      <c r="J137" s="202"/>
      <c r="K137" s="208">
        <f t="shared" si="12"/>
        <v>1</v>
      </c>
      <c r="L137" s="202"/>
      <c r="M137" s="207">
        <v>7</v>
      </c>
      <c r="N137" s="202"/>
      <c r="O137" s="209">
        <v>7</v>
      </c>
      <c r="P137" s="202"/>
      <c r="Q137" s="206"/>
      <c r="R137" s="202"/>
      <c r="S137" s="207">
        <v>7</v>
      </c>
      <c r="T137" s="202"/>
      <c r="U137" s="207">
        <v>7</v>
      </c>
      <c r="V137" s="202"/>
      <c r="W137" s="208"/>
      <c r="X137" s="202"/>
      <c r="Y137" s="210">
        <f t="shared" si="29"/>
        <v>4</v>
      </c>
      <c r="Z137" s="202"/>
      <c r="AA137" s="207">
        <v>7</v>
      </c>
      <c r="AB137" s="202"/>
      <c r="AC137" s="209"/>
      <c r="AD137" s="202"/>
      <c r="AE137" s="206"/>
      <c r="AF137" s="202"/>
      <c r="AG137" s="207"/>
      <c r="AH137" s="202"/>
      <c r="AI137" s="207"/>
      <c r="AJ137" s="202"/>
      <c r="AK137" s="208"/>
      <c r="AL137" s="202"/>
      <c r="AM137" s="210">
        <f t="shared" si="14"/>
        <v>1</v>
      </c>
      <c r="AN137" s="202"/>
      <c r="AO137" s="207"/>
      <c r="AP137" s="202"/>
      <c r="AQ137" s="209"/>
      <c r="AR137" s="202"/>
      <c r="AS137" s="206"/>
      <c r="AT137" s="202"/>
      <c r="AU137" s="204"/>
      <c r="AV137" s="202"/>
      <c r="AW137" s="204"/>
      <c r="AX137" s="202"/>
      <c r="AY137" s="201"/>
      <c r="AZ137" s="202"/>
      <c r="BA137" s="210">
        <f t="shared" si="15"/>
        <v>0</v>
      </c>
      <c r="BB137" s="202"/>
      <c r="BC137" s="204"/>
      <c r="BD137" s="202"/>
      <c r="BE137" s="209"/>
      <c r="BF137" s="202"/>
      <c r="BG137" s="206"/>
      <c r="BH137" s="202"/>
      <c r="BI137" s="204"/>
      <c r="BJ137" s="202"/>
      <c r="BK137" s="204"/>
      <c r="BL137" s="202"/>
      <c r="BM137" s="201"/>
      <c r="BN137" s="202"/>
      <c r="BO137" s="203">
        <f t="shared" si="16"/>
        <v>0</v>
      </c>
      <c r="BP137" s="202"/>
      <c r="BQ137" s="138"/>
      <c r="BR137" s="139"/>
      <c r="BS137" s="139"/>
      <c r="BT137" s="139"/>
      <c r="BU137" s="139"/>
      <c r="BV137" s="139"/>
      <c r="BW137" s="139"/>
      <c r="BX137" s="140"/>
      <c r="BY137" s="139"/>
      <c r="BZ137" s="139"/>
      <c r="CA137" s="139"/>
      <c r="CB137" s="139"/>
      <c r="CC137" s="139"/>
      <c r="CD137" s="139"/>
      <c r="CE137" s="139"/>
      <c r="CF137" s="139"/>
      <c r="CG137" s="139"/>
      <c r="CH137" s="139"/>
      <c r="CI137" s="139"/>
      <c r="CJ137" s="139"/>
      <c r="CK137" s="139"/>
    </row>
    <row r="138" spans="1:89" ht="14.25">
      <c r="A138" s="136"/>
      <c r="B138" s="30" t="s">
        <v>292</v>
      </c>
      <c r="C138" s="46" t="s">
        <v>4</v>
      </c>
      <c r="D138" s="137">
        <f t="shared" si="28"/>
        <v>6</v>
      </c>
      <c r="E138" s="208"/>
      <c r="F138" s="202"/>
      <c r="G138" s="207">
        <v>20</v>
      </c>
      <c r="H138" s="202"/>
      <c r="I138" s="208"/>
      <c r="J138" s="202"/>
      <c r="K138" s="208">
        <f t="shared" si="12"/>
        <v>1</v>
      </c>
      <c r="L138" s="202"/>
      <c r="M138" s="207">
        <v>20</v>
      </c>
      <c r="N138" s="202"/>
      <c r="O138" s="209">
        <v>20</v>
      </c>
      <c r="P138" s="202"/>
      <c r="Q138" s="206"/>
      <c r="R138" s="202"/>
      <c r="S138" s="207">
        <v>21</v>
      </c>
      <c r="T138" s="202"/>
      <c r="U138" s="207">
        <v>20</v>
      </c>
      <c r="V138" s="202"/>
      <c r="W138" s="208"/>
      <c r="X138" s="202"/>
      <c r="Y138" s="210">
        <f t="shared" si="29"/>
        <v>4</v>
      </c>
      <c r="Z138" s="202"/>
      <c r="AA138" s="207">
        <v>21</v>
      </c>
      <c r="AB138" s="202"/>
      <c r="AC138" s="209"/>
      <c r="AD138" s="202"/>
      <c r="AE138" s="206"/>
      <c r="AF138" s="202"/>
      <c r="AG138" s="207"/>
      <c r="AH138" s="202"/>
      <c r="AI138" s="207"/>
      <c r="AJ138" s="202"/>
      <c r="AK138" s="208"/>
      <c r="AL138" s="202"/>
      <c r="AM138" s="210">
        <f t="shared" si="14"/>
        <v>1</v>
      </c>
      <c r="AN138" s="202"/>
      <c r="AO138" s="207"/>
      <c r="AP138" s="202"/>
      <c r="AQ138" s="209"/>
      <c r="AR138" s="202"/>
      <c r="AS138" s="206"/>
      <c r="AT138" s="202"/>
      <c r="AU138" s="204"/>
      <c r="AV138" s="202"/>
      <c r="AW138" s="204"/>
      <c r="AX138" s="202"/>
      <c r="AY138" s="201"/>
      <c r="AZ138" s="202"/>
      <c r="BA138" s="210">
        <f t="shared" si="15"/>
        <v>0</v>
      </c>
      <c r="BB138" s="202"/>
      <c r="BC138" s="204"/>
      <c r="BD138" s="202"/>
      <c r="BE138" s="209"/>
      <c r="BF138" s="202"/>
      <c r="BG138" s="206"/>
      <c r="BH138" s="202"/>
      <c r="BI138" s="204"/>
      <c r="BJ138" s="202"/>
      <c r="BK138" s="204"/>
      <c r="BL138" s="202"/>
      <c r="BM138" s="201"/>
      <c r="BN138" s="202"/>
      <c r="BO138" s="203">
        <f t="shared" si="16"/>
        <v>0</v>
      </c>
      <c r="BP138" s="202"/>
      <c r="BQ138" s="138"/>
      <c r="BR138" s="139"/>
      <c r="BS138" s="139"/>
      <c r="BT138" s="139"/>
      <c r="BU138" s="139"/>
      <c r="BV138" s="139"/>
      <c r="BW138" s="139"/>
      <c r="BX138" s="140"/>
      <c r="BY138" s="139"/>
      <c r="BZ138" s="139"/>
      <c r="CA138" s="139"/>
      <c r="CB138" s="139"/>
      <c r="CC138" s="139"/>
      <c r="CD138" s="139"/>
      <c r="CE138" s="139"/>
      <c r="CF138" s="139"/>
      <c r="CG138" s="139"/>
      <c r="CH138" s="139"/>
      <c r="CI138" s="139"/>
      <c r="CJ138" s="139"/>
      <c r="CK138" s="139"/>
    </row>
    <row r="139" spans="1:89" ht="14.25">
      <c r="A139" s="136"/>
      <c r="B139" s="30" t="s">
        <v>294</v>
      </c>
      <c r="C139" s="46" t="s">
        <v>4</v>
      </c>
      <c r="D139" s="137">
        <f t="shared" si="28"/>
        <v>4</v>
      </c>
      <c r="E139" s="208"/>
      <c r="F139" s="202"/>
      <c r="G139" s="207"/>
      <c r="H139" s="202"/>
      <c r="I139" s="208"/>
      <c r="J139" s="202"/>
      <c r="K139" s="208">
        <f t="shared" si="12"/>
        <v>0</v>
      </c>
      <c r="L139" s="202"/>
      <c r="M139" s="207">
        <v>10</v>
      </c>
      <c r="N139" s="202"/>
      <c r="O139" s="209"/>
      <c r="P139" s="202"/>
      <c r="Q139" s="206">
        <v>10</v>
      </c>
      <c r="R139" s="202"/>
      <c r="S139" s="207"/>
      <c r="T139" s="202"/>
      <c r="U139" s="207">
        <v>10</v>
      </c>
      <c r="V139" s="202"/>
      <c r="W139" s="208"/>
      <c r="X139" s="202"/>
      <c r="Y139" s="210">
        <f t="shared" si="29"/>
        <v>3</v>
      </c>
      <c r="Z139" s="202"/>
      <c r="AA139" s="207">
        <v>10</v>
      </c>
      <c r="AB139" s="202"/>
      <c r="AC139" s="209"/>
      <c r="AD139" s="202"/>
      <c r="AE139" s="206"/>
      <c r="AF139" s="202"/>
      <c r="AG139" s="207"/>
      <c r="AH139" s="202"/>
      <c r="AI139" s="207"/>
      <c r="AJ139" s="202"/>
      <c r="AK139" s="208"/>
      <c r="AL139" s="202"/>
      <c r="AM139" s="210">
        <f t="shared" si="14"/>
        <v>1</v>
      </c>
      <c r="AN139" s="202"/>
      <c r="AO139" s="207"/>
      <c r="AP139" s="202"/>
      <c r="AQ139" s="209"/>
      <c r="AR139" s="202"/>
      <c r="AS139" s="206"/>
      <c r="AT139" s="202"/>
      <c r="AU139" s="204"/>
      <c r="AV139" s="202"/>
      <c r="AW139" s="204"/>
      <c r="AX139" s="202"/>
      <c r="AY139" s="201"/>
      <c r="AZ139" s="202"/>
      <c r="BA139" s="210">
        <f t="shared" si="15"/>
        <v>0</v>
      </c>
      <c r="BB139" s="202"/>
      <c r="BC139" s="204"/>
      <c r="BD139" s="202"/>
      <c r="BE139" s="209"/>
      <c r="BF139" s="202"/>
      <c r="BG139" s="206"/>
      <c r="BH139" s="202"/>
      <c r="BI139" s="204"/>
      <c r="BJ139" s="202"/>
      <c r="BK139" s="204"/>
      <c r="BL139" s="202"/>
      <c r="BM139" s="201"/>
      <c r="BN139" s="202"/>
      <c r="BO139" s="203">
        <f t="shared" si="16"/>
        <v>0</v>
      </c>
      <c r="BP139" s="202"/>
      <c r="BQ139" s="138"/>
      <c r="BR139" s="139"/>
      <c r="BS139" s="139"/>
      <c r="BT139" s="139"/>
      <c r="BU139" s="139"/>
      <c r="BV139" s="139"/>
      <c r="BW139" s="139"/>
      <c r="BX139" s="140"/>
      <c r="BY139" s="139"/>
      <c r="BZ139" s="139"/>
      <c r="CA139" s="139"/>
      <c r="CB139" s="139"/>
      <c r="CC139" s="139"/>
      <c r="CD139" s="139"/>
      <c r="CE139" s="139"/>
      <c r="CF139" s="139"/>
      <c r="CG139" s="139"/>
      <c r="CH139" s="139"/>
      <c r="CI139" s="139"/>
      <c r="CJ139" s="139"/>
      <c r="CK139" s="139"/>
    </row>
    <row r="140" spans="1:89" ht="14.25">
      <c r="A140" s="136"/>
      <c r="B140" s="30" t="s">
        <v>296</v>
      </c>
      <c r="C140" s="46" t="s">
        <v>4</v>
      </c>
      <c r="D140" s="137">
        <f t="shared" si="28"/>
        <v>0</v>
      </c>
      <c r="E140" s="208"/>
      <c r="F140" s="202"/>
      <c r="G140" s="207"/>
      <c r="H140" s="202"/>
      <c r="I140" s="208"/>
      <c r="J140" s="202"/>
      <c r="K140" s="208">
        <f t="shared" si="12"/>
        <v>0</v>
      </c>
      <c r="L140" s="202"/>
      <c r="M140" s="207"/>
      <c r="N140" s="202"/>
      <c r="O140" s="209"/>
      <c r="P140" s="202"/>
      <c r="Q140" s="206"/>
      <c r="R140" s="202"/>
      <c r="S140" s="207"/>
      <c r="T140" s="202"/>
      <c r="U140" s="207"/>
      <c r="V140" s="202"/>
      <c r="W140" s="208"/>
      <c r="X140" s="202"/>
      <c r="Y140" s="210">
        <f t="shared" si="29"/>
        <v>0</v>
      </c>
      <c r="Z140" s="202"/>
      <c r="AA140" s="207"/>
      <c r="AB140" s="202"/>
      <c r="AC140" s="209"/>
      <c r="AD140" s="202"/>
      <c r="AE140" s="206"/>
      <c r="AF140" s="202"/>
      <c r="AG140" s="207"/>
      <c r="AH140" s="202"/>
      <c r="AI140" s="207"/>
      <c r="AJ140" s="202"/>
      <c r="AK140" s="208"/>
      <c r="AL140" s="202"/>
      <c r="AM140" s="210">
        <f t="shared" si="14"/>
        <v>0</v>
      </c>
      <c r="AN140" s="202"/>
      <c r="AO140" s="207"/>
      <c r="AP140" s="202"/>
      <c r="AQ140" s="209"/>
      <c r="AR140" s="202"/>
      <c r="AS140" s="206"/>
      <c r="AT140" s="202"/>
      <c r="AU140" s="204"/>
      <c r="AV140" s="202"/>
      <c r="AW140" s="204"/>
      <c r="AX140" s="202"/>
      <c r="AY140" s="201"/>
      <c r="AZ140" s="202"/>
      <c r="BA140" s="210">
        <f t="shared" si="15"/>
        <v>0</v>
      </c>
      <c r="BB140" s="202"/>
      <c r="BC140" s="204"/>
      <c r="BD140" s="202"/>
      <c r="BE140" s="209"/>
      <c r="BF140" s="202"/>
      <c r="BG140" s="206"/>
      <c r="BH140" s="202"/>
      <c r="BI140" s="204"/>
      <c r="BJ140" s="202"/>
      <c r="BK140" s="204"/>
      <c r="BL140" s="202"/>
      <c r="BM140" s="201"/>
      <c r="BN140" s="202"/>
      <c r="BO140" s="203">
        <f t="shared" si="16"/>
        <v>0</v>
      </c>
      <c r="BP140" s="202"/>
      <c r="BQ140" s="138"/>
      <c r="BR140" s="139"/>
      <c r="BS140" s="139"/>
      <c r="BT140" s="139"/>
      <c r="BU140" s="139"/>
      <c r="BV140" s="139"/>
      <c r="BW140" s="139"/>
      <c r="BX140" s="140"/>
      <c r="BY140" s="139"/>
      <c r="BZ140" s="139"/>
      <c r="CA140" s="139"/>
      <c r="CB140" s="139"/>
      <c r="CC140" s="139"/>
      <c r="CD140" s="139"/>
      <c r="CE140" s="139"/>
      <c r="CF140" s="139"/>
      <c r="CG140" s="139"/>
      <c r="CH140" s="139"/>
      <c r="CI140" s="139"/>
      <c r="CJ140" s="139"/>
      <c r="CK140" s="139"/>
    </row>
    <row r="141" spans="1:89" ht="14.25">
      <c r="A141" s="136"/>
      <c r="B141" s="30" t="s">
        <v>298</v>
      </c>
      <c r="C141" s="46" t="s">
        <v>4</v>
      </c>
      <c r="D141" s="137">
        <f t="shared" si="28"/>
        <v>0</v>
      </c>
      <c r="E141" s="208"/>
      <c r="F141" s="202"/>
      <c r="G141" s="207"/>
      <c r="H141" s="202"/>
      <c r="I141" s="208"/>
      <c r="J141" s="202"/>
      <c r="K141" s="208">
        <f t="shared" si="12"/>
        <v>0</v>
      </c>
      <c r="L141" s="202"/>
      <c r="M141" s="207"/>
      <c r="N141" s="202"/>
      <c r="O141" s="209"/>
      <c r="P141" s="202"/>
      <c r="Q141" s="206"/>
      <c r="R141" s="202"/>
      <c r="S141" s="207"/>
      <c r="T141" s="202"/>
      <c r="U141" s="207"/>
      <c r="V141" s="202"/>
      <c r="W141" s="208"/>
      <c r="X141" s="202"/>
      <c r="Y141" s="210">
        <f t="shared" si="29"/>
        <v>0</v>
      </c>
      <c r="Z141" s="202"/>
      <c r="AA141" s="207"/>
      <c r="AB141" s="202"/>
      <c r="AC141" s="209"/>
      <c r="AD141" s="202"/>
      <c r="AE141" s="206"/>
      <c r="AF141" s="202"/>
      <c r="AG141" s="207"/>
      <c r="AH141" s="202"/>
      <c r="AI141" s="207"/>
      <c r="AJ141" s="202"/>
      <c r="AK141" s="208"/>
      <c r="AL141" s="202"/>
      <c r="AM141" s="210">
        <f t="shared" si="14"/>
        <v>0</v>
      </c>
      <c r="AN141" s="202"/>
      <c r="AO141" s="207"/>
      <c r="AP141" s="202"/>
      <c r="AQ141" s="209"/>
      <c r="AR141" s="202"/>
      <c r="AS141" s="206"/>
      <c r="AT141" s="202"/>
      <c r="AU141" s="204"/>
      <c r="AV141" s="202"/>
      <c r="AW141" s="204"/>
      <c r="AX141" s="202"/>
      <c r="AY141" s="201"/>
      <c r="AZ141" s="202"/>
      <c r="BA141" s="210">
        <f t="shared" si="15"/>
        <v>0</v>
      </c>
      <c r="BB141" s="202"/>
      <c r="BC141" s="204"/>
      <c r="BD141" s="202"/>
      <c r="BE141" s="209"/>
      <c r="BF141" s="202"/>
      <c r="BG141" s="206"/>
      <c r="BH141" s="202"/>
      <c r="BI141" s="204"/>
      <c r="BJ141" s="202"/>
      <c r="BK141" s="204"/>
      <c r="BL141" s="202"/>
      <c r="BM141" s="201"/>
      <c r="BN141" s="202"/>
      <c r="BO141" s="203">
        <f t="shared" si="16"/>
        <v>0</v>
      </c>
      <c r="BP141" s="202"/>
      <c r="BQ141" s="138"/>
      <c r="BR141" s="139"/>
      <c r="BS141" s="139"/>
      <c r="BT141" s="139"/>
      <c r="BU141" s="139"/>
      <c r="BV141" s="139"/>
      <c r="BW141" s="139"/>
      <c r="BX141" s="140"/>
      <c r="BY141" s="139"/>
      <c r="BZ141" s="139"/>
      <c r="CA141" s="139"/>
      <c r="CB141" s="139"/>
      <c r="CC141" s="139"/>
      <c r="CD141" s="139"/>
      <c r="CE141" s="139"/>
      <c r="CF141" s="139"/>
      <c r="CG141" s="139"/>
      <c r="CH141" s="139"/>
      <c r="CI141" s="139"/>
      <c r="CJ141" s="139"/>
      <c r="CK141" s="139"/>
    </row>
    <row r="142" spans="1:89" ht="14.25">
      <c r="A142" s="136"/>
      <c r="B142" s="30" t="s">
        <v>300</v>
      </c>
      <c r="C142" s="46" t="s">
        <v>4</v>
      </c>
      <c r="D142" s="137">
        <f t="shared" si="28"/>
        <v>5</v>
      </c>
      <c r="E142" s="208"/>
      <c r="F142" s="202"/>
      <c r="G142" s="207">
        <v>10</v>
      </c>
      <c r="H142" s="202"/>
      <c r="I142" s="208">
        <v>13</v>
      </c>
      <c r="J142" s="202"/>
      <c r="K142" s="208">
        <f t="shared" si="12"/>
        <v>1</v>
      </c>
      <c r="L142" s="202"/>
      <c r="M142" s="207">
        <v>18</v>
      </c>
      <c r="N142" s="202"/>
      <c r="O142" s="209">
        <v>17</v>
      </c>
      <c r="P142" s="202"/>
      <c r="Q142" s="206"/>
      <c r="R142" s="202"/>
      <c r="S142" s="207"/>
      <c r="T142" s="202"/>
      <c r="U142" s="207">
        <v>12</v>
      </c>
      <c r="V142" s="202"/>
      <c r="W142" s="208"/>
      <c r="X142" s="202"/>
      <c r="Y142" s="210">
        <f t="shared" si="29"/>
        <v>3</v>
      </c>
      <c r="Z142" s="202"/>
      <c r="AA142" s="207">
        <v>17</v>
      </c>
      <c r="AB142" s="202"/>
      <c r="AC142" s="209"/>
      <c r="AD142" s="202"/>
      <c r="AE142" s="206"/>
      <c r="AF142" s="202"/>
      <c r="AG142" s="207"/>
      <c r="AH142" s="202"/>
      <c r="AI142" s="207"/>
      <c r="AJ142" s="202"/>
      <c r="AK142" s="208"/>
      <c r="AL142" s="202"/>
      <c r="AM142" s="210">
        <f t="shared" si="14"/>
        <v>1</v>
      </c>
      <c r="AN142" s="202"/>
      <c r="AO142" s="207"/>
      <c r="AP142" s="202"/>
      <c r="AQ142" s="209"/>
      <c r="AR142" s="202"/>
      <c r="AS142" s="206"/>
      <c r="AT142" s="202"/>
      <c r="AU142" s="204"/>
      <c r="AV142" s="202"/>
      <c r="AW142" s="204"/>
      <c r="AX142" s="202"/>
      <c r="AY142" s="201"/>
      <c r="AZ142" s="202"/>
      <c r="BA142" s="210">
        <f t="shared" si="15"/>
        <v>0</v>
      </c>
      <c r="BB142" s="202"/>
      <c r="BC142" s="204"/>
      <c r="BD142" s="202"/>
      <c r="BE142" s="209"/>
      <c r="BF142" s="202"/>
      <c r="BG142" s="206"/>
      <c r="BH142" s="202"/>
      <c r="BI142" s="204"/>
      <c r="BJ142" s="202"/>
      <c r="BK142" s="204"/>
      <c r="BL142" s="202"/>
      <c r="BM142" s="201"/>
      <c r="BN142" s="202"/>
      <c r="BO142" s="203">
        <f t="shared" si="16"/>
        <v>0</v>
      </c>
      <c r="BP142" s="202"/>
      <c r="BQ142" s="138"/>
      <c r="BR142" s="139"/>
      <c r="BS142" s="139"/>
      <c r="BT142" s="139"/>
      <c r="BU142" s="139"/>
      <c r="BV142" s="139"/>
      <c r="BW142" s="139"/>
      <c r="BX142" s="140"/>
      <c r="BY142" s="139"/>
      <c r="BZ142" s="139"/>
      <c r="CA142" s="139"/>
      <c r="CB142" s="139"/>
      <c r="CC142" s="139"/>
      <c r="CD142" s="139"/>
      <c r="CE142" s="139"/>
      <c r="CF142" s="139"/>
      <c r="CG142" s="139"/>
      <c r="CH142" s="139"/>
      <c r="CI142" s="139"/>
      <c r="CJ142" s="139"/>
      <c r="CK142" s="139"/>
    </row>
    <row r="143" spans="1:89" ht="14.25">
      <c r="A143" s="136"/>
      <c r="B143" s="30" t="s">
        <v>302</v>
      </c>
      <c r="C143" s="46" t="s">
        <v>4</v>
      </c>
      <c r="D143" s="137">
        <f t="shared" si="28"/>
        <v>5</v>
      </c>
      <c r="E143" s="208"/>
      <c r="F143" s="202"/>
      <c r="G143" s="207"/>
      <c r="H143" s="202"/>
      <c r="I143" s="208">
        <v>11</v>
      </c>
      <c r="J143" s="202"/>
      <c r="K143" s="208">
        <f t="shared" si="12"/>
        <v>0</v>
      </c>
      <c r="L143" s="202"/>
      <c r="M143" s="207">
        <v>20</v>
      </c>
      <c r="N143" s="202"/>
      <c r="O143" s="209">
        <v>18</v>
      </c>
      <c r="P143" s="202"/>
      <c r="Q143" s="206">
        <v>17</v>
      </c>
      <c r="R143" s="202"/>
      <c r="S143" s="207">
        <v>18</v>
      </c>
      <c r="T143" s="202"/>
      <c r="U143" s="207"/>
      <c r="V143" s="202"/>
      <c r="W143" s="208">
        <v>11</v>
      </c>
      <c r="X143" s="202"/>
      <c r="Y143" s="210">
        <f t="shared" si="29"/>
        <v>4</v>
      </c>
      <c r="Z143" s="202"/>
      <c r="AA143" s="207">
        <v>18</v>
      </c>
      <c r="AB143" s="202"/>
      <c r="AC143" s="209"/>
      <c r="AD143" s="202"/>
      <c r="AE143" s="206"/>
      <c r="AF143" s="202"/>
      <c r="AG143" s="207"/>
      <c r="AH143" s="202"/>
      <c r="AI143" s="207"/>
      <c r="AJ143" s="202"/>
      <c r="AK143" s="208"/>
      <c r="AL143" s="202"/>
      <c r="AM143" s="210">
        <f t="shared" si="14"/>
        <v>1</v>
      </c>
      <c r="AN143" s="202"/>
      <c r="AO143" s="207"/>
      <c r="AP143" s="202"/>
      <c r="AQ143" s="209"/>
      <c r="AR143" s="202"/>
      <c r="AS143" s="206"/>
      <c r="AT143" s="202"/>
      <c r="AU143" s="204"/>
      <c r="AV143" s="202"/>
      <c r="AW143" s="204"/>
      <c r="AX143" s="202"/>
      <c r="AY143" s="201"/>
      <c r="AZ143" s="202"/>
      <c r="BA143" s="210">
        <f t="shared" si="15"/>
        <v>0</v>
      </c>
      <c r="BB143" s="202"/>
      <c r="BC143" s="204"/>
      <c r="BD143" s="202"/>
      <c r="BE143" s="209"/>
      <c r="BF143" s="202"/>
      <c r="BG143" s="206"/>
      <c r="BH143" s="202"/>
      <c r="BI143" s="204"/>
      <c r="BJ143" s="202"/>
      <c r="BK143" s="204"/>
      <c r="BL143" s="202"/>
      <c r="BM143" s="201"/>
      <c r="BN143" s="202"/>
      <c r="BO143" s="203">
        <f t="shared" si="16"/>
        <v>0</v>
      </c>
      <c r="BP143" s="202"/>
      <c r="BQ143" s="138"/>
      <c r="BR143" s="139"/>
      <c r="BS143" s="139"/>
      <c r="BT143" s="139"/>
      <c r="BU143" s="139"/>
      <c r="BV143" s="139"/>
      <c r="BW143" s="139"/>
      <c r="BX143" s="140"/>
      <c r="BY143" s="139"/>
      <c r="BZ143" s="139"/>
      <c r="CA143" s="139"/>
      <c r="CB143" s="139"/>
      <c r="CC143" s="139"/>
      <c r="CD143" s="139"/>
      <c r="CE143" s="139"/>
      <c r="CF143" s="139"/>
      <c r="CG143" s="139"/>
      <c r="CH143" s="139"/>
      <c r="CI143" s="139"/>
      <c r="CJ143" s="139"/>
      <c r="CK143" s="139"/>
    </row>
    <row r="144" spans="1:89" ht="14.25">
      <c r="A144" s="136"/>
      <c r="B144" s="30" t="s">
        <v>304</v>
      </c>
      <c r="C144" s="46" t="s">
        <v>4</v>
      </c>
      <c r="D144" s="137">
        <f t="shared" si="28"/>
        <v>6</v>
      </c>
      <c r="E144" s="208"/>
      <c r="F144" s="202"/>
      <c r="G144" s="207">
        <v>17</v>
      </c>
      <c r="H144" s="202"/>
      <c r="I144" s="208">
        <v>13</v>
      </c>
      <c r="J144" s="202"/>
      <c r="K144" s="208">
        <f t="shared" si="12"/>
        <v>1</v>
      </c>
      <c r="L144" s="202"/>
      <c r="M144" s="207">
        <v>21</v>
      </c>
      <c r="N144" s="202"/>
      <c r="O144" s="209"/>
      <c r="P144" s="202"/>
      <c r="Q144" s="206">
        <v>21</v>
      </c>
      <c r="R144" s="202"/>
      <c r="S144" s="207">
        <v>20</v>
      </c>
      <c r="T144" s="202"/>
      <c r="U144" s="207">
        <v>20</v>
      </c>
      <c r="V144" s="202"/>
      <c r="W144" s="208"/>
      <c r="X144" s="202"/>
      <c r="Y144" s="210">
        <f t="shared" si="29"/>
        <v>4</v>
      </c>
      <c r="Z144" s="202"/>
      <c r="AA144" s="207">
        <v>21</v>
      </c>
      <c r="AB144" s="202"/>
      <c r="AC144" s="209"/>
      <c r="AD144" s="202"/>
      <c r="AE144" s="206"/>
      <c r="AF144" s="202"/>
      <c r="AG144" s="207"/>
      <c r="AH144" s="202"/>
      <c r="AI144" s="207"/>
      <c r="AJ144" s="202"/>
      <c r="AK144" s="208"/>
      <c r="AL144" s="202"/>
      <c r="AM144" s="210">
        <f t="shared" si="14"/>
        <v>1</v>
      </c>
      <c r="AN144" s="202"/>
      <c r="AO144" s="207"/>
      <c r="AP144" s="202"/>
      <c r="AQ144" s="209"/>
      <c r="AR144" s="202"/>
      <c r="AS144" s="206"/>
      <c r="AT144" s="202"/>
      <c r="AU144" s="204"/>
      <c r="AV144" s="202"/>
      <c r="AW144" s="204"/>
      <c r="AX144" s="202"/>
      <c r="AY144" s="201"/>
      <c r="AZ144" s="202"/>
      <c r="BA144" s="210">
        <f t="shared" si="15"/>
        <v>0</v>
      </c>
      <c r="BB144" s="202"/>
      <c r="BC144" s="204"/>
      <c r="BD144" s="202"/>
      <c r="BE144" s="209"/>
      <c r="BF144" s="202"/>
      <c r="BG144" s="206"/>
      <c r="BH144" s="202"/>
      <c r="BI144" s="204"/>
      <c r="BJ144" s="202"/>
      <c r="BK144" s="204"/>
      <c r="BL144" s="202"/>
      <c r="BM144" s="201"/>
      <c r="BN144" s="202"/>
      <c r="BO144" s="203">
        <f t="shared" si="16"/>
        <v>0</v>
      </c>
      <c r="BP144" s="202"/>
      <c r="BQ144" s="138"/>
      <c r="BR144" s="139"/>
      <c r="BS144" s="139"/>
      <c r="BT144" s="139"/>
      <c r="BU144" s="139"/>
      <c r="BV144" s="139"/>
      <c r="BW144" s="139"/>
      <c r="BX144" s="140"/>
      <c r="BY144" s="139"/>
      <c r="BZ144" s="139"/>
      <c r="CA144" s="139"/>
      <c r="CB144" s="139"/>
      <c r="CC144" s="139"/>
      <c r="CD144" s="139"/>
      <c r="CE144" s="139"/>
      <c r="CF144" s="139"/>
      <c r="CG144" s="139"/>
      <c r="CH144" s="139"/>
      <c r="CI144" s="139"/>
      <c r="CJ144" s="139"/>
      <c r="CK144" s="139"/>
    </row>
    <row r="145" spans="1:89" ht="14.25">
      <c r="A145" s="136"/>
      <c r="B145" s="30" t="s">
        <v>306</v>
      </c>
      <c r="C145" s="46" t="s">
        <v>4</v>
      </c>
      <c r="D145" s="137">
        <f t="shared" si="28"/>
        <v>7</v>
      </c>
      <c r="E145" s="208"/>
      <c r="F145" s="202"/>
      <c r="G145" s="207">
        <v>18</v>
      </c>
      <c r="H145" s="202"/>
      <c r="I145" s="208"/>
      <c r="J145" s="202"/>
      <c r="K145" s="208">
        <f t="shared" si="12"/>
        <v>1</v>
      </c>
      <c r="L145" s="202"/>
      <c r="M145" s="207">
        <v>12</v>
      </c>
      <c r="N145" s="202"/>
      <c r="O145" s="209">
        <v>17</v>
      </c>
      <c r="P145" s="202"/>
      <c r="Q145" s="206">
        <v>12</v>
      </c>
      <c r="R145" s="202"/>
      <c r="S145" s="207">
        <v>12</v>
      </c>
      <c r="T145" s="202"/>
      <c r="U145" s="207">
        <v>12</v>
      </c>
      <c r="V145" s="202"/>
      <c r="W145" s="208"/>
      <c r="X145" s="202"/>
      <c r="Y145" s="210">
        <f t="shared" si="29"/>
        <v>5</v>
      </c>
      <c r="Z145" s="202"/>
      <c r="AA145" s="207">
        <v>17</v>
      </c>
      <c r="AB145" s="202"/>
      <c r="AC145" s="209"/>
      <c r="AD145" s="202"/>
      <c r="AE145" s="206"/>
      <c r="AF145" s="202"/>
      <c r="AG145" s="207"/>
      <c r="AH145" s="202"/>
      <c r="AI145" s="207"/>
      <c r="AJ145" s="202"/>
      <c r="AK145" s="208"/>
      <c r="AL145" s="202"/>
      <c r="AM145" s="210">
        <f t="shared" si="14"/>
        <v>1</v>
      </c>
      <c r="AN145" s="202"/>
      <c r="AO145" s="207"/>
      <c r="AP145" s="202"/>
      <c r="AQ145" s="209"/>
      <c r="AR145" s="202"/>
      <c r="AS145" s="206"/>
      <c r="AT145" s="202"/>
      <c r="AU145" s="204"/>
      <c r="AV145" s="202"/>
      <c r="AW145" s="204"/>
      <c r="AX145" s="202"/>
      <c r="AY145" s="201"/>
      <c r="AZ145" s="202"/>
      <c r="BA145" s="210">
        <f t="shared" si="15"/>
        <v>0</v>
      </c>
      <c r="BB145" s="202"/>
      <c r="BC145" s="204"/>
      <c r="BD145" s="202"/>
      <c r="BE145" s="209"/>
      <c r="BF145" s="202"/>
      <c r="BG145" s="206"/>
      <c r="BH145" s="202"/>
      <c r="BI145" s="204"/>
      <c r="BJ145" s="202"/>
      <c r="BK145" s="204"/>
      <c r="BL145" s="202"/>
      <c r="BM145" s="201"/>
      <c r="BN145" s="202"/>
      <c r="BO145" s="203">
        <f t="shared" si="16"/>
        <v>0</v>
      </c>
      <c r="BP145" s="202"/>
      <c r="BQ145" s="138"/>
      <c r="BR145" s="139"/>
      <c r="BS145" s="139"/>
      <c r="BT145" s="139"/>
      <c r="BU145" s="139"/>
      <c r="BV145" s="139"/>
      <c r="BW145" s="139"/>
      <c r="BX145" s="140"/>
      <c r="BY145" s="139"/>
      <c r="BZ145" s="139"/>
      <c r="CA145" s="139"/>
      <c r="CB145" s="139"/>
      <c r="CC145" s="139"/>
      <c r="CD145" s="139"/>
      <c r="CE145" s="139"/>
      <c r="CF145" s="139"/>
      <c r="CG145" s="139"/>
      <c r="CH145" s="139"/>
      <c r="CI145" s="139"/>
      <c r="CJ145" s="139"/>
      <c r="CK145" s="139"/>
    </row>
    <row r="146" spans="1:89" ht="14.25">
      <c r="A146" s="142"/>
      <c r="B146" s="30" t="s">
        <v>308</v>
      </c>
      <c r="C146" s="46" t="s">
        <v>3</v>
      </c>
      <c r="D146" s="137">
        <f t="shared" si="28"/>
        <v>0</v>
      </c>
      <c r="E146" s="208">
        <v>11</v>
      </c>
      <c r="F146" s="202"/>
      <c r="G146" s="207"/>
      <c r="H146" s="202"/>
      <c r="I146" s="208"/>
      <c r="J146" s="202"/>
      <c r="K146" s="208">
        <f t="shared" si="12"/>
        <v>0</v>
      </c>
      <c r="L146" s="202"/>
      <c r="M146" s="207"/>
      <c r="N146" s="202"/>
      <c r="O146" s="209"/>
      <c r="P146" s="202"/>
      <c r="Q146" s="206"/>
      <c r="R146" s="202"/>
      <c r="S146" s="207"/>
      <c r="T146" s="202"/>
      <c r="U146" s="207"/>
      <c r="V146" s="202"/>
      <c r="W146" s="208"/>
      <c r="X146" s="202"/>
      <c r="Y146" s="210">
        <f t="shared" si="29"/>
        <v>0</v>
      </c>
      <c r="Z146" s="202"/>
      <c r="AA146" s="207"/>
      <c r="AB146" s="202"/>
      <c r="AC146" s="209"/>
      <c r="AD146" s="202"/>
      <c r="AE146" s="206"/>
      <c r="AF146" s="202"/>
      <c r="AG146" s="207"/>
      <c r="AH146" s="202"/>
      <c r="AI146" s="207"/>
      <c r="AJ146" s="202"/>
      <c r="AK146" s="208"/>
      <c r="AL146" s="202"/>
      <c r="AM146" s="210">
        <f t="shared" si="14"/>
        <v>0</v>
      </c>
      <c r="AN146" s="202"/>
      <c r="AO146" s="207"/>
      <c r="AP146" s="202"/>
      <c r="AQ146" s="209"/>
      <c r="AR146" s="202"/>
      <c r="AS146" s="206"/>
      <c r="AT146" s="202"/>
      <c r="AU146" s="204"/>
      <c r="AV146" s="202"/>
      <c r="AW146" s="204"/>
      <c r="AX146" s="202"/>
      <c r="AY146" s="201"/>
      <c r="AZ146" s="202"/>
      <c r="BA146" s="210">
        <f t="shared" si="15"/>
        <v>0</v>
      </c>
      <c r="BB146" s="202"/>
      <c r="BC146" s="204"/>
      <c r="BD146" s="202"/>
      <c r="BE146" s="209"/>
      <c r="BF146" s="202"/>
      <c r="BG146" s="206"/>
      <c r="BH146" s="202"/>
      <c r="BI146" s="204"/>
      <c r="BJ146" s="202"/>
      <c r="BK146" s="204"/>
      <c r="BL146" s="202"/>
      <c r="BM146" s="201"/>
      <c r="BN146" s="202"/>
      <c r="BO146" s="203">
        <f t="shared" si="16"/>
        <v>0</v>
      </c>
      <c r="BP146" s="202"/>
      <c r="BQ146" s="138"/>
      <c r="BR146" s="128"/>
      <c r="BS146" s="128"/>
      <c r="BT146" s="128"/>
      <c r="BU146" s="128"/>
      <c r="BV146" s="128"/>
      <c r="BW146" s="139"/>
      <c r="BX146" s="140"/>
      <c r="BY146" s="139"/>
      <c r="BZ146" s="139"/>
      <c r="CA146" s="134"/>
      <c r="CB146" s="134"/>
      <c r="CC146" s="134"/>
      <c r="CD146" s="134"/>
      <c r="CE146" s="134"/>
      <c r="CF146" s="134"/>
      <c r="CG146" s="134"/>
      <c r="CH146" s="134"/>
      <c r="CI146" s="134"/>
      <c r="CJ146" s="135"/>
      <c r="CK146" s="135"/>
    </row>
    <row r="147" spans="1:89" ht="14.25">
      <c r="A147" s="136"/>
      <c r="B147" s="30" t="s">
        <v>310</v>
      </c>
      <c r="C147" s="46" t="s">
        <v>4</v>
      </c>
      <c r="D147" s="137">
        <f t="shared" si="28"/>
        <v>6</v>
      </c>
      <c r="E147" s="208"/>
      <c r="F147" s="202"/>
      <c r="G147" s="207">
        <v>8</v>
      </c>
      <c r="H147" s="202"/>
      <c r="I147" s="208"/>
      <c r="J147" s="202"/>
      <c r="K147" s="208">
        <f t="shared" si="12"/>
        <v>1</v>
      </c>
      <c r="L147" s="202"/>
      <c r="M147" s="207">
        <v>8</v>
      </c>
      <c r="N147" s="202"/>
      <c r="O147" s="209">
        <v>8</v>
      </c>
      <c r="P147" s="202"/>
      <c r="Q147" s="206"/>
      <c r="R147" s="202"/>
      <c r="S147" s="207">
        <v>8</v>
      </c>
      <c r="T147" s="202"/>
      <c r="U147" s="207">
        <v>8</v>
      </c>
      <c r="V147" s="202"/>
      <c r="W147" s="208"/>
      <c r="X147" s="202"/>
      <c r="Y147" s="210">
        <f t="shared" si="29"/>
        <v>4</v>
      </c>
      <c r="Z147" s="202"/>
      <c r="AA147" s="207">
        <v>8</v>
      </c>
      <c r="AB147" s="202"/>
      <c r="AC147" s="209"/>
      <c r="AD147" s="202"/>
      <c r="AE147" s="206"/>
      <c r="AF147" s="202"/>
      <c r="AG147" s="207"/>
      <c r="AH147" s="202"/>
      <c r="AI147" s="207"/>
      <c r="AJ147" s="202"/>
      <c r="AK147" s="208"/>
      <c r="AL147" s="202"/>
      <c r="AM147" s="210">
        <f t="shared" si="14"/>
        <v>1</v>
      </c>
      <c r="AN147" s="202"/>
      <c r="AO147" s="207"/>
      <c r="AP147" s="202"/>
      <c r="AQ147" s="209"/>
      <c r="AR147" s="202"/>
      <c r="AS147" s="206"/>
      <c r="AT147" s="202"/>
      <c r="AU147" s="204"/>
      <c r="AV147" s="202"/>
      <c r="AW147" s="204"/>
      <c r="AX147" s="202"/>
      <c r="AY147" s="201"/>
      <c r="AZ147" s="202"/>
      <c r="BA147" s="210">
        <f t="shared" si="15"/>
        <v>0</v>
      </c>
      <c r="BB147" s="202"/>
      <c r="BC147" s="204"/>
      <c r="BD147" s="202"/>
      <c r="BE147" s="209"/>
      <c r="BF147" s="202"/>
      <c r="BG147" s="206"/>
      <c r="BH147" s="202"/>
      <c r="BI147" s="204"/>
      <c r="BJ147" s="202"/>
      <c r="BK147" s="204"/>
      <c r="BL147" s="202"/>
      <c r="BM147" s="201"/>
      <c r="BN147" s="202"/>
      <c r="BO147" s="203">
        <f t="shared" si="16"/>
        <v>0</v>
      </c>
      <c r="BP147" s="202"/>
      <c r="BQ147" s="138"/>
      <c r="BR147" s="139"/>
      <c r="BS147" s="139"/>
      <c r="BT147" s="139"/>
      <c r="BU147" s="139"/>
      <c r="BV147" s="139"/>
      <c r="BW147" s="139"/>
      <c r="BX147" s="140"/>
      <c r="BY147" s="139"/>
      <c r="BZ147" s="139"/>
      <c r="CA147" s="139"/>
      <c r="CB147" s="139"/>
      <c r="CC147" s="139"/>
      <c r="CD147" s="139"/>
      <c r="CE147" s="139"/>
      <c r="CF147" s="139"/>
      <c r="CG147" s="139"/>
      <c r="CH147" s="139"/>
      <c r="CI147" s="139"/>
      <c r="CJ147" s="139"/>
      <c r="CK147" s="139"/>
    </row>
    <row r="148" spans="1:89" ht="14.25">
      <c r="A148" s="136"/>
      <c r="B148" s="30" t="s">
        <v>312</v>
      </c>
      <c r="C148" s="46" t="s">
        <v>4</v>
      </c>
      <c r="D148" s="137">
        <f t="shared" si="28"/>
        <v>4</v>
      </c>
      <c r="E148" s="208"/>
      <c r="F148" s="202"/>
      <c r="G148" s="207"/>
      <c r="H148" s="202"/>
      <c r="I148" s="208"/>
      <c r="J148" s="202"/>
      <c r="K148" s="208">
        <f t="shared" si="12"/>
        <v>0</v>
      </c>
      <c r="L148" s="202"/>
      <c r="M148" s="207">
        <v>10</v>
      </c>
      <c r="N148" s="202"/>
      <c r="O148" s="209">
        <v>12</v>
      </c>
      <c r="P148" s="202"/>
      <c r="Q148" s="206">
        <v>8</v>
      </c>
      <c r="R148" s="202"/>
      <c r="S148" s="207"/>
      <c r="T148" s="202"/>
      <c r="U148" s="207"/>
      <c r="V148" s="202"/>
      <c r="W148" s="208"/>
      <c r="X148" s="202"/>
      <c r="Y148" s="210">
        <f t="shared" si="29"/>
        <v>3</v>
      </c>
      <c r="Z148" s="202"/>
      <c r="AA148" s="207">
        <v>8</v>
      </c>
      <c r="AB148" s="202"/>
      <c r="AC148" s="209"/>
      <c r="AD148" s="202"/>
      <c r="AE148" s="206"/>
      <c r="AF148" s="202"/>
      <c r="AG148" s="207"/>
      <c r="AH148" s="202"/>
      <c r="AI148" s="207"/>
      <c r="AJ148" s="202"/>
      <c r="AK148" s="208"/>
      <c r="AL148" s="202"/>
      <c r="AM148" s="210">
        <f t="shared" si="14"/>
        <v>1</v>
      </c>
      <c r="AN148" s="202"/>
      <c r="AO148" s="207"/>
      <c r="AP148" s="202"/>
      <c r="AQ148" s="209"/>
      <c r="AR148" s="202"/>
      <c r="AS148" s="206"/>
      <c r="AT148" s="202"/>
      <c r="AU148" s="204"/>
      <c r="AV148" s="202"/>
      <c r="AW148" s="204"/>
      <c r="AX148" s="202"/>
      <c r="AY148" s="201"/>
      <c r="AZ148" s="202"/>
      <c r="BA148" s="210">
        <f t="shared" si="15"/>
        <v>0</v>
      </c>
      <c r="BB148" s="202"/>
      <c r="BC148" s="204"/>
      <c r="BD148" s="202"/>
      <c r="BE148" s="209"/>
      <c r="BF148" s="202"/>
      <c r="BG148" s="206"/>
      <c r="BH148" s="202"/>
      <c r="BI148" s="204"/>
      <c r="BJ148" s="202"/>
      <c r="BK148" s="204"/>
      <c r="BL148" s="202"/>
      <c r="BM148" s="201"/>
      <c r="BN148" s="202"/>
      <c r="BO148" s="203">
        <f t="shared" si="16"/>
        <v>0</v>
      </c>
      <c r="BP148" s="202"/>
      <c r="BQ148" s="138"/>
      <c r="BR148" s="139"/>
      <c r="BS148" s="139"/>
      <c r="BT148" s="139"/>
      <c r="BU148" s="139"/>
      <c r="BV148" s="139"/>
      <c r="BW148" s="139"/>
      <c r="BX148" s="140"/>
      <c r="BY148" s="139"/>
      <c r="BZ148" s="139"/>
      <c r="CA148" s="139"/>
      <c r="CB148" s="139"/>
      <c r="CC148" s="139"/>
      <c r="CD148" s="139"/>
      <c r="CE148" s="139"/>
      <c r="CF148" s="139"/>
      <c r="CG148" s="139"/>
      <c r="CH148" s="139"/>
      <c r="CI148" s="139"/>
      <c r="CJ148" s="139"/>
      <c r="CK148" s="139"/>
    </row>
    <row r="149" spans="1:89" ht="14.25">
      <c r="A149" s="142"/>
      <c r="B149" s="30" t="s">
        <v>314</v>
      </c>
      <c r="C149" s="46" t="s">
        <v>3</v>
      </c>
      <c r="D149" s="137">
        <f t="shared" si="28"/>
        <v>2</v>
      </c>
      <c r="E149" s="208"/>
      <c r="F149" s="202"/>
      <c r="G149" s="207"/>
      <c r="H149" s="202"/>
      <c r="I149" s="208">
        <v>13</v>
      </c>
      <c r="J149" s="202"/>
      <c r="K149" s="208">
        <f t="shared" si="12"/>
        <v>0</v>
      </c>
      <c r="L149" s="202"/>
      <c r="M149" s="207">
        <v>12</v>
      </c>
      <c r="N149" s="202"/>
      <c r="O149" s="209"/>
      <c r="P149" s="202"/>
      <c r="Q149" s="206"/>
      <c r="R149" s="202"/>
      <c r="S149" s="207">
        <v>12</v>
      </c>
      <c r="T149" s="202"/>
      <c r="U149" s="207"/>
      <c r="V149" s="202"/>
      <c r="W149" s="208"/>
      <c r="X149" s="202"/>
      <c r="Y149" s="210">
        <f t="shared" si="29"/>
        <v>2</v>
      </c>
      <c r="Z149" s="202"/>
      <c r="AA149" s="207"/>
      <c r="AB149" s="202"/>
      <c r="AC149" s="209"/>
      <c r="AD149" s="202"/>
      <c r="AE149" s="206"/>
      <c r="AF149" s="202"/>
      <c r="AG149" s="207"/>
      <c r="AH149" s="202"/>
      <c r="AI149" s="207"/>
      <c r="AJ149" s="202"/>
      <c r="AK149" s="208"/>
      <c r="AL149" s="202"/>
      <c r="AM149" s="210">
        <f t="shared" si="14"/>
        <v>0</v>
      </c>
      <c r="AN149" s="202"/>
      <c r="AO149" s="207"/>
      <c r="AP149" s="202"/>
      <c r="AQ149" s="209"/>
      <c r="AR149" s="202"/>
      <c r="AS149" s="206"/>
      <c r="AT149" s="202"/>
      <c r="AU149" s="204"/>
      <c r="AV149" s="202"/>
      <c r="AW149" s="204"/>
      <c r="AX149" s="202"/>
      <c r="AY149" s="201"/>
      <c r="AZ149" s="202"/>
      <c r="BA149" s="210">
        <f t="shared" si="15"/>
        <v>0</v>
      </c>
      <c r="BB149" s="202"/>
      <c r="BC149" s="204"/>
      <c r="BD149" s="202"/>
      <c r="BE149" s="209"/>
      <c r="BF149" s="202"/>
      <c r="BG149" s="206"/>
      <c r="BH149" s="202"/>
      <c r="BI149" s="204"/>
      <c r="BJ149" s="202"/>
      <c r="BK149" s="204"/>
      <c r="BL149" s="202"/>
      <c r="BM149" s="201"/>
      <c r="BN149" s="202"/>
      <c r="BO149" s="203">
        <f t="shared" si="16"/>
        <v>0</v>
      </c>
      <c r="BP149" s="202"/>
      <c r="BQ149" s="138"/>
      <c r="BR149" s="128"/>
      <c r="BS149" s="128"/>
      <c r="BT149" s="128"/>
      <c r="BU149" s="128"/>
      <c r="BV149" s="128"/>
      <c r="BW149" s="139"/>
      <c r="BX149" s="140"/>
      <c r="BY149" s="139"/>
      <c r="BZ149" s="139"/>
      <c r="CA149" s="134"/>
      <c r="CB149" s="134"/>
      <c r="CC149" s="134"/>
      <c r="CD149" s="134"/>
      <c r="CE149" s="134"/>
      <c r="CF149" s="134"/>
      <c r="CG149" s="134"/>
      <c r="CH149" s="134"/>
      <c r="CI149" s="134"/>
      <c r="CJ149" s="135"/>
      <c r="CK149" s="135"/>
    </row>
    <row r="150" spans="1:89" ht="14.25">
      <c r="A150" s="142"/>
      <c r="B150" s="30" t="s">
        <v>316</v>
      </c>
      <c r="C150" s="46" t="s">
        <v>4</v>
      </c>
      <c r="D150" s="137">
        <f t="shared" si="28"/>
        <v>5</v>
      </c>
      <c r="E150" s="208"/>
      <c r="F150" s="202"/>
      <c r="G150" s="207"/>
      <c r="H150" s="202"/>
      <c r="I150" s="208"/>
      <c r="J150" s="202"/>
      <c r="K150" s="208">
        <f t="shared" si="12"/>
        <v>0</v>
      </c>
      <c r="L150" s="202"/>
      <c r="M150" s="207">
        <v>18</v>
      </c>
      <c r="N150" s="202"/>
      <c r="O150" s="209">
        <v>18</v>
      </c>
      <c r="P150" s="202"/>
      <c r="Q150" s="206">
        <v>18</v>
      </c>
      <c r="R150" s="202"/>
      <c r="S150" s="207">
        <v>18</v>
      </c>
      <c r="T150" s="202"/>
      <c r="U150" s="207"/>
      <c r="V150" s="202"/>
      <c r="W150" s="208"/>
      <c r="X150" s="202"/>
      <c r="Y150" s="210">
        <f t="shared" si="29"/>
        <v>4</v>
      </c>
      <c r="Z150" s="202"/>
      <c r="AA150" s="207">
        <v>18</v>
      </c>
      <c r="AB150" s="202"/>
      <c r="AC150" s="209"/>
      <c r="AD150" s="202"/>
      <c r="AE150" s="206"/>
      <c r="AF150" s="202"/>
      <c r="AG150" s="207"/>
      <c r="AH150" s="202"/>
      <c r="AI150" s="207"/>
      <c r="AJ150" s="202"/>
      <c r="AK150" s="208"/>
      <c r="AL150" s="202"/>
      <c r="AM150" s="210">
        <f t="shared" si="14"/>
        <v>1</v>
      </c>
      <c r="AN150" s="202"/>
      <c r="AO150" s="207"/>
      <c r="AP150" s="202"/>
      <c r="AQ150" s="209"/>
      <c r="AR150" s="202"/>
      <c r="AS150" s="206"/>
      <c r="AT150" s="202"/>
      <c r="AU150" s="204"/>
      <c r="AV150" s="202"/>
      <c r="AW150" s="204"/>
      <c r="AX150" s="202"/>
      <c r="AY150" s="201"/>
      <c r="AZ150" s="202"/>
      <c r="BA150" s="210">
        <f t="shared" si="15"/>
        <v>0</v>
      </c>
      <c r="BB150" s="202"/>
      <c r="BC150" s="204"/>
      <c r="BD150" s="202"/>
      <c r="BE150" s="209"/>
      <c r="BF150" s="202"/>
      <c r="BG150" s="206"/>
      <c r="BH150" s="202"/>
      <c r="BI150" s="204"/>
      <c r="BJ150" s="202"/>
      <c r="BK150" s="204"/>
      <c r="BL150" s="202"/>
      <c r="BM150" s="201"/>
      <c r="BN150" s="202"/>
      <c r="BO150" s="203">
        <f t="shared" si="16"/>
        <v>0</v>
      </c>
      <c r="BP150" s="202"/>
      <c r="BQ150" s="138"/>
      <c r="BR150" s="128"/>
      <c r="BS150" s="128"/>
      <c r="BT150" s="128"/>
      <c r="BU150" s="128"/>
      <c r="BV150" s="128"/>
      <c r="BW150" s="139"/>
      <c r="BX150" s="140"/>
      <c r="BY150" s="139"/>
      <c r="BZ150" s="139"/>
      <c r="CA150" s="134"/>
      <c r="CB150" s="134"/>
      <c r="CC150" s="134"/>
      <c r="CD150" s="134"/>
      <c r="CE150" s="134"/>
      <c r="CF150" s="134"/>
      <c r="CG150" s="134"/>
      <c r="CH150" s="134"/>
      <c r="CI150" s="134"/>
      <c r="CJ150" s="135"/>
      <c r="CK150" s="135"/>
    </row>
    <row r="151" spans="1:89" ht="14.25">
      <c r="A151" s="142"/>
      <c r="B151" s="30" t="s">
        <v>318</v>
      </c>
      <c r="C151" s="46" t="s">
        <v>4</v>
      </c>
      <c r="D151" s="137">
        <f t="shared" si="28"/>
        <v>1</v>
      </c>
      <c r="E151" s="208"/>
      <c r="F151" s="202"/>
      <c r="G151" s="207"/>
      <c r="H151" s="202"/>
      <c r="I151" s="208"/>
      <c r="J151" s="202"/>
      <c r="K151" s="208">
        <f t="shared" si="12"/>
        <v>0</v>
      </c>
      <c r="L151" s="202"/>
      <c r="M151" s="207">
        <v>18</v>
      </c>
      <c r="N151" s="202"/>
      <c r="O151" s="209"/>
      <c r="P151" s="202"/>
      <c r="Q151" s="206"/>
      <c r="R151" s="202"/>
      <c r="S151" s="207"/>
      <c r="T151" s="202"/>
      <c r="U151" s="207"/>
      <c r="V151" s="202"/>
      <c r="W151" s="208"/>
      <c r="X151" s="202"/>
      <c r="Y151" s="210">
        <f t="shared" si="29"/>
        <v>1</v>
      </c>
      <c r="Z151" s="202"/>
      <c r="AA151" s="207"/>
      <c r="AB151" s="202"/>
      <c r="AC151" s="209"/>
      <c r="AD151" s="202"/>
      <c r="AE151" s="206"/>
      <c r="AF151" s="202"/>
      <c r="AG151" s="207"/>
      <c r="AH151" s="202"/>
      <c r="AI151" s="207"/>
      <c r="AJ151" s="202"/>
      <c r="AK151" s="208"/>
      <c r="AL151" s="202"/>
      <c r="AM151" s="210">
        <f t="shared" si="14"/>
        <v>0</v>
      </c>
      <c r="AN151" s="202"/>
      <c r="AO151" s="207"/>
      <c r="AP151" s="202"/>
      <c r="AQ151" s="209"/>
      <c r="AR151" s="202"/>
      <c r="AS151" s="206"/>
      <c r="AT151" s="202"/>
      <c r="AU151" s="204"/>
      <c r="AV151" s="202"/>
      <c r="AW151" s="204"/>
      <c r="AX151" s="202"/>
      <c r="AY151" s="201"/>
      <c r="AZ151" s="202"/>
      <c r="BA151" s="210">
        <f t="shared" si="15"/>
        <v>0</v>
      </c>
      <c r="BB151" s="202"/>
      <c r="BC151" s="204"/>
      <c r="BD151" s="202"/>
      <c r="BE151" s="209"/>
      <c r="BF151" s="202"/>
      <c r="BG151" s="206"/>
      <c r="BH151" s="202"/>
      <c r="BI151" s="204"/>
      <c r="BJ151" s="202"/>
      <c r="BK151" s="204"/>
      <c r="BL151" s="202"/>
      <c r="BM151" s="201"/>
      <c r="BN151" s="202"/>
      <c r="BO151" s="203">
        <f t="shared" si="16"/>
        <v>0</v>
      </c>
      <c r="BP151" s="202"/>
      <c r="BQ151" s="138"/>
      <c r="BR151" s="128"/>
      <c r="BS151" s="128"/>
      <c r="BT151" s="128"/>
      <c r="BU151" s="128"/>
      <c r="BV151" s="128"/>
      <c r="BW151" s="139"/>
      <c r="BX151" s="140"/>
      <c r="BY151" s="139"/>
      <c r="BZ151" s="139"/>
      <c r="CA151" s="134"/>
      <c r="CB151" s="134"/>
      <c r="CC151" s="134"/>
      <c r="CD151" s="134"/>
      <c r="CE151" s="134"/>
      <c r="CF151" s="134"/>
      <c r="CG151" s="134"/>
      <c r="CH151" s="134"/>
      <c r="CI151" s="134"/>
      <c r="CJ151" s="135"/>
      <c r="CK151" s="135"/>
    </row>
    <row r="152" spans="1:89" ht="14.25">
      <c r="A152" s="142"/>
      <c r="B152" s="30" t="s">
        <v>320</v>
      </c>
      <c r="C152" s="46" t="s">
        <v>4</v>
      </c>
      <c r="D152" s="137">
        <f t="shared" si="28"/>
        <v>0</v>
      </c>
      <c r="E152" s="208"/>
      <c r="F152" s="202"/>
      <c r="G152" s="207"/>
      <c r="H152" s="202"/>
      <c r="I152" s="208"/>
      <c r="J152" s="202"/>
      <c r="K152" s="208">
        <f t="shared" si="12"/>
        <v>0</v>
      </c>
      <c r="L152" s="202"/>
      <c r="M152" s="207"/>
      <c r="N152" s="202"/>
      <c r="O152" s="209"/>
      <c r="P152" s="202"/>
      <c r="Q152" s="206"/>
      <c r="R152" s="202"/>
      <c r="S152" s="207"/>
      <c r="T152" s="202"/>
      <c r="U152" s="207"/>
      <c r="V152" s="202"/>
      <c r="W152" s="208"/>
      <c r="X152" s="202"/>
      <c r="Y152" s="210">
        <f t="shared" si="29"/>
        <v>0</v>
      </c>
      <c r="Z152" s="202"/>
      <c r="AA152" s="207"/>
      <c r="AB152" s="202"/>
      <c r="AC152" s="209"/>
      <c r="AD152" s="202"/>
      <c r="AE152" s="206"/>
      <c r="AF152" s="202"/>
      <c r="AG152" s="207"/>
      <c r="AH152" s="202"/>
      <c r="AI152" s="207"/>
      <c r="AJ152" s="202"/>
      <c r="AK152" s="208"/>
      <c r="AL152" s="202"/>
      <c r="AM152" s="210">
        <f t="shared" si="14"/>
        <v>0</v>
      </c>
      <c r="AN152" s="202"/>
      <c r="AO152" s="207"/>
      <c r="AP152" s="202"/>
      <c r="AQ152" s="209"/>
      <c r="AR152" s="202"/>
      <c r="AS152" s="206"/>
      <c r="AT152" s="202"/>
      <c r="AU152" s="204"/>
      <c r="AV152" s="202"/>
      <c r="AW152" s="204"/>
      <c r="AX152" s="202"/>
      <c r="AY152" s="201"/>
      <c r="AZ152" s="202"/>
      <c r="BA152" s="210">
        <f t="shared" si="15"/>
        <v>0</v>
      </c>
      <c r="BB152" s="202"/>
      <c r="BC152" s="204"/>
      <c r="BD152" s="202"/>
      <c r="BE152" s="209"/>
      <c r="BF152" s="202"/>
      <c r="BG152" s="206"/>
      <c r="BH152" s="202"/>
      <c r="BI152" s="204"/>
      <c r="BJ152" s="202"/>
      <c r="BK152" s="204"/>
      <c r="BL152" s="202"/>
      <c r="BM152" s="201"/>
      <c r="BN152" s="202"/>
      <c r="BO152" s="203">
        <f t="shared" si="16"/>
        <v>0</v>
      </c>
      <c r="BP152" s="202"/>
      <c r="BQ152" s="138"/>
      <c r="BR152" s="128"/>
      <c r="BS152" s="128"/>
      <c r="BT152" s="128"/>
      <c r="BU152" s="128"/>
      <c r="BV152" s="128"/>
      <c r="BW152" s="139"/>
      <c r="BX152" s="140"/>
      <c r="BY152" s="139"/>
      <c r="BZ152" s="139"/>
      <c r="CA152" s="134"/>
      <c r="CB152" s="134"/>
      <c r="CC152" s="134"/>
      <c r="CD152" s="134"/>
      <c r="CE152" s="134"/>
      <c r="CF152" s="134"/>
      <c r="CG152" s="134"/>
      <c r="CH152" s="134"/>
      <c r="CI152" s="134"/>
      <c r="CJ152" s="135"/>
      <c r="CK152" s="135"/>
    </row>
    <row r="153" spans="1:89" ht="14.25">
      <c r="A153" s="142"/>
      <c r="B153" s="30" t="s">
        <v>324</v>
      </c>
      <c r="C153" s="46" t="s">
        <v>4</v>
      </c>
      <c r="D153" s="137">
        <f t="shared" si="28"/>
        <v>4</v>
      </c>
      <c r="E153" s="208"/>
      <c r="F153" s="202"/>
      <c r="G153" s="207"/>
      <c r="H153" s="202"/>
      <c r="I153" s="208"/>
      <c r="J153" s="202"/>
      <c r="K153" s="208">
        <f t="shared" si="12"/>
        <v>0</v>
      </c>
      <c r="L153" s="202"/>
      <c r="M153" s="207">
        <v>19</v>
      </c>
      <c r="N153" s="202"/>
      <c r="O153" s="209">
        <v>18</v>
      </c>
      <c r="P153" s="202"/>
      <c r="Q153" s="206"/>
      <c r="R153" s="202"/>
      <c r="S153" s="207"/>
      <c r="T153" s="202"/>
      <c r="U153" s="207">
        <v>20</v>
      </c>
      <c r="V153" s="202"/>
      <c r="W153" s="208"/>
      <c r="X153" s="202"/>
      <c r="Y153" s="210">
        <f t="shared" si="29"/>
        <v>3</v>
      </c>
      <c r="Z153" s="202"/>
      <c r="AA153" s="207">
        <v>20</v>
      </c>
      <c r="AB153" s="202"/>
      <c r="AC153" s="209"/>
      <c r="AD153" s="202"/>
      <c r="AE153" s="206"/>
      <c r="AF153" s="202"/>
      <c r="AG153" s="207"/>
      <c r="AH153" s="202"/>
      <c r="AI153" s="207"/>
      <c r="AJ153" s="202"/>
      <c r="AK153" s="208"/>
      <c r="AL153" s="202"/>
      <c r="AM153" s="210">
        <f t="shared" si="14"/>
        <v>1</v>
      </c>
      <c r="AN153" s="202"/>
      <c r="AO153" s="207"/>
      <c r="AP153" s="202"/>
      <c r="AQ153" s="209"/>
      <c r="AR153" s="202"/>
      <c r="AS153" s="206"/>
      <c r="AT153" s="202"/>
      <c r="AU153" s="204"/>
      <c r="AV153" s="202"/>
      <c r="AW153" s="204"/>
      <c r="AX153" s="202"/>
      <c r="AY153" s="201"/>
      <c r="AZ153" s="202"/>
      <c r="BA153" s="210">
        <f t="shared" si="15"/>
        <v>0</v>
      </c>
      <c r="BB153" s="202"/>
      <c r="BC153" s="204"/>
      <c r="BD153" s="202"/>
      <c r="BE153" s="209"/>
      <c r="BF153" s="202"/>
      <c r="BG153" s="206"/>
      <c r="BH153" s="202"/>
      <c r="BI153" s="204"/>
      <c r="BJ153" s="202"/>
      <c r="BK153" s="204"/>
      <c r="BL153" s="202"/>
      <c r="BM153" s="201"/>
      <c r="BN153" s="202"/>
      <c r="BO153" s="203">
        <f t="shared" si="16"/>
        <v>0</v>
      </c>
      <c r="BP153" s="202"/>
      <c r="BQ153" s="138"/>
      <c r="BR153" s="128"/>
      <c r="BS153" s="128"/>
      <c r="BT153" s="128"/>
      <c r="BU153" s="128"/>
      <c r="BV153" s="128"/>
      <c r="BW153" s="139"/>
      <c r="BX153" s="140"/>
      <c r="BY153" s="139"/>
      <c r="BZ153" s="139"/>
      <c r="CA153" s="134"/>
      <c r="CB153" s="134"/>
      <c r="CC153" s="134"/>
      <c r="CD153" s="134"/>
      <c r="CE153" s="134"/>
      <c r="CF153" s="134"/>
      <c r="CG153" s="134"/>
      <c r="CH153" s="134"/>
      <c r="CI153" s="134"/>
      <c r="CJ153" s="92"/>
      <c r="CK153" s="92"/>
    </row>
    <row r="154" spans="1:89" ht="14.25">
      <c r="A154" s="142"/>
      <c r="B154" s="30" t="s">
        <v>326</v>
      </c>
      <c r="C154" s="46" t="s">
        <v>4</v>
      </c>
      <c r="D154" s="137">
        <f t="shared" si="28"/>
        <v>7</v>
      </c>
      <c r="E154" s="208"/>
      <c r="F154" s="202"/>
      <c r="G154" s="207">
        <v>10</v>
      </c>
      <c r="H154" s="202"/>
      <c r="I154" s="208"/>
      <c r="J154" s="202"/>
      <c r="K154" s="208">
        <f t="shared" si="12"/>
        <v>1</v>
      </c>
      <c r="L154" s="202"/>
      <c r="M154" s="207">
        <v>10</v>
      </c>
      <c r="N154" s="202"/>
      <c r="O154" s="209">
        <v>10</v>
      </c>
      <c r="P154" s="202"/>
      <c r="Q154" s="206">
        <v>10</v>
      </c>
      <c r="R154" s="202"/>
      <c r="S154" s="207">
        <v>10</v>
      </c>
      <c r="T154" s="202"/>
      <c r="U154" s="207">
        <v>10</v>
      </c>
      <c r="V154" s="202"/>
      <c r="W154" s="208"/>
      <c r="X154" s="202"/>
      <c r="Y154" s="210">
        <f t="shared" si="29"/>
        <v>5</v>
      </c>
      <c r="Z154" s="202"/>
      <c r="AA154" s="207">
        <v>10</v>
      </c>
      <c r="AB154" s="202"/>
      <c r="AC154" s="209"/>
      <c r="AD154" s="202"/>
      <c r="AE154" s="206"/>
      <c r="AF154" s="202"/>
      <c r="AG154" s="207"/>
      <c r="AH154" s="202"/>
      <c r="AI154" s="207"/>
      <c r="AJ154" s="202"/>
      <c r="AK154" s="208"/>
      <c r="AL154" s="202"/>
      <c r="AM154" s="210">
        <f t="shared" si="14"/>
        <v>1</v>
      </c>
      <c r="AN154" s="202"/>
      <c r="AO154" s="207"/>
      <c r="AP154" s="202"/>
      <c r="AQ154" s="209"/>
      <c r="AR154" s="202"/>
      <c r="AS154" s="206"/>
      <c r="AT154" s="202"/>
      <c r="AU154" s="204"/>
      <c r="AV154" s="202"/>
      <c r="AW154" s="204"/>
      <c r="AX154" s="202"/>
      <c r="AY154" s="201"/>
      <c r="AZ154" s="202"/>
      <c r="BA154" s="210">
        <f t="shared" si="15"/>
        <v>0</v>
      </c>
      <c r="BB154" s="202"/>
      <c r="BC154" s="204"/>
      <c r="BD154" s="202"/>
      <c r="BE154" s="209"/>
      <c r="BF154" s="202"/>
      <c r="BG154" s="206"/>
      <c r="BH154" s="202"/>
      <c r="BI154" s="204"/>
      <c r="BJ154" s="202"/>
      <c r="BK154" s="204"/>
      <c r="BL154" s="202"/>
      <c r="BM154" s="201"/>
      <c r="BN154" s="202"/>
      <c r="BO154" s="203">
        <f t="shared" si="16"/>
        <v>0</v>
      </c>
      <c r="BP154" s="202"/>
      <c r="BQ154" s="138"/>
      <c r="BR154" s="128"/>
      <c r="BS154" s="128"/>
      <c r="BT154" s="128"/>
      <c r="BU154" s="128"/>
      <c r="BV154" s="128"/>
      <c r="BW154" s="139"/>
      <c r="BX154" s="140"/>
      <c r="BY154" s="139"/>
      <c r="BZ154" s="139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92"/>
      <c r="CK154" s="92"/>
    </row>
    <row r="155" spans="1:89" ht="14.25">
      <c r="A155" s="142"/>
      <c r="B155" s="30" t="s">
        <v>329</v>
      </c>
      <c r="C155" s="46" t="s">
        <v>4</v>
      </c>
      <c r="D155" s="137">
        <f t="shared" si="28"/>
        <v>4</v>
      </c>
      <c r="E155" s="208"/>
      <c r="F155" s="202"/>
      <c r="G155" s="207"/>
      <c r="H155" s="202"/>
      <c r="I155" s="208"/>
      <c r="J155" s="202"/>
      <c r="K155" s="208">
        <f t="shared" si="12"/>
        <v>0</v>
      </c>
      <c r="L155" s="202"/>
      <c r="M155" s="207">
        <v>20</v>
      </c>
      <c r="N155" s="202"/>
      <c r="O155" s="209">
        <v>21</v>
      </c>
      <c r="P155" s="202"/>
      <c r="Q155" s="206"/>
      <c r="R155" s="202"/>
      <c r="S155" s="207">
        <v>20</v>
      </c>
      <c r="T155" s="202"/>
      <c r="U155" s="207"/>
      <c r="V155" s="202"/>
      <c r="W155" s="208">
        <v>11</v>
      </c>
      <c r="X155" s="202"/>
      <c r="Y155" s="210">
        <f t="shared" si="29"/>
        <v>3</v>
      </c>
      <c r="Z155" s="202"/>
      <c r="AA155" s="207">
        <v>21</v>
      </c>
      <c r="AB155" s="202"/>
      <c r="AC155" s="209"/>
      <c r="AD155" s="202"/>
      <c r="AE155" s="206"/>
      <c r="AF155" s="202"/>
      <c r="AG155" s="207"/>
      <c r="AH155" s="202"/>
      <c r="AI155" s="207"/>
      <c r="AJ155" s="202"/>
      <c r="AK155" s="208"/>
      <c r="AL155" s="202"/>
      <c r="AM155" s="210">
        <f t="shared" si="14"/>
        <v>1</v>
      </c>
      <c r="AN155" s="202"/>
      <c r="AO155" s="207"/>
      <c r="AP155" s="202"/>
      <c r="AQ155" s="209"/>
      <c r="AR155" s="202"/>
      <c r="AS155" s="206"/>
      <c r="AT155" s="202"/>
      <c r="AU155" s="204"/>
      <c r="AV155" s="202"/>
      <c r="AW155" s="204"/>
      <c r="AX155" s="202"/>
      <c r="AY155" s="201"/>
      <c r="AZ155" s="202"/>
      <c r="BA155" s="210">
        <f t="shared" si="15"/>
        <v>0</v>
      </c>
      <c r="BB155" s="202"/>
      <c r="BC155" s="204"/>
      <c r="BD155" s="202"/>
      <c r="BE155" s="209"/>
      <c r="BF155" s="202"/>
      <c r="BG155" s="206"/>
      <c r="BH155" s="202"/>
      <c r="BI155" s="204"/>
      <c r="BJ155" s="202"/>
      <c r="BK155" s="204"/>
      <c r="BL155" s="202"/>
      <c r="BM155" s="201"/>
      <c r="BN155" s="202"/>
      <c r="BO155" s="203">
        <f t="shared" si="16"/>
        <v>0</v>
      </c>
      <c r="BP155" s="202"/>
      <c r="BQ155" s="138"/>
      <c r="BR155" s="128"/>
      <c r="BS155" s="128"/>
      <c r="BT155" s="128"/>
      <c r="BU155" s="128"/>
      <c r="BV155" s="128"/>
      <c r="BW155" s="139"/>
      <c r="BX155" s="140"/>
      <c r="BY155" s="139"/>
      <c r="BZ155" s="139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92"/>
      <c r="CK155" s="92"/>
    </row>
    <row r="156" spans="1:89" ht="14.25">
      <c r="A156" s="142"/>
      <c r="B156" s="30" t="s">
        <v>331</v>
      </c>
      <c r="C156" s="46" t="s">
        <v>4</v>
      </c>
      <c r="D156" s="137">
        <f t="shared" si="28"/>
        <v>6</v>
      </c>
      <c r="E156" s="208"/>
      <c r="F156" s="202"/>
      <c r="G156" s="207">
        <v>20</v>
      </c>
      <c r="H156" s="202"/>
      <c r="I156" s="208"/>
      <c r="J156" s="202"/>
      <c r="K156" s="208">
        <f t="shared" si="12"/>
        <v>1</v>
      </c>
      <c r="L156" s="202"/>
      <c r="M156" s="207">
        <v>20</v>
      </c>
      <c r="N156" s="202"/>
      <c r="O156" s="209"/>
      <c r="P156" s="202"/>
      <c r="Q156" s="206">
        <v>20</v>
      </c>
      <c r="R156" s="202"/>
      <c r="S156" s="207">
        <v>12</v>
      </c>
      <c r="T156" s="202"/>
      <c r="U156" s="207">
        <v>12</v>
      </c>
      <c r="V156" s="202"/>
      <c r="W156" s="208"/>
      <c r="X156" s="202"/>
      <c r="Y156" s="210">
        <f t="shared" si="29"/>
        <v>4</v>
      </c>
      <c r="Z156" s="202"/>
      <c r="AA156" s="207">
        <v>19</v>
      </c>
      <c r="AB156" s="202"/>
      <c r="AC156" s="209"/>
      <c r="AD156" s="202"/>
      <c r="AE156" s="206"/>
      <c r="AF156" s="202"/>
      <c r="AG156" s="207"/>
      <c r="AH156" s="202"/>
      <c r="AI156" s="207"/>
      <c r="AJ156" s="202"/>
      <c r="AK156" s="208"/>
      <c r="AL156" s="202"/>
      <c r="AM156" s="210">
        <f t="shared" si="14"/>
        <v>1</v>
      </c>
      <c r="AN156" s="202"/>
      <c r="AO156" s="207"/>
      <c r="AP156" s="202"/>
      <c r="AQ156" s="209"/>
      <c r="AR156" s="202"/>
      <c r="AS156" s="206"/>
      <c r="AT156" s="202"/>
      <c r="AU156" s="204"/>
      <c r="AV156" s="202"/>
      <c r="AW156" s="204"/>
      <c r="AX156" s="202"/>
      <c r="AY156" s="201"/>
      <c r="AZ156" s="202"/>
      <c r="BA156" s="210">
        <f t="shared" si="15"/>
        <v>0</v>
      </c>
      <c r="BB156" s="202"/>
      <c r="BC156" s="204"/>
      <c r="BD156" s="202"/>
      <c r="BE156" s="209"/>
      <c r="BF156" s="202"/>
      <c r="BG156" s="206"/>
      <c r="BH156" s="202"/>
      <c r="BI156" s="204"/>
      <c r="BJ156" s="202"/>
      <c r="BK156" s="204"/>
      <c r="BL156" s="202"/>
      <c r="BM156" s="201"/>
      <c r="BN156" s="202"/>
      <c r="BO156" s="203">
        <f t="shared" si="16"/>
        <v>0</v>
      </c>
      <c r="BP156" s="202"/>
      <c r="BQ156" s="138"/>
      <c r="BR156" s="128"/>
      <c r="BS156" s="128"/>
      <c r="BT156" s="128"/>
      <c r="BU156" s="128"/>
      <c r="BV156" s="128"/>
      <c r="BW156" s="139"/>
      <c r="BX156" s="140"/>
      <c r="BY156" s="139"/>
      <c r="BZ156" s="139"/>
      <c r="CA156" s="134"/>
      <c r="CB156" s="134"/>
      <c r="CC156" s="134"/>
      <c r="CD156" s="134"/>
      <c r="CE156" s="134"/>
      <c r="CF156" s="134"/>
      <c r="CG156" s="134"/>
      <c r="CH156" s="134"/>
      <c r="CI156" s="134"/>
      <c r="CJ156" s="92"/>
      <c r="CK156" s="92"/>
    </row>
    <row r="157" spans="1:89" ht="14.25">
      <c r="A157" s="142"/>
      <c r="B157" s="30" t="s">
        <v>333</v>
      </c>
      <c r="C157" s="46" t="s">
        <v>4</v>
      </c>
      <c r="D157" s="137">
        <f t="shared" si="28"/>
        <v>1</v>
      </c>
      <c r="E157" s="208">
        <v>11</v>
      </c>
      <c r="F157" s="202"/>
      <c r="G157" s="207"/>
      <c r="H157" s="202"/>
      <c r="I157" s="208"/>
      <c r="J157" s="202"/>
      <c r="K157" s="208">
        <f t="shared" si="12"/>
        <v>0</v>
      </c>
      <c r="L157" s="202"/>
      <c r="M157" s="207"/>
      <c r="N157" s="202"/>
      <c r="O157" s="209"/>
      <c r="P157" s="202"/>
      <c r="Q157" s="206"/>
      <c r="R157" s="202"/>
      <c r="S157" s="207"/>
      <c r="T157" s="202"/>
      <c r="U157" s="207"/>
      <c r="V157" s="202"/>
      <c r="W157" s="208"/>
      <c r="X157" s="202"/>
      <c r="Y157" s="210">
        <f t="shared" si="29"/>
        <v>0</v>
      </c>
      <c r="Z157" s="202"/>
      <c r="AA157" s="207">
        <v>18</v>
      </c>
      <c r="AB157" s="202"/>
      <c r="AC157" s="209"/>
      <c r="AD157" s="202"/>
      <c r="AE157" s="206"/>
      <c r="AF157" s="202"/>
      <c r="AG157" s="207"/>
      <c r="AH157" s="202"/>
      <c r="AI157" s="207"/>
      <c r="AJ157" s="202"/>
      <c r="AK157" s="208"/>
      <c r="AL157" s="202"/>
      <c r="AM157" s="210">
        <f t="shared" si="14"/>
        <v>1</v>
      </c>
      <c r="AN157" s="202"/>
      <c r="AO157" s="207"/>
      <c r="AP157" s="202"/>
      <c r="AQ157" s="209"/>
      <c r="AR157" s="202"/>
      <c r="AS157" s="206"/>
      <c r="AT157" s="202"/>
      <c r="AU157" s="204"/>
      <c r="AV157" s="202"/>
      <c r="AW157" s="204"/>
      <c r="AX157" s="202"/>
      <c r="AY157" s="201"/>
      <c r="AZ157" s="202"/>
      <c r="BA157" s="210">
        <f t="shared" si="15"/>
        <v>0</v>
      </c>
      <c r="BB157" s="202"/>
      <c r="BC157" s="204"/>
      <c r="BD157" s="202"/>
      <c r="BE157" s="209"/>
      <c r="BF157" s="202"/>
      <c r="BG157" s="206"/>
      <c r="BH157" s="202"/>
      <c r="BI157" s="204"/>
      <c r="BJ157" s="202"/>
      <c r="BK157" s="204"/>
      <c r="BL157" s="202"/>
      <c r="BM157" s="201"/>
      <c r="BN157" s="202"/>
      <c r="BO157" s="203">
        <f t="shared" si="16"/>
        <v>0</v>
      </c>
      <c r="BP157" s="202"/>
      <c r="BQ157" s="138"/>
      <c r="BR157" s="128"/>
      <c r="BS157" s="128"/>
      <c r="BT157" s="128"/>
      <c r="BU157" s="128"/>
      <c r="BV157" s="128"/>
      <c r="BW157" s="139"/>
      <c r="BX157" s="140"/>
      <c r="BY157" s="139"/>
      <c r="BZ157" s="139"/>
      <c r="CA157" s="134"/>
      <c r="CB157" s="134"/>
      <c r="CC157" s="134"/>
      <c r="CD157" s="134"/>
      <c r="CE157" s="134"/>
      <c r="CF157" s="134"/>
      <c r="CG157" s="134"/>
      <c r="CH157" s="134"/>
      <c r="CI157" s="134"/>
      <c r="CJ157" s="92"/>
      <c r="CK157" s="92"/>
    </row>
    <row r="158" spans="1:89" ht="14.25">
      <c r="A158" s="142"/>
      <c r="B158" s="30" t="s">
        <v>335</v>
      </c>
      <c r="C158" s="46" t="s">
        <v>4</v>
      </c>
      <c r="D158" s="137">
        <f t="shared" si="28"/>
        <v>1</v>
      </c>
      <c r="E158" s="208"/>
      <c r="F158" s="202"/>
      <c r="G158" s="207"/>
      <c r="H158" s="202"/>
      <c r="I158" s="208"/>
      <c r="J158" s="202"/>
      <c r="K158" s="208">
        <f t="shared" si="12"/>
        <v>0</v>
      </c>
      <c r="L158" s="202"/>
      <c r="M158" s="207"/>
      <c r="N158" s="202"/>
      <c r="O158" s="209"/>
      <c r="P158" s="202"/>
      <c r="Q158" s="206"/>
      <c r="R158" s="202"/>
      <c r="S158" s="207">
        <v>12</v>
      </c>
      <c r="T158" s="202"/>
      <c r="U158" s="207"/>
      <c r="V158" s="202"/>
      <c r="W158" s="208"/>
      <c r="X158" s="202"/>
      <c r="Y158" s="210">
        <f t="shared" si="29"/>
        <v>1</v>
      </c>
      <c r="Z158" s="202"/>
      <c r="AA158" s="207"/>
      <c r="AB158" s="202"/>
      <c r="AC158" s="209"/>
      <c r="AD158" s="202"/>
      <c r="AE158" s="206"/>
      <c r="AF158" s="202"/>
      <c r="AG158" s="207"/>
      <c r="AH158" s="202"/>
      <c r="AI158" s="207"/>
      <c r="AJ158" s="202"/>
      <c r="AK158" s="208"/>
      <c r="AL158" s="202"/>
      <c r="AM158" s="210">
        <f t="shared" si="14"/>
        <v>0</v>
      </c>
      <c r="AN158" s="202"/>
      <c r="AO158" s="207"/>
      <c r="AP158" s="202"/>
      <c r="AQ158" s="209"/>
      <c r="AR158" s="202"/>
      <c r="AS158" s="206"/>
      <c r="AT158" s="202"/>
      <c r="AU158" s="204"/>
      <c r="AV158" s="202"/>
      <c r="AW158" s="204"/>
      <c r="AX158" s="202"/>
      <c r="AY158" s="201"/>
      <c r="AZ158" s="202"/>
      <c r="BA158" s="210">
        <f t="shared" si="15"/>
        <v>0</v>
      </c>
      <c r="BB158" s="202"/>
      <c r="BC158" s="204"/>
      <c r="BD158" s="202"/>
      <c r="BE158" s="209"/>
      <c r="BF158" s="202"/>
      <c r="BG158" s="206"/>
      <c r="BH158" s="202"/>
      <c r="BI158" s="204"/>
      <c r="BJ158" s="202"/>
      <c r="BK158" s="204"/>
      <c r="BL158" s="202"/>
      <c r="BM158" s="201"/>
      <c r="BN158" s="202"/>
      <c r="BO158" s="203">
        <f t="shared" si="16"/>
        <v>0</v>
      </c>
      <c r="BP158" s="202"/>
      <c r="BQ158" s="138"/>
      <c r="BR158" s="128"/>
      <c r="BS158" s="128"/>
      <c r="BT158" s="128"/>
      <c r="BU158" s="128"/>
      <c r="BV158" s="128"/>
      <c r="BW158" s="139"/>
      <c r="BX158" s="140"/>
      <c r="BY158" s="139"/>
      <c r="BZ158" s="139"/>
      <c r="CA158" s="134"/>
      <c r="CB158" s="134"/>
      <c r="CC158" s="134"/>
      <c r="CD158" s="134"/>
      <c r="CE158" s="134"/>
      <c r="CF158" s="134"/>
      <c r="CG158" s="134"/>
      <c r="CH158" s="134"/>
      <c r="CI158" s="134"/>
      <c r="CJ158" s="92"/>
      <c r="CK158" s="92"/>
    </row>
    <row r="159" spans="1:89" ht="14.25">
      <c r="A159" s="142"/>
      <c r="B159" s="30" t="s">
        <v>337</v>
      </c>
      <c r="C159" s="46" t="s">
        <v>3</v>
      </c>
      <c r="D159" s="137">
        <f t="shared" si="28"/>
        <v>1</v>
      </c>
      <c r="E159" s="208"/>
      <c r="F159" s="202"/>
      <c r="G159" s="207"/>
      <c r="H159" s="202"/>
      <c r="I159" s="208"/>
      <c r="J159" s="202"/>
      <c r="K159" s="208">
        <f t="shared" si="12"/>
        <v>0</v>
      </c>
      <c r="L159" s="202"/>
      <c r="M159" s="207"/>
      <c r="N159" s="202"/>
      <c r="O159" s="209"/>
      <c r="P159" s="202"/>
      <c r="Q159" s="206"/>
      <c r="R159" s="202"/>
      <c r="S159" s="207"/>
      <c r="T159" s="202"/>
      <c r="U159" s="207"/>
      <c r="V159" s="202"/>
      <c r="W159" s="208"/>
      <c r="X159" s="202"/>
      <c r="Y159" s="210">
        <f t="shared" si="29"/>
        <v>0</v>
      </c>
      <c r="Z159" s="202"/>
      <c r="AA159" s="207">
        <v>20</v>
      </c>
      <c r="AB159" s="202"/>
      <c r="AC159" s="209"/>
      <c r="AD159" s="202"/>
      <c r="AE159" s="206"/>
      <c r="AF159" s="202"/>
      <c r="AG159" s="207"/>
      <c r="AH159" s="202"/>
      <c r="AI159" s="207"/>
      <c r="AJ159" s="202"/>
      <c r="AK159" s="208"/>
      <c r="AL159" s="202"/>
      <c r="AM159" s="210">
        <f t="shared" si="14"/>
        <v>1</v>
      </c>
      <c r="AN159" s="202"/>
      <c r="AO159" s="207"/>
      <c r="AP159" s="202"/>
      <c r="AQ159" s="209"/>
      <c r="AR159" s="202"/>
      <c r="AS159" s="206"/>
      <c r="AT159" s="202"/>
      <c r="AU159" s="204"/>
      <c r="AV159" s="202"/>
      <c r="AW159" s="204"/>
      <c r="AX159" s="202"/>
      <c r="AY159" s="201"/>
      <c r="AZ159" s="202"/>
      <c r="BA159" s="210">
        <f t="shared" si="15"/>
        <v>0</v>
      </c>
      <c r="BB159" s="202"/>
      <c r="BC159" s="204"/>
      <c r="BD159" s="202"/>
      <c r="BE159" s="209"/>
      <c r="BF159" s="202"/>
      <c r="BG159" s="206"/>
      <c r="BH159" s="202"/>
      <c r="BI159" s="204"/>
      <c r="BJ159" s="202"/>
      <c r="BK159" s="204"/>
      <c r="BL159" s="202"/>
      <c r="BM159" s="201"/>
      <c r="BN159" s="202"/>
      <c r="BO159" s="203">
        <f t="shared" si="16"/>
        <v>0</v>
      </c>
      <c r="BP159" s="202"/>
      <c r="BQ159" s="138"/>
      <c r="BR159" s="128"/>
      <c r="BS159" s="128"/>
      <c r="BT159" s="128"/>
      <c r="BU159" s="128"/>
      <c r="BV159" s="128"/>
      <c r="BW159" s="139"/>
      <c r="BX159" s="140"/>
      <c r="BY159" s="139"/>
      <c r="BZ159" s="139"/>
      <c r="CA159" s="134"/>
      <c r="CB159" s="134"/>
      <c r="CC159" s="134"/>
      <c r="CD159" s="134"/>
      <c r="CE159" s="134"/>
      <c r="CF159" s="134"/>
      <c r="CG159" s="134"/>
      <c r="CH159" s="134"/>
      <c r="CI159" s="134"/>
      <c r="CJ159" s="92"/>
      <c r="CK159" s="92"/>
    </row>
    <row r="160" spans="1:89" ht="14.25">
      <c r="A160" s="142"/>
      <c r="B160" s="30" t="s">
        <v>339</v>
      </c>
      <c r="C160" s="46" t="s">
        <v>4</v>
      </c>
      <c r="D160" s="137">
        <f t="shared" si="28"/>
        <v>1</v>
      </c>
      <c r="E160" s="208"/>
      <c r="F160" s="202"/>
      <c r="G160" s="207"/>
      <c r="H160" s="202"/>
      <c r="I160" s="208"/>
      <c r="J160" s="202"/>
      <c r="K160" s="208">
        <f t="shared" si="12"/>
        <v>0</v>
      </c>
      <c r="L160" s="202"/>
      <c r="M160" s="207">
        <v>20</v>
      </c>
      <c r="N160" s="202"/>
      <c r="O160" s="209"/>
      <c r="P160" s="202"/>
      <c r="Q160" s="206"/>
      <c r="R160" s="202"/>
      <c r="S160" s="207"/>
      <c r="T160" s="202"/>
      <c r="U160" s="207"/>
      <c r="V160" s="202"/>
      <c r="W160" s="208"/>
      <c r="X160" s="202"/>
      <c r="Y160" s="210">
        <f t="shared" si="29"/>
        <v>1</v>
      </c>
      <c r="Z160" s="202"/>
      <c r="AA160" s="207"/>
      <c r="AB160" s="202"/>
      <c r="AC160" s="209"/>
      <c r="AD160" s="202"/>
      <c r="AE160" s="206"/>
      <c r="AF160" s="202"/>
      <c r="AG160" s="207"/>
      <c r="AH160" s="202"/>
      <c r="AI160" s="207"/>
      <c r="AJ160" s="202"/>
      <c r="AK160" s="208"/>
      <c r="AL160" s="202"/>
      <c r="AM160" s="210">
        <f t="shared" si="14"/>
        <v>0</v>
      </c>
      <c r="AN160" s="202"/>
      <c r="AO160" s="207"/>
      <c r="AP160" s="202"/>
      <c r="AQ160" s="209"/>
      <c r="AR160" s="202"/>
      <c r="AS160" s="206"/>
      <c r="AT160" s="202"/>
      <c r="AU160" s="204"/>
      <c r="AV160" s="202"/>
      <c r="AW160" s="204"/>
      <c r="AX160" s="202"/>
      <c r="AY160" s="201"/>
      <c r="AZ160" s="202"/>
      <c r="BA160" s="210">
        <f t="shared" si="15"/>
        <v>0</v>
      </c>
      <c r="BB160" s="202"/>
      <c r="BC160" s="204"/>
      <c r="BD160" s="202"/>
      <c r="BE160" s="209"/>
      <c r="BF160" s="202"/>
      <c r="BG160" s="206"/>
      <c r="BH160" s="202"/>
      <c r="BI160" s="204"/>
      <c r="BJ160" s="202"/>
      <c r="BK160" s="204"/>
      <c r="BL160" s="202"/>
      <c r="BM160" s="201"/>
      <c r="BN160" s="202"/>
      <c r="BO160" s="203">
        <f t="shared" si="16"/>
        <v>0</v>
      </c>
      <c r="BP160" s="202"/>
      <c r="BQ160" s="138"/>
      <c r="BR160" s="128"/>
      <c r="BS160" s="128"/>
      <c r="BT160" s="128"/>
      <c r="BU160" s="128"/>
      <c r="BV160" s="128"/>
      <c r="BW160" s="139"/>
      <c r="BX160" s="140"/>
      <c r="BY160" s="139"/>
      <c r="BZ160" s="139"/>
      <c r="CA160" s="134"/>
      <c r="CB160" s="134"/>
      <c r="CC160" s="134"/>
      <c r="CD160" s="134"/>
      <c r="CE160" s="134"/>
      <c r="CF160" s="134"/>
      <c r="CG160" s="134"/>
      <c r="CH160" s="134"/>
      <c r="CI160" s="134"/>
      <c r="CJ160" s="92"/>
      <c r="CK160" s="92"/>
    </row>
    <row r="161" spans="1:89" ht="14.25">
      <c r="A161" s="142"/>
      <c r="B161" s="30" t="s">
        <v>341</v>
      </c>
      <c r="C161" s="46" t="s">
        <v>4</v>
      </c>
      <c r="D161" s="137">
        <f t="shared" si="28"/>
        <v>4</v>
      </c>
      <c r="E161" s="208"/>
      <c r="F161" s="202"/>
      <c r="G161" s="207"/>
      <c r="H161" s="202"/>
      <c r="I161" s="208"/>
      <c r="J161" s="202"/>
      <c r="K161" s="208">
        <f t="shared" si="12"/>
        <v>0</v>
      </c>
      <c r="L161" s="202"/>
      <c r="M161" s="207"/>
      <c r="N161" s="202"/>
      <c r="O161" s="209"/>
      <c r="P161" s="202"/>
      <c r="Q161" s="206">
        <v>17</v>
      </c>
      <c r="R161" s="202"/>
      <c r="S161" s="207">
        <v>10</v>
      </c>
      <c r="T161" s="202"/>
      <c r="U161" s="207">
        <v>10</v>
      </c>
      <c r="V161" s="202"/>
      <c r="W161" s="208"/>
      <c r="X161" s="202"/>
      <c r="Y161" s="210">
        <f t="shared" si="29"/>
        <v>3</v>
      </c>
      <c r="Z161" s="202"/>
      <c r="AA161" s="207">
        <v>10</v>
      </c>
      <c r="AB161" s="202"/>
      <c r="AC161" s="209"/>
      <c r="AD161" s="202"/>
      <c r="AE161" s="206"/>
      <c r="AF161" s="202"/>
      <c r="AG161" s="207"/>
      <c r="AH161" s="202"/>
      <c r="AI161" s="207"/>
      <c r="AJ161" s="202"/>
      <c r="AK161" s="208"/>
      <c r="AL161" s="202"/>
      <c r="AM161" s="210">
        <f t="shared" si="14"/>
        <v>1</v>
      </c>
      <c r="AN161" s="202"/>
      <c r="AO161" s="207"/>
      <c r="AP161" s="202"/>
      <c r="AQ161" s="209"/>
      <c r="AR161" s="202"/>
      <c r="AS161" s="206"/>
      <c r="AT161" s="202"/>
      <c r="AU161" s="204"/>
      <c r="AV161" s="202"/>
      <c r="AW161" s="204"/>
      <c r="AX161" s="202"/>
      <c r="AY161" s="201"/>
      <c r="AZ161" s="202"/>
      <c r="BA161" s="210">
        <f t="shared" si="15"/>
        <v>0</v>
      </c>
      <c r="BB161" s="202"/>
      <c r="BC161" s="204"/>
      <c r="BD161" s="202"/>
      <c r="BE161" s="209"/>
      <c r="BF161" s="202"/>
      <c r="BG161" s="206"/>
      <c r="BH161" s="202"/>
      <c r="BI161" s="204"/>
      <c r="BJ161" s="202"/>
      <c r="BK161" s="204"/>
      <c r="BL161" s="202"/>
      <c r="BM161" s="201"/>
      <c r="BN161" s="202"/>
      <c r="BO161" s="203">
        <f t="shared" si="16"/>
        <v>0</v>
      </c>
      <c r="BP161" s="202"/>
      <c r="BQ161" s="138"/>
      <c r="BR161" s="128"/>
      <c r="BS161" s="128"/>
      <c r="BT161" s="128"/>
      <c r="BU161" s="128"/>
      <c r="BV161" s="128"/>
      <c r="BW161" s="139"/>
      <c r="BX161" s="140"/>
      <c r="BY161" s="139"/>
      <c r="BZ161" s="139"/>
      <c r="CA161" s="134"/>
      <c r="CB161" s="134"/>
      <c r="CC161" s="134"/>
      <c r="CD161" s="134"/>
      <c r="CE161" s="134"/>
      <c r="CF161" s="134"/>
      <c r="CG161" s="92"/>
      <c r="CH161" s="92"/>
      <c r="CI161" s="92"/>
      <c r="CJ161" s="92"/>
      <c r="CK161" s="92"/>
    </row>
    <row r="162" spans="1:89" ht="14.25">
      <c r="A162" s="142"/>
      <c r="B162" s="30" t="s">
        <v>343</v>
      </c>
      <c r="C162" s="46" t="s">
        <v>4</v>
      </c>
      <c r="D162" s="137">
        <f t="shared" si="28"/>
        <v>4</v>
      </c>
      <c r="E162" s="208"/>
      <c r="F162" s="202"/>
      <c r="G162" s="207"/>
      <c r="H162" s="202"/>
      <c r="I162" s="208"/>
      <c r="J162" s="202"/>
      <c r="K162" s="208">
        <f t="shared" si="12"/>
        <v>0</v>
      </c>
      <c r="L162" s="202"/>
      <c r="M162" s="207"/>
      <c r="N162" s="202"/>
      <c r="O162" s="209"/>
      <c r="P162" s="202"/>
      <c r="Q162" s="206">
        <v>17</v>
      </c>
      <c r="R162" s="202"/>
      <c r="S162" s="207">
        <v>17</v>
      </c>
      <c r="T162" s="202"/>
      <c r="U162" s="207">
        <v>17</v>
      </c>
      <c r="V162" s="202"/>
      <c r="W162" s="208"/>
      <c r="X162" s="202"/>
      <c r="Y162" s="210">
        <f t="shared" si="29"/>
        <v>3</v>
      </c>
      <c r="Z162" s="202"/>
      <c r="AA162" s="207">
        <v>18</v>
      </c>
      <c r="AB162" s="202"/>
      <c r="AC162" s="209"/>
      <c r="AD162" s="202"/>
      <c r="AE162" s="206"/>
      <c r="AF162" s="202"/>
      <c r="AG162" s="207"/>
      <c r="AH162" s="202"/>
      <c r="AI162" s="207"/>
      <c r="AJ162" s="202"/>
      <c r="AK162" s="208"/>
      <c r="AL162" s="202"/>
      <c r="AM162" s="210">
        <f t="shared" si="14"/>
        <v>1</v>
      </c>
      <c r="AN162" s="202"/>
      <c r="AO162" s="207"/>
      <c r="AP162" s="202"/>
      <c r="AQ162" s="209"/>
      <c r="AR162" s="202"/>
      <c r="AS162" s="206"/>
      <c r="AT162" s="202"/>
      <c r="AU162" s="204"/>
      <c r="AV162" s="202"/>
      <c r="AW162" s="204"/>
      <c r="AX162" s="202"/>
      <c r="AY162" s="201"/>
      <c r="AZ162" s="202"/>
      <c r="BA162" s="210">
        <f t="shared" si="15"/>
        <v>0</v>
      </c>
      <c r="BB162" s="202"/>
      <c r="BC162" s="204"/>
      <c r="BD162" s="202"/>
      <c r="BE162" s="209"/>
      <c r="BF162" s="202"/>
      <c r="BG162" s="206"/>
      <c r="BH162" s="202"/>
      <c r="BI162" s="204"/>
      <c r="BJ162" s="202"/>
      <c r="BK162" s="204"/>
      <c r="BL162" s="202"/>
      <c r="BM162" s="201"/>
      <c r="BN162" s="202"/>
      <c r="BO162" s="203">
        <f t="shared" si="16"/>
        <v>0</v>
      </c>
      <c r="BP162" s="202"/>
      <c r="BQ162" s="138"/>
      <c r="BR162" s="128"/>
      <c r="BS162" s="128"/>
      <c r="BT162" s="128"/>
      <c r="BU162" s="128"/>
      <c r="BV162" s="128"/>
      <c r="BW162" s="139"/>
      <c r="BX162" s="140"/>
      <c r="BY162" s="139"/>
      <c r="BZ162" s="139"/>
      <c r="CA162" s="134"/>
      <c r="CB162" s="134"/>
      <c r="CC162" s="134"/>
      <c r="CD162" s="134"/>
      <c r="CE162" s="134"/>
      <c r="CF162" s="134"/>
      <c r="CG162" s="92"/>
      <c r="CH162" s="92"/>
      <c r="CI162" s="92"/>
      <c r="CJ162" s="92"/>
      <c r="CK162" s="92"/>
    </row>
    <row r="163" spans="1:89" ht="14.25">
      <c r="A163" s="142"/>
      <c r="B163" s="30" t="s">
        <v>345</v>
      </c>
      <c r="C163" s="46" t="s">
        <v>4</v>
      </c>
      <c r="D163" s="137">
        <f t="shared" si="28"/>
        <v>0</v>
      </c>
      <c r="E163" s="208"/>
      <c r="F163" s="202"/>
      <c r="G163" s="207"/>
      <c r="H163" s="202"/>
      <c r="I163" s="208"/>
      <c r="J163" s="202"/>
      <c r="K163" s="208">
        <f t="shared" si="12"/>
        <v>0</v>
      </c>
      <c r="L163" s="202"/>
      <c r="M163" s="207"/>
      <c r="N163" s="202"/>
      <c r="O163" s="209"/>
      <c r="P163" s="202"/>
      <c r="Q163" s="206"/>
      <c r="R163" s="202"/>
      <c r="S163" s="207"/>
      <c r="T163" s="202"/>
      <c r="U163" s="207"/>
      <c r="V163" s="202"/>
      <c r="W163" s="208"/>
      <c r="X163" s="202"/>
      <c r="Y163" s="210">
        <f t="shared" si="29"/>
        <v>0</v>
      </c>
      <c r="Z163" s="202"/>
      <c r="AA163" s="207"/>
      <c r="AB163" s="202"/>
      <c r="AC163" s="209"/>
      <c r="AD163" s="202"/>
      <c r="AE163" s="206"/>
      <c r="AF163" s="202"/>
      <c r="AG163" s="207"/>
      <c r="AH163" s="202"/>
      <c r="AI163" s="207"/>
      <c r="AJ163" s="202"/>
      <c r="AK163" s="208"/>
      <c r="AL163" s="202"/>
      <c r="AM163" s="210">
        <f t="shared" si="14"/>
        <v>0</v>
      </c>
      <c r="AN163" s="202"/>
      <c r="AO163" s="207"/>
      <c r="AP163" s="202"/>
      <c r="AQ163" s="209"/>
      <c r="AR163" s="202"/>
      <c r="AS163" s="206"/>
      <c r="AT163" s="202"/>
      <c r="AU163" s="204"/>
      <c r="AV163" s="202"/>
      <c r="AW163" s="204"/>
      <c r="AX163" s="202"/>
      <c r="AY163" s="201"/>
      <c r="AZ163" s="202"/>
      <c r="BA163" s="210">
        <f t="shared" si="15"/>
        <v>0</v>
      </c>
      <c r="BB163" s="202"/>
      <c r="BC163" s="204"/>
      <c r="BD163" s="202"/>
      <c r="BE163" s="209"/>
      <c r="BF163" s="202"/>
      <c r="BG163" s="206"/>
      <c r="BH163" s="202"/>
      <c r="BI163" s="204"/>
      <c r="BJ163" s="202"/>
      <c r="BK163" s="204"/>
      <c r="BL163" s="202"/>
      <c r="BM163" s="201"/>
      <c r="BN163" s="202"/>
      <c r="BO163" s="203">
        <f t="shared" si="16"/>
        <v>0</v>
      </c>
      <c r="BP163" s="202"/>
      <c r="BQ163" s="138"/>
      <c r="BR163" s="128"/>
      <c r="BS163" s="128"/>
      <c r="BT163" s="128"/>
      <c r="BU163" s="128"/>
      <c r="BV163" s="128"/>
      <c r="BW163" s="139"/>
      <c r="BX163" s="140"/>
      <c r="BY163" s="139"/>
      <c r="BZ163" s="139"/>
      <c r="CA163" s="134"/>
      <c r="CB163" s="134"/>
      <c r="CC163" s="134"/>
      <c r="CD163" s="134"/>
      <c r="CE163" s="134"/>
      <c r="CF163" s="134"/>
      <c r="CG163" s="92"/>
      <c r="CH163" s="92"/>
      <c r="CI163" s="92"/>
      <c r="CJ163" s="92"/>
      <c r="CK163" s="92"/>
    </row>
    <row r="164" spans="1:89" ht="14.25">
      <c r="A164" s="142"/>
      <c r="B164" s="30" t="s">
        <v>347</v>
      </c>
      <c r="C164" s="46" t="s">
        <v>4</v>
      </c>
      <c r="D164" s="137">
        <f t="shared" si="28"/>
        <v>1</v>
      </c>
      <c r="E164" s="208"/>
      <c r="F164" s="202"/>
      <c r="G164" s="207"/>
      <c r="H164" s="202"/>
      <c r="I164" s="208"/>
      <c r="J164" s="202"/>
      <c r="K164" s="208">
        <f t="shared" si="12"/>
        <v>0</v>
      </c>
      <c r="L164" s="202"/>
      <c r="M164" s="207"/>
      <c r="N164" s="202"/>
      <c r="O164" s="209"/>
      <c r="P164" s="202"/>
      <c r="Q164" s="206"/>
      <c r="R164" s="202"/>
      <c r="S164" s="207"/>
      <c r="T164" s="202"/>
      <c r="U164" s="207"/>
      <c r="V164" s="202"/>
      <c r="W164" s="208"/>
      <c r="X164" s="202"/>
      <c r="Y164" s="210">
        <f t="shared" si="29"/>
        <v>0</v>
      </c>
      <c r="Z164" s="202"/>
      <c r="AA164" s="207">
        <v>10</v>
      </c>
      <c r="AB164" s="202"/>
      <c r="AC164" s="209"/>
      <c r="AD164" s="202"/>
      <c r="AE164" s="206"/>
      <c r="AF164" s="202"/>
      <c r="AG164" s="207"/>
      <c r="AH164" s="202"/>
      <c r="AI164" s="207"/>
      <c r="AJ164" s="202"/>
      <c r="AK164" s="208"/>
      <c r="AL164" s="202"/>
      <c r="AM164" s="210">
        <f t="shared" si="14"/>
        <v>1</v>
      </c>
      <c r="AN164" s="202"/>
      <c r="AO164" s="207"/>
      <c r="AP164" s="202"/>
      <c r="AQ164" s="209"/>
      <c r="AR164" s="202"/>
      <c r="AS164" s="206"/>
      <c r="AT164" s="202"/>
      <c r="AU164" s="204"/>
      <c r="AV164" s="202"/>
      <c r="AW164" s="204"/>
      <c r="AX164" s="202"/>
      <c r="AY164" s="201"/>
      <c r="AZ164" s="202"/>
      <c r="BA164" s="210">
        <f t="shared" si="15"/>
        <v>0</v>
      </c>
      <c r="BB164" s="202"/>
      <c r="BC164" s="204"/>
      <c r="BD164" s="202"/>
      <c r="BE164" s="209"/>
      <c r="BF164" s="202"/>
      <c r="BG164" s="206"/>
      <c r="BH164" s="202"/>
      <c r="BI164" s="204"/>
      <c r="BJ164" s="202"/>
      <c r="BK164" s="204"/>
      <c r="BL164" s="202"/>
      <c r="BM164" s="201"/>
      <c r="BN164" s="202"/>
      <c r="BO164" s="203">
        <f t="shared" si="16"/>
        <v>0</v>
      </c>
      <c r="BP164" s="202"/>
      <c r="BQ164" s="138"/>
      <c r="BR164" s="128"/>
      <c r="BS164" s="128"/>
      <c r="BT164" s="128"/>
      <c r="BU164" s="128"/>
      <c r="BV164" s="128"/>
      <c r="BW164" s="139"/>
      <c r="BX164" s="140"/>
      <c r="BY164" s="139"/>
      <c r="BZ164" s="139"/>
      <c r="CA164" s="134"/>
      <c r="CB164" s="134"/>
      <c r="CC164" s="134"/>
      <c r="CD164" s="134"/>
      <c r="CE164" s="134"/>
      <c r="CF164" s="134"/>
      <c r="CG164" s="92"/>
      <c r="CH164" s="92"/>
      <c r="CI164" s="92"/>
      <c r="CJ164" s="92"/>
      <c r="CK164" s="92"/>
    </row>
    <row r="165" spans="1:89" ht="14.25">
      <c r="A165" s="142"/>
      <c r="B165" s="30" t="s">
        <v>349</v>
      </c>
      <c r="C165" s="46" t="s">
        <v>3</v>
      </c>
      <c r="D165" s="137">
        <f t="shared" si="28"/>
        <v>1</v>
      </c>
      <c r="E165" s="208"/>
      <c r="F165" s="202"/>
      <c r="G165" s="207"/>
      <c r="H165" s="202"/>
      <c r="I165" s="208"/>
      <c r="J165" s="202"/>
      <c r="K165" s="208">
        <f t="shared" si="12"/>
        <v>0</v>
      </c>
      <c r="L165" s="202"/>
      <c r="M165" s="207"/>
      <c r="N165" s="202"/>
      <c r="O165" s="209"/>
      <c r="P165" s="202"/>
      <c r="Q165" s="206"/>
      <c r="R165" s="202"/>
      <c r="S165" s="207"/>
      <c r="T165" s="202"/>
      <c r="U165" s="207"/>
      <c r="V165" s="202"/>
      <c r="W165" s="208"/>
      <c r="X165" s="202"/>
      <c r="Y165" s="210">
        <f t="shared" si="29"/>
        <v>0</v>
      </c>
      <c r="Z165" s="202"/>
      <c r="AA165" s="207">
        <v>10</v>
      </c>
      <c r="AB165" s="202"/>
      <c r="AC165" s="209"/>
      <c r="AD165" s="202"/>
      <c r="AE165" s="206"/>
      <c r="AF165" s="202"/>
      <c r="AG165" s="207"/>
      <c r="AH165" s="202"/>
      <c r="AI165" s="207"/>
      <c r="AJ165" s="202"/>
      <c r="AK165" s="208"/>
      <c r="AL165" s="202"/>
      <c r="AM165" s="210">
        <f t="shared" si="14"/>
        <v>1</v>
      </c>
      <c r="AN165" s="202"/>
      <c r="AO165" s="207"/>
      <c r="AP165" s="202"/>
      <c r="AQ165" s="209"/>
      <c r="AR165" s="202"/>
      <c r="AS165" s="206"/>
      <c r="AT165" s="202"/>
      <c r="AU165" s="204"/>
      <c r="AV165" s="202"/>
      <c r="AW165" s="204"/>
      <c r="AX165" s="202"/>
      <c r="AY165" s="201"/>
      <c r="AZ165" s="202"/>
      <c r="BA165" s="210">
        <f t="shared" si="15"/>
        <v>0</v>
      </c>
      <c r="BB165" s="202"/>
      <c r="BC165" s="204"/>
      <c r="BD165" s="202"/>
      <c r="BE165" s="209"/>
      <c r="BF165" s="202"/>
      <c r="BG165" s="206"/>
      <c r="BH165" s="202"/>
      <c r="BI165" s="204"/>
      <c r="BJ165" s="202"/>
      <c r="BK165" s="204"/>
      <c r="BL165" s="202"/>
      <c r="BM165" s="201"/>
      <c r="BN165" s="202"/>
      <c r="BO165" s="203">
        <f t="shared" si="16"/>
        <v>0</v>
      </c>
      <c r="BP165" s="202"/>
      <c r="BQ165" s="138"/>
      <c r="BR165" s="128"/>
      <c r="BS165" s="128"/>
      <c r="BT165" s="128"/>
      <c r="BU165" s="128"/>
      <c r="BV165" s="128"/>
      <c r="BW165" s="139"/>
      <c r="BX165" s="140"/>
      <c r="BY165" s="139"/>
      <c r="BZ165" s="139"/>
      <c r="CA165" s="134"/>
      <c r="CB165" s="134"/>
      <c r="CC165" s="134"/>
      <c r="CD165" s="134"/>
      <c r="CE165" s="134"/>
      <c r="CF165" s="134"/>
      <c r="CG165" s="92"/>
      <c r="CH165" s="92"/>
      <c r="CI165" s="92"/>
      <c r="CJ165" s="92"/>
      <c r="CK165" s="92"/>
    </row>
    <row r="166" spans="1:89" ht="14.25">
      <c r="A166" s="142"/>
      <c r="B166" s="30" t="s">
        <v>351</v>
      </c>
      <c r="C166" s="46" t="s">
        <v>4</v>
      </c>
      <c r="D166" s="137">
        <f t="shared" si="28"/>
        <v>0</v>
      </c>
      <c r="E166" s="208"/>
      <c r="F166" s="202"/>
      <c r="G166" s="207"/>
      <c r="H166" s="202"/>
      <c r="I166" s="208"/>
      <c r="J166" s="202"/>
      <c r="K166" s="208">
        <f t="shared" si="12"/>
        <v>0</v>
      </c>
      <c r="L166" s="202"/>
      <c r="M166" s="207"/>
      <c r="N166" s="202"/>
      <c r="O166" s="209"/>
      <c r="P166" s="202"/>
      <c r="Q166" s="206"/>
      <c r="R166" s="202"/>
      <c r="S166" s="207"/>
      <c r="T166" s="202"/>
      <c r="U166" s="207"/>
      <c r="V166" s="202"/>
      <c r="W166" s="208"/>
      <c r="X166" s="202"/>
      <c r="Y166" s="210">
        <f t="shared" si="29"/>
        <v>0</v>
      </c>
      <c r="Z166" s="202"/>
      <c r="AA166" s="207"/>
      <c r="AB166" s="202"/>
      <c r="AC166" s="209"/>
      <c r="AD166" s="202"/>
      <c r="AE166" s="206"/>
      <c r="AF166" s="202"/>
      <c r="AG166" s="207"/>
      <c r="AH166" s="202"/>
      <c r="AI166" s="207"/>
      <c r="AJ166" s="202"/>
      <c r="AK166" s="208"/>
      <c r="AL166" s="202"/>
      <c r="AM166" s="210">
        <f t="shared" si="14"/>
        <v>0</v>
      </c>
      <c r="AN166" s="202"/>
      <c r="AO166" s="207"/>
      <c r="AP166" s="202"/>
      <c r="AQ166" s="209"/>
      <c r="AR166" s="202"/>
      <c r="AS166" s="206"/>
      <c r="AT166" s="202"/>
      <c r="AU166" s="204"/>
      <c r="AV166" s="202"/>
      <c r="AW166" s="204"/>
      <c r="AX166" s="202"/>
      <c r="AY166" s="201"/>
      <c r="AZ166" s="202"/>
      <c r="BA166" s="210">
        <f t="shared" si="15"/>
        <v>0</v>
      </c>
      <c r="BB166" s="202"/>
      <c r="BC166" s="204"/>
      <c r="BD166" s="202"/>
      <c r="BE166" s="209"/>
      <c r="BF166" s="202"/>
      <c r="BG166" s="206"/>
      <c r="BH166" s="202"/>
      <c r="BI166" s="204"/>
      <c r="BJ166" s="202"/>
      <c r="BK166" s="204"/>
      <c r="BL166" s="202"/>
      <c r="BM166" s="201"/>
      <c r="BN166" s="202"/>
      <c r="BO166" s="203">
        <f t="shared" si="16"/>
        <v>0</v>
      </c>
      <c r="BP166" s="202"/>
      <c r="BQ166" s="138"/>
      <c r="BR166" s="128"/>
      <c r="BS166" s="128"/>
      <c r="BT166" s="128"/>
      <c r="BU166" s="128"/>
      <c r="BV166" s="128"/>
      <c r="BW166" s="139"/>
      <c r="BX166" s="140"/>
      <c r="BY166" s="139"/>
      <c r="BZ166" s="139"/>
      <c r="CA166" s="134"/>
      <c r="CB166" s="134"/>
      <c r="CC166" s="134"/>
      <c r="CD166" s="134"/>
      <c r="CE166" s="134"/>
      <c r="CF166" s="134"/>
      <c r="CG166" s="92"/>
      <c r="CH166" s="92"/>
      <c r="CI166" s="92"/>
      <c r="CJ166" s="92"/>
      <c r="CK166" s="92"/>
    </row>
    <row r="167" spans="1:89" ht="13.5">
      <c r="A167" s="142"/>
      <c r="B167" s="52"/>
      <c r="C167" s="52"/>
      <c r="D167" s="137">
        <f t="shared" si="28"/>
        <v>0</v>
      </c>
      <c r="E167" s="208"/>
      <c r="F167" s="202"/>
      <c r="G167" s="207"/>
      <c r="H167" s="202"/>
      <c r="I167" s="208"/>
      <c r="J167" s="202"/>
      <c r="K167" s="208">
        <f t="shared" si="12"/>
        <v>0</v>
      </c>
      <c r="L167" s="202"/>
      <c r="M167" s="207"/>
      <c r="N167" s="202"/>
      <c r="O167" s="209"/>
      <c r="P167" s="202"/>
      <c r="Q167" s="206"/>
      <c r="R167" s="202"/>
      <c r="S167" s="207"/>
      <c r="T167" s="202"/>
      <c r="U167" s="207"/>
      <c r="V167" s="202"/>
      <c r="W167" s="208"/>
      <c r="X167" s="202"/>
      <c r="Y167" s="210">
        <f t="shared" si="29"/>
        <v>0</v>
      </c>
      <c r="Z167" s="202"/>
      <c r="AA167" s="207"/>
      <c r="AB167" s="202"/>
      <c r="AC167" s="209"/>
      <c r="AD167" s="202"/>
      <c r="AE167" s="206"/>
      <c r="AF167" s="202"/>
      <c r="AG167" s="207"/>
      <c r="AH167" s="202"/>
      <c r="AI167" s="207"/>
      <c r="AJ167" s="202"/>
      <c r="AK167" s="208"/>
      <c r="AL167" s="202"/>
      <c r="AM167" s="210">
        <f t="shared" si="14"/>
        <v>0</v>
      </c>
      <c r="AN167" s="202"/>
      <c r="AO167" s="207"/>
      <c r="AP167" s="202"/>
      <c r="AQ167" s="209"/>
      <c r="AR167" s="202"/>
      <c r="AS167" s="206"/>
      <c r="AT167" s="202"/>
      <c r="AU167" s="204"/>
      <c r="AV167" s="202"/>
      <c r="AW167" s="204"/>
      <c r="AX167" s="202"/>
      <c r="AY167" s="201"/>
      <c r="AZ167" s="202"/>
      <c r="BA167" s="210">
        <f t="shared" si="15"/>
        <v>0</v>
      </c>
      <c r="BB167" s="202"/>
      <c r="BC167" s="204"/>
      <c r="BD167" s="202"/>
      <c r="BE167" s="209"/>
      <c r="BF167" s="202"/>
      <c r="BG167" s="206"/>
      <c r="BH167" s="202"/>
      <c r="BI167" s="204"/>
      <c r="BJ167" s="202"/>
      <c r="BK167" s="204"/>
      <c r="BL167" s="202"/>
      <c r="BM167" s="201"/>
      <c r="BN167" s="202"/>
      <c r="BO167" s="203">
        <f t="shared" si="16"/>
        <v>0</v>
      </c>
      <c r="BP167" s="202"/>
      <c r="BQ167" s="138"/>
      <c r="BR167" s="128"/>
      <c r="BS167" s="128"/>
      <c r="BT167" s="128"/>
      <c r="BU167" s="128"/>
      <c r="BV167" s="128"/>
      <c r="BW167" s="139"/>
      <c r="BX167" s="140"/>
      <c r="BY167" s="139"/>
      <c r="BZ167" s="139"/>
      <c r="CA167" s="134"/>
      <c r="CB167" s="134"/>
      <c r="CC167" s="134"/>
      <c r="CD167" s="134"/>
      <c r="CE167" s="134"/>
      <c r="CF167" s="134"/>
      <c r="CG167" s="92"/>
      <c r="CH167" s="92"/>
      <c r="CI167" s="92"/>
      <c r="CJ167" s="92"/>
      <c r="CK167" s="92"/>
    </row>
    <row r="168" spans="1:89" ht="13.5">
      <c r="A168" s="142"/>
      <c r="B168" s="52"/>
      <c r="C168" s="52"/>
      <c r="D168" s="137">
        <f t="shared" si="28"/>
        <v>0</v>
      </c>
      <c r="E168" s="208"/>
      <c r="F168" s="202"/>
      <c r="G168" s="207"/>
      <c r="H168" s="202"/>
      <c r="I168" s="208"/>
      <c r="J168" s="202"/>
      <c r="K168" s="208">
        <f t="shared" si="12"/>
        <v>0</v>
      </c>
      <c r="L168" s="202"/>
      <c r="M168" s="207"/>
      <c r="N168" s="202"/>
      <c r="O168" s="209"/>
      <c r="P168" s="202"/>
      <c r="Q168" s="206"/>
      <c r="R168" s="202"/>
      <c r="S168" s="207"/>
      <c r="T168" s="202"/>
      <c r="U168" s="207"/>
      <c r="V168" s="202"/>
      <c r="W168" s="208"/>
      <c r="X168" s="202"/>
      <c r="Y168" s="210">
        <f t="shared" si="29"/>
        <v>0</v>
      </c>
      <c r="Z168" s="202"/>
      <c r="AA168" s="207"/>
      <c r="AB168" s="202"/>
      <c r="AC168" s="209"/>
      <c r="AD168" s="202"/>
      <c r="AE168" s="206"/>
      <c r="AF168" s="202"/>
      <c r="AG168" s="207"/>
      <c r="AH168" s="202"/>
      <c r="AI168" s="207"/>
      <c r="AJ168" s="202"/>
      <c r="AK168" s="208"/>
      <c r="AL168" s="202"/>
      <c r="AM168" s="210">
        <f t="shared" si="14"/>
        <v>0</v>
      </c>
      <c r="AN168" s="202"/>
      <c r="AO168" s="207"/>
      <c r="AP168" s="202"/>
      <c r="AQ168" s="209"/>
      <c r="AR168" s="202"/>
      <c r="AS168" s="206"/>
      <c r="AT168" s="202"/>
      <c r="AU168" s="204"/>
      <c r="AV168" s="202"/>
      <c r="AW168" s="204"/>
      <c r="AX168" s="202"/>
      <c r="AY168" s="201"/>
      <c r="AZ168" s="202"/>
      <c r="BA168" s="210">
        <f t="shared" si="15"/>
        <v>0</v>
      </c>
      <c r="BB168" s="202"/>
      <c r="BC168" s="204"/>
      <c r="BD168" s="202"/>
      <c r="BE168" s="209"/>
      <c r="BF168" s="202"/>
      <c r="BG168" s="206"/>
      <c r="BH168" s="202"/>
      <c r="BI168" s="204"/>
      <c r="BJ168" s="202"/>
      <c r="BK168" s="204"/>
      <c r="BL168" s="202"/>
      <c r="BM168" s="201"/>
      <c r="BN168" s="202"/>
      <c r="BO168" s="203">
        <f t="shared" si="16"/>
        <v>0</v>
      </c>
      <c r="BP168" s="202"/>
      <c r="BQ168" s="138"/>
      <c r="BR168" s="128"/>
      <c r="BS168" s="128"/>
      <c r="BT168" s="128"/>
      <c r="BU168" s="128"/>
      <c r="BV168" s="128"/>
      <c r="BW168" s="139"/>
      <c r="BX168" s="140"/>
      <c r="BY168" s="139"/>
      <c r="BZ168" s="139"/>
      <c r="CA168" s="134"/>
      <c r="CB168" s="134"/>
      <c r="CC168" s="134"/>
      <c r="CD168" s="134"/>
      <c r="CE168" s="134"/>
      <c r="CF168" s="134"/>
      <c r="CG168" s="92"/>
      <c r="CH168" s="92"/>
      <c r="CI168" s="92"/>
      <c r="CJ168" s="92"/>
      <c r="CK168" s="92"/>
    </row>
    <row r="169" spans="1:89" ht="13.5">
      <c r="A169" s="142"/>
      <c r="B169" s="52"/>
      <c r="C169" s="52"/>
      <c r="D169" s="137">
        <f t="shared" si="28"/>
        <v>0</v>
      </c>
      <c r="E169" s="208"/>
      <c r="F169" s="202"/>
      <c r="G169" s="207"/>
      <c r="H169" s="202"/>
      <c r="I169" s="208"/>
      <c r="J169" s="202"/>
      <c r="K169" s="208">
        <f t="shared" si="12"/>
        <v>0</v>
      </c>
      <c r="L169" s="202"/>
      <c r="M169" s="207"/>
      <c r="N169" s="202"/>
      <c r="O169" s="209"/>
      <c r="P169" s="202"/>
      <c r="Q169" s="206"/>
      <c r="R169" s="202"/>
      <c r="S169" s="207"/>
      <c r="T169" s="202"/>
      <c r="U169" s="207"/>
      <c r="V169" s="202"/>
      <c r="W169" s="208"/>
      <c r="X169" s="202"/>
      <c r="Y169" s="210">
        <f t="shared" si="29"/>
        <v>0</v>
      </c>
      <c r="Z169" s="202"/>
      <c r="AA169" s="207"/>
      <c r="AB169" s="202"/>
      <c r="AC169" s="209"/>
      <c r="AD169" s="202"/>
      <c r="AE169" s="206"/>
      <c r="AF169" s="202"/>
      <c r="AG169" s="207"/>
      <c r="AH169" s="202"/>
      <c r="AI169" s="207"/>
      <c r="AJ169" s="202"/>
      <c r="AK169" s="208"/>
      <c r="AL169" s="202"/>
      <c r="AM169" s="210">
        <f t="shared" si="14"/>
        <v>0</v>
      </c>
      <c r="AN169" s="202"/>
      <c r="AO169" s="207"/>
      <c r="AP169" s="202"/>
      <c r="AQ169" s="209"/>
      <c r="AR169" s="202"/>
      <c r="AS169" s="206"/>
      <c r="AT169" s="202"/>
      <c r="AU169" s="204"/>
      <c r="AV169" s="202"/>
      <c r="AW169" s="204"/>
      <c r="AX169" s="202"/>
      <c r="AY169" s="201"/>
      <c r="AZ169" s="202"/>
      <c r="BA169" s="210">
        <f t="shared" si="15"/>
        <v>0</v>
      </c>
      <c r="BB169" s="202"/>
      <c r="BC169" s="204"/>
      <c r="BD169" s="202"/>
      <c r="BE169" s="209"/>
      <c r="BF169" s="202"/>
      <c r="BG169" s="206"/>
      <c r="BH169" s="202"/>
      <c r="BI169" s="204"/>
      <c r="BJ169" s="202"/>
      <c r="BK169" s="204"/>
      <c r="BL169" s="202"/>
      <c r="BM169" s="201"/>
      <c r="BN169" s="202"/>
      <c r="BO169" s="203">
        <f t="shared" si="16"/>
        <v>0</v>
      </c>
      <c r="BP169" s="202"/>
      <c r="BQ169" s="138"/>
      <c r="BR169" s="128"/>
      <c r="BS169" s="128"/>
      <c r="BT169" s="128"/>
      <c r="BU169" s="128"/>
      <c r="BV169" s="128"/>
      <c r="BW169" s="139"/>
      <c r="BX169" s="140"/>
      <c r="BY169" s="139"/>
      <c r="BZ169" s="139"/>
      <c r="CA169" s="134"/>
      <c r="CB169" s="134"/>
      <c r="CC169" s="134"/>
      <c r="CD169" s="134"/>
      <c r="CE169" s="134"/>
      <c r="CF169" s="134"/>
      <c r="CG169" s="92"/>
      <c r="CH169" s="92"/>
      <c r="CI169" s="92"/>
      <c r="CJ169" s="92"/>
      <c r="CK169" s="92"/>
    </row>
    <row r="170" spans="1:89" ht="13.5">
      <c r="A170" s="142"/>
      <c r="B170" s="52"/>
      <c r="C170" s="52"/>
      <c r="D170" s="137">
        <f t="shared" si="28"/>
        <v>0</v>
      </c>
      <c r="E170" s="208"/>
      <c r="F170" s="202"/>
      <c r="G170" s="207"/>
      <c r="H170" s="202"/>
      <c r="I170" s="208"/>
      <c r="J170" s="202"/>
      <c r="K170" s="208">
        <f t="shared" si="12"/>
        <v>0</v>
      </c>
      <c r="L170" s="202"/>
      <c r="M170" s="207"/>
      <c r="N170" s="202"/>
      <c r="O170" s="209"/>
      <c r="P170" s="202"/>
      <c r="Q170" s="206"/>
      <c r="R170" s="202"/>
      <c r="S170" s="207"/>
      <c r="T170" s="202"/>
      <c r="U170" s="207"/>
      <c r="V170" s="202"/>
      <c r="W170" s="208"/>
      <c r="X170" s="202"/>
      <c r="Y170" s="210">
        <f t="shared" si="29"/>
        <v>0</v>
      </c>
      <c r="Z170" s="202"/>
      <c r="AA170" s="207"/>
      <c r="AB170" s="202"/>
      <c r="AC170" s="209"/>
      <c r="AD170" s="202"/>
      <c r="AE170" s="206"/>
      <c r="AF170" s="202"/>
      <c r="AG170" s="207"/>
      <c r="AH170" s="202"/>
      <c r="AI170" s="207"/>
      <c r="AJ170" s="202"/>
      <c r="AK170" s="208"/>
      <c r="AL170" s="202"/>
      <c r="AM170" s="210">
        <f t="shared" si="14"/>
        <v>0</v>
      </c>
      <c r="AN170" s="202"/>
      <c r="AO170" s="207"/>
      <c r="AP170" s="202"/>
      <c r="AQ170" s="209"/>
      <c r="AR170" s="202"/>
      <c r="AS170" s="206"/>
      <c r="AT170" s="202"/>
      <c r="AU170" s="204"/>
      <c r="AV170" s="202"/>
      <c r="AW170" s="204"/>
      <c r="AX170" s="202"/>
      <c r="AY170" s="201"/>
      <c r="AZ170" s="202"/>
      <c r="BA170" s="210">
        <f t="shared" si="15"/>
        <v>0</v>
      </c>
      <c r="BB170" s="202"/>
      <c r="BC170" s="204"/>
      <c r="BD170" s="202"/>
      <c r="BE170" s="209"/>
      <c r="BF170" s="202"/>
      <c r="BG170" s="206"/>
      <c r="BH170" s="202"/>
      <c r="BI170" s="204"/>
      <c r="BJ170" s="202"/>
      <c r="BK170" s="204"/>
      <c r="BL170" s="202"/>
      <c r="BM170" s="201"/>
      <c r="BN170" s="202"/>
      <c r="BO170" s="203">
        <f t="shared" si="16"/>
        <v>0</v>
      </c>
      <c r="BP170" s="202"/>
      <c r="BQ170" s="138"/>
      <c r="BR170" s="128"/>
      <c r="BS170" s="128"/>
      <c r="BT170" s="128"/>
      <c r="BU170" s="128"/>
      <c r="BV170" s="128"/>
      <c r="BW170" s="139"/>
      <c r="BX170" s="140"/>
      <c r="BY170" s="139"/>
      <c r="BZ170" s="139"/>
      <c r="CA170" s="134"/>
      <c r="CB170" s="134"/>
      <c r="CC170" s="134"/>
      <c r="CD170" s="134"/>
      <c r="CE170" s="134"/>
      <c r="CF170" s="134"/>
      <c r="CG170" s="92"/>
      <c r="CH170" s="92"/>
      <c r="CI170" s="92"/>
      <c r="CJ170" s="92"/>
      <c r="CK170" s="92"/>
    </row>
    <row r="171" spans="1:89" ht="13.5">
      <c r="A171" s="142"/>
      <c r="B171" s="52"/>
      <c r="C171" s="52"/>
      <c r="D171" s="137">
        <f t="shared" si="28"/>
        <v>0</v>
      </c>
      <c r="E171" s="208"/>
      <c r="F171" s="202"/>
      <c r="G171" s="207"/>
      <c r="H171" s="202"/>
      <c r="I171" s="208"/>
      <c r="J171" s="202"/>
      <c r="K171" s="208">
        <f t="shared" si="12"/>
        <v>0</v>
      </c>
      <c r="L171" s="202"/>
      <c r="M171" s="207"/>
      <c r="N171" s="202"/>
      <c r="O171" s="209"/>
      <c r="P171" s="202"/>
      <c r="Q171" s="206"/>
      <c r="R171" s="202"/>
      <c r="S171" s="207"/>
      <c r="T171" s="202"/>
      <c r="U171" s="207"/>
      <c r="V171" s="202"/>
      <c r="W171" s="208"/>
      <c r="X171" s="202"/>
      <c r="Y171" s="210">
        <f t="shared" si="29"/>
        <v>0</v>
      </c>
      <c r="Z171" s="202"/>
      <c r="AA171" s="207"/>
      <c r="AB171" s="202"/>
      <c r="AC171" s="209"/>
      <c r="AD171" s="202"/>
      <c r="AE171" s="206"/>
      <c r="AF171" s="202"/>
      <c r="AG171" s="207"/>
      <c r="AH171" s="202"/>
      <c r="AI171" s="207"/>
      <c r="AJ171" s="202"/>
      <c r="AK171" s="208"/>
      <c r="AL171" s="202"/>
      <c r="AM171" s="210">
        <f t="shared" si="14"/>
        <v>0</v>
      </c>
      <c r="AN171" s="202"/>
      <c r="AO171" s="207"/>
      <c r="AP171" s="202"/>
      <c r="AQ171" s="209"/>
      <c r="AR171" s="202"/>
      <c r="AS171" s="206"/>
      <c r="AT171" s="202"/>
      <c r="AU171" s="204"/>
      <c r="AV171" s="202"/>
      <c r="AW171" s="204"/>
      <c r="AX171" s="202"/>
      <c r="AY171" s="201"/>
      <c r="AZ171" s="202"/>
      <c r="BA171" s="210">
        <f t="shared" si="15"/>
        <v>0</v>
      </c>
      <c r="BB171" s="202"/>
      <c r="BC171" s="204"/>
      <c r="BD171" s="202"/>
      <c r="BE171" s="209"/>
      <c r="BF171" s="202"/>
      <c r="BG171" s="206"/>
      <c r="BH171" s="202"/>
      <c r="BI171" s="204"/>
      <c r="BJ171" s="202"/>
      <c r="BK171" s="204"/>
      <c r="BL171" s="202"/>
      <c r="BM171" s="201"/>
      <c r="BN171" s="202"/>
      <c r="BO171" s="203">
        <f t="shared" si="16"/>
        <v>0</v>
      </c>
      <c r="BP171" s="202"/>
      <c r="BQ171" s="138"/>
      <c r="BR171" s="128"/>
      <c r="BS171" s="128"/>
      <c r="BT171" s="128"/>
      <c r="BU171" s="128"/>
      <c r="BV171" s="128"/>
      <c r="BW171" s="139"/>
      <c r="BX171" s="140"/>
      <c r="BY171" s="139"/>
      <c r="BZ171" s="139"/>
      <c r="CA171" s="134"/>
      <c r="CB171" s="134"/>
      <c r="CC171" s="134"/>
      <c r="CD171" s="134"/>
      <c r="CE171" s="134"/>
      <c r="CF171" s="134"/>
      <c r="CG171" s="92"/>
      <c r="CH171" s="92"/>
      <c r="CI171" s="92"/>
      <c r="CJ171" s="92"/>
      <c r="CK171" s="92"/>
    </row>
    <row r="172" spans="1:89" ht="13.5">
      <c r="A172" s="142"/>
      <c r="B172" s="52"/>
      <c r="C172" s="52"/>
      <c r="D172" s="137">
        <f t="shared" si="28"/>
        <v>0</v>
      </c>
      <c r="E172" s="208"/>
      <c r="F172" s="202"/>
      <c r="G172" s="207"/>
      <c r="H172" s="202"/>
      <c r="I172" s="208"/>
      <c r="J172" s="202"/>
      <c r="K172" s="208">
        <f t="shared" si="12"/>
        <v>0</v>
      </c>
      <c r="L172" s="202"/>
      <c r="M172" s="207"/>
      <c r="N172" s="202"/>
      <c r="O172" s="209"/>
      <c r="P172" s="202"/>
      <c r="Q172" s="206"/>
      <c r="R172" s="202"/>
      <c r="S172" s="207"/>
      <c r="T172" s="202"/>
      <c r="U172" s="207"/>
      <c r="V172" s="202"/>
      <c r="W172" s="208"/>
      <c r="X172" s="202"/>
      <c r="Y172" s="210">
        <f t="shared" si="29"/>
        <v>0</v>
      </c>
      <c r="Z172" s="202"/>
      <c r="AA172" s="207"/>
      <c r="AB172" s="202"/>
      <c r="AC172" s="209"/>
      <c r="AD172" s="202"/>
      <c r="AE172" s="206"/>
      <c r="AF172" s="202"/>
      <c r="AG172" s="207"/>
      <c r="AH172" s="202"/>
      <c r="AI172" s="207"/>
      <c r="AJ172" s="202"/>
      <c r="AK172" s="208"/>
      <c r="AL172" s="202"/>
      <c r="AM172" s="210">
        <f t="shared" si="14"/>
        <v>0</v>
      </c>
      <c r="AN172" s="202"/>
      <c r="AO172" s="207"/>
      <c r="AP172" s="202"/>
      <c r="AQ172" s="209"/>
      <c r="AR172" s="202"/>
      <c r="AS172" s="206"/>
      <c r="AT172" s="202"/>
      <c r="AU172" s="204"/>
      <c r="AV172" s="202"/>
      <c r="AW172" s="204"/>
      <c r="AX172" s="202"/>
      <c r="AY172" s="201"/>
      <c r="AZ172" s="202"/>
      <c r="BA172" s="210">
        <f t="shared" si="15"/>
        <v>0</v>
      </c>
      <c r="BB172" s="202"/>
      <c r="BC172" s="204"/>
      <c r="BD172" s="202"/>
      <c r="BE172" s="209"/>
      <c r="BF172" s="202"/>
      <c r="BG172" s="206"/>
      <c r="BH172" s="202"/>
      <c r="BI172" s="204"/>
      <c r="BJ172" s="202"/>
      <c r="BK172" s="204"/>
      <c r="BL172" s="202"/>
      <c r="BM172" s="201"/>
      <c r="BN172" s="202"/>
      <c r="BO172" s="203">
        <f t="shared" si="16"/>
        <v>0</v>
      </c>
      <c r="BP172" s="202"/>
      <c r="BQ172" s="138"/>
      <c r="BR172" s="128"/>
      <c r="BS172" s="128"/>
      <c r="BT172" s="128"/>
      <c r="BU172" s="128"/>
      <c r="BV172" s="128"/>
      <c r="BW172" s="139"/>
      <c r="BX172" s="140"/>
      <c r="BY172" s="139"/>
      <c r="BZ172" s="139"/>
      <c r="CA172" s="134"/>
      <c r="CB172" s="134"/>
      <c r="CC172" s="134"/>
      <c r="CD172" s="134"/>
      <c r="CE172" s="134"/>
      <c r="CF172" s="134"/>
      <c r="CG172" s="92"/>
      <c r="CH172" s="92"/>
      <c r="CI172" s="92"/>
      <c r="CJ172" s="92"/>
      <c r="CK172" s="92"/>
    </row>
    <row r="173" spans="1:89" ht="13.5">
      <c r="A173" s="142"/>
      <c r="B173" s="52"/>
      <c r="C173" s="52"/>
      <c r="D173" s="137">
        <f t="shared" si="28"/>
        <v>0</v>
      </c>
      <c r="E173" s="208"/>
      <c r="F173" s="202"/>
      <c r="G173" s="207"/>
      <c r="H173" s="202"/>
      <c r="I173" s="208"/>
      <c r="J173" s="202"/>
      <c r="K173" s="208">
        <f t="shared" si="12"/>
        <v>0</v>
      </c>
      <c r="L173" s="202"/>
      <c r="M173" s="207"/>
      <c r="N173" s="202"/>
      <c r="O173" s="209"/>
      <c r="P173" s="202"/>
      <c r="Q173" s="206"/>
      <c r="R173" s="202"/>
      <c r="S173" s="207"/>
      <c r="T173" s="202"/>
      <c r="U173" s="207"/>
      <c r="V173" s="202"/>
      <c r="W173" s="208"/>
      <c r="X173" s="202"/>
      <c r="Y173" s="210">
        <f t="shared" si="29"/>
        <v>0</v>
      </c>
      <c r="Z173" s="202"/>
      <c r="AA173" s="207"/>
      <c r="AB173" s="202"/>
      <c r="AC173" s="209"/>
      <c r="AD173" s="202"/>
      <c r="AE173" s="206"/>
      <c r="AF173" s="202"/>
      <c r="AG173" s="207"/>
      <c r="AH173" s="202"/>
      <c r="AI173" s="207"/>
      <c r="AJ173" s="202"/>
      <c r="AK173" s="208"/>
      <c r="AL173" s="202"/>
      <c r="AM173" s="210">
        <f t="shared" si="14"/>
        <v>0</v>
      </c>
      <c r="AN173" s="202"/>
      <c r="AO173" s="207"/>
      <c r="AP173" s="202"/>
      <c r="AQ173" s="209"/>
      <c r="AR173" s="202"/>
      <c r="AS173" s="206"/>
      <c r="AT173" s="202"/>
      <c r="AU173" s="204"/>
      <c r="AV173" s="202"/>
      <c r="AW173" s="204"/>
      <c r="AX173" s="202"/>
      <c r="AY173" s="201"/>
      <c r="AZ173" s="202"/>
      <c r="BA173" s="210">
        <f t="shared" si="15"/>
        <v>0</v>
      </c>
      <c r="BB173" s="202"/>
      <c r="BC173" s="204"/>
      <c r="BD173" s="202"/>
      <c r="BE173" s="209"/>
      <c r="BF173" s="202"/>
      <c r="BG173" s="206"/>
      <c r="BH173" s="202"/>
      <c r="BI173" s="204"/>
      <c r="BJ173" s="202"/>
      <c r="BK173" s="204"/>
      <c r="BL173" s="202"/>
      <c r="BM173" s="201"/>
      <c r="BN173" s="202"/>
      <c r="BO173" s="203">
        <f t="shared" si="16"/>
        <v>0</v>
      </c>
      <c r="BP173" s="202"/>
      <c r="BQ173" s="138"/>
      <c r="BR173" s="128"/>
      <c r="BS173" s="128"/>
      <c r="BT173" s="128"/>
      <c r="BU173" s="128"/>
      <c r="BV173" s="128"/>
      <c r="BW173" s="139"/>
      <c r="BX173" s="140"/>
      <c r="BY173" s="139"/>
      <c r="BZ173" s="139"/>
      <c r="CA173" s="134"/>
      <c r="CB173" s="134"/>
      <c r="CC173" s="134"/>
      <c r="CD173" s="134"/>
      <c r="CE173" s="134"/>
      <c r="CF173" s="134"/>
      <c r="CG173" s="92"/>
      <c r="CH173" s="92"/>
      <c r="CI173" s="92"/>
      <c r="CJ173" s="92"/>
      <c r="CK173" s="92"/>
    </row>
    <row r="174" spans="1:89" ht="13.5">
      <c r="A174" s="142"/>
      <c r="B174" s="52"/>
      <c r="C174" s="52"/>
      <c r="D174" s="137">
        <f t="shared" si="28"/>
        <v>0</v>
      </c>
      <c r="E174" s="208"/>
      <c r="F174" s="202"/>
      <c r="G174" s="207"/>
      <c r="H174" s="202"/>
      <c r="I174" s="208"/>
      <c r="J174" s="202"/>
      <c r="K174" s="208">
        <f t="shared" si="12"/>
        <v>0</v>
      </c>
      <c r="L174" s="202"/>
      <c r="M174" s="207"/>
      <c r="N174" s="202"/>
      <c r="O174" s="209"/>
      <c r="P174" s="202"/>
      <c r="Q174" s="206"/>
      <c r="R174" s="202"/>
      <c r="S174" s="207"/>
      <c r="T174" s="202"/>
      <c r="U174" s="207"/>
      <c r="V174" s="202"/>
      <c r="W174" s="208"/>
      <c r="X174" s="202"/>
      <c r="Y174" s="210">
        <f t="shared" si="29"/>
        <v>0</v>
      </c>
      <c r="Z174" s="202"/>
      <c r="AA174" s="207"/>
      <c r="AB174" s="202"/>
      <c r="AC174" s="209"/>
      <c r="AD174" s="202"/>
      <c r="AE174" s="206"/>
      <c r="AF174" s="202"/>
      <c r="AG174" s="207"/>
      <c r="AH174" s="202"/>
      <c r="AI174" s="207"/>
      <c r="AJ174" s="202"/>
      <c r="AK174" s="208"/>
      <c r="AL174" s="202"/>
      <c r="AM174" s="210">
        <f t="shared" si="14"/>
        <v>0</v>
      </c>
      <c r="AN174" s="202"/>
      <c r="AO174" s="207"/>
      <c r="AP174" s="202"/>
      <c r="AQ174" s="209"/>
      <c r="AR174" s="202"/>
      <c r="AS174" s="206"/>
      <c r="AT174" s="202"/>
      <c r="AU174" s="204"/>
      <c r="AV174" s="202"/>
      <c r="AW174" s="204"/>
      <c r="AX174" s="202"/>
      <c r="AY174" s="201"/>
      <c r="AZ174" s="202"/>
      <c r="BA174" s="210">
        <f t="shared" si="15"/>
        <v>0</v>
      </c>
      <c r="BB174" s="202"/>
      <c r="BC174" s="204"/>
      <c r="BD174" s="202"/>
      <c r="BE174" s="209"/>
      <c r="BF174" s="202"/>
      <c r="BG174" s="206"/>
      <c r="BH174" s="202"/>
      <c r="BI174" s="204"/>
      <c r="BJ174" s="202"/>
      <c r="BK174" s="204"/>
      <c r="BL174" s="202"/>
      <c r="BM174" s="201"/>
      <c r="BN174" s="202"/>
      <c r="BO174" s="203">
        <f t="shared" si="16"/>
        <v>0</v>
      </c>
      <c r="BP174" s="202"/>
      <c r="BQ174" s="138"/>
      <c r="BR174" s="128"/>
      <c r="BS174" s="128"/>
      <c r="BT174" s="128"/>
      <c r="BU174" s="128"/>
      <c r="BV174" s="128"/>
      <c r="BW174" s="139"/>
      <c r="BX174" s="140"/>
      <c r="BY174" s="139"/>
      <c r="BZ174" s="139"/>
      <c r="CA174" s="134"/>
      <c r="CB174" s="134"/>
      <c r="CC174" s="134"/>
      <c r="CD174" s="134"/>
      <c r="CE174" s="134"/>
      <c r="CF174" s="134"/>
      <c r="CG174" s="92"/>
      <c r="CH174" s="92"/>
      <c r="CI174" s="92"/>
      <c r="CJ174" s="92"/>
      <c r="CK174" s="92"/>
    </row>
    <row r="175" spans="1:89" ht="13.5">
      <c r="A175" s="142"/>
      <c r="B175" s="52"/>
      <c r="C175" s="52"/>
      <c r="D175" s="137">
        <f t="shared" si="28"/>
        <v>0</v>
      </c>
      <c r="E175" s="208"/>
      <c r="F175" s="202"/>
      <c r="G175" s="207"/>
      <c r="H175" s="202"/>
      <c r="I175" s="208"/>
      <c r="J175" s="202"/>
      <c r="K175" s="208">
        <f t="shared" si="12"/>
        <v>0</v>
      </c>
      <c r="L175" s="202"/>
      <c r="M175" s="207"/>
      <c r="N175" s="202"/>
      <c r="O175" s="209"/>
      <c r="P175" s="202"/>
      <c r="Q175" s="206"/>
      <c r="R175" s="202"/>
      <c r="S175" s="207"/>
      <c r="T175" s="202"/>
      <c r="U175" s="207"/>
      <c r="V175" s="202"/>
      <c r="W175" s="208"/>
      <c r="X175" s="202"/>
      <c r="Y175" s="210">
        <f t="shared" si="29"/>
        <v>0</v>
      </c>
      <c r="Z175" s="202"/>
      <c r="AA175" s="207"/>
      <c r="AB175" s="202"/>
      <c r="AC175" s="209"/>
      <c r="AD175" s="202"/>
      <c r="AE175" s="206"/>
      <c r="AF175" s="202"/>
      <c r="AG175" s="207"/>
      <c r="AH175" s="202"/>
      <c r="AI175" s="207"/>
      <c r="AJ175" s="202"/>
      <c r="AK175" s="208"/>
      <c r="AL175" s="202"/>
      <c r="AM175" s="210">
        <f t="shared" si="14"/>
        <v>0</v>
      </c>
      <c r="AN175" s="202"/>
      <c r="AO175" s="207"/>
      <c r="AP175" s="202"/>
      <c r="AQ175" s="209"/>
      <c r="AR175" s="202"/>
      <c r="AS175" s="206"/>
      <c r="AT175" s="202"/>
      <c r="AU175" s="204"/>
      <c r="AV175" s="202"/>
      <c r="AW175" s="204"/>
      <c r="AX175" s="202"/>
      <c r="AY175" s="201"/>
      <c r="AZ175" s="202"/>
      <c r="BA175" s="210">
        <f t="shared" si="15"/>
        <v>0</v>
      </c>
      <c r="BB175" s="202"/>
      <c r="BC175" s="204"/>
      <c r="BD175" s="202"/>
      <c r="BE175" s="209"/>
      <c r="BF175" s="202"/>
      <c r="BG175" s="206"/>
      <c r="BH175" s="202"/>
      <c r="BI175" s="204"/>
      <c r="BJ175" s="202"/>
      <c r="BK175" s="204"/>
      <c r="BL175" s="202"/>
      <c r="BM175" s="201"/>
      <c r="BN175" s="202"/>
      <c r="BO175" s="203">
        <f t="shared" si="16"/>
        <v>0</v>
      </c>
      <c r="BP175" s="202"/>
      <c r="BQ175" s="138"/>
      <c r="BR175" s="128"/>
      <c r="BS175" s="128"/>
      <c r="BT175" s="128"/>
      <c r="BU175" s="128"/>
      <c r="BV175" s="128"/>
      <c r="BW175" s="139"/>
      <c r="BX175" s="140"/>
      <c r="BY175" s="139"/>
      <c r="BZ175" s="139"/>
      <c r="CA175" s="134"/>
      <c r="CB175" s="134"/>
      <c r="CC175" s="134"/>
      <c r="CD175" s="134"/>
      <c r="CE175" s="134"/>
      <c r="CF175" s="134"/>
      <c r="CG175" s="92"/>
      <c r="CH175" s="92"/>
      <c r="CI175" s="92"/>
      <c r="CJ175" s="92"/>
      <c r="CK175" s="92"/>
    </row>
    <row r="176" spans="1:89" ht="13.5">
      <c r="A176" s="142"/>
      <c r="B176" s="52"/>
      <c r="C176" s="52"/>
      <c r="D176" s="137">
        <f t="shared" si="28"/>
        <v>0</v>
      </c>
      <c r="E176" s="208"/>
      <c r="F176" s="202"/>
      <c r="G176" s="207"/>
      <c r="H176" s="202"/>
      <c r="I176" s="208"/>
      <c r="J176" s="202"/>
      <c r="K176" s="208">
        <f t="shared" si="12"/>
        <v>0</v>
      </c>
      <c r="L176" s="202"/>
      <c r="M176" s="207"/>
      <c r="N176" s="202"/>
      <c r="O176" s="209"/>
      <c r="P176" s="202"/>
      <c r="Q176" s="206"/>
      <c r="R176" s="202"/>
      <c r="S176" s="207"/>
      <c r="T176" s="202"/>
      <c r="U176" s="207"/>
      <c r="V176" s="202"/>
      <c r="W176" s="208"/>
      <c r="X176" s="202"/>
      <c r="Y176" s="210">
        <f t="shared" si="29"/>
        <v>0</v>
      </c>
      <c r="Z176" s="202"/>
      <c r="AA176" s="207"/>
      <c r="AB176" s="202"/>
      <c r="AC176" s="209"/>
      <c r="AD176" s="202"/>
      <c r="AE176" s="206"/>
      <c r="AF176" s="202"/>
      <c r="AG176" s="207"/>
      <c r="AH176" s="202"/>
      <c r="AI176" s="207"/>
      <c r="AJ176" s="202"/>
      <c r="AK176" s="208"/>
      <c r="AL176" s="202"/>
      <c r="AM176" s="210">
        <f t="shared" si="14"/>
        <v>0</v>
      </c>
      <c r="AN176" s="202"/>
      <c r="AO176" s="207"/>
      <c r="AP176" s="202"/>
      <c r="AQ176" s="209"/>
      <c r="AR176" s="202"/>
      <c r="AS176" s="206"/>
      <c r="AT176" s="202"/>
      <c r="AU176" s="204"/>
      <c r="AV176" s="202"/>
      <c r="AW176" s="204"/>
      <c r="AX176" s="202"/>
      <c r="AY176" s="201"/>
      <c r="AZ176" s="202"/>
      <c r="BA176" s="210">
        <f t="shared" si="15"/>
        <v>0</v>
      </c>
      <c r="BB176" s="202"/>
      <c r="BC176" s="204"/>
      <c r="BD176" s="202"/>
      <c r="BE176" s="209"/>
      <c r="BF176" s="202"/>
      <c r="BG176" s="206"/>
      <c r="BH176" s="202"/>
      <c r="BI176" s="204"/>
      <c r="BJ176" s="202"/>
      <c r="BK176" s="204"/>
      <c r="BL176" s="202"/>
      <c r="BM176" s="201"/>
      <c r="BN176" s="202"/>
      <c r="BO176" s="203">
        <f t="shared" si="16"/>
        <v>0</v>
      </c>
      <c r="BP176" s="202"/>
      <c r="BQ176" s="138"/>
      <c r="BR176" s="128"/>
      <c r="BS176" s="128"/>
      <c r="BT176" s="128"/>
      <c r="BU176" s="128"/>
      <c r="BV176" s="128"/>
      <c r="BW176" s="139"/>
      <c r="BX176" s="140"/>
      <c r="BY176" s="139"/>
      <c r="BZ176" s="139"/>
      <c r="CA176" s="134"/>
      <c r="CB176" s="134"/>
      <c r="CC176" s="134"/>
      <c r="CD176" s="134"/>
      <c r="CE176" s="134"/>
      <c r="CF176" s="134"/>
      <c r="CG176" s="92"/>
      <c r="CH176" s="92"/>
      <c r="CI176" s="92"/>
      <c r="CJ176" s="92"/>
      <c r="CK176" s="92"/>
    </row>
    <row r="177" spans="1:89" ht="13.5">
      <c r="A177" s="142"/>
      <c r="B177" s="52"/>
      <c r="C177" s="52"/>
      <c r="D177" s="137">
        <f t="shared" si="28"/>
        <v>0</v>
      </c>
      <c r="E177" s="208"/>
      <c r="F177" s="202"/>
      <c r="G177" s="207"/>
      <c r="H177" s="202"/>
      <c r="I177" s="208"/>
      <c r="J177" s="202"/>
      <c r="K177" s="208">
        <f t="shared" si="12"/>
        <v>0</v>
      </c>
      <c r="L177" s="202"/>
      <c r="M177" s="207"/>
      <c r="N177" s="202"/>
      <c r="O177" s="209"/>
      <c r="P177" s="202"/>
      <c r="Q177" s="206"/>
      <c r="R177" s="202"/>
      <c r="S177" s="207"/>
      <c r="T177" s="202"/>
      <c r="U177" s="207"/>
      <c r="V177" s="202"/>
      <c r="W177" s="208"/>
      <c r="X177" s="202"/>
      <c r="Y177" s="210">
        <f t="shared" si="29"/>
        <v>0</v>
      </c>
      <c r="Z177" s="202"/>
      <c r="AA177" s="207"/>
      <c r="AB177" s="202"/>
      <c r="AC177" s="209"/>
      <c r="AD177" s="202"/>
      <c r="AE177" s="206"/>
      <c r="AF177" s="202"/>
      <c r="AG177" s="207"/>
      <c r="AH177" s="202"/>
      <c r="AI177" s="207"/>
      <c r="AJ177" s="202"/>
      <c r="AK177" s="208"/>
      <c r="AL177" s="202"/>
      <c r="AM177" s="210">
        <f t="shared" si="14"/>
        <v>0</v>
      </c>
      <c r="AN177" s="202"/>
      <c r="AO177" s="207"/>
      <c r="AP177" s="202"/>
      <c r="AQ177" s="209"/>
      <c r="AR177" s="202"/>
      <c r="AS177" s="206"/>
      <c r="AT177" s="202"/>
      <c r="AU177" s="204"/>
      <c r="AV177" s="202"/>
      <c r="AW177" s="204"/>
      <c r="AX177" s="202"/>
      <c r="AY177" s="201"/>
      <c r="AZ177" s="202"/>
      <c r="BA177" s="210">
        <f t="shared" si="15"/>
        <v>0</v>
      </c>
      <c r="BB177" s="202"/>
      <c r="BC177" s="204"/>
      <c r="BD177" s="202"/>
      <c r="BE177" s="209"/>
      <c r="BF177" s="202"/>
      <c r="BG177" s="206"/>
      <c r="BH177" s="202"/>
      <c r="BI177" s="204"/>
      <c r="BJ177" s="202"/>
      <c r="BK177" s="204"/>
      <c r="BL177" s="202"/>
      <c r="BM177" s="201"/>
      <c r="BN177" s="202"/>
      <c r="BO177" s="203">
        <f t="shared" si="16"/>
        <v>0</v>
      </c>
      <c r="BP177" s="202"/>
      <c r="BQ177" s="138"/>
      <c r="BR177" s="128"/>
      <c r="BS177" s="128"/>
      <c r="BT177" s="128"/>
      <c r="BU177" s="128"/>
      <c r="BV177" s="128"/>
      <c r="BW177" s="139"/>
      <c r="BX177" s="140"/>
      <c r="BY177" s="139"/>
      <c r="BZ177" s="139"/>
      <c r="CA177" s="134"/>
      <c r="CB177" s="134"/>
      <c r="CC177" s="134"/>
      <c r="CD177" s="134"/>
      <c r="CE177" s="134"/>
      <c r="CF177" s="134"/>
      <c r="CG177" s="92"/>
      <c r="CH177" s="92"/>
      <c r="CI177" s="92"/>
      <c r="CJ177" s="92"/>
      <c r="CK177" s="92"/>
    </row>
    <row r="178" spans="1:89" ht="13.5">
      <c r="A178" s="142"/>
      <c r="B178" s="52"/>
      <c r="C178" s="52"/>
      <c r="D178" s="137">
        <f t="shared" si="28"/>
        <v>0</v>
      </c>
      <c r="E178" s="208"/>
      <c r="F178" s="202"/>
      <c r="G178" s="207"/>
      <c r="H178" s="202"/>
      <c r="I178" s="208"/>
      <c r="J178" s="202"/>
      <c r="K178" s="208">
        <f t="shared" si="12"/>
        <v>0</v>
      </c>
      <c r="L178" s="202"/>
      <c r="M178" s="207"/>
      <c r="N178" s="202"/>
      <c r="O178" s="209"/>
      <c r="P178" s="202"/>
      <c r="Q178" s="206"/>
      <c r="R178" s="202"/>
      <c r="S178" s="207"/>
      <c r="T178" s="202"/>
      <c r="U178" s="207"/>
      <c r="V178" s="202"/>
      <c r="W178" s="208"/>
      <c r="X178" s="202"/>
      <c r="Y178" s="210">
        <f t="shared" si="29"/>
        <v>0</v>
      </c>
      <c r="Z178" s="202"/>
      <c r="AA178" s="207"/>
      <c r="AB178" s="202"/>
      <c r="AC178" s="209"/>
      <c r="AD178" s="202"/>
      <c r="AE178" s="206"/>
      <c r="AF178" s="202"/>
      <c r="AG178" s="207"/>
      <c r="AH178" s="202"/>
      <c r="AI178" s="207"/>
      <c r="AJ178" s="202"/>
      <c r="AK178" s="208"/>
      <c r="AL178" s="202"/>
      <c r="AM178" s="210">
        <f t="shared" si="14"/>
        <v>0</v>
      </c>
      <c r="AN178" s="202"/>
      <c r="AO178" s="207"/>
      <c r="AP178" s="202"/>
      <c r="AQ178" s="209"/>
      <c r="AR178" s="202"/>
      <c r="AS178" s="206"/>
      <c r="AT178" s="202"/>
      <c r="AU178" s="204"/>
      <c r="AV178" s="202"/>
      <c r="AW178" s="204"/>
      <c r="AX178" s="202"/>
      <c r="AY178" s="201"/>
      <c r="AZ178" s="202"/>
      <c r="BA178" s="210">
        <f t="shared" si="15"/>
        <v>0</v>
      </c>
      <c r="BB178" s="202"/>
      <c r="BC178" s="204"/>
      <c r="BD178" s="202"/>
      <c r="BE178" s="209"/>
      <c r="BF178" s="202"/>
      <c r="BG178" s="206"/>
      <c r="BH178" s="202"/>
      <c r="BI178" s="204"/>
      <c r="BJ178" s="202"/>
      <c r="BK178" s="204"/>
      <c r="BL178" s="202"/>
      <c r="BM178" s="201"/>
      <c r="BN178" s="202"/>
      <c r="BO178" s="203">
        <f t="shared" si="16"/>
        <v>0</v>
      </c>
      <c r="BP178" s="202"/>
      <c r="BQ178" s="138"/>
      <c r="BR178" s="128"/>
      <c r="BS178" s="128"/>
      <c r="BT178" s="128"/>
      <c r="BU178" s="128"/>
      <c r="BV178" s="128"/>
      <c r="BW178" s="139"/>
      <c r="BX178" s="140"/>
      <c r="BY178" s="139"/>
      <c r="BZ178" s="139"/>
      <c r="CA178" s="134"/>
      <c r="CB178" s="134"/>
      <c r="CC178" s="134"/>
      <c r="CD178" s="134"/>
      <c r="CE178" s="134"/>
      <c r="CF178" s="134"/>
      <c r="CG178" s="92"/>
      <c r="CH178" s="92"/>
      <c r="CI178" s="92"/>
      <c r="CJ178" s="92"/>
      <c r="CK178" s="92"/>
    </row>
    <row r="179" spans="1:89" ht="13.5">
      <c r="A179" s="142"/>
      <c r="B179" s="52"/>
      <c r="C179" s="52"/>
      <c r="D179" s="137">
        <f t="shared" si="28"/>
        <v>0</v>
      </c>
      <c r="E179" s="208"/>
      <c r="F179" s="202"/>
      <c r="G179" s="207"/>
      <c r="H179" s="202"/>
      <c r="I179" s="208"/>
      <c r="J179" s="202"/>
      <c r="K179" s="208">
        <f t="shared" si="12"/>
        <v>0</v>
      </c>
      <c r="L179" s="202"/>
      <c r="M179" s="207"/>
      <c r="N179" s="202"/>
      <c r="O179" s="209"/>
      <c r="P179" s="202"/>
      <c r="Q179" s="206"/>
      <c r="R179" s="202"/>
      <c r="S179" s="207"/>
      <c r="T179" s="202"/>
      <c r="U179" s="207"/>
      <c r="V179" s="202"/>
      <c r="W179" s="208"/>
      <c r="X179" s="202"/>
      <c r="Y179" s="210">
        <f t="shared" si="29"/>
        <v>0</v>
      </c>
      <c r="Z179" s="202"/>
      <c r="AA179" s="207"/>
      <c r="AB179" s="202"/>
      <c r="AC179" s="209"/>
      <c r="AD179" s="202"/>
      <c r="AE179" s="206"/>
      <c r="AF179" s="202"/>
      <c r="AG179" s="207"/>
      <c r="AH179" s="202"/>
      <c r="AI179" s="207"/>
      <c r="AJ179" s="202"/>
      <c r="AK179" s="208"/>
      <c r="AL179" s="202"/>
      <c r="AM179" s="210">
        <f t="shared" si="14"/>
        <v>0</v>
      </c>
      <c r="AN179" s="202"/>
      <c r="AO179" s="207"/>
      <c r="AP179" s="202"/>
      <c r="AQ179" s="209"/>
      <c r="AR179" s="202"/>
      <c r="AS179" s="206"/>
      <c r="AT179" s="202"/>
      <c r="AU179" s="204"/>
      <c r="AV179" s="202"/>
      <c r="AW179" s="204"/>
      <c r="AX179" s="202"/>
      <c r="AY179" s="201"/>
      <c r="AZ179" s="202"/>
      <c r="BA179" s="210">
        <f t="shared" si="15"/>
        <v>0</v>
      </c>
      <c r="BB179" s="202"/>
      <c r="BC179" s="204"/>
      <c r="BD179" s="202"/>
      <c r="BE179" s="209"/>
      <c r="BF179" s="202"/>
      <c r="BG179" s="206"/>
      <c r="BH179" s="202"/>
      <c r="BI179" s="204"/>
      <c r="BJ179" s="202"/>
      <c r="BK179" s="204"/>
      <c r="BL179" s="202"/>
      <c r="BM179" s="201"/>
      <c r="BN179" s="202"/>
      <c r="BO179" s="203">
        <f t="shared" si="16"/>
        <v>0</v>
      </c>
      <c r="BP179" s="202"/>
      <c r="BQ179" s="138"/>
      <c r="BR179" s="128"/>
      <c r="BS179" s="128"/>
      <c r="BT179" s="128"/>
      <c r="BU179" s="128"/>
      <c r="BV179" s="128"/>
      <c r="BW179" s="139"/>
      <c r="BX179" s="140"/>
      <c r="BY179" s="139"/>
      <c r="BZ179" s="139"/>
      <c r="CA179" s="134"/>
      <c r="CB179" s="134"/>
      <c r="CC179" s="134"/>
      <c r="CD179" s="134"/>
      <c r="CE179" s="134"/>
      <c r="CF179" s="134"/>
      <c r="CG179" s="92"/>
      <c r="CH179" s="92"/>
      <c r="CI179" s="92"/>
      <c r="CJ179" s="92"/>
      <c r="CK179" s="92"/>
    </row>
    <row r="180" spans="1:89" ht="13.5">
      <c r="A180" s="142"/>
      <c r="B180" s="52"/>
      <c r="C180" s="52"/>
      <c r="D180" s="137">
        <f t="shared" si="28"/>
        <v>0</v>
      </c>
      <c r="E180" s="208"/>
      <c r="F180" s="202"/>
      <c r="G180" s="207"/>
      <c r="H180" s="202"/>
      <c r="I180" s="208"/>
      <c r="J180" s="202"/>
      <c r="K180" s="208">
        <f t="shared" si="12"/>
        <v>0</v>
      </c>
      <c r="L180" s="202"/>
      <c r="M180" s="207"/>
      <c r="N180" s="202"/>
      <c r="O180" s="209"/>
      <c r="P180" s="202"/>
      <c r="Q180" s="206"/>
      <c r="R180" s="202"/>
      <c r="S180" s="207"/>
      <c r="T180" s="202"/>
      <c r="U180" s="207"/>
      <c r="V180" s="202"/>
      <c r="W180" s="208"/>
      <c r="X180" s="202"/>
      <c r="Y180" s="210">
        <f t="shared" si="29"/>
        <v>0</v>
      </c>
      <c r="Z180" s="202"/>
      <c r="AA180" s="207"/>
      <c r="AB180" s="202"/>
      <c r="AC180" s="209"/>
      <c r="AD180" s="202"/>
      <c r="AE180" s="206"/>
      <c r="AF180" s="202"/>
      <c r="AG180" s="207"/>
      <c r="AH180" s="202"/>
      <c r="AI180" s="207"/>
      <c r="AJ180" s="202"/>
      <c r="AK180" s="208"/>
      <c r="AL180" s="202"/>
      <c r="AM180" s="210">
        <f t="shared" si="14"/>
        <v>0</v>
      </c>
      <c r="AN180" s="202"/>
      <c r="AO180" s="207"/>
      <c r="AP180" s="202"/>
      <c r="AQ180" s="209"/>
      <c r="AR180" s="202"/>
      <c r="AS180" s="206"/>
      <c r="AT180" s="202"/>
      <c r="AU180" s="204"/>
      <c r="AV180" s="202"/>
      <c r="AW180" s="204"/>
      <c r="AX180" s="202"/>
      <c r="AY180" s="201"/>
      <c r="AZ180" s="202"/>
      <c r="BA180" s="210">
        <f t="shared" si="15"/>
        <v>0</v>
      </c>
      <c r="BB180" s="202"/>
      <c r="BC180" s="204"/>
      <c r="BD180" s="202"/>
      <c r="BE180" s="209"/>
      <c r="BF180" s="202"/>
      <c r="BG180" s="206"/>
      <c r="BH180" s="202"/>
      <c r="BI180" s="204"/>
      <c r="BJ180" s="202"/>
      <c r="BK180" s="204"/>
      <c r="BL180" s="202"/>
      <c r="BM180" s="201"/>
      <c r="BN180" s="202"/>
      <c r="BO180" s="203">
        <f t="shared" si="16"/>
        <v>0</v>
      </c>
      <c r="BP180" s="202"/>
      <c r="BQ180" s="138"/>
      <c r="BR180" s="128"/>
      <c r="BS180" s="128"/>
      <c r="BT180" s="128"/>
      <c r="BU180" s="128"/>
      <c r="BV180" s="128"/>
      <c r="BW180" s="139"/>
      <c r="BX180" s="140"/>
      <c r="BY180" s="139"/>
      <c r="BZ180" s="139"/>
      <c r="CA180" s="134"/>
      <c r="CB180" s="134"/>
      <c r="CC180" s="134"/>
      <c r="CD180" s="134"/>
      <c r="CE180" s="134"/>
      <c r="CF180" s="134"/>
      <c r="CG180" s="92"/>
      <c r="CH180" s="92"/>
      <c r="CI180" s="92"/>
      <c r="CJ180" s="92"/>
      <c r="CK180" s="92"/>
    </row>
    <row r="181" spans="1:89" ht="13.5">
      <c r="A181" s="142"/>
      <c r="B181" s="52"/>
      <c r="C181" s="52"/>
      <c r="D181" s="137">
        <f t="shared" si="28"/>
        <v>0</v>
      </c>
      <c r="E181" s="208"/>
      <c r="F181" s="202"/>
      <c r="G181" s="207"/>
      <c r="H181" s="202"/>
      <c r="I181" s="208"/>
      <c r="J181" s="202"/>
      <c r="K181" s="208">
        <f t="shared" si="12"/>
        <v>0</v>
      </c>
      <c r="L181" s="202"/>
      <c r="M181" s="207"/>
      <c r="N181" s="202"/>
      <c r="O181" s="209"/>
      <c r="P181" s="202"/>
      <c r="Q181" s="206"/>
      <c r="R181" s="202"/>
      <c r="S181" s="207"/>
      <c r="T181" s="202"/>
      <c r="U181" s="207"/>
      <c r="V181" s="202"/>
      <c r="W181" s="208"/>
      <c r="X181" s="202"/>
      <c r="Y181" s="210">
        <f t="shared" si="29"/>
        <v>0</v>
      </c>
      <c r="Z181" s="202"/>
      <c r="AA181" s="207"/>
      <c r="AB181" s="202"/>
      <c r="AC181" s="209"/>
      <c r="AD181" s="202"/>
      <c r="AE181" s="206"/>
      <c r="AF181" s="202"/>
      <c r="AG181" s="207"/>
      <c r="AH181" s="202"/>
      <c r="AI181" s="207"/>
      <c r="AJ181" s="202"/>
      <c r="AK181" s="208"/>
      <c r="AL181" s="202"/>
      <c r="AM181" s="210">
        <f t="shared" si="14"/>
        <v>0</v>
      </c>
      <c r="AN181" s="202"/>
      <c r="AO181" s="207"/>
      <c r="AP181" s="202"/>
      <c r="AQ181" s="209"/>
      <c r="AR181" s="202"/>
      <c r="AS181" s="206"/>
      <c r="AT181" s="202"/>
      <c r="AU181" s="204"/>
      <c r="AV181" s="202"/>
      <c r="AW181" s="204"/>
      <c r="AX181" s="202"/>
      <c r="AY181" s="201"/>
      <c r="AZ181" s="202"/>
      <c r="BA181" s="210">
        <f t="shared" si="15"/>
        <v>0</v>
      </c>
      <c r="BB181" s="202"/>
      <c r="BC181" s="204"/>
      <c r="BD181" s="202"/>
      <c r="BE181" s="209"/>
      <c r="BF181" s="202"/>
      <c r="BG181" s="206"/>
      <c r="BH181" s="202"/>
      <c r="BI181" s="204"/>
      <c r="BJ181" s="202"/>
      <c r="BK181" s="204"/>
      <c r="BL181" s="202"/>
      <c r="BM181" s="201"/>
      <c r="BN181" s="202"/>
      <c r="BO181" s="203">
        <f t="shared" si="16"/>
        <v>0</v>
      </c>
      <c r="BP181" s="202"/>
      <c r="BQ181" s="138"/>
      <c r="BR181" s="128"/>
      <c r="BS181" s="128"/>
      <c r="BT181" s="128"/>
      <c r="BU181" s="128"/>
      <c r="BV181" s="128"/>
      <c r="BW181" s="139"/>
      <c r="BX181" s="140"/>
      <c r="BY181" s="139"/>
      <c r="BZ181" s="139"/>
      <c r="CA181" s="134"/>
      <c r="CB181" s="134"/>
      <c r="CC181" s="134"/>
      <c r="CD181" s="134"/>
      <c r="CE181" s="134"/>
      <c r="CF181" s="134"/>
      <c r="CG181" s="92"/>
      <c r="CH181" s="92"/>
      <c r="CI181" s="92"/>
      <c r="CJ181" s="92"/>
      <c r="CK181" s="92"/>
    </row>
    <row r="182" spans="1:89" ht="13.5">
      <c r="A182" s="142"/>
      <c r="B182" s="52"/>
      <c r="C182" s="52"/>
      <c r="D182" s="137">
        <f t="shared" si="28"/>
        <v>0</v>
      </c>
      <c r="E182" s="208"/>
      <c r="F182" s="202"/>
      <c r="G182" s="207"/>
      <c r="H182" s="202"/>
      <c r="I182" s="208"/>
      <c r="J182" s="202"/>
      <c r="K182" s="208">
        <f t="shared" si="12"/>
        <v>0</v>
      </c>
      <c r="L182" s="202"/>
      <c r="M182" s="207"/>
      <c r="N182" s="202"/>
      <c r="O182" s="209"/>
      <c r="P182" s="202"/>
      <c r="Q182" s="206"/>
      <c r="R182" s="202"/>
      <c r="S182" s="207"/>
      <c r="T182" s="202"/>
      <c r="U182" s="207"/>
      <c r="V182" s="202"/>
      <c r="W182" s="208"/>
      <c r="X182" s="202"/>
      <c r="Y182" s="210">
        <f t="shared" si="29"/>
        <v>0</v>
      </c>
      <c r="Z182" s="202"/>
      <c r="AA182" s="207"/>
      <c r="AB182" s="202"/>
      <c r="AC182" s="209"/>
      <c r="AD182" s="202"/>
      <c r="AE182" s="206"/>
      <c r="AF182" s="202"/>
      <c r="AG182" s="207"/>
      <c r="AH182" s="202"/>
      <c r="AI182" s="207"/>
      <c r="AJ182" s="202"/>
      <c r="AK182" s="208"/>
      <c r="AL182" s="202"/>
      <c r="AM182" s="210">
        <f t="shared" si="14"/>
        <v>0</v>
      </c>
      <c r="AN182" s="202"/>
      <c r="AO182" s="207"/>
      <c r="AP182" s="202"/>
      <c r="AQ182" s="209"/>
      <c r="AR182" s="202"/>
      <c r="AS182" s="206"/>
      <c r="AT182" s="202"/>
      <c r="AU182" s="204"/>
      <c r="AV182" s="202"/>
      <c r="AW182" s="204"/>
      <c r="AX182" s="202"/>
      <c r="AY182" s="201"/>
      <c r="AZ182" s="202"/>
      <c r="BA182" s="210">
        <f t="shared" si="15"/>
        <v>0</v>
      </c>
      <c r="BB182" s="202"/>
      <c r="BC182" s="204"/>
      <c r="BD182" s="202"/>
      <c r="BE182" s="209"/>
      <c r="BF182" s="202"/>
      <c r="BG182" s="206"/>
      <c r="BH182" s="202"/>
      <c r="BI182" s="204"/>
      <c r="BJ182" s="202"/>
      <c r="BK182" s="204"/>
      <c r="BL182" s="202"/>
      <c r="BM182" s="201"/>
      <c r="BN182" s="202"/>
      <c r="BO182" s="203">
        <f t="shared" si="16"/>
        <v>0</v>
      </c>
      <c r="BP182" s="202"/>
      <c r="BQ182" s="138"/>
      <c r="BR182" s="128"/>
      <c r="BS182" s="128"/>
      <c r="BT182" s="128"/>
      <c r="BU182" s="128"/>
      <c r="BV182" s="128"/>
      <c r="BW182" s="139"/>
      <c r="BX182" s="140"/>
      <c r="BY182" s="139"/>
      <c r="BZ182" s="139"/>
      <c r="CA182" s="134"/>
      <c r="CB182" s="134"/>
      <c r="CC182" s="134"/>
      <c r="CD182" s="134"/>
      <c r="CE182" s="134"/>
      <c r="CF182" s="134"/>
      <c r="CG182" s="92"/>
      <c r="CH182" s="92"/>
      <c r="CI182" s="92"/>
      <c r="CJ182" s="92"/>
      <c r="CK182" s="92"/>
    </row>
    <row r="183" spans="1:89" ht="13.5">
      <c r="A183" s="142"/>
      <c r="B183" s="52"/>
      <c r="C183" s="52"/>
      <c r="D183" s="137">
        <f t="shared" si="28"/>
        <v>0</v>
      </c>
      <c r="E183" s="208"/>
      <c r="F183" s="202"/>
      <c r="G183" s="207"/>
      <c r="H183" s="202"/>
      <c r="I183" s="208"/>
      <c r="J183" s="202"/>
      <c r="K183" s="208">
        <f t="shared" si="12"/>
        <v>0</v>
      </c>
      <c r="L183" s="202"/>
      <c r="M183" s="207"/>
      <c r="N183" s="202"/>
      <c r="O183" s="209"/>
      <c r="P183" s="202"/>
      <c r="Q183" s="206"/>
      <c r="R183" s="202"/>
      <c r="S183" s="207"/>
      <c r="T183" s="202"/>
      <c r="U183" s="207"/>
      <c r="V183" s="202"/>
      <c r="W183" s="208"/>
      <c r="X183" s="202"/>
      <c r="Y183" s="210">
        <f t="shared" si="29"/>
        <v>0</v>
      </c>
      <c r="Z183" s="202"/>
      <c r="AA183" s="207"/>
      <c r="AB183" s="202"/>
      <c r="AC183" s="209"/>
      <c r="AD183" s="202"/>
      <c r="AE183" s="206"/>
      <c r="AF183" s="202"/>
      <c r="AG183" s="207"/>
      <c r="AH183" s="202"/>
      <c r="AI183" s="207"/>
      <c r="AJ183" s="202"/>
      <c r="AK183" s="208"/>
      <c r="AL183" s="202"/>
      <c r="AM183" s="210">
        <f t="shared" si="14"/>
        <v>0</v>
      </c>
      <c r="AN183" s="202"/>
      <c r="AO183" s="207"/>
      <c r="AP183" s="202"/>
      <c r="AQ183" s="209"/>
      <c r="AR183" s="202"/>
      <c r="AS183" s="206"/>
      <c r="AT183" s="202"/>
      <c r="AU183" s="204"/>
      <c r="AV183" s="202"/>
      <c r="AW183" s="204"/>
      <c r="AX183" s="202"/>
      <c r="AY183" s="201"/>
      <c r="AZ183" s="202"/>
      <c r="BA183" s="210">
        <f t="shared" si="15"/>
        <v>0</v>
      </c>
      <c r="BB183" s="202"/>
      <c r="BC183" s="204"/>
      <c r="BD183" s="202"/>
      <c r="BE183" s="209"/>
      <c r="BF183" s="202"/>
      <c r="BG183" s="206"/>
      <c r="BH183" s="202"/>
      <c r="BI183" s="204"/>
      <c r="BJ183" s="202"/>
      <c r="BK183" s="204"/>
      <c r="BL183" s="202"/>
      <c r="BM183" s="201"/>
      <c r="BN183" s="202"/>
      <c r="BO183" s="203">
        <f t="shared" si="16"/>
        <v>0</v>
      </c>
      <c r="BP183" s="202"/>
      <c r="BQ183" s="138"/>
      <c r="BR183" s="128"/>
      <c r="BS183" s="128"/>
      <c r="BT183" s="128"/>
      <c r="BU183" s="128"/>
      <c r="BV183" s="128"/>
      <c r="BW183" s="139"/>
      <c r="BX183" s="140"/>
      <c r="BY183" s="139"/>
      <c r="BZ183" s="139"/>
      <c r="CA183" s="134"/>
      <c r="CB183" s="134"/>
      <c r="CC183" s="134"/>
      <c r="CD183" s="134"/>
      <c r="CE183" s="134"/>
      <c r="CF183" s="134"/>
      <c r="CG183" s="92"/>
      <c r="CH183" s="92"/>
      <c r="CI183" s="92"/>
      <c r="CJ183" s="92"/>
      <c r="CK183" s="92"/>
    </row>
    <row r="184" spans="1:89" ht="13.5">
      <c r="A184" s="142"/>
      <c r="B184" s="52"/>
      <c r="C184" s="52"/>
      <c r="D184" s="137">
        <f t="shared" si="28"/>
        <v>0</v>
      </c>
      <c r="E184" s="208"/>
      <c r="F184" s="202"/>
      <c r="G184" s="207"/>
      <c r="H184" s="202"/>
      <c r="I184" s="208"/>
      <c r="J184" s="202"/>
      <c r="K184" s="208">
        <f t="shared" si="12"/>
        <v>0</v>
      </c>
      <c r="L184" s="202"/>
      <c r="M184" s="207"/>
      <c r="N184" s="202"/>
      <c r="O184" s="209"/>
      <c r="P184" s="202"/>
      <c r="Q184" s="206"/>
      <c r="R184" s="202"/>
      <c r="S184" s="207"/>
      <c r="T184" s="202"/>
      <c r="U184" s="207"/>
      <c r="V184" s="202"/>
      <c r="W184" s="208"/>
      <c r="X184" s="202"/>
      <c r="Y184" s="210">
        <f t="shared" si="29"/>
        <v>0</v>
      </c>
      <c r="Z184" s="202"/>
      <c r="AA184" s="207"/>
      <c r="AB184" s="202"/>
      <c r="AC184" s="209"/>
      <c r="AD184" s="202"/>
      <c r="AE184" s="206"/>
      <c r="AF184" s="202"/>
      <c r="AG184" s="207"/>
      <c r="AH184" s="202"/>
      <c r="AI184" s="207"/>
      <c r="AJ184" s="202"/>
      <c r="AK184" s="208"/>
      <c r="AL184" s="202"/>
      <c r="AM184" s="210">
        <f t="shared" si="14"/>
        <v>0</v>
      </c>
      <c r="AN184" s="202"/>
      <c r="AO184" s="207"/>
      <c r="AP184" s="202"/>
      <c r="AQ184" s="209"/>
      <c r="AR184" s="202"/>
      <c r="AS184" s="206"/>
      <c r="AT184" s="202"/>
      <c r="AU184" s="204"/>
      <c r="AV184" s="202"/>
      <c r="AW184" s="204"/>
      <c r="AX184" s="202"/>
      <c r="AY184" s="201"/>
      <c r="AZ184" s="202"/>
      <c r="BA184" s="210">
        <f t="shared" si="15"/>
        <v>0</v>
      </c>
      <c r="BB184" s="202"/>
      <c r="BC184" s="204"/>
      <c r="BD184" s="202"/>
      <c r="BE184" s="209"/>
      <c r="BF184" s="202"/>
      <c r="BG184" s="206"/>
      <c r="BH184" s="202"/>
      <c r="BI184" s="204"/>
      <c r="BJ184" s="202"/>
      <c r="BK184" s="204"/>
      <c r="BL184" s="202"/>
      <c r="BM184" s="201"/>
      <c r="BN184" s="202"/>
      <c r="BO184" s="203">
        <f t="shared" si="16"/>
        <v>0</v>
      </c>
      <c r="BP184" s="202"/>
      <c r="BQ184" s="138"/>
      <c r="BR184" s="128"/>
      <c r="BS184" s="128"/>
      <c r="BT184" s="128"/>
      <c r="BU184" s="128"/>
      <c r="BV184" s="128"/>
      <c r="BW184" s="139"/>
      <c r="BX184" s="140"/>
      <c r="BY184" s="139"/>
      <c r="BZ184" s="139"/>
      <c r="CA184" s="134"/>
      <c r="CB184" s="134"/>
      <c r="CC184" s="134"/>
      <c r="CD184" s="134"/>
      <c r="CE184" s="134"/>
      <c r="CF184" s="134"/>
      <c r="CG184" s="92"/>
      <c r="CH184" s="92"/>
      <c r="CI184" s="92"/>
      <c r="CJ184" s="92"/>
      <c r="CK184" s="92"/>
    </row>
    <row r="185" spans="1:89" ht="13.5">
      <c r="A185" s="142"/>
      <c r="B185" s="52"/>
      <c r="C185" s="52"/>
      <c r="D185" s="137">
        <f t="shared" si="28"/>
        <v>0</v>
      </c>
      <c r="E185" s="208"/>
      <c r="F185" s="202"/>
      <c r="G185" s="207"/>
      <c r="H185" s="202"/>
      <c r="I185" s="208"/>
      <c r="J185" s="202"/>
      <c r="K185" s="208">
        <f t="shared" si="12"/>
        <v>0</v>
      </c>
      <c r="L185" s="202"/>
      <c r="M185" s="207"/>
      <c r="N185" s="202"/>
      <c r="O185" s="209"/>
      <c r="P185" s="202"/>
      <c r="Q185" s="206"/>
      <c r="R185" s="202"/>
      <c r="S185" s="207"/>
      <c r="T185" s="202"/>
      <c r="U185" s="207"/>
      <c r="V185" s="202"/>
      <c r="W185" s="208"/>
      <c r="X185" s="202"/>
      <c r="Y185" s="210">
        <f t="shared" si="29"/>
        <v>0</v>
      </c>
      <c r="Z185" s="202"/>
      <c r="AA185" s="207"/>
      <c r="AB185" s="202"/>
      <c r="AC185" s="209"/>
      <c r="AD185" s="202"/>
      <c r="AE185" s="206"/>
      <c r="AF185" s="202"/>
      <c r="AG185" s="207"/>
      <c r="AH185" s="202"/>
      <c r="AI185" s="207"/>
      <c r="AJ185" s="202"/>
      <c r="AK185" s="208"/>
      <c r="AL185" s="202"/>
      <c r="AM185" s="210">
        <f t="shared" si="14"/>
        <v>0</v>
      </c>
      <c r="AN185" s="202"/>
      <c r="AO185" s="207"/>
      <c r="AP185" s="202"/>
      <c r="AQ185" s="209"/>
      <c r="AR185" s="202"/>
      <c r="AS185" s="206"/>
      <c r="AT185" s="202"/>
      <c r="AU185" s="204"/>
      <c r="AV185" s="202"/>
      <c r="AW185" s="204"/>
      <c r="AX185" s="202"/>
      <c r="AY185" s="201"/>
      <c r="AZ185" s="202"/>
      <c r="BA185" s="210">
        <f t="shared" si="15"/>
        <v>0</v>
      </c>
      <c r="BB185" s="202"/>
      <c r="BC185" s="204"/>
      <c r="BD185" s="202"/>
      <c r="BE185" s="209"/>
      <c r="BF185" s="202"/>
      <c r="BG185" s="206"/>
      <c r="BH185" s="202"/>
      <c r="BI185" s="204"/>
      <c r="BJ185" s="202"/>
      <c r="BK185" s="204"/>
      <c r="BL185" s="202"/>
      <c r="BM185" s="201"/>
      <c r="BN185" s="202"/>
      <c r="BO185" s="203">
        <f t="shared" si="16"/>
        <v>0</v>
      </c>
      <c r="BP185" s="202"/>
      <c r="BQ185" s="138"/>
      <c r="BR185" s="128"/>
      <c r="BS185" s="128"/>
      <c r="BT185" s="128"/>
      <c r="BU185" s="128"/>
      <c r="BV185" s="128"/>
      <c r="BW185" s="139"/>
      <c r="BX185" s="140"/>
      <c r="BY185" s="139"/>
      <c r="BZ185" s="139"/>
      <c r="CA185" s="134"/>
      <c r="CB185" s="134"/>
      <c r="CC185" s="134"/>
      <c r="CD185" s="134"/>
      <c r="CE185" s="134"/>
      <c r="CF185" s="134"/>
      <c r="CG185" s="92"/>
      <c r="CH185" s="92"/>
      <c r="CI185" s="92"/>
      <c r="CJ185" s="92"/>
      <c r="CK185" s="92"/>
    </row>
    <row r="186" spans="1:89" ht="13.5">
      <c r="A186" s="142"/>
      <c r="B186" s="52"/>
      <c r="C186" s="52"/>
      <c r="D186" s="137">
        <f t="shared" si="28"/>
        <v>0</v>
      </c>
      <c r="E186" s="208"/>
      <c r="F186" s="202"/>
      <c r="G186" s="207"/>
      <c r="H186" s="202"/>
      <c r="I186" s="208"/>
      <c r="J186" s="202"/>
      <c r="K186" s="208">
        <f t="shared" si="12"/>
        <v>0</v>
      </c>
      <c r="L186" s="202"/>
      <c r="M186" s="207"/>
      <c r="N186" s="202"/>
      <c r="O186" s="209"/>
      <c r="P186" s="202"/>
      <c r="Q186" s="206"/>
      <c r="R186" s="202"/>
      <c r="S186" s="207"/>
      <c r="T186" s="202"/>
      <c r="U186" s="207"/>
      <c r="V186" s="202"/>
      <c r="W186" s="208"/>
      <c r="X186" s="202"/>
      <c r="Y186" s="210">
        <f t="shared" si="29"/>
        <v>0</v>
      </c>
      <c r="Z186" s="202"/>
      <c r="AA186" s="207"/>
      <c r="AB186" s="202"/>
      <c r="AC186" s="209"/>
      <c r="AD186" s="202"/>
      <c r="AE186" s="206"/>
      <c r="AF186" s="202"/>
      <c r="AG186" s="207"/>
      <c r="AH186" s="202"/>
      <c r="AI186" s="207"/>
      <c r="AJ186" s="202"/>
      <c r="AK186" s="208"/>
      <c r="AL186" s="202"/>
      <c r="AM186" s="210">
        <f t="shared" si="14"/>
        <v>0</v>
      </c>
      <c r="AN186" s="202"/>
      <c r="AO186" s="207"/>
      <c r="AP186" s="202"/>
      <c r="AQ186" s="209"/>
      <c r="AR186" s="202"/>
      <c r="AS186" s="206"/>
      <c r="AT186" s="202"/>
      <c r="AU186" s="204"/>
      <c r="AV186" s="202"/>
      <c r="AW186" s="204"/>
      <c r="AX186" s="202"/>
      <c r="AY186" s="201"/>
      <c r="AZ186" s="202"/>
      <c r="BA186" s="210">
        <f t="shared" si="15"/>
        <v>0</v>
      </c>
      <c r="BB186" s="202"/>
      <c r="BC186" s="204"/>
      <c r="BD186" s="202"/>
      <c r="BE186" s="209"/>
      <c r="BF186" s="202"/>
      <c r="BG186" s="206"/>
      <c r="BH186" s="202"/>
      <c r="BI186" s="204"/>
      <c r="BJ186" s="202"/>
      <c r="BK186" s="204"/>
      <c r="BL186" s="202"/>
      <c r="BM186" s="201"/>
      <c r="BN186" s="202"/>
      <c r="BO186" s="203">
        <f t="shared" si="16"/>
        <v>0</v>
      </c>
      <c r="BP186" s="202"/>
      <c r="BQ186" s="138"/>
      <c r="BR186" s="128"/>
      <c r="BS186" s="128"/>
      <c r="BT186" s="128"/>
      <c r="BU186" s="128"/>
      <c r="BV186" s="128"/>
      <c r="BW186" s="139"/>
      <c r="BX186" s="140"/>
      <c r="BY186" s="139"/>
      <c r="BZ186" s="139"/>
      <c r="CA186" s="134"/>
      <c r="CB186" s="134"/>
      <c r="CC186" s="134"/>
      <c r="CD186" s="134"/>
      <c r="CE186" s="134"/>
      <c r="CF186" s="134"/>
      <c r="CG186" s="92"/>
      <c r="CH186" s="92"/>
      <c r="CI186" s="92"/>
      <c r="CJ186" s="92"/>
      <c r="CK186" s="92"/>
    </row>
    <row r="187" spans="1:89" ht="13.5">
      <c r="A187" s="142"/>
      <c r="B187" s="52"/>
      <c r="C187" s="52"/>
      <c r="D187" s="137">
        <f t="shared" si="28"/>
        <v>0</v>
      </c>
      <c r="E187" s="208"/>
      <c r="F187" s="202"/>
      <c r="G187" s="207"/>
      <c r="H187" s="202"/>
      <c r="I187" s="208"/>
      <c r="J187" s="202"/>
      <c r="K187" s="208">
        <f t="shared" si="12"/>
        <v>0</v>
      </c>
      <c r="L187" s="202"/>
      <c r="M187" s="207"/>
      <c r="N187" s="202"/>
      <c r="O187" s="209"/>
      <c r="P187" s="202"/>
      <c r="Q187" s="206"/>
      <c r="R187" s="202"/>
      <c r="S187" s="207"/>
      <c r="T187" s="202"/>
      <c r="U187" s="207"/>
      <c r="V187" s="202"/>
      <c r="W187" s="208"/>
      <c r="X187" s="202"/>
      <c r="Y187" s="210">
        <f t="shared" si="29"/>
        <v>0</v>
      </c>
      <c r="Z187" s="202"/>
      <c r="AA187" s="207"/>
      <c r="AB187" s="202"/>
      <c r="AC187" s="209"/>
      <c r="AD187" s="202"/>
      <c r="AE187" s="206"/>
      <c r="AF187" s="202"/>
      <c r="AG187" s="207"/>
      <c r="AH187" s="202"/>
      <c r="AI187" s="207"/>
      <c r="AJ187" s="202"/>
      <c r="AK187" s="208"/>
      <c r="AL187" s="202"/>
      <c r="AM187" s="210">
        <f t="shared" si="14"/>
        <v>0</v>
      </c>
      <c r="AN187" s="202"/>
      <c r="AO187" s="207"/>
      <c r="AP187" s="202"/>
      <c r="AQ187" s="209"/>
      <c r="AR187" s="202"/>
      <c r="AS187" s="206"/>
      <c r="AT187" s="202"/>
      <c r="AU187" s="204"/>
      <c r="AV187" s="202"/>
      <c r="AW187" s="204"/>
      <c r="AX187" s="202"/>
      <c r="AY187" s="201"/>
      <c r="AZ187" s="202"/>
      <c r="BA187" s="210">
        <f t="shared" si="15"/>
        <v>0</v>
      </c>
      <c r="BB187" s="202"/>
      <c r="BC187" s="204"/>
      <c r="BD187" s="202"/>
      <c r="BE187" s="209"/>
      <c r="BF187" s="202"/>
      <c r="BG187" s="206"/>
      <c r="BH187" s="202"/>
      <c r="BI187" s="204"/>
      <c r="BJ187" s="202"/>
      <c r="BK187" s="204"/>
      <c r="BL187" s="202"/>
      <c r="BM187" s="201"/>
      <c r="BN187" s="202"/>
      <c r="BO187" s="203">
        <f t="shared" si="16"/>
        <v>0</v>
      </c>
      <c r="BP187" s="202"/>
      <c r="BQ187" s="138"/>
      <c r="BR187" s="128"/>
      <c r="BS187" s="128"/>
      <c r="BT187" s="128"/>
      <c r="BU187" s="128"/>
      <c r="BV187" s="128"/>
      <c r="BW187" s="139"/>
      <c r="BX187" s="140"/>
      <c r="BY187" s="139"/>
      <c r="BZ187" s="139"/>
      <c r="CA187" s="134"/>
      <c r="CB187" s="134"/>
      <c r="CC187" s="134"/>
      <c r="CD187" s="134"/>
      <c r="CE187" s="134"/>
      <c r="CF187" s="134"/>
      <c r="CG187" s="92"/>
      <c r="CH187" s="92"/>
      <c r="CI187" s="92"/>
      <c r="CJ187" s="92"/>
      <c r="CK187" s="92"/>
    </row>
    <row r="188" spans="1:89" ht="13.5">
      <c r="A188" s="142"/>
      <c r="B188" s="52"/>
      <c r="C188" s="52"/>
      <c r="D188" s="137">
        <f t="shared" si="28"/>
        <v>0</v>
      </c>
      <c r="E188" s="208"/>
      <c r="F188" s="202"/>
      <c r="G188" s="207"/>
      <c r="H188" s="202"/>
      <c r="I188" s="208"/>
      <c r="J188" s="202"/>
      <c r="K188" s="208">
        <f t="shared" si="12"/>
        <v>0</v>
      </c>
      <c r="L188" s="202"/>
      <c r="M188" s="207"/>
      <c r="N188" s="202"/>
      <c r="O188" s="209"/>
      <c r="P188" s="202"/>
      <c r="Q188" s="206"/>
      <c r="R188" s="202"/>
      <c r="S188" s="207"/>
      <c r="T188" s="202"/>
      <c r="U188" s="207"/>
      <c r="V188" s="202"/>
      <c r="W188" s="208"/>
      <c r="X188" s="202"/>
      <c r="Y188" s="210">
        <f t="shared" si="29"/>
        <v>0</v>
      </c>
      <c r="Z188" s="202"/>
      <c r="AA188" s="207"/>
      <c r="AB188" s="202"/>
      <c r="AC188" s="209"/>
      <c r="AD188" s="202"/>
      <c r="AE188" s="206"/>
      <c r="AF188" s="202"/>
      <c r="AG188" s="207"/>
      <c r="AH188" s="202"/>
      <c r="AI188" s="207"/>
      <c r="AJ188" s="202"/>
      <c r="AK188" s="208"/>
      <c r="AL188" s="202"/>
      <c r="AM188" s="210">
        <f t="shared" si="14"/>
        <v>0</v>
      </c>
      <c r="AN188" s="202"/>
      <c r="AO188" s="207"/>
      <c r="AP188" s="202"/>
      <c r="AQ188" s="209"/>
      <c r="AR188" s="202"/>
      <c r="AS188" s="206"/>
      <c r="AT188" s="202"/>
      <c r="AU188" s="204"/>
      <c r="AV188" s="202"/>
      <c r="AW188" s="204"/>
      <c r="AX188" s="202"/>
      <c r="AY188" s="201"/>
      <c r="AZ188" s="202"/>
      <c r="BA188" s="210">
        <f t="shared" si="15"/>
        <v>0</v>
      </c>
      <c r="BB188" s="202"/>
      <c r="BC188" s="204"/>
      <c r="BD188" s="202"/>
      <c r="BE188" s="209"/>
      <c r="BF188" s="202"/>
      <c r="BG188" s="206"/>
      <c r="BH188" s="202"/>
      <c r="BI188" s="204"/>
      <c r="BJ188" s="202"/>
      <c r="BK188" s="204"/>
      <c r="BL188" s="202"/>
      <c r="BM188" s="201"/>
      <c r="BN188" s="202"/>
      <c r="BO188" s="203">
        <f t="shared" si="16"/>
        <v>0</v>
      </c>
      <c r="BP188" s="202"/>
      <c r="BQ188" s="138"/>
      <c r="BR188" s="128"/>
      <c r="BS188" s="128"/>
      <c r="BT188" s="128"/>
      <c r="BU188" s="128"/>
      <c r="BV188" s="128"/>
      <c r="BW188" s="139"/>
      <c r="BX188" s="140"/>
      <c r="BY188" s="139"/>
      <c r="BZ188" s="139"/>
      <c r="CA188" s="134"/>
      <c r="CB188" s="134"/>
      <c r="CC188" s="134"/>
      <c r="CD188" s="134"/>
      <c r="CE188" s="134"/>
      <c r="CF188" s="134"/>
      <c r="CG188" s="92"/>
      <c r="CH188" s="92"/>
      <c r="CI188" s="92"/>
      <c r="CJ188" s="92"/>
      <c r="CK188" s="92"/>
    </row>
    <row r="189" spans="1:89" ht="13.5">
      <c r="A189" s="142"/>
      <c r="B189" s="52"/>
      <c r="C189" s="52"/>
      <c r="D189" s="137">
        <f t="shared" si="28"/>
        <v>0</v>
      </c>
      <c r="E189" s="208"/>
      <c r="F189" s="202"/>
      <c r="G189" s="207"/>
      <c r="H189" s="202"/>
      <c r="I189" s="208"/>
      <c r="J189" s="202"/>
      <c r="K189" s="208">
        <f t="shared" si="12"/>
        <v>0</v>
      </c>
      <c r="L189" s="202"/>
      <c r="M189" s="207"/>
      <c r="N189" s="202"/>
      <c r="O189" s="209"/>
      <c r="P189" s="202"/>
      <c r="Q189" s="206"/>
      <c r="R189" s="202"/>
      <c r="S189" s="207"/>
      <c r="T189" s="202"/>
      <c r="U189" s="207"/>
      <c r="V189" s="202"/>
      <c r="W189" s="208"/>
      <c r="X189" s="202"/>
      <c r="Y189" s="210">
        <v>0</v>
      </c>
      <c r="Z189" s="202"/>
      <c r="AA189" s="207"/>
      <c r="AB189" s="202"/>
      <c r="AC189" s="209"/>
      <c r="AD189" s="202"/>
      <c r="AE189" s="206"/>
      <c r="AF189" s="202"/>
      <c r="AG189" s="207"/>
      <c r="AH189" s="202"/>
      <c r="AI189" s="207"/>
      <c r="AJ189" s="202"/>
      <c r="AK189" s="208"/>
      <c r="AL189" s="202"/>
      <c r="AM189" s="210">
        <f t="shared" si="14"/>
        <v>0</v>
      </c>
      <c r="AN189" s="202"/>
      <c r="AO189" s="207"/>
      <c r="AP189" s="202"/>
      <c r="AQ189" s="209"/>
      <c r="AR189" s="202"/>
      <c r="AS189" s="206"/>
      <c r="AT189" s="202"/>
      <c r="AU189" s="204"/>
      <c r="AV189" s="202"/>
      <c r="AW189" s="204"/>
      <c r="AX189" s="202"/>
      <c r="AY189" s="201"/>
      <c r="AZ189" s="202"/>
      <c r="BA189" s="210">
        <f t="shared" si="15"/>
        <v>0</v>
      </c>
      <c r="BB189" s="202"/>
      <c r="BC189" s="204"/>
      <c r="BD189" s="202"/>
      <c r="BE189" s="209"/>
      <c r="BF189" s="202"/>
      <c r="BG189" s="206"/>
      <c r="BH189" s="202"/>
      <c r="BI189" s="204"/>
      <c r="BJ189" s="202"/>
      <c r="BK189" s="204"/>
      <c r="BL189" s="202"/>
      <c r="BM189" s="201"/>
      <c r="BN189" s="202"/>
      <c r="BO189" s="203">
        <f t="shared" si="16"/>
        <v>0</v>
      </c>
      <c r="BP189" s="202"/>
      <c r="BQ189" s="138"/>
      <c r="BR189" s="128"/>
      <c r="BS189" s="128"/>
      <c r="BT189" s="128"/>
      <c r="BU189" s="128"/>
      <c r="BV189" s="128"/>
      <c r="BW189" s="139"/>
      <c r="BX189" s="140"/>
      <c r="BY189" s="139"/>
      <c r="BZ189" s="139"/>
      <c r="CA189" s="134"/>
      <c r="CB189" s="134"/>
      <c r="CC189" s="134"/>
      <c r="CD189" s="134"/>
      <c r="CE189" s="134"/>
      <c r="CF189" s="134"/>
      <c r="CG189" s="92"/>
      <c r="CH189" s="92"/>
      <c r="CI189" s="92"/>
      <c r="CJ189" s="92"/>
      <c r="CK189" s="92"/>
    </row>
    <row r="190" spans="1:89" ht="13.5">
      <c r="A190" s="142"/>
      <c r="B190" s="52"/>
      <c r="C190" s="52"/>
      <c r="D190" s="137">
        <f t="shared" si="28"/>
        <v>0</v>
      </c>
      <c r="E190" s="208"/>
      <c r="F190" s="202"/>
      <c r="G190" s="207"/>
      <c r="H190" s="202"/>
      <c r="I190" s="208"/>
      <c r="J190" s="202"/>
      <c r="K190" s="208">
        <f t="shared" si="12"/>
        <v>0</v>
      </c>
      <c r="L190" s="202"/>
      <c r="M190" s="207"/>
      <c r="N190" s="202"/>
      <c r="O190" s="209"/>
      <c r="P190" s="202"/>
      <c r="Q190" s="206"/>
      <c r="R190" s="202"/>
      <c r="S190" s="207"/>
      <c r="T190" s="202"/>
      <c r="U190" s="207"/>
      <c r="V190" s="202"/>
      <c r="W190" s="208"/>
      <c r="X190" s="202"/>
      <c r="Y190" s="210">
        <f t="shared" ref="Y190:Y207" si="30">COUNTA(M190:V190)</f>
        <v>0</v>
      </c>
      <c r="Z190" s="202"/>
      <c r="AA190" s="207"/>
      <c r="AB190" s="202"/>
      <c r="AC190" s="209"/>
      <c r="AD190" s="202"/>
      <c r="AE190" s="206"/>
      <c r="AF190" s="202"/>
      <c r="AG190" s="207"/>
      <c r="AH190" s="202"/>
      <c r="AI190" s="207"/>
      <c r="AJ190" s="202"/>
      <c r="AK190" s="208"/>
      <c r="AL190" s="202"/>
      <c r="AM190" s="210">
        <f t="shared" si="14"/>
        <v>0</v>
      </c>
      <c r="AN190" s="202"/>
      <c r="AO190" s="207"/>
      <c r="AP190" s="202"/>
      <c r="AQ190" s="209"/>
      <c r="AR190" s="202"/>
      <c r="AS190" s="206"/>
      <c r="AT190" s="202"/>
      <c r="AU190" s="204"/>
      <c r="AV190" s="202"/>
      <c r="AW190" s="204"/>
      <c r="AX190" s="202"/>
      <c r="AY190" s="201"/>
      <c r="AZ190" s="202"/>
      <c r="BA190" s="210">
        <f t="shared" si="15"/>
        <v>0</v>
      </c>
      <c r="BB190" s="202"/>
      <c r="BC190" s="204"/>
      <c r="BD190" s="202"/>
      <c r="BE190" s="209"/>
      <c r="BF190" s="202"/>
      <c r="BG190" s="206"/>
      <c r="BH190" s="202"/>
      <c r="BI190" s="204"/>
      <c r="BJ190" s="202"/>
      <c r="BK190" s="204"/>
      <c r="BL190" s="202"/>
      <c r="BM190" s="201"/>
      <c r="BN190" s="202"/>
      <c r="BO190" s="203">
        <f t="shared" si="16"/>
        <v>0</v>
      </c>
      <c r="BP190" s="202"/>
      <c r="BQ190" s="138"/>
      <c r="BR190" s="128"/>
      <c r="BS190" s="128"/>
      <c r="BT190" s="128"/>
      <c r="BU190" s="128"/>
      <c r="BV190" s="128"/>
      <c r="BW190" s="139"/>
      <c r="BX190" s="140"/>
      <c r="BY190" s="139"/>
      <c r="BZ190" s="139"/>
      <c r="CA190" s="134"/>
      <c r="CB190" s="134"/>
      <c r="CC190" s="134"/>
      <c r="CD190" s="134"/>
      <c r="CE190" s="134"/>
      <c r="CF190" s="134"/>
      <c r="CG190" s="92"/>
      <c r="CH190" s="92"/>
      <c r="CI190" s="92"/>
      <c r="CJ190" s="92"/>
      <c r="CK190" s="92"/>
    </row>
    <row r="191" spans="1:89" ht="13.5">
      <c r="A191" s="142"/>
      <c r="B191" s="52"/>
      <c r="C191" s="52"/>
      <c r="D191" s="137">
        <f t="shared" si="28"/>
        <v>0</v>
      </c>
      <c r="E191" s="208"/>
      <c r="F191" s="202"/>
      <c r="G191" s="207"/>
      <c r="H191" s="202"/>
      <c r="I191" s="208"/>
      <c r="J191" s="202"/>
      <c r="K191" s="208">
        <f t="shared" si="12"/>
        <v>0</v>
      </c>
      <c r="L191" s="202"/>
      <c r="M191" s="207"/>
      <c r="N191" s="202"/>
      <c r="O191" s="209"/>
      <c r="P191" s="202"/>
      <c r="Q191" s="206"/>
      <c r="R191" s="202"/>
      <c r="S191" s="207"/>
      <c r="T191" s="202"/>
      <c r="U191" s="207"/>
      <c r="V191" s="202"/>
      <c r="W191" s="208"/>
      <c r="X191" s="202"/>
      <c r="Y191" s="210">
        <f t="shared" si="30"/>
        <v>0</v>
      </c>
      <c r="Z191" s="202"/>
      <c r="AA191" s="207"/>
      <c r="AB191" s="202"/>
      <c r="AC191" s="209"/>
      <c r="AD191" s="202"/>
      <c r="AE191" s="206"/>
      <c r="AF191" s="202"/>
      <c r="AG191" s="207"/>
      <c r="AH191" s="202"/>
      <c r="AI191" s="207"/>
      <c r="AJ191" s="202"/>
      <c r="AK191" s="208"/>
      <c r="AL191" s="202"/>
      <c r="AM191" s="210">
        <f t="shared" si="14"/>
        <v>0</v>
      </c>
      <c r="AN191" s="202"/>
      <c r="AO191" s="207"/>
      <c r="AP191" s="202"/>
      <c r="AQ191" s="209"/>
      <c r="AR191" s="202"/>
      <c r="AS191" s="206"/>
      <c r="AT191" s="202"/>
      <c r="AU191" s="204"/>
      <c r="AV191" s="202"/>
      <c r="AW191" s="204"/>
      <c r="AX191" s="202"/>
      <c r="AY191" s="201"/>
      <c r="AZ191" s="202"/>
      <c r="BA191" s="210">
        <f t="shared" si="15"/>
        <v>0</v>
      </c>
      <c r="BB191" s="202"/>
      <c r="BC191" s="204"/>
      <c r="BD191" s="202"/>
      <c r="BE191" s="209"/>
      <c r="BF191" s="202"/>
      <c r="BG191" s="206"/>
      <c r="BH191" s="202"/>
      <c r="BI191" s="204"/>
      <c r="BJ191" s="202"/>
      <c r="BK191" s="204"/>
      <c r="BL191" s="202"/>
      <c r="BM191" s="201"/>
      <c r="BN191" s="202"/>
      <c r="BO191" s="203">
        <f t="shared" si="16"/>
        <v>0</v>
      </c>
      <c r="BP191" s="202"/>
      <c r="BQ191" s="138"/>
      <c r="BR191" s="128"/>
      <c r="BS191" s="128"/>
      <c r="BT191" s="128"/>
      <c r="BU191" s="128"/>
      <c r="BV191" s="128"/>
      <c r="BW191" s="139"/>
      <c r="BX191" s="140"/>
      <c r="BY191" s="139"/>
      <c r="BZ191" s="139"/>
      <c r="CA191" s="134"/>
      <c r="CB191" s="134"/>
      <c r="CC191" s="134"/>
      <c r="CD191" s="134"/>
      <c r="CE191" s="134"/>
      <c r="CF191" s="134"/>
      <c r="CG191" s="92"/>
      <c r="CH191" s="92"/>
      <c r="CI191" s="92"/>
      <c r="CJ191" s="92"/>
      <c r="CK191" s="92"/>
    </row>
    <row r="192" spans="1:89" ht="13.5">
      <c r="A192" s="142"/>
      <c r="B192" s="52"/>
      <c r="C192" s="52"/>
      <c r="D192" s="137">
        <f t="shared" si="28"/>
        <v>0</v>
      </c>
      <c r="E192" s="208"/>
      <c r="F192" s="202"/>
      <c r="G192" s="207"/>
      <c r="H192" s="202"/>
      <c r="I192" s="208"/>
      <c r="J192" s="202"/>
      <c r="K192" s="208">
        <f t="shared" si="12"/>
        <v>0</v>
      </c>
      <c r="L192" s="202"/>
      <c r="M192" s="207"/>
      <c r="N192" s="202"/>
      <c r="O192" s="209"/>
      <c r="P192" s="202"/>
      <c r="Q192" s="206"/>
      <c r="R192" s="202"/>
      <c r="S192" s="207"/>
      <c r="T192" s="202"/>
      <c r="U192" s="207"/>
      <c r="V192" s="202"/>
      <c r="W192" s="208"/>
      <c r="X192" s="202"/>
      <c r="Y192" s="210">
        <f t="shared" si="30"/>
        <v>0</v>
      </c>
      <c r="Z192" s="202"/>
      <c r="AA192" s="207"/>
      <c r="AB192" s="202"/>
      <c r="AC192" s="209"/>
      <c r="AD192" s="202"/>
      <c r="AE192" s="206"/>
      <c r="AF192" s="202"/>
      <c r="AG192" s="207"/>
      <c r="AH192" s="202"/>
      <c r="AI192" s="207"/>
      <c r="AJ192" s="202"/>
      <c r="AK192" s="208"/>
      <c r="AL192" s="202"/>
      <c r="AM192" s="210">
        <f t="shared" si="14"/>
        <v>0</v>
      </c>
      <c r="AN192" s="202"/>
      <c r="AO192" s="207"/>
      <c r="AP192" s="202"/>
      <c r="AQ192" s="209"/>
      <c r="AR192" s="202"/>
      <c r="AS192" s="206"/>
      <c r="AT192" s="202"/>
      <c r="AU192" s="204"/>
      <c r="AV192" s="202"/>
      <c r="AW192" s="204"/>
      <c r="AX192" s="202"/>
      <c r="AY192" s="201"/>
      <c r="AZ192" s="202"/>
      <c r="BA192" s="210">
        <f t="shared" si="15"/>
        <v>0</v>
      </c>
      <c r="BB192" s="202"/>
      <c r="BC192" s="204"/>
      <c r="BD192" s="202"/>
      <c r="BE192" s="209"/>
      <c r="BF192" s="202"/>
      <c r="BG192" s="206"/>
      <c r="BH192" s="202"/>
      <c r="BI192" s="204"/>
      <c r="BJ192" s="202"/>
      <c r="BK192" s="204"/>
      <c r="BL192" s="202"/>
      <c r="BM192" s="201"/>
      <c r="BN192" s="202"/>
      <c r="BO192" s="203">
        <f t="shared" si="16"/>
        <v>0</v>
      </c>
      <c r="BP192" s="202"/>
      <c r="BQ192" s="138"/>
      <c r="BR192" s="128"/>
      <c r="BS192" s="128"/>
      <c r="BT192" s="128"/>
      <c r="BU192" s="128"/>
      <c r="BV192" s="128"/>
      <c r="BW192" s="139"/>
      <c r="BX192" s="140"/>
      <c r="BY192" s="139"/>
      <c r="BZ192" s="139"/>
      <c r="CA192" s="134"/>
      <c r="CB192" s="134"/>
      <c r="CC192" s="134"/>
      <c r="CD192" s="134"/>
      <c r="CE192" s="134"/>
      <c r="CF192" s="134"/>
      <c r="CG192" s="92"/>
      <c r="CH192" s="92"/>
      <c r="CI192" s="92"/>
      <c r="CJ192" s="92"/>
      <c r="CK192" s="92"/>
    </row>
    <row r="193" spans="1:89" ht="13.5">
      <c r="A193" s="142"/>
      <c r="B193" s="52"/>
      <c r="C193" s="52"/>
      <c r="D193" s="137">
        <f t="shared" si="28"/>
        <v>0</v>
      </c>
      <c r="E193" s="208"/>
      <c r="F193" s="202"/>
      <c r="G193" s="207"/>
      <c r="H193" s="202"/>
      <c r="I193" s="208"/>
      <c r="J193" s="202"/>
      <c r="K193" s="208">
        <f t="shared" si="12"/>
        <v>0</v>
      </c>
      <c r="L193" s="202"/>
      <c r="M193" s="207"/>
      <c r="N193" s="202"/>
      <c r="O193" s="209"/>
      <c r="P193" s="202"/>
      <c r="Q193" s="206"/>
      <c r="R193" s="202"/>
      <c r="S193" s="207"/>
      <c r="T193" s="202"/>
      <c r="U193" s="207"/>
      <c r="V193" s="202"/>
      <c r="W193" s="208"/>
      <c r="X193" s="202"/>
      <c r="Y193" s="210">
        <f t="shared" si="30"/>
        <v>0</v>
      </c>
      <c r="Z193" s="202"/>
      <c r="AA193" s="207"/>
      <c r="AB193" s="202"/>
      <c r="AC193" s="209"/>
      <c r="AD193" s="202"/>
      <c r="AE193" s="206"/>
      <c r="AF193" s="202"/>
      <c r="AG193" s="207"/>
      <c r="AH193" s="202"/>
      <c r="AI193" s="207"/>
      <c r="AJ193" s="202"/>
      <c r="AK193" s="208"/>
      <c r="AL193" s="202"/>
      <c r="AM193" s="210">
        <f t="shared" si="14"/>
        <v>0</v>
      </c>
      <c r="AN193" s="202"/>
      <c r="AO193" s="207"/>
      <c r="AP193" s="202"/>
      <c r="AQ193" s="209"/>
      <c r="AR193" s="202"/>
      <c r="AS193" s="206"/>
      <c r="AT193" s="202"/>
      <c r="AU193" s="204"/>
      <c r="AV193" s="202"/>
      <c r="AW193" s="204"/>
      <c r="AX193" s="202"/>
      <c r="AY193" s="201"/>
      <c r="AZ193" s="202"/>
      <c r="BA193" s="210">
        <f t="shared" si="15"/>
        <v>0</v>
      </c>
      <c r="BB193" s="202"/>
      <c r="BC193" s="204"/>
      <c r="BD193" s="202"/>
      <c r="BE193" s="209"/>
      <c r="BF193" s="202"/>
      <c r="BG193" s="206"/>
      <c r="BH193" s="202"/>
      <c r="BI193" s="204"/>
      <c r="BJ193" s="202"/>
      <c r="BK193" s="204"/>
      <c r="BL193" s="202"/>
      <c r="BM193" s="201"/>
      <c r="BN193" s="202"/>
      <c r="BO193" s="203">
        <f t="shared" si="16"/>
        <v>0</v>
      </c>
      <c r="BP193" s="202"/>
      <c r="BQ193" s="138"/>
      <c r="BR193" s="128"/>
      <c r="BS193" s="128"/>
      <c r="BT193" s="128"/>
      <c r="BU193" s="128"/>
      <c r="BV193" s="128"/>
      <c r="BW193" s="139"/>
      <c r="BX193" s="140"/>
      <c r="BY193" s="139"/>
      <c r="BZ193" s="139"/>
      <c r="CA193" s="134"/>
      <c r="CB193" s="134"/>
      <c r="CC193" s="134"/>
      <c r="CD193" s="134"/>
      <c r="CE193" s="134"/>
      <c r="CF193" s="134"/>
      <c r="CG193" s="92"/>
      <c r="CH193" s="92"/>
      <c r="CI193" s="92"/>
      <c r="CJ193" s="92"/>
      <c r="CK193" s="92"/>
    </row>
    <row r="194" spans="1:89" ht="13.5">
      <c r="A194" s="142"/>
      <c r="B194" s="52"/>
      <c r="C194" s="52"/>
      <c r="D194" s="137">
        <f t="shared" si="28"/>
        <v>0</v>
      </c>
      <c r="E194" s="208"/>
      <c r="F194" s="202"/>
      <c r="G194" s="207"/>
      <c r="H194" s="202"/>
      <c r="I194" s="208"/>
      <c r="J194" s="202"/>
      <c r="K194" s="208">
        <f t="shared" si="12"/>
        <v>0</v>
      </c>
      <c r="L194" s="202"/>
      <c r="M194" s="207"/>
      <c r="N194" s="202"/>
      <c r="O194" s="209"/>
      <c r="P194" s="202"/>
      <c r="Q194" s="206"/>
      <c r="R194" s="202"/>
      <c r="S194" s="207"/>
      <c r="T194" s="202"/>
      <c r="U194" s="207"/>
      <c r="V194" s="202"/>
      <c r="W194" s="208"/>
      <c r="X194" s="202"/>
      <c r="Y194" s="210">
        <f t="shared" si="30"/>
        <v>0</v>
      </c>
      <c r="Z194" s="202"/>
      <c r="AA194" s="207"/>
      <c r="AB194" s="202"/>
      <c r="AC194" s="209"/>
      <c r="AD194" s="202"/>
      <c r="AE194" s="206"/>
      <c r="AF194" s="202"/>
      <c r="AG194" s="207"/>
      <c r="AH194" s="202"/>
      <c r="AI194" s="207"/>
      <c r="AJ194" s="202"/>
      <c r="AK194" s="208"/>
      <c r="AL194" s="202"/>
      <c r="AM194" s="210">
        <f t="shared" si="14"/>
        <v>0</v>
      </c>
      <c r="AN194" s="202"/>
      <c r="AO194" s="207"/>
      <c r="AP194" s="202"/>
      <c r="AQ194" s="209"/>
      <c r="AR194" s="202"/>
      <c r="AS194" s="206"/>
      <c r="AT194" s="202"/>
      <c r="AU194" s="204"/>
      <c r="AV194" s="202"/>
      <c r="AW194" s="204"/>
      <c r="AX194" s="202"/>
      <c r="AY194" s="201"/>
      <c r="AZ194" s="202"/>
      <c r="BA194" s="210">
        <f t="shared" si="15"/>
        <v>0</v>
      </c>
      <c r="BB194" s="202"/>
      <c r="BC194" s="204"/>
      <c r="BD194" s="202"/>
      <c r="BE194" s="209"/>
      <c r="BF194" s="202"/>
      <c r="BG194" s="206"/>
      <c r="BH194" s="202"/>
      <c r="BI194" s="204"/>
      <c r="BJ194" s="202"/>
      <c r="BK194" s="204"/>
      <c r="BL194" s="202"/>
      <c r="BM194" s="201"/>
      <c r="BN194" s="202"/>
      <c r="BO194" s="203">
        <f t="shared" si="16"/>
        <v>0</v>
      </c>
      <c r="BP194" s="202"/>
      <c r="BQ194" s="138"/>
      <c r="BR194" s="128"/>
      <c r="BS194" s="128"/>
      <c r="BT194" s="128"/>
      <c r="BU194" s="128"/>
      <c r="BV194" s="128"/>
      <c r="BW194" s="139"/>
      <c r="BX194" s="140"/>
      <c r="BY194" s="139"/>
      <c r="BZ194" s="139"/>
      <c r="CA194" s="134"/>
      <c r="CB194" s="134"/>
      <c r="CC194" s="134"/>
      <c r="CD194" s="134"/>
      <c r="CE194" s="134"/>
      <c r="CF194" s="134"/>
      <c r="CG194" s="92"/>
      <c r="CH194" s="92"/>
      <c r="CI194" s="92"/>
      <c r="CJ194" s="92"/>
      <c r="CK194" s="92"/>
    </row>
    <row r="195" spans="1:89" ht="13.5">
      <c r="A195" s="142"/>
      <c r="B195" s="52"/>
      <c r="C195" s="52"/>
      <c r="D195" s="137">
        <f t="shared" si="28"/>
        <v>0</v>
      </c>
      <c r="E195" s="208"/>
      <c r="F195" s="202"/>
      <c r="G195" s="207"/>
      <c r="H195" s="202"/>
      <c r="I195" s="208"/>
      <c r="J195" s="202"/>
      <c r="K195" s="208">
        <f t="shared" si="12"/>
        <v>0</v>
      </c>
      <c r="L195" s="202"/>
      <c r="M195" s="207"/>
      <c r="N195" s="202"/>
      <c r="O195" s="209"/>
      <c r="P195" s="202"/>
      <c r="Q195" s="206"/>
      <c r="R195" s="202"/>
      <c r="S195" s="207"/>
      <c r="T195" s="202"/>
      <c r="U195" s="207"/>
      <c r="V195" s="202"/>
      <c r="W195" s="208"/>
      <c r="X195" s="202"/>
      <c r="Y195" s="210">
        <f t="shared" si="30"/>
        <v>0</v>
      </c>
      <c r="Z195" s="202"/>
      <c r="AA195" s="207"/>
      <c r="AB195" s="202"/>
      <c r="AC195" s="209"/>
      <c r="AD195" s="202"/>
      <c r="AE195" s="206"/>
      <c r="AF195" s="202"/>
      <c r="AG195" s="207"/>
      <c r="AH195" s="202"/>
      <c r="AI195" s="207"/>
      <c r="AJ195" s="202"/>
      <c r="AK195" s="208"/>
      <c r="AL195" s="202"/>
      <c r="AM195" s="210">
        <f t="shared" si="14"/>
        <v>0</v>
      </c>
      <c r="AN195" s="202"/>
      <c r="AO195" s="207"/>
      <c r="AP195" s="202"/>
      <c r="AQ195" s="209"/>
      <c r="AR195" s="202"/>
      <c r="AS195" s="206"/>
      <c r="AT195" s="202"/>
      <c r="AU195" s="204"/>
      <c r="AV195" s="202"/>
      <c r="AW195" s="204"/>
      <c r="AX195" s="202"/>
      <c r="AY195" s="201"/>
      <c r="AZ195" s="202"/>
      <c r="BA195" s="210">
        <f t="shared" si="15"/>
        <v>0</v>
      </c>
      <c r="BB195" s="202"/>
      <c r="BC195" s="204"/>
      <c r="BD195" s="202"/>
      <c r="BE195" s="209"/>
      <c r="BF195" s="202"/>
      <c r="BG195" s="206"/>
      <c r="BH195" s="202"/>
      <c r="BI195" s="204"/>
      <c r="BJ195" s="202"/>
      <c r="BK195" s="204"/>
      <c r="BL195" s="202"/>
      <c r="BM195" s="201"/>
      <c r="BN195" s="202"/>
      <c r="BO195" s="203">
        <f t="shared" si="16"/>
        <v>0</v>
      </c>
      <c r="BP195" s="202"/>
      <c r="BQ195" s="138"/>
      <c r="BR195" s="128"/>
      <c r="BS195" s="128"/>
      <c r="BT195" s="128"/>
      <c r="BU195" s="128"/>
      <c r="BV195" s="128"/>
      <c r="BW195" s="139"/>
      <c r="BX195" s="140"/>
      <c r="BY195" s="139"/>
      <c r="BZ195" s="139"/>
      <c r="CA195" s="134"/>
      <c r="CB195" s="134"/>
      <c r="CC195" s="134"/>
      <c r="CD195" s="134"/>
      <c r="CE195" s="134"/>
      <c r="CF195" s="134"/>
      <c r="CG195" s="92"/>
      <c r="CH195" s="92"/>
      <c r="CI195" s="92"/>
      <c r="CJ195" s="92"/>
      <c r="CK195" s="92"/>
    </row>
    <row r="196" spans="1:89" ht="13.5">
      <c r="A196" s="142"/>
      <c r="B196" s="52"/>
      <c r="C196" s="52"/>
      <c r="D196" s="137">
        <f t="shared" si="28"/>
        <v>0</v>
      </c>
      <c r="E196" s="208"/>
      <c r="F196" s="202"/>
      <c r="G196" s="207"/>
      <c r="H196" s="202"/>
      <c r="I196" s="208"/>
      <c r="J196" s="202"/>
      <c r="K196" s="208">
        <f t="shared" si="12"/>
        <v>0</v>
      </c>
      <c r="L196" s="202"/>
      <c r="M196" s="207"/>
      <c r="N196" s="202"/>
      <c r="O196" s="209"/>
      <c r="P196" s="202"/>
      <c r="Q196" s="206"/>
      <c r="R196" s="202"/>
      <c r="S196" s="207"/>
      <c r="T196" s="202"/>
      <c r="U196" s="207"/>
      <c r="V196" s="202"/>
      <c r="W196" s="208"/>
      <c r="X196" s="202"/>
      <c r="Y196" s="210">
        <f t="shared" si="30"/>
        <v>0</v>
      </c>
      <c r="Z196" s="202"/>
      <c r="AA196" s="207"/>
      <c r="AB196" s="202"/>
      <c r="AC196" s="209"/>
      <c r="AD196" s="202"/>
      <c r="AE196" s="206"/>
      <c r="AF196" s="202"/>
      <c r="AG196" s="207"/>
      <c r="AH196" s="202"/>
      <c r="AI196" s="207"/>
      <c r="AJ196" s="202"/>
      <c r="AK196" s="208"/>
      <c r="AL196" s="202"/>
      <c r="AM196" s="210">
        <f t="shared" si="14"/>
        <v>0</v>
      </c>
      <c r="AN196" s="202"/>
      <c r="AO196" s="207"/>
      <c r="AP196" s="202"/>
      <c r="AQ196" s="209"/>
      <c r="AR196" s="202"/>
      <c r="AS196" s="206"/>
      <c r="AT196" s="202"/>
      <c r="AU196" s="204"/>
      <c r="AV196" s="202"/>
      <c r="AW196" s="204"/>
      <c r="AX196" s="202"/>
      <c r="AY196" s="201"/>
      <c r="AZ196" s="202"/>
      <c r="BA196" s="210">
        <f t="shared" si="15"/>
        <v>0</v>
      </c>
      <c r="BB196" s="202"/>
      <c r="BC196" s="204"/>
      <c r="BD196" s="202"/>
      <c r="BE196" s="209"/>
      <c r="BF196" s="202"/>
      <c r="BG196" s="206"/>
      <c r="BH196" s="202"/>
      <c r="BI196" s="204"/>
      <c r="BJ196" s="202"/>
      <c r="BK196" s="204"/>
      <c r="BL196" s="202"/>
      <c r="BM196" s="201"/>
      <c r="BN196" s="202"/>
      <c r="BO196" s="203">
        <f t="shared" si="16"/>
        <v>0</v>
      </c>
      <c r="BP196" s="202"/>
      <c r="BQ196" s="138"/>
      <c r="BR196" s="128"/>
      <c r="BS196" s="128"/>
      <c r="BT196" s="128"/>
      <c r="BU196" s="128"/>
      <c r="BV196" s="128"/>
      <c r="BW196" s="139"/>
      <c r="BX196" s="140"/>
      <c r="BY196" s="139"/>
      <c r="BZ196" s="139"/>
      <c r="CA196" s="134"/>
      <c r="CB196" s="134"/>
      <c r="CC196" s="134"/>
      <c r="CD196" s="134"/>
      <c r="CE196" s="134"/>
      <c r="CF196" s="134"/>
      <c r="CG196" s="92"/>
      <c r="CH196" s="92"/>
      <c r="CI196" s="92"/>
      <c r="CJ196" s="92"/>
      <c r="CK196" s="92"/>
    </row>
    <row r="197" spans="1:89" ht="13.5">
      <c r="A197" s="142"/>
      <c r="B197" s="52"/>
      <c r="C197" s="52"/>
      <c r="D197" s="137">
        <f t="shared" si="28"/>
        <v>0</v>
      </c>
      <c r="E197" s="208"/>
      <c r="F197" s="202"/>
      <c r="G197" s="207"/>
      <c r="H197" s="202"/>
      <c r="I197" s="208"/>
      <c r="J197" s="202"/>
      <c r="K197" s="208">
        <f t="shared" si="12"/>
        <v>0</v>
      </c>
      <c r="L197" s="202"/>
      <c r="M197" s="207"/>
      <c r="N197" s="202"/>
      <c r="O197" s="209"/>
      <c r="P197" s="202"/>
      <c r="Q197" s="206"/>
      <c r="R197" s="202"/>
      <c r="S197" s="207"/>
      <c r="T197" s="202"/>
      <c r="U197" s="207"/>
      <c r="V197" s="202"/>
      <c r="W197" s="208"/>
      <c r="X197" s="202"/>
      <c r="Y197" s="210">
        <f t="shared" si="30"/>
        <v>0</v>
      </c>
      <c r="Z197" s="202"/>
      <c r="AA197" s="207"/>
      <c r="AB197" s="202"/>
      <c r="AC197" s="209"/>
      <c r="AD197" s="202"/>
      <c r="AE197" s="206"/>
      <c r="AF197" s="202"/>
      <c r="AG197" s="207"/>
      <c r="AH197" s="202"/>
      <c r="AI197" s="207"/>
      <c r="AJ197" s="202"/>
      <c r="AK197" s="208"/>
      <c r="AL197" s="202"/>
      <c r="AM197" s="210">
        <f t="shared" si="14"/>
        <v>0</v>
      </c>
      <c r="AN197" s="202"/>
      <c r="AO197" s="207"/>
      <c r="AP197" s="202"/>
      <c r="AQ197" s="209"/>
      <c r="AR197" s="202"/>
      <c r="AS197" s="206"/>
      <c r="AT197" s="202"/>
      <c r="AU197" s="204"/>
      <c r="AV197" s="202"/>
      <c r="AW197" s="204"/>
      <c r="AX197" s="202"/>
      <c r="AY197" s="201"/>
      <c r="AZ197" s="202"/>
      <c r="BA197" s="210">
        <f t="shared" si="15"/>
        <v>0</v>
      </c>
      <c r="BB197" s="202"/>
      <c r="BC197" s="204"/>
      <c r="BD197" s="202"/>
      <c r="BE197" s="209"/>
      <c r="BF197" s="202"/>
      <c r="BG197" s="206"/>
      <c r="BH197" s="202"/>
      <c r="BI197" s="204"/>
      <c r="BJ197" s="202"/>
      <c r="BK197" s="204"/>
      <c r="BL197" s="202"/>
      <c r="BM197" s="201"/>
      <c r="BN197" s="202"/>
      <c r="BO197" s="203">
        <f t="shared" si="16"/>
        <v>0</v>
      </c>
      <c r="BP197" s="202"/>
      <c r="BQ197" s="138"/>
      <c r="BR197" s="128"/>
      <c r="BS197" s="128"/>
      <c r="BT197" s="128"/>
      <c r="BU197" s="128"/>
      <c r="BV197" s="128"/>
      <c r="BW197" s="139"/>
      <c r="BX197" s="140"/>
      <c r="BY197" s="139"/>
      <c r="BZ197" s="139"/>
      <c r="CA197" s="134"/>
      <c r="CB197" s="134"/>
      <c r="CC197" s="134"/>
      <c r="CD197" s="134"/>
      <c r="CE197" s="134"/>
      <c r="CF197" s="134"/>
      <c r="CG197" s="92"/>
      <c r="CH197" s="92"/>
      <c r="CI197" s="92"/>
      <c r="CJ197" s="92"/>
      <c r="CK197" s="92"/>
    </row>
    <row r="198" spans="1:89" ht="13.5">
      <c r="A198" s="142"/>
      <c r="B198" s="52"/>
      <c r="C198" s="52"/>
      <c r="D198" s="137">
        <f t="shared" si="28"/>
        <v>0</v>
      </c>
      <c r="E198" s="208"/>
      <c r="F198" s="202"/>
      <c r="G198" s="207"/>
      <c r="H198" s="202"/>
      <c r="I198" s="208"/>
      <c r="J198" s="202"/>
      <c r="K198" s="208">
        <f t="shared" si="12"/>
        <v>0</v>
      </c>
      <c r="L198" s="202"/>
      <c r="M198" s="207"/>
      <c r="N198" s="202"/>
      <c r="O198" s="209"/>
      <c r="P198" s="202"/>
      <c r="Q198" s="206"/>
      <c r="R198" s="202"/>
      <c r="S198" s="207"/>
      <c r="T198" s="202"/>
      <c r="U198" s="207"/>
      <c r="V198" s="202"/>
      <c r="W198" s="208"/>
      <c r="X198" s="202"/>
      <c r="Y198" s="210">
        <f t="shared" si="30"/>
        <v>0</v>
      </c>
      <c r="Z198" s="202"/>
      <c r="AA198" s="207"/>
      <c r="AB198" s="202"/>
      <c r="AC198" s="209"/>
      <c r="AD198" s="202"/>
      <c r="AE198" s="206"/>
      <c r="AF198" s="202"/>
      <c r="AG198" s="207"/>
      <c r="AH198" s="202"/>
      <c r="AI198" s="207"/>
      <c r="AJ198" s="202"/>
      <c r="AK198" s="208"/>
      <c r="AL198" s="202"/>
      <c r="AM198" s="210">
        <f t="shared" si="14"/>
        <v>0</v>
      </c>
      <c r="AN198" s="202"/>
      <c r="AO198" s="207"/>
      <c r="AP198" s="202"/>
      <c r="AQ198" s="209"/>
      <c r="AR198" s="202"/>
      <c r="AS198" s="206"/>
      <c r="AT198" s="202"/>
      <c r="AU198" s="204"/>
      <c r="AV198" s="202"/>
      <c r="AW198" s="204"/>
      <c r="AX198" s="202"/>
      <c r="AY198" s="201"/>
      <c r="AZ198" s="202"/>
      <c r="BA198" s="210">
        <f t="shared" si="15"/>
        <v>0</v>
      </c>
      <c r="BB198" s="202"/>
      <c r="BC198" s="204"/>
      <c r="BD198" s="202"/>
      <c r="BE198" s="209"/>
      <c r="BF198" s="202"/>
      <c r="BG198" s="206"/>
      <c r="BH198" s="202"/>
      <c r="BI198" s="204"/>
      <c r="BJ198" s="202"/>
      <c r="BK198" s="204"/>
      <c r="BL198" s="202"/>
      <c r="BM198" s="201"/>
      <c r="BN198" s="202"/>
      <c r="BO198" s="203">
        <f t="shared" si="16"/>
        <v>0</v>
      </c>
      <c r="BP198" s="202"/>
      <c r="BQ198" s="138"/>
      <c r="BR198" s="128"/>
      <c r="BS198" s="128"/>
      <c r="BT198" s="128"/>
      <c r="BU198" s="128"/>
      <c r="BV198" s="128"/>
      <c r="BW198" s="139"/>
      <c r="BX198" s="140"/>
      <c r="BY198" s="139"/>
      <c r="BZ198" s="139"/>
      <c r="CA198" s="134"/>
      <c r="CB198" s="134"/>
      <c r="CC198" s="134"/>
      <c r="CD198" s="134"/>
      <c r="CE198" s="134"/>
      <c r="CF198" s="134"/>
      <c r="CG198" s="92"/>
      <c r="CH198" s="92"/>
      <c r="CI198" s="92"/>
      <c r="CJ198" s="92"/>
      <c r="CK198" s="92"/>
    </row>
    <row r="199" spans="1:89" ht="13.5">
      <c r="A199" s="142"/>
      <c r="B199" s="52"/>
      <c r="C199" s="52"/>
      <c r="D199" s="137">
        <f t="shared" si="28"/>
        <v>0</v>
      </c>
      <c r="E199" s="208"/>
      <c r="F199" s="202"/>
      <c r="G199" s="207"/>
      <c r="H199" s="202"/>
      <c r="I199" s="208"/>
      <c r="J199" s="202"/>
      <c r="K199" s="208">
        <f t="shared" si="12"/>
        <v>0</v>
      </c>
      <c r="L199" s="202"/>
      <c r="M199" s="207"/>
      <c r="N199" s="202"/>
      <c r="O199" s="209"/>
      <c r="P199" s="202"/>
      <c r="Q199" s="206"/>
      <c r="R199" s="202"/>
      <c r="S199" s="207"/>
      <c r="T199" s="202"/>
      <c r="U199" s="207"/>
      <c r="V199" s="202"/>
      <c r="W199" s="208"/>
      <c r="X199" s="202"/>
      <c r="Y199" s="210">
        <f t="shared" si="30"/>
        <v>0</v>
      </c>
      <c r="Z199" s="202"/>
      <c r="AA199" s="207"/>
      <c r="AB199" s="202"/>
      <c r="AC199" s="209"/>
      <c r="AD199" s="202"/>
      <c r="AE199" s="206"/>
      <c r="AF199" s="202"/>
      <c r="AG199" s="207"/>
      <c r="AH199" s="202"/>
      <c r="AI199" s="207"/>
      <c r="AJ199" s="202"/>
      <c r="AK199" s="208"/>
      <c r="AL199" s="202"/>
      <c r="AM199" s="210">
        <f t="shared" si="14"/>
        <v>0</v>
      </c>
      <c r="AN199" s="202"/>
      <c r="AO199" s="207"/>
      <c r="AP199" s="202"/>
      <c r="AQ199" s="209"/>
      <c r="AR199" s="202"/>
      <c r="AS199" s="206"/>
      <c r="AT199" s="202"/>
      <c r="AU199" s="204"/>
      <c r="AV199" s="202"/>
      <c r="AW199" s="204"/>
      <c r="AX199" s="202"/>
      <c r="AY199" s="201"/>
      <c r="AZ199" s="202"/>
      <c r="BA199" s="210">
        <f t="shared" si="15"/>
        <v>0</v>
      </c>
      <c r="BB199" s="202"/>
      <c r="BC199" s="204"/>
      <c r="BD199" s="202"/>
      <c r="BE199" s="209"/>
      <c r="BF199" s="202"/>
      <c r="BG199" s="206"/>
      <c r="BH199" s="202"/>
      <c r="BI199" s="204"/>
      <c r="BJ199" s="202"/>
      <c r="BK199" s="204"/>
      <c r="BL199" s="202"/>
      <c r="BM199" s="201"/>
      <c r="BN199" s="202"/>
      <c r="BO199" s="203">
        <f t="shared" si="16"/>
        <v>0</v>
      </c>
      <c r="BP199" s="202"/>
      <c r="BQ199" s="138"/>
      <c r="BR199" s="128"/>
      <c r="BS199" s="128"/>
      <c r="BT199" s="128"/>
      <c r="BU199" s="128"/>
      <c r="BV199" s="128"/>
      <c r="BW199" s="139"/>
      <c r="BX199" s="140"/>
      <c r="BY199" s="139"/>
      <c r="BZ199" s="139"/>
      <c r="CA199" s="134"/>
      <c r="CB199" s="134"/>
      <c r="CC199" s="134"/>
      <c r="CD199" s="134"/>
      <c r="CE199" s="134"/>
      <c r="CF199" s="134"/>
      <c r="CG199" s="92"/>
      <c r="CH199" s="92"/>
      <c r="CI199" s="92"/>
      <c r="CJ199" s="92"/>
      <c r="CK199" s="92"/>
    </row>
    <row r="200" spans="1:89" ht="13.5">
      <c r="A200" s="142"/>
      <c r="B200" s="52"/>
      <c r="C200" s="52"/>
      <c r="D200" s="137">
        <f t="shared" si="28"/>
        <v>0</v>
      </c>
      <c r="E200" s="208"/>
      <c r="F200" s="202"/>
      <c r="G200" s="207"/>
      <c r="H200" s="202"/>
      <c r="I200" s="208"/>
      <c r="J200" s="202"/>
      <c r="K200" s="208">
        <f t="shared" si="12"/>
        <v>0</v>
      </c>
      <c r="L200" s="202"/>
      <c r="M200" s="207"/>
      <c r="N200" s="202"/>
      <c r="O200" s="209"/>
      <c r="P200" s="202"/>
      <c r="Q200" s="206"/>
      <c r="R200" s="202"/>
      <c r="S200" s="207"/>
      <c r="T200" s="202"/>
      <c r="U200" s="207"/>
      <c r="V200" s="202"/>
      <c r="W200" s="208"/>
      <c r="X200" s="202"/>
      <c r="Y200" s="210">
        <f t="shared" si="30"/>
        <v>0</v>
      </c>
      <c r="Z200" s="202"/>
      <c r="AA200" s="207"/>
      <c r="AB200" s="202"/>
      <c r="AC200" s="209"/>
      <c r="AD200" s="202"/>
      <c r="AE200" s="206"/>
      <c r="AF200" s="202"/>
      <c r="AG200" s="207"/>
      <c r="AH200" s="202"/>
      <c r="AI200" s="207"/>
      <c r="AJ200" s="202"/>
      <c r="AK200" s="208"/>
      <c r="AL200" s="202"/>
      <c r="AM200" s="210">
        <f t="shared" si="14"/>
        <v>0</v>
      </c>
      <c r="AN200" s="202"/>
      <c r="AO200" s="207"/>
      <c r="AP200" s="202"/>
      <c r="AQ200" s="209"/>
      <c r="AR200" s="202"/>
      <c r="AS200" s="206"/>
      <c r="AT200" s="202"/>
      <c r="AU200" s="204"/>
      <c r="AV200" s="202"/>
      <c r="AW200" s="204"/>
      <c r="AX200" s="202"/>
      <c r="AY200" s="201"/>
      <c r="AZ200" s="202"/>
      <c r="BA200" s="210">
        <f t="shared" si="15"/>
        <v>0</v>
      </c>
      <c r="BB200" s="202"/>
      <c r="BC200" s="204"/>
      <c r="BD200" s="202"/>
      <c r="BE200" s="209"/>
      <c r="BF200" s="202"/>
      <c r="BG200" s="206"/>
      <c r="BH200" s="202"/>
      <c r="BI200" s="204"/>
      <c r="BJ200" s="202"/>
      <c r="BK200" s="204"/>
      <c r="BL200" s="202"/>
      <c r="BM200" s="201"/>
      <c r="BN200" s="202"/>
      <c r="BO200" s="203">
        <f t="shared" si="16"/>
        <v>0</v>
      </c>
      <c r="BP200" s="202"/>
      <c r="BQ200" s="138"/>
      <c r="BR200" s="128"/>
      <c r="BS200" s="128"/>
      <c r="BT200" s="128"/>
      <c r="BU200" s="128"/>
      <c r="BV200" s="128"/>
      <c r="BW200" s="139"/>
      <c r="BX200" s="140"/>
      <c r="BY200" s="139"/>
      <c r="BZ200" s="139"/>
      <c r="CA200" s="134"/>
      <c r="CB200" s="134"/>
      <c r="CC200" s="134"/>
      <c r="CD200" s="134"/>
      <c r="CE200" s="134"/>
      <c r="CF200" s="134"/>
      <c r="CG200" s="92"/>
      <c r="CH200" s="92"/>
      <c r="CI200" s="92"/>
      <c r="CJ200" s="92"/>
      <c r="CK200" s="92"/>
    </row>
    <row r="201" spans="1:89" ht="13.5">
      <c r="A201" s="142"/>
      <c r="B201" s="52"/>
      <c r="C201" s="52"/>
      <c r="D201" s="137">
        <f t="shared" si="28"/>
        <v>0</v>
      </c>
      <c r="E201" s="208"/>
      <c r="F201" s="202"/>
      <c r="G201" s="207"/>
      <c r="H201" s="202"/>
      <c r="I201" s="208"/>
      <c r="J201" s="202"/>
      <c r="K201" s="208">
        <f t="shared" si="12"/>
        <v>0</v>
      </c>
      <c r="L201" s="202"/>
      <c r="M201" s="207"/>
      <c r="N201" s="202"/>
      <c r="O201" s="209"/>
      <c r="P201" s="202"/>
      <c r="Q201" s="206"/>
      <c r="R201" s="202"/>
      <c r="S201" s="207"/>
      <c r="T201" s="202"/>
      <c r="U201" s="207"/>
      <c r="V201" s="202"/>
      <c r="W201" s="208"/>
      <c r="X201" s="202"/>
      <c r="Y201" s="210">
        <f t="shared" si="30"/>
        <v>0</v>
      </c>
      <c r="Z201" s="202"/>
      <c r="AA201" s="207"/>
      <c r="AB201" s="202"/>
      <c r="AC201" s="209"/>
      <c r="AD201" s="202"/>
      <c r="AE201" s="206"/>
      <c r="AF201" s="202"/>
      <c r="AG201" s="207"/>
      <c r="AH201" s="202"/>
      <c r="AI201" s="207"/>
      <c r="AJ201" s="202"/>
      <c r="AK201" s="208"/>
      <c r="AL201" s="202"/>
      <c r="AM201" s="210">
        <f t="shared" si="14"/>
        <v>0</v>
      </c>
      <c r="AN201" s="202"/>
      <c r="AO201" s="207"/>
      <c r="AP201" s="202"/>
      <c r="AQ201" s="209"/>
      <c r="AR201" s="202"/>
      <c r="AS201" s="206"/>
      <c r="AT201" s="202"/>
      <c r="AU201" s="204"/>
      <c r="AV201" s="202"/>
      <c r="AW201" s="204"/>
      <c r="AX201" s="202"/>
      <c r="AY201" s="201"/>
      <c r="AZ201" s="202"/>
      <c r="BA201" s="210">
        <f t="shared" si="15"/>
        <v>0</v>
      </c>
      <c r="BB201" s="202"/>
      <c r="BC201" s="204"/>
      <c r="BD201" s="202"/>
      <c r="BE201" s="209"/>
      <c r="BF201" s="202"/>
      <c r="BG201" s="206"/>
      <c r="BH201" s="202"/>
      <c r="BI201" s="204"/>
      <c r="BJ201" s="202"/>
      <c r="BK201" s="204"/>
      <c r="BL201" s="202"/>
      <c r="BM201" s="201"/>
      <c r="BN201" s="202"/>
      <c r="BO201" s="203">
        <f t="shared" si="16"/>
        <v>0</v>
      </c>
      <c r="BP201" s="202"/>
      <c r="BQ201" s="138"/>
      <c r="BR201" s="128"/>
      <c r="BS201" s="128"/>
      <c r="BT201" s="128"/>
      <c r="BU201" s="128"/>
      <c r="BV201" s="128"/>
      <c r="BW201" s="139"/>
      <c r="BX201" s="140"/>
      <c r="BY201" s="139"/>
      <c r="BZ201" s="139"/>
      <c r="CA201" s="134"/>
      <c r="CB201" s="134"/>
      <c r="CC201" s="134"/>
      <c r="CD201" s="134"/>
      <c r="CE201" s="134"/>
      <c r="CF201" s="134"/>
      <c r="CG201" s="92"/>
      <c r="CH201" s="92"/>
      <c r="CI201" s="92"/>
      <c r="CJ201" s="92"/>
      <c r="CK201" s="92"/>
    </row>
    <row r="202" spans="1:89" ht="13.5">
      <c r="A202" s="142"/>
      <c r="B202" s="52"/>
      <c r="C202" s="52"/>
      <c r="D202" s="137">
        <f t="shared" si="28"/>
        <v>0</v>
      </c>
      <c r="E202" s="208"/>
      <c r="F202" s="202"/>
      <c r="G202" s="207"/>
      <c r="H202" s="202"/>
      <c r="I202" s="208"/>
      <c r="J202" s="202"/>
      <c r="K202" s="208">
        <f t="shared" si="12"/>
        <v>0</v>
      </c>
      <c r="L202" s="202"/>
      <c r="M202" s="207"/>
      <c r="N202" s="202"/>
      <c r="O202" s="209"/>
      <c r="P202" s="202"/>
      <c r="Q202" s="206"/>
      <c r="R202" s="202"/>
      <c r="S202" s="207"/>
      <c r="T202" s="202"/>
      <c r="U202" s="207"/>
      <c r="V202" s="202"/>
      <c r="W202" s="208"/>
      <c r="X202" s="202"/>
      <c r="Y202" s="210">
        <f t="shared" si="30"/>
        <v>0</v>
      </c>
      <c r="Z202" s="202"/>
      <c r="AA202" s="207"/>
      <c r="AB202" s="202"/>
      <c r="AC202" s="209"/>
      <c r="AD202" s="202"/>
      <c r="AE202" s="206"/>
      <c r="AF202" s="202"/>
      <c r="AG202" s="207"/>
      <c r="AH202" s="202"/>
      <c r="AI202" s="207"/>
      <c r="AJ202" s="202"/>
      <c r="AK202" s="208"/>
      <c r="AL202" s="202"/>
      <c r="AM202" s="210">
        <f t="shared" si="14"/>
        <v>0</v>
      </c>
      <c r="AN202" s="202"/>
      <c r="AO202" s="207"/>
      <c r="AP202" s="202"/>
      <c r="AQ202" s="209"/>
      <c r="AR202" s="202"/>
      <c r="AS202" s="206"/>
      <c r="AT202" s="202"/>
      <c r="AU202" s="204"/>
      <c r="AV202" s="202"/>
      <c r="AW202" s="204"/>
      <c r="AX202" s="202"/>
      <c r="AY202" s="201"/>
      <c r="AZ202" s="202"/>
      <c r="BA202" s="210">
        <f t="shared" si="15"/>
        <v>0</v>
      </c>
      <c r="BB202" s="202"/>
      <c r="BC202" s="204"/>
      <c r="BD202" s="202"/>
      <c r="BE202" s="209"/>
      <c r="BF202" s="202"/>
      <c r="BG202" s="206"/>
      <c r="BH202" s="202"/>
      <c r="BI202" s="204"/>
      <c r="BJ202" s="202"/>
      <c r="BK202" s="204"/>
      <c r="BL202" s="202"/>
      <c r="BM202" s="201"/>
      <c r="BN202" s="202"/>
      <c r="BO202" s="203">
        <f t="shared" si="16"/>
        <v>0</v>
      </c>
      <c r="BP202" s="202"/>
      <c r="BQ202" s="138"/>
      <c r="BR202" s="128"/>
      <c r="BS202" s="128"/>
      <c r="BT202" s="128"/>
      <c r="BU202" s="128"/>
      <c r="BV202" s="128"/>
      <c r="BW202" s="139"/>
      <c r="BX202" s="140"/>
      <c r="BY202" s="139"/>
      <c r="BZ202" s="139"/>
      <c r="CA202" s="134"/>
      <c r="CB202" s="134"/>
      <c r="CC202" s="134"/>
      <c r="CD202" s="134"/>
      <c r="CE202" s="134"/>
      <c r="CF202" s="134"/>
      <c r="CG202" s="92"/>
      <c r="CH202" s="92"/>
      <c r="CI202" s="92"/>
      <c r="CJ202" s="92"/>
      <c r="CK202" s="92"/>
    </row>
    <row r="203" spans="1:89" ht="13.5">
      <c r="A203" s="160"/>
      <c r="B203" s="52"/>
      <c r="C203" s="52"/>
      <c r="D203" s="137">
        <f t="shared" si="28"/>
        <v>0</v>
      </c>
      <c r="E203" s="208"/>
      <c r="F203" s="202"/>
      <c r="G203" s="207"/>
      <c r="H203" s="202"/>
      <c r="I203" s="208"/>
      <c r="J203" s="202"/>
      <c r="K203" s="208">
        <f t="shared" si="12"/>
        <v>0</v>
      </c>
      <c r="L203" s="202"/>
      <c r="M203" s="207"/>
      <c r="N203" s="202"/>
      <c r="O203" s="209"/>
      <c r="P203" s="202"/>
      <c r="Q203" s="206"/>
      <c r="R203" s="202"/>
      <c r="S203" s="207"/>
      <c r="T203" s="202"/>
      <c r="U203" s="207"/>
      <c r="V203" s="202"/>
      <c r="W203" s="208"/>
      <c r="X203" s="202"/>
      <c r="Y203" s="210">
        <f t="shared" si="30"/>
        <v>0</v>
      </c>
      <c r="Z203" s="202"/>
      <c r="AA203" s="207"/>
      <c r="AB203" s="202"/>
      <c r="AC203" s="209"/>
      <c r="AD203" s="202"/>
      <c r="AE203" s="206"/>
      <c r="AF203" s="202"/>
      <c r="AG203" s="207"/>
      <c r="AH203" s="202"/>
      <c r="AI203" s="207"/>
      <c r="AJ203" s="202"/>
      <c r="AK203" s="208"/>
      <c r="AL203" s="202"/>
      <c r="AM203" s="210">
        <f t="shared" si="14"/>
        <v>0</v>
      </c>
      <c r="AN203" s="202"/>
      <c r="AO203" s="207"/>
      <c r="AP203" s="202"/>
      <c r="AQ203" s="209"/>
      <c r="AR203" s="202"/>
      <c r="AS203" s="206"/>
      <c r="AT203" s="202"/>
      <c r="AU203" s="204"/>
      <c r="AV203" s="202"/>
      <c r="AW203" s="204"/>
      <c r="AX203" s="202"/>
      <c r="AY203" s="201"/>
      <c r="AZ203" s="202"/>
      <c r="BA203" s="210">
        <f t="shared" si="15"/>
        <v>0</v>
      </c>
      <c r="BB203" s="202"/>
      <c r="BC203" s="204"/>
      <c r="BD203" s="202"/>
      <c r="BE203" s="209"/>
      <c r="BF203" s="202"/>
      <c r="BG203" s="206"/>
      <c r="BH203" s="202"/>
      <c r="BI203" s="204"/>
      <c r="BJ203" s="202"/>
      <c r="BK203" s="204"/>
      <c r="BL203" s="202"/>
      <c r="BM203" s="201"/>
      <c r="BN203" s="202"/>
      <c r="BO203" s="203">
        <f t="shared" si="16"/>
        <v>0</v>
      </c>
      <c r="BP203" s="202"/>
      <c r="BQ203" s="138"/>
      <c r="BR203" s="128"/>
      <c r="BS203" s="128"/>
      <c r="BT203" s="128"/>
      <c r="BU203" s="128"/>
      <c r="BV203" s="128"/>
      <c r="BW203" s="139"/>
      <c r="BX203" s="140"/>
      <c r="BY203" s="139"/>
      <c r="BZ203" s="139"/>
      <c r="CA203" s="134"/>
      <c r="CB203" s="134"/>
      <c r="CC203" s="134"/>
      <c r="CD203" s="134"/>
      <c r="CE203" s="134"/>
      <c r="CF203" s="134"/>
      <c r="CG203" s="92"/>
      <c r="CH203" s="92"/>
      <c r="CI203" s="92"/>
      <c r="CJ203" s="92"/>
      <c r="CK203" s="92"/>
    </row>
    <row r="204" spans="1:89" ht="17.25" customHeight="1">
      <c r="A204" s="160"/>
      <c r="B204" s="52"/>
      <c r="C204" s="52"/>
      <c r="D204" s="137">
        <f t="shared" si="28"/>
        <v>0</v>
      </c>
      <c r="E204" s="208"/>
      <c r="F204" s="202"/>
      <c r="G204" s="207"/>
      <c r="H204" s="202"/>
      <c r="I204" s="208"/>
      <c r="J204" s="202"/>
      <c r="K204" s="208">
        <f t="shared" si="12"/>
        <v>0</v>
      </c>
      <c r="L204" s="202"/>
      <c r="M204" s="207"/>
      <c r="N204" s="202"/>
      <c r="O204" s="209"/>
      <c r="P204" s="202"/>
      <c r="Q204" s="206"/>
      <c r="R204" s="202"/>
      <c r="S204" s="207"/>
      <c r="T204" s="202"/>
      <c r="U204" s="207"/>
      <c r="V204" s="202"/>
      <c r="W204" s="208"/>
      <c r="X204" s="202"/>
      <c r="Y204" s="210">
        <f t="shared" si="30"/>
        <v>0</v>
      </c>
      <c r="Z204" s="202"/>
      <c r="AA204" s="207"/>
      <c r="AB204" s="202"/>
      <c r="AC204" s="209"/>
      <c r="AD204" s="202"/>
      <c r="AE204" s="206"/>
      <c r="AF204" s="202"/>
      <c r="AG204" s="207"/>
      <c r="AH204" s="202"/>
      <c r="AI204" s="207"/>
      <c r="AJ204" s="202"/>
      <c r="AK204" s="208"/>
      <c r="AL204" s="202"/>
      <c r="AM204" s="210">
        <f t="shared" si="14"/>
        <v>0</v>
      </c>
      <c r="AN204" s="202"/>
      <c r="AO204" s="207"/>
      <c r="AP204" s="202"/>
      <c r="AQ204" s="209"/>
      <c r="AR204" s="202"/>
      <c r="AS204" s="206"/>
      <c r="AT204" s="202"/>
      <c r="AU204" s="204"/>
      <c r="AV204" s="202"/>
      <c r="AW204" s="204"/>
      <c r="AX204" s="202"/>
      <c r="AY204" s="201"/>
      <c r="AZ204" s="202"/>
      <c r="BA204" s="210">
        <f t="shared" si="15"/>
        <v>0</v>
      </c>
      <c r="BB204" s="202"/>
      <c r="BC204" s="204"/>
      <c r="BD204" s="202"/>
      <c r="BE204" s="209"/>
      <c r="BF204" s="202"/>
      <c r="BG204" s="206"/>
      <c r="BH204" s="202"/>
      <c r="BI204" s="204"/>
      <c r="BJ204" s="202"/>
      <c r="BK204" s="204"/>
      <c r="BL204" s="202"/>
      <c r="BM204" s="201"/>
      <c r="BN204" s="202"/>
      <c r="BO204" s="203">
        <f t="shared" si="16"/>
        <v>0</v>
      </c>
      <c r="BP204" s="202"/>
      <c r="BQ204" s="138"/>
      <c r="BR204" s="128"/>
      <c r="BS204" s="128"/>
      <c r="BT204" s="128"/>
      <c r="BU204" s="128"/>
      <c r="BV204" s="128"/>
      <c r="BW204" s="139"/>
      <c r="BX204" s="140"/>
      <c r="BY204" s="139"/>
      <c r="BZ204" s="139"/>
      <c r="CA204" s="134"/>
      <c r="CB204" s="134"/>
      <c r="CC204" s="134"/>
      <c r="CD204" s="134"/>
      <c r="CE204" s="134"/>
      <c r="CF204" s="134"/>
      <c r="CG204" s="92"/>
      <c r="CH204" s="92"/>
      <c r="CI204" s="92"/>
      <c r="CJ204" s="92"/>
      <c r="CK204" s="92"/>
    </row>
    <row r="205" spans="1:89" ht="17.25" customHeight="1">
      <c r="A205" s="160"/>
      <c r="B205" s="52"/>
      <c r="C205" s="52"/>
      <c r="D205" s="137">
        <f t="shared" si="28"/>
        <v>0</v>
      </c>
      <c r="E205" s="208"/>
      <c r="F205" s="202"/>
      <c r="G205" s="207"/>
      <c r="H205" s="202"/>
      <c r="I205" s="208"/>
      <c r="J205" s="202"/>
      <c r="K205" s="208">
        <f t="shared" si="12"/>
        <v>0</v>
      </c>
      <c r="L205" s="202"/>
      <c r="M205" s="207"/>
      <c r="N205" s="202"/>
      <c r="O205" s="209"/>
      <c r="P205" s="202"/>
      <c r="Q205" s="206"/>
      <c r="R205" s="202"/>
      <c r="S205" s="207"/>
      <c r="T205" s="202"/>
      <c r="U205" s="207"/>
      <c r="V205" s="202"/>
      <c r="W205" s="208"/>
      <c r="X205" s="202"/>
      <c r="Y205" s="210">
        <f t="shared" si="30"/>
        <v>0</v>
      </c>
      <c r="Z205" s="202"/>
      <c r="AA205" s="207"/>
      <c r="AB205" s="202"/>
      <c r="AC205" s="209"/>
      <c r="AD205" s="202"/>
      <c r="AE205" s="206"/>
      <c r="AF205" s="202"/>
      <c r="AG205" s="207"/>
      <c r="AH205" s="202"/>
      <c r="AI205" s="207"/>
      <c r="AJ205" s="202"/>
      <c r="AK205" s="208"/>
      <c r="AL205" s="202"/>
      <c r="AM205" s="210">
        <f t="shared" si="14"/>
        <v>0</v>
      </c>
      <c r="AN205" s="202"/>
      <c r="AO205" s="207"/>
      <c r="AP205" s="202"/>
      <c r="AQ205" s="209"/>
      <c r="AR205" s="202"/>
      <c r="AS205" s="206"/>
      <c r="AT205" s="202"/>
      <c r="AU205" s="204"/>
      <c r="AV205" s="202"/>
      <c r="AW205" s="204"/>
      <c r="AX205" s="202"/>
      <c r="AY205" s="201"/>
      <c r="AZ205" s="202"/>
      <c r="BA205" s="210">
        <f t="shared" si="15"/>
        <v>0</v>
      </c>
      <c r="BB205" s="202"/>
      <c r="BC205" s="204"/>
      <c r="BD205" s="202"/>
      <c r="BE205" s="209"/>
      <c r="BF205" s="202"/>
      <c r="BG205" s="206"/>
      <c r="BH205" s="202"/>
      <c r="BI205" s="204"/>
      <c r="BJ205" s="202"/>
      <c r="BK205" s="204"/>
      <c r="BL205" s="202"/>
      <c r="BM205" s="201"/>
      <c r="BN205" s="202"/>
      <c r="BO205" s="203">
        <f t="shared" si="16"/>
        <v>0</v>
      </c>
      <c r="BP205" s="202"/>
      <c r="BQ205" s="138"/>
      <c r="BR205" s="128"/>
      <c r="BS205" s="128"/>
      <c r="BT205" s="128"/>
      <c r="BU205" s="128"/>
      <c r="BV205" s="128"/>
      <c r="BW205" s="139"/>
      <c r="BX205" s="140"/>
      <c r="BY205" s="139"/>
      <c r="BZ205" s="139"/>
      <c r="CA205" s="134"/>
      <c r="CB205" s="134"/>
      <c r="CC205" s="134"/>
      <c r="CD205" s="134"/>
      <c r="CE205" s="134"/>
      <c r="CF205" s="134"/>
      <c r="CG205" s="92"/>
      <c r="CH205" s="92"/>
      <c r="CI205" s="92"/>
      <c r="CJ205" s="92"/>
      <c r="CK205" s="92"/>
    </row>
    <row r="206" spans="1:89" ht="17.25" customHeight="1">
      <c r="A206" s="160"/>
      <c r="B206" s="52"/>
      <c r="C206" s="52"/>
      <c r="D206" s="137">
        <f t="shared" si="28"/>
        <v>0</v>
      </c>
      <c r="E206" s="208"/>
      <c r="F206" s="202"/>
      <c r="G206" s="207"/>
      <c r="H206" s="202"/>
      <c r="I206" s="208"/>
      <c r="J206" s="202"/>
      <c r="K206" s="208">
        <f t="shared" si="12"/>
        <v>0</v>
      </c>
      <c r="L206" s="202"/>
      <c r="M206" s="207"/>
      <c r="N206" s="202"/>
      <c r="O206" s="209"/>
      <c r="P206" s="202"/>
      <c r="Q206" s="206"/>
      <c r="R206" s="202"/>
      <c r="S206" s="207"/>
      <c r="T206" s="202"/>
      <c r="U206" s="207"/>
      <c r="V206" s="202"/>
      <c r="W206" s="208"/>
      <c r="X206" s="202"/>
      <c r="Y206" s="210">
        <f t="shared" si="30"/>
        <v>0</v>
      </c>
      <c r="Z206" s="202"/>
      <c r="AA206" s="207"/>
      <c r="AB206" s="202"/>
      <c r="AC206" s="209"/>
      <c r="AD206" s="202"/>
      <c r="AE206" s="206"/>
      <c r="AF206" s="202"/>
      <c r="AG206" s="207"/>
      <c r="AH206" s="202"/>
      <c r="AI206" s="207"/>
      <c r="AJ206" s="202"/>
      <c r="AK206" s="208"/>
      <c r="AL206" s="202"/>
      <c r="AM206" s="210">
        <f t="shared" si="14"/>
        <v>0</v>
      </c>
      <c r="AN206" s="202"/>
      <c r="AO206" s="207"/>
      <c r="AP206" s="202"/>
      <c r="AQ206" s="209"/>
      <c r="AR206" s="202"/>
      <c r="AS206" s="206"/>
      <c r="AT206" s="202"/>
      <c r="AU206" s="204"/>
      <c r="AV206" s="202"/>
      <c r="AW206" s="204"/>
      <c r="AX206" s="202"/>
      <c r="AY206" s="201"/>
      <c r="AZ206" s="202"/>
      <c r="BA206" s="210">
        <f t="shared" si="15"/>
        <v>0</v>
      </c>
      <c r="BB206" s="202"/>
      <c r="BC206" s="204"/>
      <c r="BD206" s="202"/>
      <c r="BE206" s="209"/>
      <c r="BF206" s="202"/>
      <c r="BG206" s="206"/>
      <c r="BH206" s="202"/>
      <c r="BI206" s="204"/>
      <c r="BJ206" s="202"/>
      <c r="BK206" s="204"/>
      <c r="BL206" s="202"/>
      <c r="BM206" s="201"/>
      <c r="BN206" s="202"/>
      <c r="BO206" s="203">
        <f t="shared" si="16"/>
        <v>0</v>
      </c>
      <c r="BP206" s="202"/>
      <c r="BQ206" s="138"/>
      <c r="BR206" s="128"/>
      <c r="BS206" s="128"/>
      <c r="BT206" s="128"/>
      <c r="BU206" s="128"/>
      <c r="BV206" s="128"/>
      <c r="BW206" s="139"/>
      <c r="BX206" s="140"/>
      <c r="BY206" s="139"/>
      <c r="BZ206" s="139"/>
      <c r="CA206" s="134"/>
      <c r="CB206" s="134"/>
      <c r="CC206" s="134"/>
      <c r="CD206" s="134"/>
      <c r="CE206" s="134"/>
      <c r="CF206" s="134"/>
      <c r="CG206" s="92"/>
      <c r="CH206" s="92"/>
      <c r="CI206" s="92"/>
      <c r="CJ206" s="92"/>
      <c r="CK206" s="92"/>
    </row>
    <row r="207" spans="1:89" ht="17.25" customHeight="1">
      <c r="A207" s="160"/>
      <c r="B207" s="52"/>
      <c r="C207" s="52"/>
      <c r="D207" s="137">
        <f t="shared" si="28"/>
        <v>0</v>
      </c>
      <c r="E207" s="208"/>
      <c r="F207" s="202"/>
      <c r="G207" s="207"/>
      <c r="H207" s="202"/>
      <c r="I207" s="208"/>
      <c r="J207" s="202"/>
      <c r="K207" s="208">
        <f t="shared" si="12"/>
        <v>0</v>
      </c>
      <c r="L207" s="202"/>
      <c r="M207" s="207"/>
      <c r="N207" s="202"/>
      <c r="O207" s="209"/>
      <c r="P207" s="202"/>
      <c r="Q207" s="206"/>
      <c r="R207" s="202"/>
      <c r="S207" s="207"/>
      <c r="T207" s="202"/>
      <c r="U207" s="207"/>
      <c r="V207" s="202"/>
      <c r="W207" s="208"/>
      <c r="X207" s="202"/>
      <c r="Y207" s="210">
        <f t="shared" si="30"/>
        <v>0</v>
      </c>
      <c r="Z207" s="202"/>
      <c r="AA207" s="207"/>
      <c r="AB207" s="202"/>
      <c r="AC207" s="209"/>
      <c r="AD207" s="202"/>
      <c r="AE207" s="206"/>
      <c r="AF207" s="202"/>
      <c r="AG207" s="207"/>
      <c r="AH207" s="202"/>
      <c r="AI207" s="207"/>
      <c r="AJ207" s="202"/>
      <c r="AK207" s="208"/>
      <c r="AL207" s="202"/>
      <c r="AM207" s="210">
        <f t="shared" si="14"/>
        <v>0</v>
      </c>
      <c r="AN207" s="202"/>
      <c r="AO207" s="207"/>
      <c r="AP207" s="202"/>
      <c r="AQ207" s="209"/>
      <c r="AR207" s="202"/>
      <c r="AS207" s="206"/>
      <c r="AT207" s="202"/>
      <c r="AU207" s="204"/>
      <c r="AV207" s="202"/>
      <c r="AW207" s="204"/>
      <c r="AX207" s="202"/>
      <c r="AY207" s="201"/>
      <c r="AZ207" s="202"/>
      <c r="BA207" s="210">
        <f t="shared" si="15"/>
        <v>0</v>
      </c>
      <c r="BB207" s="202"/>
      <c r="BC207" s="204"/>
      <c r="BD207" s="202"/>
      <c r="BE207" s="209"/>
      <c r="BF207" s="202"/>
      <c r="BG207" s="206"/>
      <c r="BH207" s="202"/>
      <c r="BI207" s="204"/>
      <c r="BJ207" s="202"/>
      <c r="BK207" s="204"/>
      <c r="BL207" s="202"/>
      <c r="BM207" s="201"/>
      <c r="BN207" s="202"/>
      <c r="BO207" s="203">
        <f t="shared" si="16"/>
        <v>0</v>
      </c>
      <c r="BP207" s="202"/>
      <c r="BQ207" s="138"/>
      <c r="BR207" s="128"/>
      <c r="BS207" s="128"/>
      <c r="BT207" s="128"/>
      <c r="BU207" s="128"/>
      <c r="BV207" s="128"/>
      <c r="BW207" s="139"/>
      <c r="BX207" s="140"/>
      <c r="BY207" s="139"/>
      <c r="BZ207" s="139"/>
      <c r="CA207" s="134"/>
      <c r="CB207" s="134"/>
      <c r="CC207" s="134"/>
      <c r="CD207" s="134"/>
      <c r="CE207" s="134"/>
      <c r="CF207" s="134"/>
      <c r="CG207" s="92"/>
      <c r="CH207" s="92"/>
      <c r="CI207" s="92"/>
      <c r="CJ207" s="92"/>
      <c r="CK207" s="92"/>
    </row>
    <row r="208" spans="1:89" ht="17.25" customHeight="1">
      <c r="A208" s="160"/>
      <c r="B208" s="52"/>
      <c r="C208" s="52"/>
      <c r="D208" s="137">
        <f t="shared" si="28"/>
        <v>1</v>
      </c>
      <c r="E208" s="208"/>
      <c r="F208" s="202"/>
      <c r="G208" s="207"/>
      <c r="H208" s="202"/>
      <c r="I208" s="208"/>
      <c r="J208" s="202"/>
      <c r="K208" s="208">
        <f t="shared" si="12"/>
        <v>0</v>
      </c>
      <c r="L208" s="202"/>
      <c r="M208" s="207"/>
      <c r="N208" s="202"/>
      <c r="O208" s="209"/>
      <c r="P208" s="202"/>
      <c r="Q208" s="206"/>
      <c r="R208" s="202"/>
      <c r="S208" s="207"/>
      <c r="T208" s="202"/>
      <c r="U208" s="207"/>
      <c r="V208" s="202"/>
      <c r="W208" s="208"/>
      <c r="X208" s="202"/>
      <c r="Y208" s="210">
        <v>1</v>
      </c>
      <c r="Z208" s="202"/>
      <c r="AA208" s="207"/>
      <c r="AB208" s="202"/>
      <c r="AC208" s="209"/>
      <c r="AD208" s="202"/>
      <c r="AE208" s="206"/>
      <c r="AF208" s="202"/>
      <c r="AG208" s="207"/>
      <c r="AH208" s="202"/>
      <c r="AI208" s="207"/>
      <c r="AJ208" s="202"/>
      <c r="AK208" s="208"/>
      <c r="AL208" s="202"/>
      <c r="AM208" s="210">
        <f t="shared" si="14"/>
        <v>0</v>
      </c>
      <c r="AN208" s="202"/>
      <c r="AO208" s="207"/>
      <c r="AP208" s="202"/>
      <c r="AQ208" s="209"/>
      <c r="AR208" s="202"/>
      <c r="AS208" s="206"/>
      <c r="AT208" s="202"/>
      <c r="AU208" s="204"/>
      <c r="AV208" s="202"/>
      <c r="AW208" s="204"/>
      <c r="AX208" s="202"/>
      <c r="AY208" s="201"/>
      <c r="AZ208" s="202"/>
      <c r="BA208" s="210">
        <f t="shared" si="15"/>
        <v>0</v>
      </c>
      <c r="BB208" s="202"/>
      <c r="BC208" s="204"/>
      <c r="BD208" s="202"/>
      <c r="BE208" s="209"/>
      <c r="BF208" s="202"/>
      <c r="BG208" s="206"/>
      <c r="BH208" s="202"/>
      <c r="BI208" s="204"/>
      <c r="BJ208" s="202"/>
      <c r="BK208" s="204"/>
      <c r="BL208" s="202"/>
      <c r="BM208" s="201"/>
      <c r="BN208" s="202"/>
      <c r="BO208" s="203">
        <f t="shared" si="16"/>
        <v>0</v>
      </c>
      <c r="BP208" s="202"/>
      <c r="BQ208" s="138"/>
      <c r="BR208" s="128"/>
      <c r="BS208" s="128"/>
      <c r="BT208" s="128"/>
      <c r="BU208" s="128"/>
      <c r="BV208" s="128"/>
      <c r="BW208" s="139"/>
      <c r="BX208" s="140"/>
      <c r="BY208" s="139"/>
      <c r="BZ208" s="139"/>
      <c r="CA208" s="134"/>
      <c r="CB208" s="134"/>
      <c r="CC208" s="134"/>
      <c r="CD208" s="134"/>
      <c r="CE208" s="134"/>
      <c r="CF208" s="134"/>
      <c r="CG208" s="92"/>
      <c r="CH208" s="92"/>
      <c r="CI208" s="92"/>
      <c r="CJ208" s="92"/>
      <c r="CK208" s="92"/>
    </row>
    <row r="209" spans="1:89" ht="17.25" customHeight="1">
      <c r="A209" s="160"/>
      <c r="B209" s="52"/>
      <c r="C209" s="52"/>
      <c r="D209" s="137">
        <f t="shared" si="28"/>
        <v>0</v>
      </c>
      <c r="E209" s="208"/>
      <c r="F209" s="202"/>
      <c r="G209" s="207"/>
      <c r="H209" s="202"/>
      <c r="I209" s="208"/>
      <c r="J209" s="202"/>
      <c r="K209" s="208">
        <f t="shared" si="12"/>
        <v>0</v>
      </c>
      <c r="L209" s="202"/>
      <c r="M209" s="207"/>
      <c r="N209" s="202"/>
      <c r="O209" s="209"/>
      <c r="P209" s="202"/>
      <c r="Q209" s="206"/>
      <c r="R209" s="202"/>
      <c r="S209" s="207"/>
      <c r="T209" s="202"/>
      <c r="U209" s="207"/>
      <c r="V209" s="202"/>
      <c r="W209" s="208"/>
      <c r="X209" s="202"/>
      <c r="Y209" s="210">
        <f t="shared" ref="Y209:Y500" si="31">COUNTA(M209:V209)</f>
        <v>0</v>
      </c>
      <c r="Z209" s="202"/>
      <c r="AA209" s="207"/>
      <c r="AB209" s="202"/>
      <c r="AC209" s="209"/>
      <c r="AD209" s="202"/>
      <c r="AE209" s="206"/>
      <c r="AF209" s="202"/>
      <c r="AG209" s="207"/>
      <c r="AH209" s="202"/>
      <c r="AI209" s="207"/>
      <c r="AJ209" s="202"/>
      <c r="AK209" s="208"/>
      <c r="AL209" s="202"/>
      <c r="AM209" s="210">
        <f t="shared" si="14"/>
        <v>0</v>
      </c>
      <c r="AN209" s="202"/>
      <c r="AO209" s="207"/>
      <c r="AP209" s="202"/>
      <c r="AQ209" s="209"/>
      <c r="AR209" s="202"/>
      <c r="AS209" s="206"/>
      <c r="AT209" s="202"/>
      <c r="AU209" s="204"/>
      <c r="AV209" s="202"/>
      <c r="AW209" s="204"/>
      <c r="AX209" s="202"/>
      <c r="AY209" s="201"/>
      <c r="AZ209" s="202"/>
      <c r="BA209" s="210">
        <f t="shared" si="15"/>
        <v>0</v>
      </c>
      <c r="BB209" s="202"/>
      <c r="BC209" s="204"/>
      <c r="BD209" s="202"/>
      <c r="BE209" s="209"/>
      <c r="BF209" s="202"/>
      <c r="BG209" s="206"/>
      <c r="BH209" s="202"/>
      <c r="BI209" s="204"/>
      <c r="BJ209" s="202"/>
      <c r="BK209" s="204"/>
      <c r="BL209" s="202"/>
      <c r="BM209" s="201"/>
      <c r="BN209" s="202"/>
      <c r="BO209" s="203">
        <f t="shared" si="16"/>
        <v>0</v>
      </c>
      <c r="BP209" s="202"/>
      <c r="BQ209" s="138"/>
      <c r="BR209" s="128"/>
      <c r="BS209" s="128"/>
      <c r="BT209" s="128"/>
      <c r="BU209" s="128"/>
      <c r="BV209" s="128"/>
      <c r="BW209" s="139"/>
      <c r="BX209" s="140"/>
      <c r="BY209" s="139"/>
      <c r="BZ209" s="139"/>
      <c r="CA209" s="134"/>
      <c r="CB209" s="134"/>
      <c r="CC209" s="134"/>
      <c r="CD209" s="134"/>
      <c r="CE209" s="134"/>
      <c r="CF209" s="134"/>
      <c r="CG209" s="92"/>
      <c r="CH209" s="92"/>
      <c r="CI209" s="92"/>
      <c r="CJ209" s="92"/>
      <c r="CK209" s="92"/>
    </row>
    <row r="210" spans="1:89" ht="17.25" customHeight="1">
      <c r="A210" s="160"/>
      <c r="B210" s="52"/>
      <c r="C210" s="52"/>
      <c r="D210" s="137">
        <f t="shared" si="28"/>
        <v>0</v>
      </c>
      <c r="E210" s="208"/>
      <c r="F210" s="202"/>
      <c r="G210" s="207"/>
      <c r="H210" s="202"/>
      <c r="I210" s="208"/>
      <c r="J210" s="202"/>
      <c r="K210" s="208">
        <f t="shared" si="12"/>
        <v>0</v>
      </c>
      <c r="L210" s="202"/>
      <c r="M210" s="207"/>
      <c r="N210" s="202"/>
      <c r="O210" s="209"/>
      <c r="P210" s="202"/>
      <c r="Q210" s="206"/>
      <c r="R210" s="202"/>
      <c r="S210" s="207"/>
      <c r="T210" s="202"/>
      <c r="U210" s="207"/>
      <c r="V210" s="202"/>
      <c r="W210" s="208"/>
      <c r="X210" s="202"/>
      <c r="Y210" s="210">
        <f t="shared" si="31"/>
        <v>0</v>
      </c>
      <c r="Z210" s="202"/>
      <c r="AA210" s="207"/>
      <c r="AB210" s="202"/>
      <c r="AC210" s="209"/>
      <c r="AD210" s="202"/>
      <c r="AE210" s="206"/>
      <c r="AF210" s="202"/>
      <c r="AG210" s="207"/>
      <c r="AH210" s="202"/>
      <c r="AI210" s="207"/>
      <c r="AJ210" s="202"/>
      <c r="AK210" s="208"/>
      <c r="AL210" s="202"/>
      <c r="AM210" s="210">
        <f t="shared" si="14"/>
        <v>0</v>
      </c>
      <c r="AN210" s="202"/>
      <c r="AO210" s="207"/>
      <c r="AP210" s="202"/>
      <c r="AQ210" s="209"/>
      <c r="AR210" s="202"/>
      <c r="AS210" s="206"/>
      <c r="AT210" s="202"/>
      <c r="AU210" s="204"/>
      <c r="AV210" s="202"/>
      <c r="AW210" s="204"/>
      <c r="AX210" s="202"/>
      <c r="AY210" s="201"/>
      <c r="AZ210" s="202"/>
      <c r="BA210" s="210">
        <f t="shared" si="15"/>
        <v>0</v>
      </c>
      <c r="BB210" s="202"/>
      <c r="BC210" s="204"/>
      <c r="BD210" s="202"/>
      <c r="BE210" s="209"/>
      <c r="BF210" s="202"/>
      <c r="BG210" s="206"/>
      <c r="BH210" s="202"/>
      <c r="BI210" s="204"/>
      <c r="BJ210" s="202"/>
      <c r="BK210" s="204"/>
      <c r="BL210" s="202"/>
      <c r="BM210" s="201"/>
      <c r="BN210" s="202"/>
      <c r="BO210" s="203">
        <f t="shared" si="16"/>
        <v>0</v>
      </c>
      <c r="BP210" s="202"/>
      <c r="BQ210" s="138"/>
      <c r="BR210" s="128"/>
      <c r="BS210" s="128"/>
      <c r="BT210" s="128"/>
      <c r="BU210" s="128"/>
      <c r="BV210" s="128"/>
      <c r="BW210" s="139"/>
      <c r="BX210" s="140"/>
      <c r="BY210" s="139"/>
      <c r="BZ210" s="139"/>
      <c r="CA210" s="134"/>
      <c r="CB210" s="134"/>
      <c r="CC210" s="134"/>
      <c r="CD210" s="134"/>
      <c r="CE210" s="134"/>
      <c r="CF210" s="134"/>
      <c r="CG210" s="92"/>
      <c r="CH210" s="92"/>
      <c r="CI210" s="92"/>
      <c r="CJ210" s="92"/>
      <c r="CK210" s="92"/>
    </row>
    <row r="211" spans="1:89" ht="17.25" customHeight="1">
      <c r="A211" s="160"/>
      <c r="B211" s="52"/>
      <c r="C211" s="52"/>
      <c r="D211" s="137">
        <f t="shared" si="28"/>
        <v>0</v>
      </c>
      <c r="E211" s="208"/>
      <c r="F211" s="202"/>
      <c r="G211" s="207"/>
      <c r="H211" s="202"/>
      <c r="I211" s="208"/>
      <c r="J211" s="202"/>
      <c r="K211" s="208">
        <f t="shared" si="12"/>
        <v>0</v>
      </c>
      <c r="L211" s="202"/>
      <c r="M211" s="207"/>
      <c r="N211" s="202"/>
      <c r="O211" s="209"/>
      <c r="P211" s="202"/>
      <c r="Q211" s="206"/>
      <c r="R211" s="202"/>
      <c r="S211" s="207"/>
      <c r="T211" s="202"/>
      <c r="U211" s="207"/>
      <c r="V211" s="202"/>
      <c r="W211" s="208"/>
      <c r="X211" s="202"/>
      <c r="Y211" s="210">
        <f t="shared" si="31"/>
        <v>0</v>
      </c>
      <c r="Z211" s="202"/>
      <c r="AA211" s="207"/>
      <c r="AB211" s="202"/>
      <c r="AC211" s="209"/>
      <c r="AD211" s="202"/>
      <c r="AE211" s="206"/>
      <c r="AF211" s="202"/>
      <c r="AG211" s="207"/>
      <c r="AH211" s="202"/>
      <c r="AI211" s="207"/>
      <c r="AJ211" s="202"/>
      <c r="AK211" s="208"/>
      <c r="AL211" s="202"/>
      <c r="AM211" s="210">
        <f t="shared" si="14"/>
        <v>0</v>
      </c>
      <c r="AN211" s="202"/>
      <c r="AO211" s="207"/>
      <c r="AP211" s="202"/>
      <c r="AQ211" s="209"/>
      <c r="AR211" s="202"/>
      <c r="AS211" s="206"/>
      <c r="AT211" s="202"/>
      <c r="AU211" s="204"/>
      <c r="AV211" s="202"/>
      <c r="AW211" s="204"/>
      <c r="AX211" s="202"/>
      <c r="AY211" s="201"/>
      <c r="AZ211" s="202"/>
      <c r="BA211" s="210">
        <f t="shared" si="15"/>
        <v>0</v>
      </c>
      <c r="BB211" s="202"/>
      <c r="BC211" s="204"/>
      <c r="BD211" s="202"/>
      <c r="BE211" s="209"/>
      <c r="BF211" s="202"/>
      <c r="BG211" s="206"/>
      <c r="BH211" s="202"/>
      <c r="BI211" s="204"/>
      <c r="BJ211" s="202"/>
      <c r="BK211" s="204"/>
      <c r="BL211" s="202"/>
      <c r="BM211" s="201"/>
      <c r="BN211" s="202"/>
      <c r="BO211" s="203">
        <f t="shared" si="16"/>
        <v>0</v>
      </c>
      <c r="BP211" s="202"/>
      <c r="BQ211" s="138"/>
      <c r="BR211" s="128"/>
      <c r="BS211" s="128"/>
      <c r="BT211" s="128"/>
      <c r="BU211" s="128"/>
      <c r="BV211" s="128"/>
      <c r="BW211" s="139"/>
      <c r="BX211" s="140"/>
      <c r="BY211" s="139"/>
      <c r="BZ211" s="139"/>
      <c r="CA211" s="134"/>
      <c r="CB211" s="134"/>
      <c r="CC211" s="134"/>
      <c r="CD211" s="134"/>
      <c r="CE211" s="134"/>
      <c r="CF211" s="134"/>
      <c r="CG211" s="92"/>
      <c r="CH211" s="92"/>
      <c r="CI211" s="92"/>
      <c r="CJ211" s="92"/>
      <c r="CK211" s="92"/>
    </row>
    <row r="212" spans="1:89" ht="17.25" customHeight="1">
      <c r="A212" s="160"/>
      <c r="B212" s="52"/>
      <c r="C212" s="52"/>
      <c r="D212" s="137">
        <f t="shared" si="28"/>
        <v>0</v>
      </c>
      <c r="E212" s="208"/>
      <c r="F212" s="202"/>
      <c r="G212" s="207"/>
      <c r="H212" s="202"/>
      <c r="I212" s="208"/>
      <c r="J212" s="202"/>
      <c r="K212" s="208">
        <f t="shared" si="12"/>
        <v>0</v>
      </c>
      <c r="L212" s="202"/>
      <c r="M212" s="207"/>
      <c r="N212" s="202"/>
      <c r="O212" s="209"/>
      <c r="P212" s="202"/>
      <c r="Q212" s="206"/>
      <c r="R212" s="202"/>
      <c r="S212" s="207"/>
      <c r="T212" s="202"/>
      <c r="U212" s="207"/>
      <c r="V212" s="202"/>
      <c r="W212" s="208"/>
      <c r="X212" s="202"/>
      <c r="Y212" s="210">
        <f t="shared" si="31"/>
        <v>0</v>
      </c>
      <c r="Z212" s="202"/>
      <c r="AA212" s="207"/>
      <c r="AB212" s="202"/>
      <c r="AC212" s="209"/>
      <c r="AD212" s="202"/>
      <c r="AE212" s="206"/>
      <c r="AF212" s="202"/>
      <c r="AG212" s="207"/>
      <c r="AH212" s="202"/>
      <c r="AI212" s="207"/>
      <c r="AJ212" s="202"/>
      <c r="AK212" s="208"/>
      <c r="AL212" s="202"/>
      <c r="AM212" s="210">
        <f t="shared" si="14"/>
        <v>0</v>
      </c>
      <c r="AN212" s="202"/>
      <c r="AO212" s="207"/>
      <c r="AP212" s="202"/>
      <c r="AQ212" s="209"/>
      <c r="AR212" s="202"/>
      <c r="AS212" s="206"/>
      <c r="AT212" s="202"/>
      <c r="AU212" s="204"/>
      <c r="AV212" s="202"/>
      <c r="AW212" s="204"/>
      <c r="AX212" s="202"/>
      <c r="AY212" s="201"/>
      <c r="AZ212" s="202"/>
      <c r="BA212" s="210">
        <f t="shared" si="15"/>
        <v>0</v>
      </c>
      <c r="BB212" s="202"/>
      <c r="BC212" s="204"/>
      <c r="BD212" s="202"/>
      <c r="BE212" s="209"/>
      <c r="BF212" s="202"/>
      <c r="BG212" s="206"/>
      <c r="BH212" s="202"/>
      <c r="BI212" s="204"/>
      <c r="BJ212" s="202"/>
      <c r="BK212" s="204"/>
      <c r="BL212" s="202"/>
      <c r="BM212" s="201"/>
      <c r="BN212" s="202"/>
      <c r="BO212" s="203">
        <f t="shared" si="16"/>
        <v>0</v>
      </c>
      <c r="BP212" s="202"/>
      <c r="BQ212" s="138"/>
      <c r="BR212" s="128"/>
      <c r="BS212" s="128"/>
      <c r="BT212" s="128"/>
      <c r="BU212" s="128"/>
      <c r="BV212" s="128"/>
      <c r="BW212" s="139"/>
      <c r="BX212" s="140"/>
      <c r="BY212" s="139"/>
      <c r="BZ212" s="139"/>
      <c r="CA212" s="134"/>
      <c r="CB212" s="134"/>
      <c r="CC212" s="95"/>
      <c r="CD212" s="134"/>
      <c r="CE212" s="134"/>
      <c r="CF212" s="134"/>
      <c r="CG212" s="92"/>
      <c r="CH212" s="92"/>
      <c r="CI212" s="92"/>
      <c r="CJ212" s="92"/>
      <c r="CK212" s="92"/>
    </row>
    <row r="213" spans="1:89" ht="17.25" customHeight="1">
      <c r="A213" s="160"/>
      <c r="B213" s="52"/>
      <c r="C213" s="52"/>
      <c r="D213" s="137">
        <f t="shared" si="28"/>
        <v>0</v>
      </c>
      <c r="E213" s="208"/>
      <c r="F213" s="202"/>
      <c r="G213" s="207"/>
      <c r="H213" s="202"/>
      <c r="I213" s="208"/>
      <c r="J213" s="202"/>
      <c r="K213" s="208">
        <f t="shared" si="12"/>
        <v>0</v>
      </c>
      <c r="L213" s="202"/>
      <c r="M213" s="207"/>
      <c r="N213" s="202"/>
      <c r="O213" s="209"/>
      <c r="P213" s="202"/>
      <c r="Q213" s="206"/>
      <c r="R213" s="202"/>
      <c r="S213" s="207"/>
      <c r="T213" s="202"/>
      <c r="U213" s="207"/>
      <c r="V213" s="202"/>
      <c r="W213" s="208"/>
      <c r="X213" s="202"/>
      <c r="Y213" s="210">
        <f t="shared" si="31"/>
        <v>0</v>
      </c>
      <c r="Z213" s="202"/>
      <c r="AA213" s="207"/>
      <c r="AB213" s="202"/>
      <c r="AC213" s="209"/>
      <c r="AD213" s="202"/>
      <c r="AE213" s="206"/>
      <c r="AF213" s="202"/>
      <c r="AG213" s="207"/>
      <c r="AH213" s="202"/>
      <c r="AI213" s="207"/>
      <c r="AJ213" s="202"/>
      <c r="AK213" s="208"/>
      <c r="AL213" s="202"/>
      <c r="AM213" s="210">
        <f t="shared" si="14"/>
        <v>0</v>
      </c>
      <c r="AN213" s="202"/>
      <c r="AO213" s="207"/>
      <c r="AP213" s="202"/>
      <c r="AQ213" s="209"/>
      <c r="AR213" s="202"/>
      <c r="AS213" s="206"/>
      <c r="AT213" s="202"/>
      <c r="AU213" s="204"/>
      <c r="AV213" s="202"/>
      <c r="AW213" s="204"/>
      <c r="AX213" s="202"/>
      <c r="AY213" s="201"/>
      <c r="AZ213" s="202"/>
      <c r="BA213" s="210">
        <f t="shared" si="15"/>
        <v>0</v>
      </c>
      <c r="BB213" s="202"/>
      <c r="BC213" s="204"/>
      <c r="BD213" s="202"/>
      <c r="BE213" s="209"/>
      <c r="BF213" s="202"/>
      <c r="BG213" s="206"/>
      <c r="BH213" s="202"/>
      <c r="BI213" s="204"/>
      <c r="BJ213" s="202"/>
      <c r="BK213" s="204"/>
      <c r="BL213" s="202"/>
      <c r="BM213" s="201"/>
      <c r="BN213" s="202"/>
      <c r="BO213" s="203">
        <f t="shared" si="16"/>
        <v>0</v>
      </c>
      <c r="BP213" s="202"/>
      <c r="BQ213" s="138"/>
      <c r="BR213" s="128"/>
      <c r="BS213" s="128"/>
      <c r="BT213" s="128"/>
      <c r="BU213" s="128"/>
      <c r="BV213" s="128"/>
      <c r="BW213" s="139"/>
      <c r="BX213" s="140"/>
      <c r="BY213" s="139"/>
      <c r="BZ213" s="139"/>
      <c r="CA213" s="134"/>
      <c r="CB213" s="134"/>
      <c r="CC213" s="134"/>
      <c r="CD213" s="134"/>
      <c r="CE213" s="134"/>
      <c r="CF213" s="134"/>
      <c r="CG213" s="92"/>
      <c r="CH213" s="92"/>
      <c r="CI213" s="92"/>
      <c r="CJ213" s="92"/>
      <c r="CK213" s="92"/>
    </row>
    <row r="214" spans="1:89" ht="17.25" customHeight="1">
      <c r="A214" s="160"/>
      <c r="B214" s="52"/>
      <c r="C214" s="52"/>
      <c r="D214" s="137">
        <f t="shared" si="28"/>
        <v>0</v>
      </c>
      <c r="E214" s="208"/>
      <c r="F214" s="202"/>
      <c r="G214" s="207"/>
      <c r="H214" s="202"/>
      <c r="I214" s="208"/>
      <c r="J214" s="202"/>
      <c r="K214" s="208">
        <f t="shared" si="12"/>
        <v>0</v>
      </c>
      <c r="L214" s="202"/>
      <c r="M214" s="207"/>
      <c r="N214" s="202"/>
      <c r="O214" s="209"/>
      <c r="P214" s="202"/>
      <c r="Q214" s="206"/>
      <c r="R214" s="202"/>
      <c r="S214" s="207"/>
      <c r="T214" s="202"/>
      <c r="U214" s="207"/>
      <c r="V214" s="202"/>
      <c r="W214" s="208"/>
      <c r="X214" s="202"/>
      <c r="Y214" s="210">
        <f t="shared" si="31"/>
        <v>0</v>
      </c>
      <c r="Z214" s="202"/>
      <c r="AA214" s="207"/>
      <c r="AB214" s="202"/>
      <c r="AC214" s="209"/>
      <c r="AD214" s="202"/>
      <c r="AE214" s="206"/>
      <c r="AF214" s="202"/>
      <c r="AG214" s="207"/>
      <c r="AH214" s="202"/>
      <c r="AI214" s="207"/>
      <c r="AJ214" s="202"/>
      <c r="AK214" s="208"/>
      <c r="AL214" s="202"/>
      <c r="AM214" s="210">
        <f t="shared" si="14"/>
        <v>0</v>
      </c>
      <c r="AN214" s="202"/>
      <c r="AO214" s="207"/>
      <c r="AP214" s="202"/>
      <c r="AQ214" s="209"/>
      <c r="AR214" s="202"/>
      <c r="AS214" s="206"/>
      <c r="AT214" s="202"/>
      <c r="AU214" s="204"/>
      <c r="AV214" s="202"/>
      <c r="AW214" s="204"/>
      <c r="AX214" s="202"/>
      <c r="AY214" s="201"/>
      <c r="AZ214" s="202"/>
      <c r="BA214" s="210">
        <f t="shared" si="15"/>
        <v>0</v>
      </c>
      <c r="BB214" s="202"/>
      <c r="BC214" s="204"/>
      <c r="BD214" s="202"/>
      <c r="BE214" s="209"/>
      <c r="BF214" s="202"/>
      <c r="BG214" s="206"/>
      <c r="BH214" s="202"/>
      <c r="BI214" s="204"/>
      <c r="BJ214" s="202"/>
      <c r="BK214" s="204"/>
      <c r="BL214" s="202"/>
      <c r="BM214" s="201"/>
      <c r="BN214" s="202"/>
      <c r="BO214" s="203">
        <f t="shared" si="16"/>
        <v>0</v>
      </c>
      <c r="BP214" s="202"/>
      <c r="BQ214" s="138"/>
      <c r="BR214" s="128"/>
      <c r="BS214" s="128"/>
      <c r="BT214" s="128"/>
      <c r="BU214" s="128"/>
      <c r="BV214" s="128"/>
      <c r="BW214" s="139"/>
      <c r="BX214" s="140"/>
      <c r="BY214" s="139"/>
      <c r="BZ214" s="139"/>
      <c r="CA214" s="134"/>
      <c r="CB214" s="134"/>
      <c r="CC214" s="134"/>
      <c r="CD214" s="134"/>
      <c r="CE214" s="134"/>
      <c r="CF214" s="134"/>
      <c r="CG214" s="92"/>
      <c r="CH214" s="92"/>
      <c r="CI214" s="92"/>
      <c r="CJ214" s="92"/>
      <c r="CK214" s="92"/>
    </row>
    <row r="215" spans="1:89" ht="17.25" customHeight="1">
      <c r="A215" s="160"/>
      <c r="B215" s="52"/>
      <c r="C215" s="52"/>
      <c r="D215" s="137">
        <f t="shared" si="28"/>
        <v>0</v>
      </c>
      <c r="E215" s="208"/>
      <c r="F215" s="202"/>
      <c r="G215" s="207"/>
      <c r="H215" s="202"/>
      <c r="I215" s="208"/>
      <c r="J215" s="202"/>
      <c r="K215" s="208">
        <f t="shared" si="12"/>
        <v>0</v>
      </c>
      <c r="L215" s="202"/>
      <c r="M215" s="207"/>
      <c r="N215" s="202"/>
      <c r="O215" s="209"/>
      <c r="P215" s="202"/>
      <c r="Q215" s="206"/>
      <c r="R215" s="202"/>
      <c r="S215" s="207"/>
      <c r="T215" s="202"/>
      <c r="U215" s="207"/>
      <c r="V215" s="202"/>
      <c r="W215" s="208"/>
      <c r="X215" s="202"/>
      <c r="Y215" s="210">
        <f t="shared" si="31"/>
        <v>0</v>
      </c>
      <c r="Z215" s="202"/>
      <c r="AA215" s="207"/>
      <c r="AB215" s="202"/>
      <c r="AC215" s="209"/>
      <c r="AD215" s="202"/>
      <c r="AE215" s="206"/>
      <c r="AF215" s="202"/>
      <c r="AG215" s="207"/>
      <c r="AH215" s="202"/>
      <c r="AI215" s="207"/>
      <c r="AJ215" s="202"/>
      <c r="AK215" s="208"/>
      <c r="AL215" s="202"/>
      <c r="AM215" s="210">
        <f t="shared" si="14"/>
        <v>0</v>
      </c>
      <c r="AN215" s="202"/>
      <c r="AO215" s="207"/>
      <c r="AP215" s="202"/>
      <c r="AQ215" s="209"/>
      <c r="AR215" s="202"/>
      <c r="AS215" s="206"/>
      <c r="AT215" s="202"/>
      <c r="AU215" s="204"/>
      <c r="AV215" s="202"/>
      <c r="AW215" s="204"/>
      <c r="AX215" s="202"/>
      <c r="AY215" s="201"/>
      <c r="AZ215" s="202"/>
      <c r="BA215" s="210">
        <f t="shared" si="15"/>
        <v>0</v>
      </c>
      <c r="BB215" s="202"/>
      <c r="BC215" s="204"/>
      <c r="BD215" s="202"/>
      <c r="BE215" s="209"/>
      <c r="BF215" s="202"/>
      <c r="BG215" s="206"/>
      <c r="BH215" s="202"/>
      <c r="BI215" s="204"/>
      <c r="BJ215" s="202"/>
      <c r="BK215" s="204"/>
      <c r="BL215" s="202"/>
      <c r="BM215" s="201"/>
      <c r="BN215" s="202"/>
      <c r="BO215" s="203">
        <f t="shared" si="16"/>
        <v>0</v>
      </c>
      <c r="BP215" s="202"/>
      <c r="BQ215" s="138"/>
      <c r="BR215" s="128"/>
      <c r="BS215" s="128"/>
      <c r="BT215" s="128"/>
      <c r="BU215" s="128"/>
      <c r="BV215" s="128"/>
      <c r="BW215" s="139"/>
      <c r="BX215" s="140"/>
      <c r="BY215" s="139"/>
      <c r="BZ215" s="139"/>
      <c r="CA215" s="134"/>
      <c r="CB215" s="134"/>
      <c r="CC215" s="134"/>
      <c r="CD215" s="134"/>
      <c r="CE215" s="134"/>
      <c r="CF215" s="134"/>
      <c r="CG215" s="92"/>
      <c r="CH215" s="92"/>
      <c r="CI215" s="92"/>
      <c r="CJ215" s="92"/>
      <c r="CK215" s="92"/>
    </row>
    <row r="216" spans="1:89" ht="17.25" customHeight="1">
      <c r="A216" s="160"/>
      <c r="B216" s="52"/>
      <c r="C216" s="52"/>
      <c r="D216" s="137">
        <f t="shared" si="28"/>
        <v>0</v>
      </c>
      <c r="E216" s="208"/>
      <c r="F216" s="202"/>
      <c r="G216" s="207"/>
      <c r="H216" s="202"/>
      <c r="I216" s="208"/>
      <c r="J216" s="202"/>
      <c r="K216" s="208">
        <f t="shared" si="12"/>
        <v>0</v>
      </c>
      <c r="L216" s="202"/>
      <c r="M216" s="207"/>
      <c r="N216" s="202"/>
      <c r="O216" s="209"/>
      <c r="P216" s="202"/>
      <c r="Q216" s="206"/>
      <c r="R216" s="202"/>
      <c r="S216" s="207"/>
      <c r="T216" s="202"/>
      <c r="U216" s="207"/>
      <c r="V216" s="202"/>
      <c r="W216" s="208"/>
      <c r="X216" s="202"/>
      <c r="Y216" s="210">
        <f t="shared" si="31"/>
        <v>0</v>
      </c>
      <c r="Z216" s="202"/>
      <c r="AA216" s="207"/>
      <c r="AB216" s="202"/>
      <c r="AC216" s="209"/>
      <c r="AD216" s="202"/>
      <c r="AE216" s="206"/>
      <c r="AF216" s="202"/>
      <c r="AG216" s="207"/>
      <c r="AH216" s="202"/>
      <c r="AI216" s="207"/>
      <c r="AJ216" s="202"/>
      <c r="AK216" s="208"/>
      <c r="AL216" s="202"/>
      <c r="AM216" s="210">
        <f t="shared" si="14"/>
        <v>0</v>
      </c>
      <c r="AN216" s="202"/>
      <c r="AO216" s="207"/>
      <c r="AP216" s="202"/>
      <c r="AQ216" s="209"/>
      <c r="AR216" s="202"/>
      <c r="AS216" s="206"/>
      <c r="AT216" s="202"/>
      <c r="AU216" s="204"/>
      <c r="AV216" s="202"/>
      <c r="AW216" s="204"/>
      <c r="AX216" s="202"/>
      <c r="AY216" s="201"/>
      <c r="AZ216" s="202"/>
      <c r="BA216" s="210">
        <f t="shared" si="15"/>
        <v>0</v>
      </c>
      <c r="BB216" s="202"/>
      <c r="BC216" s="204"/>
      <c r="BD216" s="202"/>
      <c r="BE216" s="209"/>
      <c r="BF216" s="202"/>
      <c r="BG216" s="206"/>
      <c r="BH216" s="202"/>
      <c r="BI216" s="204"/>
      <c r="BJ216" s="202"/>
      <c r="BK216" s="204"/>
      <c r="BL216" s="202"/>
      <c r="BM216" s="201"/>
      <c r="BN216" s="202"/>
      <c r="BO216" s="203">
        <f t="shared" si="16"/>
        <v>0</v>
      </c>
      <c r="BP216" s="202"/>
      <c r="BQ216" s="138"/>
      <c r="BR216" s="128"/>
      <c r="BS216" s="128"/>
      <c r="BT216" s="128"/>
      <c r="BU216" s="128"/>
      <c r="BV216" s="128"/>
      <c r="BW216" s="139"/>
      <c r="BX216" s="140"/>
      <c r="BY216" s="139"/>
      <c r="BZ216" s="139"/>
      <c r="CA216" s="134"/>
      <c r="CB216" s="134"/>
      <c r="CC216" s="134"/>
      <c r="CD216" s="134"/>
      <c r="CE216" s="134"/>
      <c r="CF216" s="134"/>
      <c r="CG216" s="92"/>
      <c r="CH216" s="92"/>
      <c r="CI216" s="92"/>
      <c r="CJ216" s="92"/>
      <c r="CK216" s="92"/>
    </row>
    <row r="217" spans="1:89" ht="17.25" customHeight="1">
      <c r="A217" s="160"/>
      <c r="B217" s="52"/>
      <c r="C217" s="52"/>
      <c r="D217" s="137">
        <f t="shared" si="28"/>
        <v>0</v>
      </c>
      <c r="E217" s="208"/>
      <c r="F217" s="202"/>
      <c r="G217" s="207"/>
      <c r="H217" s="202"/>
      <c r="I217" s="208"/>
      <c r="J217" s="202"/>
      <c r="K217" s="208">
        <f t="shared" si="12"/>
        <v>0</v>
      </c>
      <c r="L217" s="202"/>
      <c r="M217" s="207"/>
      <c r="N217" s="202"/>
      <c r="O217" s="209"/>
      <c r="P217" s="202"/>
      <c r="Q217" s="206"/>
      <c r="R217" s="202"/>
      <c r="S217" s="207"/>
      <c r="T217" s="202"/>
      <c r="U217" s="207"/>
      <c r="V217" s="202"/>
      <c r="W217" s="208"/>
      <c r="X217" s="202"/>
      <c r="Y217" s="210">
        <f t="shared" si="31"/>
        <v>0</v>
      </c>
      <c r="Z217" s="202"/>
      <c r="AA217" s="207"/>
      <c r="AB217" s="202"/>
      <c r="AC217" s="209"/>
      <c r="AD217" s="202"/>
      <c r="AE217" s="206"/>
      <c r="AF217" s="202"/>
      <c r="AG217" s="207"/>
      <c r="AH217" s="202"/>
      <c r="AI217" s="207"/>
      <c r="AJ217" s="202"/>
      <c r="AK217" s="208"/>
      <c r="AL217" s="202"/>
      <c r="AM217" s="210">
        <f t="shared" si="14"/>
        <v>0</v>
      </c>
      <c r="AN217" s="202"/>
      <c r="AO217" s="207"/>
      <c r="AP217" s="202"/>
      <c r="AQ217" s="209"/>
      <c r="AR217" s="202"/>
      <c r="AS217" s="206"/>
      <c r="AT217" s="202"/>
      <c r="AU217" s="204"/>
      <c r="AV217" s="202"/>
      <c r="AW217" s="204"/>
      <c r="AX217" s="202"/>
      <c r="AY217" s="201"/>
      <c r="AZ217" s="202"/>
      <c r="BA217" s="210">
        <f t="shared" si="15"/>
        <v>0</v>
      </c>
      <c r="BB217" s="202"/>
      <c r="BC217" s="204"/>
      <c r="BD217" s="202"/>
      <c r="BE217" s="209"/>
      <c r="BF217" s="202"/>
      <c r="BG217" s="206"/>
      <c r="BH217" s="202"/>
      <c r="BI217" s="204"/>
      <c r="BJ217" s="202"/>
      <c r="BK217" s="204"/>
      <c r="BL217" s="202"/>
      <c r="BM217" s="201"/>
      <c r="BN217" s="202"/>
      <c r="BO217" s="203">
        <f t="shared" si="16"/>
        <v>0</v>
      </c>
      <c r="BP217" s="202"/>
      <c r="BQ217" s="138"/>
      <c r="BR217" s="128"/>
      <c r="BS217" s="128"/>
      <c r="BT217" s="128"/>
      <c r="BU217" s="128"/>
      <c r="BV217" s="128"/>
      <c r="BW217" s="139"/>
      <c r="BX217" s="140"/>
      <c r="BY217" s="139"/>
      <c r="BZ217" s="139"/>
      <c r="CA217" s="134"/>
      <c r="CB217" s="134"/>
      <c r="CC217" s="134"/>
      <c r="CD217" s="134"/>
      <c r="CE217" s="134"/>
      <c r="CF217" s="134"/>
      <c r="CG217" s="92"/>
      <c r="CH217" s="92"/>
      <c r="CI217" s="92"/>
      <c r="CJ217" s="92"/>
      <c r="CK217" s="92"/>
    </row>
    <row r="218" spans="1:89" ht="17.25" customHeight="1">
      <c r="A218" s="160"/>
      <c r="B218" s="52"/>
      <c r="C218" s="52"/>
      <c r="D218" s="137">
        <f t="shared" si="28"/>
        <v>0</v>
      </c>
      <c r="E218" s="208"/>
      <c r="F218" s="202"/>
      <c r="G218" s="207"/>
      <c r="H218" s="202"/>
      <c r="I218" s="208"/>
      <c r="J218" s="202"/>
      <c r="K218" s="208">
        <f t="shared" si="12"/>
        <v>0</v>
      </c>
      <c r="L218" s="202"/>
      <c r="M218" s="207"/>
      <c r="N218" s="202"/>
      <c r="O218" s="209"/>
      <c r="P218" s="202"/>
      <c r="Q218" s="206"/>
      <c r="R218" s="202"/>
      <c r="S218" s="207"/>
      <c r="T218" s="202"/>
      <c r="U218" s="207"/>
      <c r="V218" s="202"/>
      <c r="W218" s="208"/>
      <c r="X218" s="202"/>
      <c r="Y218" s="210">
        <f t="shared" si="31"/>
        <v>0</v>
      </c>
      <c r="Z218" s="202"/>
      <c r="AA218" s="207"/>
      <c r="AB218" s="202"/>
      <c r="AC218" s="209"/>
      <c r="AD218" s="202"/>
      <c r="AE218" s="206"/>
      <c r="AF218" s="202"/>
      <c r="AG218" s="207"/>
      <c r="AH218" s="202"/>
      <c r="AI218" s="207"/>
      <c r="AJ218" s="202"/>
      <c r="AK218" s="208"/>
      <c r="AL218" s="202"/>
      <c r="AM218" s="210">
        <f t="shared" si="14"/>
        <v>0</v>
      </c>
      <c r="AN218" s="202"/>
      <c r="AO218" s="207"/>
      <c r="AP218" s="202"/>
      <c r="AQ218" s="209"/>
      <c r="AR218" s="202"/>
      <c r="AS218" s="206"/>
      <c r="AT218" s="202"/>
      <c r="AU218" s="204"/>
      <c r="AV218" s="202"/>
      <c r="AW218" s="204"/>
      <c r="AX218" s="202"/>
      <c r="AY218" s="201"/>
      <c r="AZ218" s="202"/>
      <c r="BA218" s="210">
        <f t="shared" si="15"/>
        <v>0</v>
      </c>
      <c r="BB218" s="202"/>
      <c r="BC218" s="204"/>
      <c r="BD218" s="202"/>
      <c r="BE218" s="209"/>
      <c r="BF218" s="202"/>
      <c r="BG218" s="206"/>
      <c r="BH218" s="202"/>
      <c r="BI218" s="204"/>
      <c r="BJ218" s="202"/>
      <c r="BK218" s="204"/>
      <c r="BL218" s="202"/>
      <c r="BM218" s="201"/>
      <c r="BN218" s="202"/>
      <c r="BO218" s="203">
        <f t="shared" si="16"/>
        <v>0</v>
      </c>
      <c r="BP218" s="202"/>
      <c r="BQ218" s="138"/>
      <c r="BR218" s="128"/>
      <c r="BS218" s="128"/>
      <c r="BT218" s="128"/>
      <c r="BU218" s="128"/>
      <c r="BV218" s="128"/>
      <c r="BW218" s="139"/>
      <c r="BX218" s="140"/>
      <c r="BY218" s="139"/>
      <c r="BZ218" s="139"/>
      <c r="CA218" s="134"/>
      <c r="CB218" s="134"/>
      <c r="CC218" s="134"/>
      <c r="CD218" s="134"/>
      <c r="CE218" s="134"/>
      <c r="CF218" s="134"/>
      <c r="CG218" s="92"/>
      <c r="CH218" s="92"/>
      <c r="CI218" s="92"/>
      <c r="CJ218" s="92"/>
      <c r="CK218" s="92"/>
    </row>
    <row r="219" spans="1:89" ht="17.25" customHeight="1">
      <c r="A219" s="160"/>
      <c r="B219" s="52"/>
      <c r="C219" s="52"/>
      <c r="D219" s="137">
        <f t="shared" si="28"/>
        <v>0</v>
      </c>
      <c r="E219" s="208"/>
      <c r="F219" s="202"/>
      <c r="G219" s="207"/>
      <c r="H219" s="202"/>
      <c r="I219" s="208"/>
      <c r="J219" s="202"/>
      <c r="K219" s="208">
        <f t="shared" si="12"/>
        <v>0</v>
      </c>
      <c r="L219" s="202"/>
      <c r="M219" s="207"/>
      <c r="N219" s="202"/>
      <c r="O219" s="209"/>
      <c r="P219" s="202"/>
      <c r="Q219" s="206"/>
      <c r="R219" s="202"/>
      <c r="S219" s="207"/>
      <c r="T219" s="202"/>
      <c r="U219" s="207"/>
      <c r="V219" s="202"/>
      <c r="W219" s="208"/>
      <c r="X219" s="202"/>
      <c r="Y219" s="210">
        <f t="shared" si="31"/>
        <v>0</v>
      </c>
      <c r="Z219" s="202"/>
      <c r="AA219" s="207"/>
      <c r="AB219" s="202"/>
      <c r="AC219" s="209"/>
      <c r="AD219" s="202"/>
      <c r="AE219" s="206"/>
      <c r="AF219" s="202"/>
      <c r="AG219" s="207"/>
      <c r="AH219" s="202"/>
      <c r="AI219" s="207"/>
      <c r="AJ219" s="202"/>
      <c r="AK219" s="208"/>
      <c r="AL219" s="202"/>
      <c r="AM219" s="210">
        <f t="shared" si="14"/>
        <v>0</v>
      </c>
      <c r="AN219" s="202"/>
      <c r="AO219" s="207"/>
      <c r="AP219" s="202"/>
      <c r="AQ219" s="209"/>
      <c r="AR219" s="202"/>
      <c r="AS219" s="206"/>
      <c r="AT219" s="202"/>
      <c r="AU219" s="204"/>
      <c r="AV219" s="202"/>
      <c r="AW219" s="204"/>
      <c r="AX219" s="202"/>
      <c r="AY219" s="201"/>
      <c r="AZ219" s="202"/>
      <c r="BA219" s="210">
        <f t="shared" si="15"/>
        <v>0</v>
      </c>
      <c r="BB219" s="202"/>
      <c r="BC219" s="204"/>
      <c r="BD219" s="202"/>
      <c r="BE219" s="209"/>
      <c r="BF219" s="202"/>
      <c r="BG219" s="206"/>
      <c r="BH219" s="202"/>
      <c r="BI219" s="204"/>
      <c r="BJ219" s="202"/>
      <c r="BK219" s="204"/>
      <c r="BL219" s="202"/>
      <c r="BM219" s="201"/>
      <c r="BN219" s="202"/>
      <c r="BO219" s="203">
        <f t="shared" si="16"/>
        <v>0</v>
      </c>
      <c r="BP219" s="202"/>
      <c r="BQ219" s="138"/>
      <c r="BR219" s="128"/>
      <c r="BS219" s="128"/>
      <c r="BT219" s="128"/>
      <c r="BU219" s="128"/>
      <c r="BV219" s="128"/>
      <c r="BW219" s="139"/>
      <c r="BX219" s="140"/>
      <c r="BY219" s="139"/>
      <c r="BZ219" s="139"/>
      <c r="CA219" s="134"/>
      <c r="CB219" s="134"/>
      <c r="CC219" s="134"/>
      <c r="CD219" s="134"/>
      <c r="CE219" s="134"/>
      <c r="CF219" s="134"/>
      <c r="CG219" s="92"/>
      <c r="CH219" s="92"/>
      <c r="CI219" s="92"/>
      <c r="CJ219" s="92"/>
      <c r="CK219" s="92"/>
    </row>
    <row r="220" spans="1:89" ht="17.25" customHeight="1">
      <c r="A220" s="160"/>
      <c r="B220" s="52"/>
      <c r="C220" s="52"/>
      <c r="D220" s="137">
        <f t="shared" si="28"/>
        <v>0</v>
      </c>
      <c r="E220" s="208"/>
      <c r="F220" s="202"/>
      <c r="G220" s="207"/>
      <c r="H220" s="202"/>
      <c r="I220" s="208"/>
      <c r="J220" s="202"/>
      <c r="K220" s="208">
        <f t="shared" si="12"/>
        <v>0</v>
      </c>
      <c r="L220" s="202"/>
      <c r="M220" s="207"/>
      <c r="N220" s="202"/>
      <c r="O220" s="209"/>
      <c r="P220" s="202"/>
      <c r="Q220" s="206"/>
      <c r="R220" s="202"/>
      <c r="S220" s="207"/>
      <c r="T220" s="202"/>
      <c r="U220" s="207"/>
      <c r="V220" s="202"/>
      <c r="W220" s="208"/>
      <c r="X220" s="202"/>
      <c r="Y220" s="210">
        <f t="shared" si="31"/>
        <v>0</v>
      </c>
      <c r="Z220" s="202"/>
      <c r="AA220" s="207"/>
      <c r="AB220" s="202"/>
      <c r="AC220" s="209"/>
      <c r="AD220" s="202"/>
      <c r="AE220" s="206"/>
      <c r="AF220" s="202"/>
      <c r="AG220" s="207"/>
      <c r="AH220" s="202"/>
      <c r="AI220" s="207"/>
      <c r="AJ220" s="202"/>
      <c r="AK220" s="208"/>
      <c r="AL220" s="202"/>
      <c r="AM220" s="210">
        <f t="shared" si="14"/>
        <v>0</v>
      </c>
      <c r="AN220" s="202"/>
      <c r="AO220" s="207"/>
      <c r="AP220" s="202"/>
      <c r="AQ220" s="209"/>
      <c r="AR220" s="202"/>
      <c r="AS220" s="206"/>
      <c r="AT220" s="202"/>
      <c r="AU220" s="204"/>
      <c r="AV220" s="202"/>
      <c r="AW220" s="204"/>
      <c r="AX220" s="202"/>
      <c r="AY220" s="201"/>
      <c r="AZ220" s="202"/>
      <c r="BA220" s="210">
        <f t="shared" si="15"/>
        <v>0</v>
      </c>
      <c r="BB220" s="202"/>
      <c r="BC220" s="204"/>
      <c r="BD220" s="202"/>
      <c r="BE220" s="209"/>
      <c r="BF220" s="202"/>
      <c r="BG220" s="206"/>
      <c r="BH220" s="202"/>
      <c r="BI220" s="204"/>
      <c r="BJ220" s="202"/>
      <c r="BK220" s="204"/>
      <c r="BL220" s="202"/>
      <c r="BM220" s="201"/>
      <c r="BN220" s="202"/>
      <c r="BO220" s="203">
        <f t="shared" si="16"/>
        <v>0</v>
      </c>
      <c r="BP220" s="202"/>
      <c r="BQ220" s="138"/>
      <c r="BR220" s="128"/>
      <c r="BS220" s="128"/>
      <c r="BT220" s="128"/>
      <c r="BU220" s="128"/>
      <c r="BV220" s="128"/>
      <c r="BW220" s="139"/>
      <c r="BX220" s="140"/>
      <c r="BY220" s="139"/>
      <c r="BZ220" s="139"/>
      <c r="CA220" s="134"/>
      <c r="CB220" s="134"/>
      <c r="CC220" s="134"/>
      <c r="CD220" s="134"/>
      <c r="CE220" s="134"/>
      <c r="CF220" s="134"/>
      <c r="CG220" s="92"/>
      <c r="CH220" s="92"/>
      <c r="CI220" s="92"/>
      <c r="CJ220" s="92"/>
      <c r="CK220" s="92"/>
    </row>
    <row r="221" spans="1:89" ht="17.25" customHeight="1">
      <c r="A221" s="160"/>
      <c r="B221" s="52"/>
      <c r="C221" s="52"/>
      <c r="D221" s="137">
        <f t="shared" si="28"/>
        <v>0</v>
      </c>
      <c r="E221" s="208"/>
      <c r="F221" s="202"/>
      <c r="G221" s="207"/>
      <c r="H221" s="202"/>
      <c r="I221" s="208"/>
      <c r="J221" s="202"/>
      <c r="K221" s="208">
        <f t="shared" si="12"/>
        <v>0</v>
      </c>
      <c r="L221" s="202"/>
      <c r="M221" s="207"/>
      <c r="N221" s="202"/>
      <c r="O221" s="209"/>
      <c r="P221" s="202"/>
      <c r="Q221" s="206"/>
      <c r="R221" s="202"/>
      <c r="S221" s="207"/>
      <c r="T221" s="202"/>
      <c r="U221" s="207"/>
      <c r="V221" s="202"/>
      <c r="W221" s="208"/>
      <c r="X221" s="202"/>
      <c r="Y221" s="210">
        <f t="shared" si="31"/>
        <v>0</v>
      </c>
      <c r="Z221" s="202"/>
      <c r="AA221" s="207"/>
      <c r="AB221" s="202"/>
      <c r="AC221" s="209"/>
      <c r="AD221" s="202"/>
      <c r="AE221" s="206"/>
      <c r="AF221" s="202"/>
      <c r="AG221" s="207"/>
      <c r="AH221" s="202"/>
      <c r="AI221" s="207"/>
      <c r="AJ221" s="202"/>
      <c r="AK221" s="208"/>
      <c r="AL221" s="202"/>
      <c r="AM221" s="210">
        <f t="shared" si="14"/>
        <v>0</v>
      </c>
      <c r="AN221" s="202"/>
      <c r="AO221" s="207"/>
      <c r="AP221" s="202"/>
      <c r="AQ221" s="209"/>
      <c r="AR221" s="202"/>
      <c r="AS221" s="206"/>
      <c r="AT221" s="202"/>
      <c r="AU221" s="204"/>
      <c r="AV221" s="202"/>
      <c r="AW221" s="204"/>
      <c r="AX221" s="202"/>
      <c r="AY221" s="201"/>
      <c r="AZ221" s="202"/>
      <c r="BA221" s="210">
        <f t="shared" si="15"/>
        <v>0</v>
      </c>
      <c r="BB221" s="202"/>
      <c r="BC221" s="204"/>
      <c r="BD221" s="202"/>
      <c r="BE221" s="209"/>
      <c r="BF221" s="202"/>
      <c r="BG221" s="206"/>
      <c r="BH221" s="202"/>
      <c r="BI221" s="204"/>
      <c r="BJ221" s="202"/>
      <c r="BK221" s="204"/>
      <c r="BL221" s="202"/>
      <c r="BM221" s="201"/>
      <c r="BN221" s="202"/>
      <c r="BO221" s="203">
        <f t="shared" si="16"/>
        <v>0</v>
      </c>
      <c r="BP221" s="202"/>
      <c r="BQ221" s="138"/>
      <c r="BR221" s="128"/>
      <c r="BS221" s="128"/>
      <c r="BT221" s="128"/>
      <c r="BU221" s="128"/>
      <c r="BV221" s="128"/>
      <c r="BW221" s="139"/>
      <c r="BX221" s="140"/>
      <c r="BY221" s="139"/>
      <c r="BZ221" s="139"/>
      <c r="CA221" s="134"/>
      <c r="CB221" s="134"/>
      <c r="CC221" s="134"/>
      <c r="CD221" s="134"/>
      <c r="CE221" s="134"/>
      <c r="CF221" s="134"/>
      <c r="CG221" s="92"/>
      <c r="CH221" s="92"/>
      <c r="CI221" s="92"/>
      <c r="CJ221" s="92"/>
      <c r="CK221" s="92"/>
    </row>
    <row r="222" spans="1:89" ht="17.25" customHeight="1">
      <c r="A222" s="160"/>
      <c r="B222" s="52"/>
      <c r="C222" s="52"/>
      <c r="D222" s="137">
        <f t="shared" si="28"/>
        <v>0</v>
      </c>
      <c r="E222" s="208"/>
      <c r="F222" s="202"/>
      <c r="G222" s="207"/>
      <c r="H222" s="202"/>
      <c r="I222" s="208"/>
      <c r="J222" s="202"/>
      <c r="K222" s="208">
        <f t="shared" si="12"/>
        <v>0</v>
      </c>
      <c r="L222" s="202"/>
      <c r="M222" s="207"/>
      <c r="N222" s="202"/>
      <c r="O222" s="209"/>
      <c r="P222" s="202"/>
      <c r="Q222" s="206"/>
      <c r="R222" s="202"/>
      <c r="S222" s="207"/>
      <c r="T222" s="202"/>
      <c r="U222" s="207"/>
      <c r="V222" s="202"/>
      <c r="W222" s="208"/>
      <c r="X222" s="202"/>
      <c r="Y222" s="210">
        <f t="shared" si="31"/>
        <v>0</v>
      </c>
      <c r="Z222" s="202"/>
      <c r="AA222" s="207"/>
      <c r="AB222" s="202"/>
      <c r="AC222" s="209"/>
      <c r="AD222" s="202"/>
      <c r="AE222" s="206"/>
      <c r="AF222" s="202"/>
      <c r="AG222" s="207"/>
      <c r="AH222" s="202"/>
      <c r="AI222" s="207"/>
      <c r="AJ222" s="202"/>
      <c r="AK222" s="208"/>
      <c r="AL222" s="202"/>
      <c r="AM222" s="210">
        <f t="shared" si="14"/>
        <v>0</v>
      </c>
      <c r="AN222" s="202"/>
      <c r="AO222" s="207"/>
      <c r="AP222" s="202"/>
      <c r="AQ222" s="209"/>
      <c r="AR222" s="202"/>
      <c r="AS222" s="206"/>
      <c r="AT222" s="202"/>
      <c r="AU222" s="204"/>
      <c r="AV222" s="202"/>
      <c r="AW222" s="204"/>
      <c r="AX222" s="202"/>
      <c r="AY222" s="201"/>
      <c r="AZ222" s="202"/>
      <c r="BA222" s="210">
        <f t="shared" si="15"/>
        <v>0</v>
      </c>
      <c r="BB222" s="202"/>
      <c r="BC222" s="204"/>
      <c r="BD222" s="202"/>
      <c r="BE222" s="209"/>
      <c r="BF222" s="202"/>
      <c r="BG222" s="206"/>
      <c r="BH222" s="202"/>
      <c r="BI222" s="204"/>
      <c r="BJ222" s="202"/>
      <c r="BK222" s="204"/>
      <c r="BL222" s="202"/>
      <c r="BM222" s="201"/>
      <c r="BN222" s="202"/>
      <c r="BO222" s="203">
        <f t="shared" si="16"/>
        <v>0</v>
      </c>
      <c r="BP222" s="202"/>
      <c r="BQ222" s="138"/>
      <c r="BR222" s="128"/>
      <c r="BS222" s="128"/>
      <c r="BT222" s="128"/>
      <c r="BU222" s="128"/>
      <c r="BV222" s="128"/>
      <c r="BW222" s="139"/>
      <c r="BX222" s="140"/>
      <c r="BY222" s="139"/>
      <c r="BZ222" s="139"/>
      <c r="CA222" s="134"/>
      <c r="CB222" s="134"/>
      <c r="CC222" s="134"/>
      <c r="CD222" s="134"/>
      <c r="CE222" s="134"/>
      <c r="CF222" s="134"/>
      <c r="CG222" s="92"/>
      <c r="CH222" s="92"/>
      <c r="CI222" s="92"/>
      <c r="CJ222" s="92"/>
      <c r="CK222" s="92"/>
    </row>
    <row r="223" spans="1:89" ht="17.25" customHeight="1">
      <c r="A223" s="160"/>
      <c r="B223" s="52"/>
      <c r="C223" s="52"/>
      <c r="D223" s="137">
        <f t="shared" si="28"/>
        <v>0</v>
      </c>
      <c r="E223" s="208"/>
      <c r="F223" s="202"/>
      <c r="G223" s="207"/>
      <c r="H223" s="202"/>
      <c r="I223" s="208"/>
      <c r="J223" s="202"/>
      <c r="K223" s="208">
        <f t="shared" si="12"/>
        <v>0</v>
      </c>
      <c r="L223" s="202"/>
      <c r="M223" s="207"/>
      <c r="N223" s="202"/>
      <c r="O223" s="209"/>
      <c r="P223" s="202"/>
      <c r="Q223" s="206"/>
      <c r="R223" s="202"/>
      <c r="S223" s="207"/>
      <c r="T223" s="202"/>
      <c r="U223" s="207"/>
      <c r="V223" s="202"/>
      <c r="W223" s="208"/>
      <c r="X223" s="202"/>
      <c r="Y223" s="210">
        <f t="shared" si="31"/>
        <v>0</v>
      </c>
      <c r="Z223" s="202"/>
      <c r="AA223" s="207"/>
      <c r="AB223" s="202"/>
      <c r="AC223" s="209"/>
      <c r="AD223" s="202"/>
      <c r="AE223" s="206"/>
      <c r="AF223" s="202"/>
      <c r="AG223" s="207"/>
      <c r="AH223" s="202"/>
      <c r="AI223" s="207"/>
      <c r="AJ223" s="202"/>
      <c r="AK223" s="208"/>
      <c r="AL223" s="202"/>
      <c r="AM223" s="210">
        <f t="shared" si="14"/>
        <v>0</v>
      </c>
      <c r="AN223" s="202"/>
      <c r="AO223" s="207"/>
      <c r="AP223" s="202"/>
      <c r="AQ223" s="209"/>
      <c r="AR223" s="202"/>
      <c r="AS223" s="206"/>
      <c r="AT223" s="202"/>
      <c r="AU223" s="204"/>
      <c r="AV223" s="202"/>
      <c r="AW223" s="204"/>
      <c r="AX223" s="202"/>
      <c r="AY223" s="201"/>
      <c r="AZ223" s="202"/>
      <c r="BA223" s="210">
        <f t="shared" si="15"/>
        <v>0</v>
      </c>
      <c r="BB223" s="202"/>
      <c r="BC223" s="204"/>
      <c r="BD223" s="202"/>
      <c r="BE223" s="209"/>
      <c r="BF223" s="202"/>
      <c r="BG223" s="206"/>
      <c r="BH223" s="202"/>
      <c r="BI223" s="204"/>
      <c r="BJ223" s="202"/>
      <c r="BK223" s="204"/>
      <c r="BL223" s="202"/>
      <c r="BM223" s="201"/>
      <c r="BN223" s="202"/>
      <c r="BO223" s="203">
        <f t="shared" si="16"/>
        <v>0</v>
      </c>
      <c r="BP223" s="202"/>
      <c r="BQ223" s="138"/>
      <c r="BR223" s="128"/>
      <c r="BS223" s="128"/>
      <c r="BT223" s="128"/>
      <c r="BU223" s="128"/>
      <c r="BV223" s="128"/>
      <c r="BW223" s="139"/>
      <c r="BX223" s="140"/>
      <c r="BY223" s="139"/>
      <c r="BZ223" s="139"/>
      <c r="CA223" s="134"/>
      <c r="CB223" s="134"/>
      <c r="CC223" s="134"/>
      <c r="CD223" s="134"/>
      <c r="CE223" s="134"/>
      <c r="CF223" s="134"/>
      <c r="CG223" s="92"/>
      <c r="CH223" s="92"/>
      <c r="CI223" s="92"/>
      <c r="CJ223" s="92"/>
      <c r="CK223" s="92"/>
    </row>
    <row r="224" spans="1:89" ht="17.25" customHeight="1">
      <c r="A224" s="160"/>
      <c r="B224" s="52"/>
      <c r="C224" s="52"/>
      <c r="D224" s="137">
        <f t="shared" si="28"/>
        <v>0</v>
      </c>
      <c r="E224" s="208"/>
      <c r="F224" s="202"/>
      <c r="G224" s="207"/>
      <c r="H224" s="202"/>
      <c r="I224" s="208"/>
      <c r="J224" s="202"/>
      <c r="K224" s="208">
        <f t="shared" si="12"/>
        <v>0</v>
      </c>
      <c r="L224" s="202"/>
      <c r="M224" s="207"/>
      <c r="N224" s="202"/>
      <c r="O224" s="209"/>
      <c r="P224" s="202"/>
      <c r="Q224" s="206"/>
      <c r="R224" s="202"/>
      <c r="S224" s="207"/>
      <c r="T224" s="202"/>
      <c r="U224" s="207"/>
      <c r="V224" s="202"/>
      <c r="W224" s="208"/>
      <c r="X224" s="202"/>
      <c r="Y224" s="210">
        <f t="shared" si="31"/>
        <v>0</v>
      </c>
      <c r="Z224" s="202"/>
      <c r="AA224" s="207"/>
      <c r="AB224" s="202"/>
      <c r="AC224" s="209"/>
      <c r="AD224" s="202"/>
      <c r="AE224" s="206"/>
      <c r="AF224" s="202"/>
      <c r="AG224" s="207"/>
      <c r="AH224" s="202"/>
      <c r="AI224" s="207"/>
      <c r="AJ224" s="202"/>
      <c r="AK224" s="208"/>
      <c r="AL224" s="202"/>
      <c r="AM224" s="210">
        <f t="shared" si="14"/>
        <v>0</v>
      </c>
      <c r="AN224" s="202"/>
      <c r="AO224" s="207"/>
      <c r="AP224" s="202"/>
      <c r="AQ224" s="209"/>
      <c r="AR224" s="202"/>
      <c r="AS224" s="206"/>
      <c r="AT224" s="202"/>
      <c r="AU224" s="204"/>
      <c r="AV224" s="202"/>
      <c r="AW224" s="204"/>
      <c r="AX224" s="202"/>
      <c r="AY224" s="201"/>
      <c r="AZ224" s="202"/>
      <c r="BA224" s="210">
        <f t="shared" si="15"/>
        <v>0</v>
      </c>
      <c r="BB224" s="202"/>
      <c r="BC224" s="204"/>
      <c r="BD224" s="202"/>
      <c r="BE224" s="209"/>
      <c r="BF224" s="202"/>
      <c r="BG224" s="206"/>
      <c r="BH224" s="202"/>
      <c r="BI224" s="204"/>
      <c r="BJ224" s="202"/>
      <c r="BK224" s="204"/>
      <c r="BL224" s="202"/>
      <c r="BM224" s="201"/>
      <c r="BN224" s="202"/>
      <c r="BO224" s="203">
        <f t="shared" si="16"/>
        <v>0</v>
      </c>
      <c r="BP224" s="202"/>
      <c r="BQ224" s="138"/>
      <c r="BR224" s="128"/>
      <c r="BS224" s="128"/>
      <c r="BT224" s="128"/>
      <c r="BU224" s="128"/>
      <c r="BV224" s="128"/>
      <c r="BW224" s="139"/>
      <c r="BX224" s="140"/>
      <c r="BY224" s="139"/>
      <c r="BZ224" s="139"/>
      <c r="CA224" s="134"/>
      <c r="CB224" s="134"/>
      <c r="CC224" s="134"/>
      <c r="CD224" s="134"/>
      <c r="CE224" s="134"/>
      <c r="CF224" s="134"/>
      <c r="CG224" s="92"/>
      <c r="CH224" s="92"/>
      <c r="CI224" s="92"/>
      <c r="CJ224" s="92"/>
      <c r="CK224" s="92"/>
    </row>
    <row r="225" spans="1:89" ht="17.25" customHeight="1">
      <c r="A225" s="160"/>
      <c r="B225" s="52"/>
      <c r="C225" s="52"/>
      <c r="D225" s="137">
        <f t="shared" si="28"/>
        <v>0</v>
      </c>
      <c r="E225" s="208"/>
      <c r="F225" s="202"/>
      <c r="G225" s="207"/>
      <c r="H225" s="202"/>
      <c r="I225" s="208"/>
      <c r="J225" s="202"/>
      <c r="K225" s="208">
        <f t="shared" si="12"/>
        <v>0</v>
      </c>
      <c r="L225" s="202"/>
      <c r="M225" s="207"/>
      <c r="N225" s="202"/>
      <c r="O225" s="209"/>
      <c r="P225" s="202"/>
      <c r="Q225" s="206"/>
      <c r="R225" s="202"/>
      <c r="S225" s="207"/>
      <c r="T225" s="202"/>
      <c r="U225" s="207"/>
      <c r="V225" s="202"/>
      <c r="W225" s="208"/>
      <c r="X225" s="202"/>
      <c r="Y225" s="210">
        <f t="shared" si="31"/>
        <v>0</v>
      </c>
      <c r="Z225" s="202"/>
      <c r="AA225" s="207"/>
      <c r="AB225" s="202"/>
      <c r="AC225" s="209"/>
      <c r="AD225" s="202"/>
      <c r="AE225" s="206"/>
      <c r="AF225" s="202"/>
      <c r="AG225" s="207"/>
      <c r="AH225" s="202"/>
      <c r="AI225" s="207"/>
      <c r="AJ225" s="202"/>
      <c r="AK225" s="208"/>
      <c r="AL225" s="202"/>
      <c r="AM225" s="210">
        <f t="shared" si="14"/>
        <v>0</v>
      </c>
      <c r="AN225" s="202"/>
      <c r="AO225" s="207"/>
      <c r="AP225" s="202"/>
      <c r="AQ225" s="209"/>
      <c r="AR225" s="202"/>
      <c r="AS225" s="206"/>
      <c r="AT225" s="202"/>
      <c r="AU225" s="204"/>
      <c r="AV225" s="202"/>
      <c r="AW225" s="204"/>
      <c r="AX225" s="202"/>
      <c r="AY225" s="201"/>
      <c r="AZ225" s="202"/>
      <c r="BA225" s="210">
        <f t="shared" si="15"/>
        <v>0</v>
      </c>
      <c r="BB225" s="202"/>
      <c r="BC225" s="204"/>
      <c r="BD225" s="202"/>
      <c r="BE225" s="209"/>
      <c r="BF225" s="202"/>
      <c r="BG225" s="206"/>
      <c r="BH225" s="202"/>
      <c r="BI225" s="204"/>
      <c r="BJ225" s="202"/>
      <c r="BK225" s="204"/>
      <c r="BL225" s="202"/>
      <c r="BM225" s="201"/>
      <c r="BN225" s="202"/>
      <c r="BO225" s="203">
        <f t="shared" si="16"/>
        <v>0</v>
      </c>
      <c r="BP225" s="202"/>
      <c r="BQ225" s="138"/>
      <c r="BR225" s="128"/>
      <c r="BS225" s="128"/>
      <c r="BT225" s="128"/>
      <c r="BU225" s="128"/>
      <c r="BV225" s="128"/>
      <c r="BW225" s="139"/>
      <c r="BX225" s="140"/>
      <c r="BY225" s="139"/>
      <c r="BZ225" s="139"/>
      <c r="CA225" s="134"/>
      <c r="CB225" s="134"/>
      <c r="CC225" s="134"/>
      <c r="CD225" s="134"/>
      <c r="CE225" s="134"/>
      <c r="CF225" s="134"/>
      <c r="CG225" s="92"/>
      <c r="CH225" s="92"/>
      <c r="CI225" s="92"/>
      <c r="CJ225" s="92"/>
      <c r="CK225" s="92"/>
    </row>
    <row r="226" spans="1:89" ht="17.25" customHeight="1">
      <c r="A226" s="160"/>
      <c r="B226" s="52"/>
      <c r="C226" s="52"/>
      <c r="D226" s="137">
        <f t="shared" si="28"/>
        <v>0</v>
      </c>
      <c r="E226" s="208"/>
      <c r="F226" s="202"/>
      <c r="G226" s="207"/>
      <c r="H226" s="202"/>
      <c r="I226" s="208"/>
      <c r="J226" s="202"/>
      <c r="K226" s="208">
        <f t="shared" si="12"/>
        <v>0</v>
      </c>
      <c r="L226" s="202"/>
      <c r="M226" s="207"/>
      <c r="N226" s="202"/>
      <c r="O226" s="209"/>
      <c r="P226" s="202"/>
      <c r="Q226" s="206"/>
      <c r="R226" s="202"/>
      <c r="S226" s="207"/>
      <c r="T226" s="202"/>
      <c r="U226" s="207"/>
      <c r="V226" s="202"/>
      <c r="W226" s="208"/>
      <c r="X226" s="202"/>
      <c r="Y226" s="210">
        <f t="shared" si="31"/>
        <v>0</v>
      </c>
      <c r="Z226" s="202"/>
      <c r="AA226" s="207"/>
      <c r="AB226" s="202"/>
      <c r="AC226" s="209"/>
      <c r="AD226" s="202"/>
      <c r="AE226" s="206"/>
      <c r="AF226" s="202"/>
      <c r="AG226" s="207"/>
      <c r="AH226" s="202"/>
      <c r="AI226" s="207"/>
      <c r="AJ226" s="202"/>
      <c r="AK226" s="208"/>
      <c r="AL226" s="202"/>
      <c r="AM226" s="210">
        <f t="shared" si="14"/>
        <v>0</v>
      </c>
      <c r="AN226" s="202"/>
      <c r="AO226" s="207"/>
      <c r="AP226" s="202"/>
      <c r="AQ226" s="209"/>
      <c r="AR226" s="202"/>
      <c r="AS226" s="206"/>
      <c r="AT226" s="202"/>
      <c r="AU226" s="204"/>
      <c r="AV226" s="202"/>
      <c r="AW226" s="204"/>
      <c r="AX226" s="202"/>
      <c r="AY226" s="201"/>
      <c r="AZ226" s="202"/>
      <c r="BA226" s="210">
        <f t="shared" si="15"/>
        <v>0</v>
      </c>
      <c r="BB226" s="202"/>
      <c r="BC226" s="204"/>
      <c r="BD226" s="202"/>
      <c r="BE226" s="209"/>
      <c r="BF226" s="202"/>
      <c r="BG226" s="206"/>
      <c r="BH226" s="202"/>
      <c r="BI226" s="204"/>
      <c r="BJ226" s="202"/>
      <c r="BK226" s="204"/>
      <c r="BL226" s="202"/>
      <c r="BM226" s="201"/>
      <c r="BN226" s="202"/>
      <c r="BO226" s="203">
        <f t="shared" si="16"/>
        <v>0</v>
      </c>
      <c r="BP226" s="202"/>
      <c r="BQ226" s="138"/>
      <c r="BR226" s="128"/>
      <c r="BS226" s="128"/>
      <c r="BT226" s="128"/>
      <c r="BU226" s="128"/>
      <c r="BV226" s="128"/>
      <c r="BW226" s="139"/>
      <c r="BX226" s="140"/>
      <c r="BY226" s="139"/>
      <c r="BZ226" s="139"/>
      <c r="CA226" s="134"/>
      <c r="CB226" s="134"/>
      <c r="CC226" s="134"/>
      <c r="CD226" s="134"/>
      <c r="CE226" s="134"/>
      <c r="CF226" s="134"/>
      <c r="CG226" s="92"/>
      <c r="CH226" s="92"/>
      <c r="CI226" s="92"/>
      <c r="CJ226" s="92"/>
      <c r="CK226" s="92"/>
    </row>
    <row r="227" spans="1:89" ht="17.25" customHeight="1">
      <c r="A227" s="160"/>
      <c r="B227" s="52"/>
      <c r="C227" s="52"/>
      <c r="D227" s="137">
        <f t="shared" si="28"/>
        <v>0</v>
      </c>
      <c r="E227" s="208"/>
      <c r="F227" s="202"/>
      <c r="G227" s="207"/>
      <c r="H227" s="202"/>
      <c r="I227" s="208"/>
      <c r="J227" s="202"/>
      <c r="K227" s="208">
        <f t="shared" si="12"/>
        <v>0</v>
      </c>
      <c r="L227" s="202"/>
      <c r="M227" s="207"/>
      <c r="N227" s="202"/>
      <c r="O227" s="209"/>
      <c r="P227" s="202"/>
      <c r="Q227" s="206"/>
      <c r="R227" s="202"/>
      <c r="S227" s="207"/>
      <c r="T227" s="202"/>
      <c r="U227" s="207"/>
      <c r="V227" s="202"/>
      <c r="W227" s="208"/>
      <c r="X227" s="202"/>
      <c r="Y227" s="210">
        <f t="shared" si="31"/>
        <v>0</v>
      </c>
      <c r="Z227" s="202"/>
      <c r="AA227" s="207"/>
      <c r="AB227" s="202"/>
      <c r="AC227" s="209"/>
      <c r="AD227" s="202"/>
      <c r="AE227" s="206"/>
      <c r="AF227" s="202"/>
      <c r="AG227" s="207"/>
      <c r="AH227" s="202"/>
      <c r="AI227" s="207"/>
      <c r="AJ227" s="202"/>
      <c r="AK227" s="208"/>
      <c r="AL227" s="202"/>
      <c r="AM227" s="210">
        <f t="shared" si="14"/>
        <v>0</v>
      </c>
      <c r="AN227" s="202"/>
      <c r="AO227" s="207"/>
      <c r="AP227" s="202"/>
      <c r="AQ227" s="209"/>
      <c r="AR227" s="202"/>
      <c r="AS227" s="206"/>
      <c r="AT227" s="202"/>
      <c r="AU227" s="204"/>
      <c r="AV227" s="202"/>
      <c r="AW227" s="204"/>
      <c r="AX227" s="202"/>
      <c r="AY227" s="201"/>
      <c r="AZ227" s="202"/>
      <c r="BA227" s="210">
        <f t="shared" si="15"/>
        <v>0</v>
      </c>
      <c r="BB227" s="202"/>
      <c r="BC227" s="204"/>
      <c r="BD227" s="202"/>
      <c r="BE227" s="209"/>
      <c r="BF227" s="202"/>
      <c r="BG227" s="206"/>
      <c r="BH227" s="202"/>
      <c r="BI227" s="204"/>
      <c r="BJ227" s="202"/>
      <c r="BK227" s="204"/>
      <c r="BL227" s="202"/>
      <c r="BM227" s="201"/>
      <c r="BN227" s="202"/>
      <c r="BO227" s="203">
        <f t="shared" si="16"/>
        <v>0</v>
      </c>
      <c r="BP227" s="202"/>
      <c r="BQ227" s="138"/>
      <c r="BR227" s="128"/>
      <c r="BS227" s="128"/>
      <c r="BT227" s="128"/>
      <c r="BU227" s="128"/>
      <c r="BV227" s="128"/>
      <c r="BW227" s="139"/>
      <c r="BX227" s="140"/>
      <c r="BY227" s="139"/>
      <c r="BZ227" s="139"/>
      <c r="CA227" s="134"/>
      <c r="CB227" s="134"/>
      <c r="CC227" s="134"/>
      <c r="CD227" s="134"/>
      <c r="CE227" s="134"/>
      <c r="CF227" s="134"/>
      <c r="CG227" s="92"/>
      <c r="CH227" s="92"/>
      <c r="CI227" s="92"/>
      <c r="CJ227" s="92"/>
      <c r="CK227" s="92"/>
    </row>
    <row r="228" spans="1:89" ht="17.25" customHeight="1">
      <c r="A228" s="160"/>
      <c r="B228" s="52"/>
      <c r="C228" s="52"/>
      <c r="D228" s="137">
        <f t="shared" si="28"/>
        <v>0</v>
      </c>
      <c r="E228" s="208"/>
      <c r="F228" s="202"/>
      <c r="G228" s="207"/>
      <c r="H228" s="202"/>
      <c r="I228" s="208"/>
      <c r="J228" s="202"/>
      <c r="K228" s="208">
        <f t="shared" si="12"/>
        <v>0</v>
      </c>
      <c r="L228" s="202"/>
      <c r="M228" s="207"/>
      <c r="N228" s="202"/>
      <c r="O228" s="209"/>
      <c r="P228" s="202"/>
      <c r="Q228" s="206"/>
      <c r="R228" s="202"/>
      <c r="S228" s="207"/>
      <c r="T228" s="202"/>
      <c r="U228" s="207"/>
      <c r="V228" s="202"/>
      <c r="W228" s="208"/>
      <c r="X228" s="202"/>
      <c r="Y228" s="210">
        <f t="shared" si="31"/>
        <v>0</v>
      </c>
      <c r="Z228" s="202"/>
      <c r="AA228" s="207"/>
      <c r="AB228" s="202"/>
      <c r="AC228" s="209"/>
      <c r="AD228" s="202"/>
      <c r="AE228" s="206"/>
      <c r="AF228" s="202"/>
      <c r="AG228" s="207"/>
      <c r="AH228" s="202"/>
      <c r="AI228" s="207"/>
      <c r="AJ228" s="202"/>
      <c r="AK228" s="208"/>
      <c r="AL228" s="202"/>
      <c r="AM228" s="210">
        <f t="shared" si="14"/>
        <v>0</v>
      </c>
      <c r="AN228" s="202"/>
      <c r="AO228" s="207"/>
      <c r="AP228" s="202"/>
      <c r="AQ228" s="209"/>
      <c r="AR228" s="202"/>
      <c r="AS228" s="206"/>
      <c r="AT228" s="202"/>
      <c r="AU228" s="204"/>
      <c r="AV228" s="202"/>
      <c r="AW228" s="204"/>
      <c r="AX228" s="202"/>
      <c r="AY228" s="201"/>
      <c r="AZ228" s="202"/>
      <c r="BA228" s="210">
        <f t="shared" si="15"/>
        <v>0</v>
      </c>
      <c r="BB228" s="202"/>
      <c r="BC228" s="204"/>
      <c r="BD228" s="202"/>
      <c r="BE228" s="209"/>
      <c r="BF228" s="202"/>
      <c r="BG228" s="206"/>
      <c r="BH228" s="202"/>
      <c r="BI228" s="204"/>
      <c r="BJ228" s="202"/>
      <c r="BK228" s="204"/>
      <c r="BL228" s="202"/>
      <c r="BM228" s="201"/>
      <c r="BN228" s="202"/>
      <c r="BO228" s="203">
        <f t="shared" si="16"/>
        <v>0</v>
      </c>
      <c r="BP228" s="202"/>
      <c r="BQ228" s="138"/>
      <c r="BR228" s="128"/>
      <c r="BS228" s="128"/>
      <c r="BT228" s="128"/>
      <c r="BU228" s="128"/>
      <c r="BV228" s="128"/>
      <c r="BW228" s="139"/>
      <c r="BX228" s="140"/>
      <c r="BY228" s="139"/>
      <c r="BZ228" s="139"/>
      <c r="CA228" s="134"/>
      <c r="CB228" s="134"/>
      <c r="CC228" s="134"/>
      <c r="CD228" s="134"/>
      <c r="CE228" s="134"/>
      <c r="CF228" s="134"/>
      <c r="CG228" s="92"/>
      <c r="CH228" s="92"/>
      <c r="CI228" s="92"/>
      <c r="CJ228" s="92"/>
      <c r="CK228" s="92"/>
    </row>
    <row r="229" spans="1:89" ht="17.25" customHeight="1">
      <c r="A229" s="160"/>
      <c r="B229" s="52"/>
      <c r="C229" s="52"/>
      <c r="D229" s="137">
        <f t="shared" si="28"/>
        <v>0</v>
      </c>
      <c r="E229" s="208"/>
      <c r="F229" s="202"/>
      <c r="G229" s="207"/>
      <c r="H229" s="202"/>
      <c r="I229" s="208"/>
      <c r="J229" s="202"/>
      <c r="K229" s="208">
        <f t="shared" si="12"/>
        <v>0</v>
      </c>
      <c r="L229" s="202"/>
      <c r="M229" s="207"/>
      <c r="N229" s="202"/>
      <c r="O229" s="209"/>
      <c r="P229" s="202"/>
      <c r="Q229" s="206"/>
      <c r="R229" s="202"/>
      <c r="S229" s="207"/>
      <c r="T229" s="202"/>
      <c r="U229" s="207"/>
      <c r="V229" s="202"/>
      <c r="W229" s="208"/>
      <c r="X229" s="202"/>
      <c r="Y229" s="210">
        <f t="shared" si="31"/>
        <v>0</v>
      </c>
      <c r="Z229" s="202"/>
      <c r="AA229" s="207"/>
      <c r="AB229" s="202"/>
      <c r="AC229" s="209"/>
      <c r="AD229" s="202"/>
      <c r="AE229" s="206"/>
      <c r="AF229" s="202"/>
      <c r="AG229" s="207"/>
      <c r="AH229" s="202"/>
      <c r="AI229" s="207"/>
      <c r="AJ229" s="202"/>
      <c r="AK229" s="208"/>
      <c r="AL229" s="202"/>
      <c r="AM229" s="210">
        <f t="shared" si="14"/>
        <v>0</v>
      </c>
      <c r="AN229" s="202"/>
      <c r="AO229" s="207"/>
      <c r="AP229" s="202"/>
      <c r="AQ229" s="209"/>
      <c r="AR229" s="202"/>
      <c r="AS229" s="206"/>
      <c r="AT229" s="202"/>
      <c r="AU229" s="204"/>
      <c r="AV229" s="202"/>
      <c r="AW229" s="204"/>
      <c r="AX229" s="202"/>
      <c r="AY229" s="201"/>
      <c r="AZ229" s="202"/>
      <c r="BA229" s="210">
        <f t="shared" si="15"/>
        <v>0</v>
      </c>
      <c r="BB229" s="202"/>
      <c r="BC229" s="204"/>
      <c r="BD229" s="202"/>
      <c r="BE229" s="209"/>
      <c r="BF229" s="202"/>
      <c r="BG229" s="206"/>
      <c r="BH229" s="202"/>
      <c r="BI229" s="204"/>
      <c r="BJ229" s="202"/>
      <c r="BK229" s="204"/>
      <c r="BL229" s="202"/>
      <c r="BM229" s="201"/>
      <c r="BN229" s="202"/>
      <c r="BO229" s="203">
        <f t="shared" si="16"/>
        <v>0</v>
      </c>
      <c r="BP229" s="202"/>
      <c r="BQ229" s="138"/>
      <c r="BR229" s="128"/>
      <c r="BS229" s="128"/>
      <c r="BT229" s="128"/>
      <c r="BU229" s="128"/>
      <c r="BV229" s="128"/>
      <c r="BW229" s="139"/>
      <c r="BX229" s="140"/>
      <c r="BY229" s="139"/>
      <c r="BZ229" s="139"/>
      <c r="CA229" s="134"/>
      <c r="CB229" s="134"/>
      <c r="CC229" s="134"/>
      <c r="CD229" s="134"/>
      <c r="CE229" s="134"/>
      <c r="CF229" s="134"/>
      <c r="CG229" s="92"/>
      <c r="CH229" s="92"/>
      <c r="CI229" s="92"/>
      <c r="CJ229" s="92"/>
      <c r="CK229" s="92"/>
    </row>
    <row r="230" spans="1:89" ht="17.25" customHeight="1">
      <c r="A230" s="160"/>
      <c r="B230" s="52"/>
      <c r="C230" s="52"/>
      <c r="D230" s="137">
        <f t="shared" si="28"/>
        <v>0</v>
      </c>
      <c r="E230" s="208"/>
      <c r="F230" s="202"/>
      <c r="G230" s="207"/>
      <c r="H230" s="202"/>
      <c r="I230" s="208"/>
      <c r="J230" s="202"/>
      <c r="K230" s="208">
        <f t="shared" si="12"/>
        <v>0</v>
      </c>
      <c r="L230" s="202"/>
      <c r="M230" s="207"/>
      <c r="N230" s="202"/>
      <c r="O230" s="209"/>
      <c r="P230" s="202"/>
      <c r="Q230" s="206"/>
      <c r="R230" s="202"/>
      <c r="S230" s="207"/>
      <c r="T230" s="202"/>
      <c r="U230" s="207"/>
      <c r="V230" s="202"/>
      <c r="W230" s="208"/>
      <c r="X230" s="202"/>
      <c r="Y230" s="210">
        <f t="shared" si="31"/>
        <v>0</v>
      </c>
      <c r="Z230" s="202"/>
      <c r="AA230" s="207"/>
      <c r="AB230" s="202"/>
      <c r="AC230" s="209"/>
      <c r="AD230" s="202"/>
      <c r="AE230" s="206"/>
      <c r="AF230" s="202"/>
      <c r="AG230" s="207"/>
      <c r="AH230" s="202"/>
      <c r="AI230" s="207"/>
      <c r="AJ230" s="202"/>
      <c r="AK230" s="208"/>
      <c r="AL230" s="202"/>
      <c r="AM230" s="210">
        <f t="shared" si="14"/>
        <v>0</v>
      </c>
      <c r="AN230" s="202"/>
      <c r="AO230" s="207"/>
      <c r="AP230" s="202"/>
      <c r="AQ230" s="209"/>
      <c r="AR230" s="202"/>
      <c r="AS230" s="206"/>
      <c r="AT230" s="202"/>
      <c r="AU230" s="204"/>
      <c r="AV230" s="202"/>
      <c r="AW230" s="204"/>
      <c r="AX230" s="202"/>
      <c r="AY230" s="201"/>
      <c r="AZ230" s="202"/>
      <c r="BA230" s="210">
        <f t="shared" si="15"/>
        <v>0</v>
      </c>
      <c r="BB230" s="202"/>
      <c r="BC230" s="204"/>
      <c r="BD230" s="202"/>
      <c r="BE230" s="209"/>
      <c r="BF230" s="202"/>
      <c r="BG230" s="206"/>
      <c r="BH230" s="202"/>
      <c r="BI230" s="204"/>
      <c r="BJ230" s="202"/>
      <c r="BK230" s="204"/>
      <c r="BL230" s="202"/>
      <c r="BM230" s="201"/>
      <c r="BN230" s="202"/>
      <c r="BO230" s="203">
        <f t="shared" si="16"/>
        <v>0</v>
      </c>
      <c r="BP230" s="202"/>
      <c r="BQ230" s="138"/>
      <c r="BR230" s="128"/>
      <c r="BS230" s="128"/>
      <c r="BT230" s="128"/>
      <c r="BU230" s="128"/>
      <c r="BV230" s="128"/>
      <c r="BW230" s="139"/>
      <c r="BX230" s="140"/>
      <c r="BY230" s="139"/>
      <c r="BZ230" s="139"/>
      <c r="CA230" s="134"/>
      <c r="CB230" s="134"/>
      <c r="CC230" s="134"/>
      <c r="CD230" s="134"/>
      <c r="CE230" s="134"/>
      <c r="CF230" s="134"/>
      <c r="CG230" s="92"/>
      <c r="CH230" s="92"/>
      <c r="CI230" s="92"/>
      <c r="CJ230" s="92"/>
      <c r="CK230" s="92"/>
    </row>
    <row r="231" spans="1:89" ht="17.25" customHeight="1">
      <c r="A231" s="160"/>
      <c r="B231" s="52"/>
      <c r="C231" s="52"/>
      <c r="D231" s="137">
        <f t="shared" si="28"/>
        <v>0</v>
      </c>
      <c r="E231" s="208"/>
      <c r="F231" s="202"/>
      <c r="G231" s="207"/>
      <c r="H231" s="202"/>
      <c r="I231" s="208"/>
      <c r="J231" s="202"/>
      <c r="K231" s="208">
        <f t="shared" si="12"/>
        <v>0</v>
      </c>
      <c r="L231" s="202"/>
      <c r="M231" s="207"/>
      <c r="N231" s="202"/>
      <c r="O231" s="209"/>
      <c r="P231" s="202"/>
      <c r="Q231" s="206"/>
      <c r="R231" s="202"/>
      <c r="S231" s="207"/>
      <c r="T231" s="202"/>
      <c r="U231" s="207"/>
      <c r="V231" s="202"/>
      <c r="W231" s="208"/>
      <c r="X231" s="202"/>
      <c r="Y231" s="210">
        <f t="shared" si="31"/>
        <v>0</v>
      </c>
      <c r="Z231" s="202"/>
      <c r="AA231" s="207"/>
      <c r="AB231" s="202"/>
      <c r="AC231" s="209"/>
      <c r="AD231" s="202"/>
      <c r="AE231" s="206"/>
      <c r="AF231" s="202"/>
      <c r="AG231" s="207"/>
      <c r="AH231" s="202"/>
      <c r="AI231" s="207"/>
      <c r="AJ231" s="202"/>
      <c r="AK231" s="208"/>
      <c r="AL231" s="202"/>
      <c r="AM231" s="210">
        <f t="shared" si="14"/>
        <v>0</v>
      </c>
      <c r="AN231" s="202"/>
      <c r="AO231" s="207"/>
      <c r="AP231" s="202"/>
      <c r="AQ231" s="209"/>
      <c r="AR231" s="202"/>
      <c r="AS231" s="206"/>
      <c r="AT231" s="202"/>
      <c r="AU231" s="204"/>
      <c r="AV231" s="202"/>
      <c r="AW231" s="204"/>
      <c r="AX231" s="202"/>
      <c r="AY231" s="201"/>
      <c r="AZ231" s="202"/>
      <c r="BA231" s="210">
        <f t="shared" si="15"/>
        <v>0</v>
      </c>
      <c r="BB231" s="202"/>
      <c r="BC231" s="204"/>
      <c r="BD231" s="202"/>
      <c r="BE231" s="209"/>
      <c r="BF231" s="202"/>
      <c r="BG231" s="206"/>
      <c r="BH231" s="202"/>
      <c r="BI231" s="204"/>
      <c r="BJ231" s="202"/>
      <c r="BK231" s="204"/>
      <c r="BL231" s="202"/>
      <c r="BM231" s="201"/>
      <c r="BN231" s="202"/>
      <c r="BO231" s="203">
        <f t="shared" si="16"/>
        <v>0</v>
      </c>
      <c r="BP231" s="202"/>
      <c r="BQ231" s="138"/>
      <c r="BR231" s="128"/>
      <c r="BS231" s="128"/>
      <c r="BT231" s="128"/>
      <c r="BU231" s="128"/>
      <c r="BV231" s="128"/>
      <c r="BW231" s="139"/>
      <c r="BX231" s="140"/>
      <c r="BY231" s="139"/>
      <c r="BZ231" s="139"/>
      <c r="CA231" s="134"/>
      <c r="CB231" s="134"/>
      <c r="CC231" s="134"/>
      <c r="CD231" s="134"/>
      <c r="CE231" s="134"/>
      <c r="CF231" s="134"/>
      <c r="CG231" s="92"/>
      <c r="CH231" s="92"/>
      <c r="CI231" s="92"/>
      <c r="CJ231" s="92"/>
      <c r="CK231" s="92"/>
    </row>
    <row r="232" spans="1:89" ht="17.25" customHeight="1">
      <c r="A232" s="160"/>
      <c r="B232" s="52"/>
      <c r="C232" s="52"/>
      <c r="D232" s="137">
        <f t="shared" si="28"/>
        <v>0</v>
      </c>
      <c r="E232" s="208"/>
      <c r="F232" s="202"/>
      <c r="G232" s="207"/>
      <c r="H232" s="202"/>
      <c r="I232" s="208"/>
      <c r="J232" s="202"/>
      <c r="K232" s="208">
        <f t="shared" si="12"/>
        <v>0</v>
      </c>
      <c r="L232" s="202"/>
      <c r="M232" s="207"/>
      <c r="N232" s="202"/>
      <c r="O232" s="209"/>
      <c r="P232" s="202"/>
      <c r="Q232" s="206"/>
      <c r="R232" s="202"/>
      <c r="S232" s="207"/>
      <c r="T232" s="202"/>
      <c r="U232" s="207"/>
      <c r="V232" s="202"/>
      <c r="W232" s="208"/>
      <c r="X232" s="202"/>
      <c r="Y232" s="210">
        <f t="shared" si="31"/>
        <v>0</v>
      </c>
      <c r="Z232" s="202"/>
      <c r="AA232" s="207"/>
      <c r="AB232" s="202"/>
      <c r="AC232" s="209"/>
      <c r="AD232" s="202"/>
      <c r="AE232" s="206"/>
      <c r="AF232" s="202"/>
      <c r="AG232" s="207"/>
      <c r="AH232" s="202"/>
      <c r="AI232" s="207"/>
      <c r="AJ232" s="202"/>
      <c r="AK232" s="208"/>
      <c r="AL232" s="202"/>
      <c r="AM232" s="210">
        <f t="shared" si="14"/>
        <v>0</v>
      </c>
      <c r="AN232" s="202"/>
      <c r="AO232" s="207"/>
      <c r="AP232" s="202"/>
      <c r="AQ232" s="209"/>
      <c r="AR232" s="202"/>
      <c r="AS232" s="206"/>
      <c r="AT232" s="202"/>
      <c r="AU232" s="204"/>
      <c r="AV232" s="202"/>
      <c r="AW232" s="204"/>
      <c r="AX232" s="202"/>
      <c r="AY232" s="201"/>
      <c r="AZ232" s="202"/>
      <c r="BA232" s="210">
        <f t="shared" si="15"/>
        <v>0</v>
      </c>
      <c r="BB232" s="202"/>
      <c r="BC232" s="204"/>
      <c r="BD232" s="202"/>
      <c r="BE232" s="209"/>
      <c r="BF232" s="202"/>
      <c r="BG232" s="206"/>
      <c r="BH232" s="202"/>
      <c r="BI232" s="204"/>
      <c r="BJ232" s="202"/>
      <c r="BK232" s="204"/>
      <c r="BL232" s="202"/>
      <c r="BM232" s="201"/>
      <c r="BN232" s="202"/>
      <c r="BO232" s="203">
        <f t="shared" si="16"/>
        <v>0</v>
      </c>
      <c r="BP232" s="202"/>
      <c r="BQ232" s="138"/>
      <c r="BR232" s="128"/>
      <c r="BS232" s="128"/>
      <c r="BT232" s="128"/>
      <c r="BU232" s="128"/>
      <c r="BV232" s="128"/>
      <c r="BW232" s="139"/>
      <c r="BX232" s="140"/>
      <c r="BY232" s="139"/>
      <c r="BZ232" s="139"/>
      <c r="CA232" s="134"/>
      <c r="CB232" s="134"/>
      <c r="CC232" s="134"/>
      <c r="CD232" s="134"/>
      <c r="CE232" s="134"/>
      <c r="CF232" s="134"/>
      <c r="CG232" s="92"/>
      <c r="CH232" s="92"/>
      <c r="CI232" s="92"/>
      <c r="CJ232" s="92"/>
      <c r="CK232" s="92"/>
    </row>
    <row r="233" spans="1:89" ht="17.25" customHeight="1">
      <c r="A233" s="160"/>
      <c r="B233" s="52"/>
      <c r="C233" s="52"/>
      <c r="D233" s="137">
        <f t="shared" si="28"/>
        <v>0</v>
      </c>
      <c r="E233" s="208"/>
      <c r="F233" s="202"/>
      <c r="G233" s="207"/>
      <c r="H233" s="202"/>
      <c r="I233" s="208"/>
      <c r="J233" s="202"/>
      <c r="K233" s="208">
        <f t="shared" si="12"/>
        <v>0</v>
      </c>
      <c r="L233" s="202"/>
      <c r="M233" s="207"/>
      <c r="N233" s="202"/>
      <c r="O233" s="209"/>
      <c r="P233" s="202"/>
      <c r="Q233" s="206"/>
      <c r="R233" s="202"/>
      <c r="S233" s="207"/>
      <c r="T233" s="202"/>
      <c r="U233" s="207"/>
      <c r="V233" s="202"/>
      <c r="W233" s="208"/>
      <c r="X233" s="202"/>
      <c r="Y233" s="210">
        <f t="shared" si="31"/>
        <v>0</v>
      </c>
      <c r="Z233" s="202"/>
      <c r="AA233" s="207"/>
      <c r="AB233" s="202"/>
      <c r="AC233" s="209"/>
      <c r="AD233" s="202"/>
      <c r="AE233" s="206"/>
      <c r="AF233" s="202"/>
      <c r="AG233" s="207"/>
      <c r="AH233" s="202"/>
      <c r="AI233" s="207"/>
      <c r="AJ233" s="202"/>
      <c r="AK233" s="208"/>
      <c r="AL233" s="202"/>
      <c r="AM233" s="210">
        <f t="shared" si="14"/>
        <v>0</v>
      </c>
      <c r="AN233" s="202"/>
      <c r="AO233" s="207"/>
      <c r="AP233" s="202"/>
      <c r="AQ233" s="209"/>
      <c r="AR233" s="202"/>
      <c r="AS233" s="206"/>
      <c r="AT233" s="202"/>
      <c r="AU233" s="204"/>
      <c r="AV233" s="202"/>
      <c r="AW233" s="204"/>
      <c r="AX233" s="202"/>
      <c r="AY233" s="201"/>
      <c r="AZ233" s="202"/>
      <c r="BA233" s="210">
        <f t="shared" si="15"/>
        <v>0</v>
      </c>
      <c r="BB233" s="202"/>
      <c r="BC233" s="204"/>
      <c r="BD233" s="202"/>
      <c r="BE233" s="209"/>
      <c r="BF233" s="202"/>
      <c r="BG233" s="206"/>
      <c r="BH233" s="202"/>
      <c r="BI233" s="204"/>
      <c r="BJ233" s="202"/>
      <c r="BK233" s="204"/>
      <c r="BL233" s="202"/>
      <c r="BM233" s="201"/>
      <c r="BN233" s="202"/>
      <c r="BO233" s="203">
        <f t="shared" si="16"/>
        <v>0</v>
      </c>
      <c r="BP233" s="202"/>
      <c r="BQ233" s="138"/>
      <c r="BR233" s="128"/>
      <c r="BS233" s="128"/>
      <c r="BT233" s="128"/>
      <c r="BU233" s="128"/>
      <c r="BV233" s="128"/>
      <c r="BW233" s="139"/>
      <c r="BX233" s="140"/>
      <c r="BY233" s="139"/>
      <c r="BZ233" s="139"/>
      <c r="CA233" s="134"/>
      <c r="CB233" s="134"/>
      <c r="CC233" s="134"/>
      <c r="CD233" s="134"/>
      <c r="CE233" s="134"/>
      <c r="CF233" s="134"/>
      <c r="CG233" s="92"/>
      <c r="CH233" s="92"/>
      <c r="CI233" s="92"/>
      <c r="CJ233" s="92"/>
      <c r="CK233" s="92"/>
    </row>
    <row r="234" spans="1:89" ht="17.25" customHeight="1">
      <c r="A234" s="160"/>
      <c r="B234" s="52"/>
      <c r="C234" s="52"/>
      <c r="D234" s="137">
        <f t="shared" si="28"/>
        <v>0</v>
      </c>
      <c r="E234" s="208"/>
      <c r="F234" s="202"/>
      <c r="G234" s="207"/>
      <c r="H234" s="202"/>
      <c r="I234" s="208"/>
      <c r="J234" s="202"/>
      <c r="K234" s="208">
        <f t="shared" si="12"/>
        <v>0</v>
      </c>
      <c r="L234" s="202"/>
      <c r="M234" s="207"/>
      <c r="N234" s="202"/>
      <c r="O234" s="209"/>
      <c r="P234" s="202"/>
      <c r="Q234" s="206"/>
      <c r="R234" s="202"/>
      <c r="S234" s="207"/>
      <c r="T234" s="202"/>
      <c r="U234" s="207"/>
      <c r="V234" s="202"/>
      <c r="W234" s="208"/>
      <c r="X234" s="202"/>
      <c r="Y234" s="210">
        <f t="shared" si="31"/>
        <v>0</v>
      </c>
      <c r="Z234" s="202"/>
      <c r="AA234" s="207"/>
      <c r="AB234" s="202"/>
      <c r="AC234" s="209"/>
      <c r="AD234" s="202"/>
      <c r="AE234" s="206"/>
      <c r="AF234" s="202"/>
      <c r="AG234" s="207"/>
      <c r="AH234" s="202"/>
      <c r="AI234" s="207"/>
      <c r="AJ234" s="202"/>
      <c r="AK234" s="208"/>
      <c r="AL234" s="202"/>
      <c r="AM234" s="210">
        <f t="shared" si="14"/>
        <v>0</v>
      </c>
      <c r="AN234" s="202"/>
      <c r="AO234" s="207"/>
      <c r="AP234" s="202"/>
      <c r="AQ234" s="209"/>
      <c r="AR234" s="202"/>
      <c r="AS234" s="206"/>
      <c r="AT234" s="202"/>
      <c r="AU234" s="204"/>
      <c r="AV234" s="202"/>
      <c r="AW234" s="204"/>
      <c r="AX234" s="202"/>
      <c r="AY234" s="201"/>
      <c r="AZ234" s="202"/>
      <c r="BA234" s="210">
        <f t="shared" si="15"/>
        <v>0</v>
      </c>
      <c r="BB234" s="202"/>
      <c r="BC234" s="204"/>
      <c r="BD234" s="202"/>
      <c r="BE234" s="209"/>
      <c r="BF234" s="202"/>
      <c r="BG234" s="206"/>
      <c r="BH234" s="202"/>
      <c r="BI234" s="204"/>
      <c r="BJ234" s="202"/>
      <c r="BK234" s="204"/>
      <c r="BL234" s="202"/>
      <c r="BM234" s="201"/>
      <c r="BN234" s="202"/>
      <c r="BO234" s="203">
        <f t="shared" si="16"/>
        <v>0</v>
      </c>
      <c r="BP234" s="202"/>
      <c r="BQ234" s="138"/>
      <c r="BR234" s="128"/>
      <c r="BS234" s="128"/>
      <c r="BT234" s="128"/>
      <c r="BU234" s="128"/>
      <c r="BV234" s="128"/>
      <c r="BW234" s="139"/>
      <c r="BX234" s="140"/>
      <c r="BY234" s="139"/>
      <c r="BZ234" s="139"/>
      <c r="CA234" s="134"/>
      <c r="CB234" s="134"/>
      <c r="CC234" s="134"/>
      <c r="CD234" s="134"/>
      <c r="CE234" s="134"/>
      <c r="CF234" s="134"/>
      <c r="CG234" s="92"/>
      <c r="CH234" s="92"/>
      <c r="CI234" s="92"/>
      <c r="CJ234" s="92"/>
      <c r="CK234" s="92"/>
    </row>
    <row r="235" spans="1:89" ht="17.25" customHeight="1">
      <c r="A235" s="160"/>
      <c r="B235" s="52"/>
      <c r="C235" s="52"/>
      <c r="D235" s="137">
        <f t="shared" si="28"/>
        <v>0</v>
      </c>
      <c r="E235" s="208"/>
      <c r="F235" s="202"/>
      <c r="G235" s="207"/>
      <c r="H235" s="202"/>
      <c r="I235" s="208"/>
      <c r="J235" s="202"/>
      <c r="K235" s="208">
        <f t="shared" si="12"/>
        <v>0</v>
      </c>
      <c r="L235" s="202"/>
      <c r="M235" s="207"/>
      <c r="N235" s="202"/>
      <c r="O235" s="209"/>
      <c r="P235" s="202"/>
      <c r="Q235" s="206"/>
      <c r="R235" s="202"/>
      <c r="S235" s="207"/>
      <c r="T235" s="202"/>
      <c r="U235" s="207"/>
      <c r="V235" s="202"/>
      <c r="W235" s="208"/>
      <c r="X235" s="202"/>
      <c r="Y235" s="210">
        <f t="shared" si="31"/>
        <v>0</v>
      </c>
      <c r="Z235" s="202"/>
      <c r="AA235" s="207"/>
      <c r="AB235" s="202"/>
      <c r="AC235" s="209"/>
      <c r="AD235" s="202"/>
      <c r="AE235" s="206"/>
      <c r="AF235" s="202"/>
      <c r="AG235" s="207"/>
      <c r="AH235" s="202"/>
      <c r="AI235" s="207"/>
      <c r="AJ235" s="202"/>
      <c r="AK235" s="208"/>
      <c r="AL235" s="202"/>
      <c r="AM235" s="210">
        <f t="shared" si="14"/>
        <v>0</v>
      </c>
      <c r="AN235" s="202"/>
      <c r="AO235" s="207"/>
      <c r="AP235" s="202"/>
      <c r="AQ235" s="209"/>
      <c r="AR235" s="202"/>
      <c r="AS235" s="206"/>
      <c r="AT235" s="202"/>
      <c r="AU235" s="204"/>
      <c r="AV235" s="202"/>
      <c r="AW235" s="204"/>
      <c r="AX235" s="202"/>
      <c r="AY235" s="201"/>
      <c r="AZ235" s="202"/>
      <c r="BA235" s="210">
        <f t="shared" si="15"/>
        <v>0</v>
      </c>
      <c r="BB235" s="202"/>
      <c r="BC235" s="204"/>
      <c r="BD235" s="202"/>
      <c r="BE235" s="209"/>
      <c r="BF235" s="202"/>
      <c r="BG235" s="206"/>
      <c r="BH235" s="202"/>
      <c r="BI235" s="204"/>
      <c r="BJ235" s="202"/>
      <c r="BK235" s="204"/>
      <c r="BL235" s="202"/>
      <c r="BM235" s="201"/>
      <c r="BN235" s="202"/>
      <c r="BO235" s="203">
        <f t="shared" si="16"/>
        <v>0</v>
      </c>
      <c r="BP235" s="202"/>
      <c r="BQ235" s="138"/>
      <c r="BR235" s="128"/>
      <c r="BS235" s="128"/>
      <c r="BT235" s="128"/>
      <c r="BU235" s="128"/>
      <c r="BV235" s="128"/>
      <c r="BW235" s="139"/>
      <c r="BX235" s="140"/>
      <c r="BY235" s="139"/>
      <c r="BZ235" s="139"/>
      <c r="CA235" s="134"/>
      <c r="CB235" s="134"/>
      <c r="CC235" s="134"/>
      <c r="CD235" s="134"/>
      <c r="CE235" s="134"/>
      <c r="CF235" s="134"/>
      <c r="CG235" s="92"/>
      <c r="CH235" s="92"/>
      <c r="CI235" s="92"/>
      <c r="CJ235" s="92"/>
      <c r="CK235" s="92"/>
    </row>
    <row r="236" spans="1:89" ht="17.25" customHeight="1">
      <c r="A236" s="160"/>
      <c r="B236" s="52"/>
      <c r="C236" s="52"/>
      <c r="D236" s="137">
        <f t="shared" si="28"/>
        <v>0</v>
      </c>
      <c r="E236" s="208"/>
      <c r="F236" s="202"/>
      <c r="G236" s="207"/>
      <c r="H236" s="202"/>
      <c r="I236" s="208"/>
      <c r="J236" s="202"/>
      <c r="K236" s="208">
        <f t="shared" si="12"/>
        <v>0</v>
      </c>
      <c r="L236" s="202"/>
      <c r="M236" s="207"/>
      <c r="N236" s="202"/>
      <c r="O236" s="209"/>
      <c r="P236" s="202"/>
      <c r="Q236" s="206"/>
      <c r="R236" s="202"/>
      <c r="S236" s="207"/>
      <c r="T236" s="202"/>
      <c r="U236" s="207"/>
      <c r="V236" s="202"/>
      <c r="W236" s="208"/>
      <c r="X236" s="202"/>
      <c r="Y236" s="210">
        <f t="shared" si="31"/>
        <v>0</v>
      </c>
      <c r="Z236" s="202"/>
      <c r="AA236" s="207"/>
      <c r="AB236" s="202"/>
      <c r="AC236" s="209"/>
      <c r="AD236" s="202"/>
      <c r="AE236" s="206"/>
      <c r="AF236" s="202"/>
      <c r="AG236" s="207"/>
      <c r="AH236" s="202"/>
      <c r="AI236" s="207"/>
      <c r="AJ236" s="202"/>
      <c r="AK236" s="208"/>
      <c r="AL236" s="202"/>
      <c r="AM236" s="210">
        <f t="shared" si="14"/>
        <v>0</v>
      </c>
      <c r="AN236" s="202"/>
      <c r="AO236" s="207"/>
      <c r="AP236" s="202"/>
      <c r="AQ236" s="209"/>
      <c r="AR236" s="202"/>
      <c r="AS236" s="206"/>
      <c r="AT236" s="202"/>
      <c r="AU236" s="204"/>
      <c r="AV236" s="202"/>
      <c r="AW236" s="204"/>
      <c r="AX236" s="202"/>
      <c r="AY236" s="201"/>
      <c r="AZ236" s="202"/>
      <c r="BA236" s="210">
        <f t="shared" si="15"/>
        <v>0</v>
      </c>
      <c r="BB236" s="202"/>
      <c r="BC236" s="204"/>
      <c r="BD236" s="202"/>
      <c r="BE236" s="209"/>
      <c r="BF236" s="202"/>
      <c r="BG236" s="206"/>
      <c r="BH236" s="202"/>
      <c r="BI236" s="204"/>
      <c r="BJ236" s="202"/>
      <c r="BK236" s="204"/>
      <c r="BL236" s="202"/>
      <c r="BM236" s="201"/>
      <c r="BN236" s="202"/>
      <c r="BO236" s="203">
        <f t="shared" si="16"/>
        <v>0</v>
      </c>
      <c r="BP236" s="202"/>
      <c r="BQ236" s="138"/>
      <c r="BR236" s="128"/>
      <c r="BS236" s="128"/>
      <c r="BT236" s="128"/>
      <c r="BU236" s="128"/>
      <c r="BV236" s="128"/>
      <c r="BW236" s="139"/>
      <c r="BX236" s="140"/>
      <c r="BY236" s="139"/>
      <c r="BZ236" s="139"/>
      <c r="CA236" s="134"/>
      <c r="CB236" s="134"/>
      <c r="CC236" s="134"/>
      <c r="CD236" s="134"/>
      <c r="CE236" s="134"/>
      <c r="CF236" s="134"/>
      <c r="CG236" s="92"/>
      <c r="CH236" s="92"/>
      <c r="CI236" s="92"/>
      <c r="CJ236" s="92"/>
      <c r="CK236" s="92"/>
    </row>
    <row r="237" spans="1:89" ht="17.25" customHeight="1">
      <c r="A237" s="160"/>
      <c r="B237" s="52"/>
      <c r="C237" s="52"/>
      <c r="D237" s="137">
        <f t="shared" si="28"/>
        <v>0</v>
      </c>
      <c r="E237" s="208"/>
      <c r="F237" s="202"/>
      <c r="G237" s="207"/>
      <c r="H237" s="202"/>
      <c r="I237" s="208"/>
      <c r="J237" s="202"/>
      <c r="K237" s="208">
        <f t="shared" si="12"/>
        <v>0</v>
      </c>
      <c r="L237" s="202"/>
      <c r="M237" s="207"/>
      <c r="N237" s="202"/>
      <c r="O237" s="209"/>
      <c r="P237" s="202"/>
      <c r="Q237" s="206"/>
      <c r="R237" s="202"/>
      <c r="S237" s="207"/>
      <c r="T237" s="202"/>
      <c r="U237" s="207"/>
      <c r="V237" s="202"/>
      <c r="W237" s="208"/>
      <c r="X237" s="202"/>
      <c r="Y237" s="210">
        <f t="shared" si="31"/>
        <v>0</v>
      </c>
      <c r="Z237" s="202"/>
      <c r="AA237" s="207"/>
      <c r="AB237" s="202"/>
      <c r="AC237" s="209"/>
      <c r="AD237" s="202"/>
      <c r="AE237" s="206"/>
      <c r="AF237" s="202"/>
      <c r="AG237" s="207"/>
      <c r="AH237" s="202"/>
      <c r="AI237" s="207"/>
      <c r="AJ237" s="202"/>
      <c r="AK237" s="208"/>
      <c r="AL237" s="202"/>
      <c r="AM237" s="210">
        <f t="shared" si="14"/>
        <v>0</v>
      </c>
      <c r="AN237" s="202"/>
      <c r="AO237" s="207"/>
      <c r="AP237" s="202"/>
      <c r="AQ237" s="209"/>
      <c r="AR237" s="202"/>
      <c r="AS237" s="206"/>
      <c r="AT237" s="202"/>
      <c r="AU237" s="204"/>
      <c r="AV237" s="202"/>
      <c r="AW237" s="204"/>
      <c r="AX237" s="202"/>
      <c r="AY237" s="201"/>
      <c r="AZ237" s="202"/>
      <c r="BA237" s="210">
        <f t="shared" si="15"/>
        <v>0</v>
      </c>
      <c r="BB237" s="202"/>
      <c r="BC237" s="204"/>
      <c r="BD237" s="202"/>
      <c r="BE237" s="209"/>
      <c r="BF237" s="202"/>
      <c r="BG237" s="206"/>
      <c r="BH237" s="202"/>
      <c r="BI237" s="204"/>
      <c r="BJ237" s="202"/>
      <c r="BK237" s="204"/>
      <c r="BL237" s="202"/>
      <c r="BM237" s="201"/>
      <c r="BN237" s="202"/>
      <c r="BO237" s="203">
        <f t="shared" si="16"/>
        <v>0</v>
      </c>
      <c r="BP237" s="202"/>
      <c r="BQ237" s="138"/>
      <c r="BR237" s="128"/>
      <c r="BS237" s="128"/>
      <c r="BT237" s="128"/>
      <c r="BU237" s="128"/>
      <c r="BV237" s="128"/>
      <c r="BW237" s="139"/>
      <c r="BX237" s="140"/>
      <c r="BY237" s="139"/>
      <c r="BZ237" s="139"/>
      <c r="CA237" s="134"/>
      <c r="CB237" s="134"/>
      <c r="CC237" s="134"/>
      <c r="CD237" s="134"/>
      <c r="CE237" s="134"/>
      <c r="CF237" s="134"/>
      <c r="CG237" s="92"/>
      <c r="CH237" s="92"/>
      <c r="CI237" s="92"/>
      <c r="CJ237" s="92"/>
      <c r="CK237" s="92"/>
    </row>
    <row r="238" spans="1:89" ht="17.25" customHeight="1">
      <c r="A238" s="160"/>
      <c r="B238" s="52"/>
      <c r="C238" s="52"/>
      <c r="D238" s="137">
        <f t="shared" si="28"/>
        <v>0</v>
      </c>
      <c r="E238" s="208"/>
      <c r="F238" s="202"/>
      <c r="G238" s="207"/>
      <c r="H238" s="202"/>
      <c r="I238" s="208"/>
      <c r="J238" s="202"/>
      <c r="K238" s="208">
        <f t="shared" si="12"/>
        <v>0</v>
      </c>
      <c r="L238" s="202"/>
      <c r="M238" s="207"/>
      <c r="N238" s="202"/>
      <c r="O238" s="209"/>
      <c r="P238" s="202"/>
      <c r="Q238" s="206"/>
      <c r="R238" s="202"/>
      <c r="S238" s="207"/>
      <c r="T238" s="202"/>
      <c r="U238" s="207"/>
      <c r="V238" s="202"/>
      <c r="W238" s="208"/>
      <c r="X238" s="202"/>
      <c r="Y238" s="210">
        <f t="shared" si="31"/>
        <v>0</v>
      </c>
      <c r="Z238" s="202"/>
      <c r="AA238" s="207"/>
      <c r="AB238" s="202"/>
      <c r="AC238" s="209"/>
      <c r="AD238" s="202"/>
      <c r="AE238" s="206"/>
      <c r="AF238" s="202"/>
      <c r="AG238" s="207"/>
      <c r="AH238" s="202"/>
      <c r="AI238" s="207"/>
      <c r="AJ238" s="202"/>
      <c r="AK238" s="208"/>
      <c r="AL238" s="202"/>
      <c r="AM238" s="210">
        <f t="shared" si="14"/>
        <v>0</v>
      </c>
      <c r="AN238" s="202"/>
      <c r="AO238" s="207"/>
      <c r="AP238" s="202"/>
      <c r="AQ238" s="209"/>
      <c r="AR238" s="202"/>
      <c r="AS238" s="206"/>
      <c r="AT238" s="202"/>
      <c r="AU238" s="204"/>
      <c r="AV238" s="202"/>
      <c r="AW238" s="204"/>
      <c r="AX238" s="202"/>
      <c r="AY238" s="201"/>
      <c r="AZ238" s="202"/>
      <c r="BA238" s="210">
        <f t="shared" si="15"/>
        <v>0</v>
      </c>
      <c r="BB238" s="202"/>
      <c r="BC238" s="204"/>
      <c r="BD238" s="202"/>
      <c r="BE238" s="209"/>
      <c r="BF238" s="202"/>
      <c r="BG238" s="206"/>
      <c r="BH238" s="202"/>
      <c r="BI238" s="204"/>
      <c r="BJ238" s="202"/>
      <c r="BK238" s="204"/>
      <c r="BL238" s="202"/>
      <c r="BM238" s="201"/>
      <c r="BN238" s="202"/>
      <c r="BO238" s="203">
        <f t="shared" si="16"/>
        <v>0</v>
      </c>
      <c r="BP238" s="202"/>
      <c r="BQ238" s="138"/>
      <c r="BR238" s="128"/>
      <c r="BS238" s="128"/>
      <c r="BT238" s="128"/>
      <c r="BU238" s="128"/>
      <c r="BV238" s="128"/>
      <c r="BW238" s="139"/>
      <c r="BX238" s="140"/>
      <c r="BY238" s="139"/>
      <c r="BZ238" s="139"/>
      <c r="CA238" s="134"/>
      <c r="CB238" s="134"/>
      <c r="CC238" s="134"/>
      <c r="CD238" s="134"/>
      <c r="CE238" s="134"/>
      <c r="CF238" s="134"/>
      <c r="CG238" s="92"/>
      <c r="CH238" s="92"/>
      <c r="CI238" s="92"/>
      <c r="CJ238" s="92"/>
      <c r="CK238" s="92"/>
    </row>
    <row r="239" spans="1:89" ht="17.25" customHeight="1">
      <c r="A239" s="160"/>
      <c r="B239" s="52"/>
      <c r="C239" s="52"/>
      <c r="D239" s="137">
        <f t="shared" si="28"/>
        <v>0</v>
      </c>
      <c r="E239" s="208"/>
      <c r="F239" s="202"/>
      <c r="G239" s="207"/>
      <c r="H239" s="202"/>
      <c r="I239" s="208"/>
      <c r="J239" s="202"/>
      <c r="K239" s="208">
        <f t="shared" si="12"/>
        <v>0</v>
      </c>
      <c r="L239" s="202"/>
      <c r="M239" s="207"/>
      <c r="N239" s="202"/>
      <c r="O239" s="209"/>
      <c r="P239" s="202"/>
      <c r="Q239" s="206"/>
      <c r="R239" s="202"/>
      <c r="S239" s="207"/>
      <c r="T239" s="202"/>
      <c r="U239" s="207"/>
      <c r="V239" s="202"/>
      <c r="W239" s="208"/>
      <c r="X239" s="202"/>
      <c r="Y239" s="210">
        <f t="shared" si="31"/>
        <v>0</v>
      </c>
      <c r="Z239" s="202"/>
      <c r="AA239" s="207"/>
      <c r="AB239" s="202"/>
      <c r="AC239" s="209"/>
      <c r="AD239" s="202"/>
      <c r="AE239" s="206"/>
      <c r="AF239" s="202"/>
      <c r="AG239" s="207"/>
      <c r="AH239" s="202"/>
      <c r="AI239" s="207"/>
      <c r="AJ239" s="202"/>
      <c r="AK239" s="208"/>
      <c r="AL239" s="202"/>
      <c r="AM239" s="210">
        <f t="shared" si="14"/>
        <v>0</v>
      </c>
      <c r="AN239" s="202"/>
      <c r="AO239" s="207"/>
      <c r="AP239" s="202"/>
      <c r="AQ239" s="209"/>
      <c r="AR239" s="202"/>
      <c r="AS239" s="206"/>
      <c r="AT239" s="202"/>
      <c r="AU239" s="204"/>
      <c r="AV239" s="202"/>
      <c r="AW239" s="204"/>
      <c r="AX239" s="202"/>
      <c r="AY239" s="201"/>
      <c r="AZ239" s="202"/>
      <c r="BA239" s="210">
        <f t="shared" si="15"/>
        <v>0</v>
      </c>
      <c r="BB239" s="202"/>
      <c r="BC239" s="204"/>
      <c r="BD239" s="202"/>
      <c r="BE239" s="209"/>
      <c r="BF239" s="202"/>
      <c r="BG239" s="206"/>
      <c r="BH239" s="202"/>
      <c r="BI239" s="204"/>
      <c r="BJ239" s="202"/>
      <c r="BK239" s="204"/>
      <c r="BL239" s="202"/>
      <c r="BM239" s="201"/>
      <c r="BN239" s="202"/>
      <c r="BO239" s="203">
        <f t="shared" si="16"/>
        <v>0</v>
      </c>
      <c r="BP239" s="202"/>
      <c r="BQ239" s="138"/>
      <c r="BR239" s="128"/>
      <c r="BS239" s="128"/>
      <c r="BT239" s="128"/>
      <c r="BU239" s="128"/>
      <c r="BV239" s="128"/>
      <c r="BW239" s="139"/>
      <c r="BX239" s="140"/>
      <c r="BY239" s="139"/>
      <c r="BZ239" s="139"/>
      <c r="CA239" s="134"/>
      <c r="CB239" s="134"/>
      <c r="CC239" s="134"/>
      <c r="CD239" s="134"/>
      <c r="CE239" s="134"/>
      <c r="CF239" s="134"/>
      <c r="CG239" s="92"/>
      <c r="CH239" s="92"/>
      <c r="CI239" s="92"/>
      <c r="CJ239" s="92"/>
      <c r="CK239" s="92"/>
    </row>
    <row r="240" spans="1:89" ht="17.25" customHeight="1">
      <c r="A240" s="160"/>
      <c r="B240" s="52"/>
      <c r="C240" s="52"/>
      <c r="D240" s="137">
        <f t="shared" si="28"/>
        <v>0</v>
      </c>
      <c r="E240" s="208"/>
      <c r="F240" s="202"/>
      <c r="G240" s="207"/>
      <c r="H240" s="202"/>
      <c r="I240" s="208"/>
      <c r="J240" s="202"/>
      <c r="K240" s="208">
        <f t="shared" si="12"/>
        <v>0</v>
      </c>
      <c r="L240" s="202"/>
      <c r="M240" s="207"/>
      <c r="N240" s="202"/>
      <c r="O240" s="209"/>
      <c r="P240" s="202"/>
      <c r="Q240" s="206"/>
      <c r="R240" s="202"/>
      <c r="S240" s="207"/>
      <c r="T240" s="202"/>
      <c r="U240" s="207"/>
      <c r="V240" s="202"/>
      <c r="W240" s="208"/>
      <c r="X240" s="202"/>
      <c r="Y240" s="210">
        <f t="shared" si="31"/>
        <v>0</v>
      </c>
      <c r="Z240" s="202"/>
      <c r="AA240" s="207"/>
      <c r="AB240" s="202"/>
      <c r="AC240" s="209"/>
      <c r="AD240" s="202"/>
      <c r="AE240" s="206"/>
      <c r="AF240" s="202"/>
      <c r="AG240" s="207"/>
      <c r="AH240" s="202"/>
      <c r="AI240" s="207"/>
      <c r="AJ240" s="202"/>
      <c r="AK240" s="208"/>
      <c r="AL240" s="202"/>
      <c r="AM240" s="210">
        <f t="shared" si="14"/>
        <v>0</v>
      </c>
      <c r="AN240" s="202"/>
      <c r="AO240" s="207"/>
      <c r="AP240" s="202"/>
      <c r="AQ240" s="209"/>
      <c r="AR240" s="202"/>
      <c r="AS240" s="206"/>
      <c r="AT240" s="202"/>
      <c r="AU240" s="204"/>
      <c r="AV240" s="202"/>
      <c r="AW240" s="204"/>
      <c r="AX240" s="202"/>
      <c r="AY240" s="201"/>
      <c r="AZ240" s="202"/>
      <c r="BA240" s="210">
        <f t="shared" si="15"/>
        <v>0</v>
      </c>
      <c r="BB240" s="202"/>
      <c r="BC240" s="204"/>
      <c r="BD240" s="202"/>
      <c r="BE240" s="209"/>
      <c r="BF240" s="202"/>
      <c r="BG240" s="206"/>
      <c r="BH240" s="202"/>
      <c r="BI240" s="204"/>
      <c r="BJ240" s="202"/>
      <c r="BK240" s="204"/>
      <c r="BL240" s="202"/>
      <c r="BM240" s="201"/>
      <c r="BN240" s="202"/>
      <c r="BO240" s="203">
        <f t="shared" si="16"/>
        <v>0</v>
      </c>
      <c r="BP240" s="202"/>
      <c r="BQ240" s="138"/>
      <c r="BR240" s="128"/>
      <c r="BS240" s="128"/>
      <c r="BT240" s="128"/>
      <c r="BU240" s="128"/>
      <c r="BV240" s="128"/>
      <c r="BW240" s="139"/>
      <c r="BX240" s="140"/>
      <c r="BY240" s="139"/>
      <c r="BZ240" s="139"/>
      <c r="CA240" s="134"/>
      <c r="CB240" s="134"/>
      <c r="CC240" s="134"/>
      <c r="CD240" s="134"/>
      <c r="CE240" s="134"/>
      <c r="CF240" s="134"/>
      <c r="CG240" s="92"/>
      <c r="CH240" s="92"/>
      <c r="CI240" s="92"/>
      <c r="CJ240" s="92"/>
      <c r="CK240" s="92"/>
    </row>
    <row r="241" spans="1:89" ht="17.25" customHeight="1">
      <c r="A241" s="160"/>
      <c r="B241" s="52"/>
      <c r="C241" s="52"/>
      <c r="D241" s="137">
        <f t="shared" si="28"/>
        <v>0</v>
      </c>
      <c r="E241" s="208"/>
      <c r="F241" s="202"/>
      <c r="G241" s="207"/>
      <c r="H241" s="202"/>
      <c r="I241" s="208"/>
      <c r="J241" s="202"/>
      <c r="K241" s="208">
        <f t="shared" si="12"/>
        <v>0</v>
      </c>
      <c r="L241" s="202"/>
      <c r="M241" s="207"/>
      <c r="N241" s="202"/>
      <c r="O241" s="209"/>
      <c r="P241" s="202"/>
      <c r="Q241" s="206"/>
      <c r="R241" s="202"/>
      <c r="S241" s="207"/>
      <c r="T241" s="202"/>
      <c r="U241" s="207"/>
      <c r="V241" s="202"/>
      <c r="W241" s="208"/>
      <c r="X241" s="202"/>
      <c r="Y241" s="210">
        <f t="shared" si="31"/>
        <v>0</v>
      </c>
      <c r="Z241" s="202"/>
      <c r="AA241" s="207"/>
      <c r="AB241" s="202"/>
      <c r="AC241" s="209"/>
      <c r="AD241" s="202"/>
      <c r="AE241" s="206"/>
      <c r="AF241" s="202"/>
      <c r="AG241" s="207"/>
      <c r="AH241" s="202"/>
      <c r="AI241" s="207"/>
      <c r="AJ241" s="202"/>
      <c r="AK241" s="208"/>
      <c r="AL241" s="202"/>
      <c r="AM241" s="210">
        <f t="shared" si="14"/>
        <v>0</v>
      </c>
      <c r="AN241" s="202"/>
      <c r="AO241" s="207"/>
      <c r="AP241" s="202"/>
      <c r="AQ241" s="209"/>
      <c r="AR241" s="202"/>
      <c r="AS241" s="206"/>
      <c r="AT241" s="202"/>
      <c r="AU241" s="204"/>
      <c r="AV241" s="202"/>
      <c r="AW241" s="204"/>
      <c r="AX241" s="202"/>
      <c r="AY241" s="201"/>
      <c r="AZ241" s="202"/>
      <c r="BA241" s="210">
        <f t="shared" si="15"/>
        <v>0</v>
      </c>
      <c r="BB241" s="202"/>
      <c r="BC241" s="204"/>
      <c r="BD241" s="202"/>
      <c r="BE241" s="209"/>
      <c r="BF241" s="202"/>
      <c r="BG241" s="206"/>
      <c r="BH241" s="202"/>
      <c r="BI241" s="204"/>
      <c r="BJ241" s="202"/>
      <c r="BK241" s="204"/>
      <c r="BL241" s="202"/>
      <c r="BM241" s="201"/>
      <c r="BN241" s="202"/>
      <c r="BO241" s="203">
        <f t="shared" si="16"/>
        <v>0</v>
      </c>
      <c r="BP241" s="202"/>
      <c r="BQ241" s="138"/>
      <c r="BR241" s="128"/>
      <c r="BS241" s="128"/>
      <c r="BT241" s="128"/>
      <c r="BU241" s="128"/>
      <c r="BV241" s="128"/>
      <c r="BW241" s="139"/>
      <c r="BX241" s="140"/>
      <c r="BY241" s="139"/>
      <c r="BZ241" s="139"/>
      <c r="CA241" s="134"/>
      <c r="CB241" s="134"/>
      <c r="CC241" s="134"/>
      <c r="CD241" s="134"/>
      <c r="CE241" s="134"/>
      <c r="CF241" s="134"/>
      <c r="CG241" s="92"/>
      <c r="CH241" s="92"/>
      <c r="CI241" s="92"/>
      <c r="CJ241" s="92"/>
      <c r="CK241" s="92"/>
    </row>
    <row r="242" spans="1:89" ht="17.25" customHeight="1">
      <c r="A242" s="160"/>
      <c r="B242" s="52"/>
      <c r="C242" s="52"/>
      <c r="D242" s="137">
        <f t="shared" si="28"/>
        <v>0</v>
      </c>
      <c r="E242" s="208"/>
      <c r="F242" s="202"/>
      <c r="G242" s="207"/>
      <c r="H242" s="202"/>
      <c r="I242" s="208"/>
      <c r="J242" s="202"/>
      <c r="K242" s="208">
        <f t="shared" si="12"/>
        <v>0</v>
      </c>
      <c r="L242" s="202"/>
      <c r="M242" s="207"/>
      <c r="N242" s="202"/>
      <c r="O242" s="209"/>
      <c r="P242" s="202"/>
      <c r="Q242" s="206"/>
      <c r="R242" s="202"/>
      <c r="S242" s="207"/>
      <c r="T242" s="202"/>
      <c r="U242" s="207"/>
      <c r="V242" s="202"/>
      <c r="W242" s="208"/>
      <c r="X242" s="202"/>
      <c r="Y242" s="210">
        <f t="shared" si="31"/>
        <v>0</v>
      </c>
      <c r="Z242" s="202"/>
      <c r="AA242" s="207"/>
      <c r="AB242" s="202"/>
      <c r="AC242" s="209"/>
      <c r="AD242" s="202"/>
      <c r="AE242" s="206"/>
      <c r="AF242" s="202"/>
      <c r="AG242" s="207"/>
      <c r="AH242" s="202"/>
      <c r="AI242" s="207"/>
      <c r="AJ242" s="202"/>
      <c r="AK242" s="208"/>
      <c r="AL242" s="202"/>
      <c r="AM242" s="210">
        <f t="shared" si="14"/>
        <v>0</v>
      </c>
      <c r="AN242" s="202"/>
      <c r="AO242" s="207"/>
      <c r="AP242" s="202"/>
      <c r="AQ242" s="209"/>
      <c r="AR242" s="202"/>
      <c r="AS242" s="206"/>
      <c r="AT242" s="202"/>
      <c r="AU242" s="204"/>
      <c r="AV242" s="202"/>
      <c r="AW242" s="204"/>
      <c r="AX242" s="202"/>
      <c r="AY242" s="201"/>
      <c r="AZ242" s="202"/>
      <c r="BA242" s="210">
        <f t="shared" si="15"/>
        <v>0</v>
      </c>
      <c r="BB242" s="202"/>
      <c r="BC242" s="204"/>
      <c r="BD242" s="202"/>
      <c r="BE242" s="209"/>
      <c r="BF242" s="202"/>
      <c r="BG242" s="206"/>
      <c r="BH242" s="202"/>
      <c r="BI242" s="204"/>
      <c r="BJ242" s="202"/>
      <c r="BK242" s="204"/>
      <c r="BL242" s="202"/>
      <c r="BM242" s="201"/>
      <c r="BN242" s="202"/>
      <c r="BO242" s="203">
        <f t="shared" si="16"/>
        <v>0</v>
      </c>
      <c r="BP242" s="202"/>
      <c r="BQ242" s="138"/>
      <c r="BR242" s="128"/>
      <c r="BS242" s="128"/>
      <c r="BT242" s="128"/>
      <c r="BU242" s="128"/>
      <c r="BV242" s="128"/>
      <c r="BW242" s="139"/>
      <c r="BX242" s="140"/>
      <c r="BY242" s="139"/>
      <c r="BZ242" s="139"/>
      <c r="CA242" s="134"/>
      <c r="CB242" s="134"/>
      <c r="CC242" s="134"/>
      <c r="CD242" s="134"/>
      <c r="CE242" s="134"/>
      <c r="CF242" s="134"/>
      <c r="CG242" s="92"/>
      <c r="CH242" s="92"/>
      <c r="CI242" s="92"/>
      <c r="CJ242" s="92"/>
      <c r="CK242" s="92"/>
    </row>
    <row r="243" spans="1:89" ht="17.25" customHeight="1">
      <c r="A243" s="160"/>
      <c r="B243" s="52"/>
      <c r="C243" s="52"/>
      <c r="D243" s="137">
        <f t="shared" si="28"/>
        <v>0</v>
      </c>
      <c r="E243" s="208"/>
      <c r="F243" s="202"/>
      <c r="G243" s="207"/>
      <c r="H243" s="202"/>
      <c r="I243" s="208"/>
      <c r="J243" s="202"/>
      <c r="K243" s="208">
        <f t="shared" si="12"/>
        <v>0</v>
      </c>
      <c r="L243" s="202"/>
      <c r="M243" s="207"/>
      <c r="N243" s="202"/>
      <c r="O243" s="209"/>
      <c r="P243" s="202"/>
      <c r="Q243" s="206"/>
      <c r="R243" s="202"/>
      <c r="S243" s="207"/>
      <c r="T243" s="202"/>
      <c r="U243" s="207"/>
      <c r="V243" s="202"/>
      <c r="W243" s="208"/>
      <c r="X243" s="202"/>
      <c r="Y243" s="210">
        <f t="shared" si="31"/>
        <v>0</v>
      </c>
      <c r="Z243" s="202"/>
      <c r="AA243" s="207"/>
      <c r="AB243" s="202"/>
      <c r="AC243" s="209"/>
      <c r="AD243" s="202"/>
      <c r="AE243" s="206"/>
      <c r="AF243" s="202"/>
      <c r="AG243" s="207"/>
      <c r="AH243" s="202"/>
      <c r="AI243" s="207"/>
      <c r="AJ243" s="202"/>
      <c r="AK243" s="208"/>
      <c r="AL243" s="202"/>
      <c r="AM243" s="210">
        <f t="shared" si="14"/>
        <v>0</v>
      </c>
      <c r="AN243" s="202"/>
      <c r="AO243" s="207"/>
      <c r="AP243" s="202"/>
      <c r="AQ243" s="209"/>
      <c r="AR243" s="202"/>
      <c r="AS243" s="206"/>
      <c r="AT243" s="202"/>
      <c r="AU243" s="204"/>
      <c r="AV243" s="202"/>
      <c r="AW243" s="204"/>
      <c r="AX243" s="202"/>
      <c r="AY243" s="201"/>
      <c r="AZ243" s="202"/>
      <c r="BA243" s="210">
        <f t="shared" si="15"/>
        <v>0</v>
      </c>
      <c r="BB243" s="202"/>
      <c r="BC243" s="204"/>
      <c r="BD243" s="202"/>
      <c r="BE243" s="209"/>
      <c r="BF243" s="202"/>
      <c r="BG243" s="206"/>
      <c r="BH243" s="202"/>
      <c r="BI243" s="204"/>
      <c r="BJ243" s="202"/>
      <c r="BK243" s="204"/>
      <c r="BL243" s="202"/>
      <c r="BM243" s="201"/>
      <c r="BN243" s="202"/>
      <c r="BO243" s="203">
        <f t="shared" si="16"/>
        <v>0</v>
      </c>
      <c r="BP243" s="202"/>
      <c r="BQ243" s="138"/>
      <c r="BR243" s="128"/>
      <c r="BS243" s="128"/>
      <c r="BT243" s="128"/>
      <c r="BU243" s="128"/>
      <c r="BV243" s="128"/>
      <c r="BW243" s="139"/>
      <c r="BX243" s="140"/>
      <c r="BY243" s="139"/>
      <c r="BZ243" s="139"/>
      <c r="CA243" s="134"/>
      <c r="CB243" s="134"/>
      <c r="CC243" s="134"/>
      <c r="CD243" s="134"/>
      <c r="CE243" s="134"/>
      <c r="CF243" s="134"/>
      <c r="CG243" s="92"/>
      <c r="CH243" s="92"/>
      <c r="CI243" s="92"/>
      <c r="CJ243" s="92"/>
      <c r="CK243" s="92"/>
    </row>
    <row r="244" spans="1:89" ht="17.25" customHeight="1">
      <c r="A244" s="160"/>
      <c r="B244" s="52"/>
      <c r="C244" s="52"/>
      <c r="D244" s="137">
        <f t="shared" si="28"/>
        <v>0</v>
      </c>
      <c r="E244" s="208"/>
      <c r="F244" s="202"/>
      <c r="G244" s="207"/>
      <c r="H244" s="202"/>
      <c r="I244" s="208"/>
      <c r="J244" s="202"/>
      <c r="K244" s="208">
        <f t="shared" si="12"/>
        <v>0</v>
      </c>
      <c r="L244" s="202"/>
      <c r="M244" s="207"/>
      <c r="N244" s="202"/>
      <c r="O244" s="209"/>
      <c r="P244" s="202"/>
      <c r="Q244" s="206"/>
      <c r="R244" s="202"/>
      <c r="S244" s="207"/>
      <c r="T244" s="202"/>
      <c r="U244" s="207"/>
      <c r="V244" s="202"/>
      <c r="W244" s="208"/>
      <c r="X244" s="202"/>
      <c r="Y244" s="210">
        <f t="shared" si="31"/>
        <v>0</v>
      </c>
      <c r="Z244" s="202"/>
      <c r="AA244" s="207"/>
      <c r="AB244" s="202"/>
      <c r="AC244" s="209"/>
      <c r="AD244" s="202"/>
      <c r="AE244" s="206"/>
      <c r="AF244" s="202"/>
      <c r="AG244" s="207"/>
      <c r="AH244" s="202"/>
      <c r="AI244" s="207"/>
      <c r="AJ244" s="202"/>
      <c r="AK244" s="208"/>
      <c r="AL244" s="202"/>
      <c r="AM244" s="210">
        <f t="shared" si="14"/>
        <v>0</v>
      </c>
      <c r="AN244" s="202"/>
      <c r="AO244" s="207"/>
      <c r="AP244" s="202"/>
      <c r="AQ244" s="209"/>
      <c r="AR244" s="202"/>
      <c r="AS244" s="206"/>
      <c r="AT244" s="202"/>
      <c r="AU244" s="204"/>
      <c r="AV244" s="202"/>
      <c r="AW244" s="204"/>
      <c r="AX244" s="202"/>
      <c r="AY244" s="201"/>
      <c r="AZ244" s="202"/>
      <c r="BA244" s="210">
        <f t="shared" si="15"/>
        <v>0</v>
      </c>
      <c r="BB244" s="202"/>
      <c r="BC244" s="204"/>
      <c r="BD244" s="202"/>
      <c r="BE244" s="209"/>
      <c r="BF244" s="202"/>
      <c r="BG244" s="206"/>
      <c r="BH244" s="202"/>
      <c r="BI244" s="204"/>
      <c r="BJ244" s="202"/>
      <c r="BK244" s="204"/>
      <c r="BL244" s="202"/>
      <c r="BM244" s="201"/>
      <c r="BN244" s="202"/>
      <c r="BO244" s="203">
        <f t="shared" si="16"/>
        <v>0</v>
      </c>
      <c r="BP244" s="202"/>
      <c r="BQ244" s="138"/>
      <c r="BR244" s="128"/>
      <c r="BS244" s="128"/>
      <c r="BT244" s="128"/>
      <c r="BU244" s="128"/>
      <c r="BV244" s="128"/>
      <c r="BW244" s="139"/>
      <c r="BX244" s="140"/>
      <c r="BY244" s="139"/>
      <c r="BZ244" s="139"/>
      <c r="CA244" s="134"/>
      <c r="CB244" s="134"/>
      <c r="CC244" s="134"/>
      <c r="CD244" s="134"/>
      <c r="CE244" s="134"/>
      <c r="CF244" s="134"/>
      <c r="CG244" s="92"/>
      <c r="CH244" s="92"/>
      <c r="CI244" s="92"/>
      <c r="CJ244" s="92"/>
      <c r="CK244" s="92"/>
    </row>
    <row r="245" spans="1:89" ht="17.25" customHeight="1">
      <c r="A245" s="160"/>
      <c r="B245" s="52"/>
      <c r="C245" s="52"/>
      <c r="D245" s="137">
        <f t="shared" si="28"/>
        <v>0</v>
      </c>
      <c r="E245" s="208"/>
      <c r="F245" s="202"/>
      <c r="G245" s="207"/>
      <c r="H245" s="202"/>
      <c r="I245" s="208"/>
      <c r="J245" s="202"/>
      <c r="K245" s="208">
        <f t="shared" si="12"/>
        <v>0</v>
      </c>
      <c r="L245" s="202"/>
      <c r="M245" s="207"/>
      <c r="N245" s="202"/>
      <c r="O245" s="209"/>
      <c r="P245" s="202"/>
      <c r="Q245" s="206"/>
      <c r="R245" s="202"/>
      <c r="S245" s="207"/>
      <c r="T245" s="202"/>
      <c r="U245" s="207"/>
      <c r="V245" s="202"/>
      <c r="W245" s="208"/>
      <c r="X245" s="202"/>
      <c r="Y245" s="210">
        <f t="shared" si="31"/>
        <v>0</v>
      </c>
      <c r="Z245" s="202"/>
      <c r="AA245" s="207"/>
      <c r="AB245" s="202"/>
      <c r="AC245" s="209"/>
      <c r="AD245" s="202"/>
      <c r="AE245" s="206"/>
      <c r="AF245" s="202"/>
      <c r="AG245" s="207"/>
      <c r="AH245" s="202"/>
      <c r="AI245" s="207"/>
      <c r="AJ245" s="202"/>
      <c r="AK245" s="208"/>
      <c r="AL245" s="202"/>
      <c r="AM245" s="210">
        <f t="shared" si="14"/>
        <v>0</v>
      </c>
      <c r="AN245" s="202"/>
      <c r="AO245" s="207"/>
      <c r="AP245" s="202"/>
      <c r="AQ245" s="209"/>
      <c r="AR245" s="202"/>
      <c r="AS245" s="206"/>
      <c r="AT245" s="202"/>
      <c r="AU245" s="204"/>
      <c r="AV245" s="202"/>
      <c r="AW245" s="204"/>
      <c r="AX245" s="202"/>
      <c r="AY245" s="201"/>
      <c r="AZ245" s="202"/>
      <c r="BA245" s="210">
        <f t="shared" si="15"/>
        <v>0</v>
      </c>
      <c r="BB245" s="202"/>
      <c r="BC245" s="204"/>
      <c r="BD245" s="202"/>
      <c r="BE245" s="209"/>
      <c r="BF245" s="202"/>
      <c r="BG245" s="206"/>
      <c r="BH245" s="202"/>
      <c r="BI245" s="204"/>
      <c r="BJ245" s="202"/>
      <c r="BK245" s="204"/>
      <c r="BL245" s="202"/>
      <c r="BM245" s="201"/>
      <c r="BN245" s="202"/>
      <c r="BO245" s="203">
        <f t="shared" si="16"/>
        <v>0</v>
      </c>
      <c r="BP245" s="202"/>
      <c r="BQ245" s="138"/>
      <c r="BR245" s="128"/>
      <c r="BS245" s="128"/>
      <c r="BT245" s="128"/>
      <c r="BU245" s="128"/>
      <c r="BV245" s="128"/>
      <c r="BW245" s="139"/>
      <c r="BX245" s="140"/>
      <c r="BY245" s="139"/>
      <c r="BZ245" s="139"/>
      <c r="CA245" s="134"/>
      <c r="CB245" s="134"/>
      <c r="CC245" s="134"/>
      <c r="CD245" s="134"/>
      <c r="CE245" s="134"/>
      <c r="CF245" s="134"/>
      <c r="CG245" s="92"/>
      <c r="CH245" s="92"/>
      <c r="CI245" s="92"/>
      <c r="CJ245" s="92"/>
      <c r="CK245" s="92"/>
    </row>
    <row r="246" spans="1:89" ht="17.25" customHeight="1">
      <c r="A246" s="160"/>
      <c r="B246" s="52"/>
      <c r="C246" s="52"/>
      <c r="D246" s="137">
        <f t="shared" si="28"/>
        <v>0</v>
      </c>
      <c r="E246" s="208"/>
      <c r="F246" s="202"/>
      <c r="G246" s="207"/>
      <c r="H246" s="202"/>
      <c r="I246" s="208"/>
      <c r="J246" s="202"/>
      <c r="K246" s="208">
        <f t="shared" si="12"/>
        <v>0</v>
      </c>
      <c r="L246" s="202"/>
      <c r="M246" s="207"/>
      <c r="N246" s="202"/>
      <c r="O246" s="209"/>
      <c r="P246" s="202"/>
      <c r="Q246" s="206"/>
      <c r="R246" s="202"/>
      <c r="S246" s="207"/>
      <c r="T246" s="202"/>
      <c r="U246" s="207"/>
      <c r="V246" s="202"/>
      <c r="W246" s="208"/>
      <c r="X246" s="202"/>
      <c r="Y246" s="210">
        <f t="shared" si="31"/>
        <v>0</v>
      </c>
      <c r="Z246" s="202"/>
      <c r="AA246" s="207"/>
      <c r="AB246" s="202"/>
      <c r="AC246" s="209"/>
      <c r="AD246" s="202"/>
      <c r="AE246" s="206"/>
      <c r="AF246" s="202"/>
      <c r="AG246" s="207"/>
      <c r="AH246" s="202"/>
      <c r="AI246" s="207"/>
      <c r="AJ246" s="202"/>
      <c r="AK246" s="208"/>
      <c r="AL246" s="202"/>
      <c r="AM246" s="210">
        <f t="shared" si="14"/>
        <v>0</v>
      </c>
      <c r="AN246" s="202"/>
      <c r="AO246" s="207"/>
      <c r="AP246" s="202"/>
      <c r="AQ246" s="209"/>
      <c r="AR246" s="202"/>
      <c r="AS246" s="206"/>
      <c r="AT246" s="202"/>
      <c r="AU246" s="204"/>
      <c r="AV246" s="202"/>
      <c r="AW246" s="204"/>
      <c r="AX246" s="202"/>
      <c r="AY246" s="201"/>
      <c r="AZ246" s="202"/>
      <c r="BA246" s="210">
        <f t="shared" si="15"/>
        <v>0</v>
      </c>
      <c r="BB246" s="202"/>
      <c r="BC246" s="204"/>
      <c r="BD246" s="202"/>
      <c r="BE246" s="209"/>
      <c r="BF246" s="202"/>
      <c r="BG246" s="206"/>
      <c r="BH246" s="202"/>
      <c r="BI246" s="204"/>
      <c r="BJ246" s="202"/>
      <c r="BK246" s="204"/>
      <c r="BL246" s="202"/>
      <c r="BM246" s="201"/>
      <c r="BN246" s="202"/>
      <c r="BO246" s="203">
        <f t="shared" si="16"/>
        <v>0</v>
      </c>
      <c r="BP246" s="202"/>
      <c r="BQ246" s="138"/>
      <c r="BR246" s="128"/>
      <c r="BS246" s="128"/>
      <c r="BT246" s="128"/>
      <c r="BU246" s="128"/>
      <c r="BV246" s="128"/>
      <c r="BW246" s="139"/>
      <c r="BX246" s="140"/>
      <c r="BY246" s="139"/>
      <c r="BZ246" s="139"/>
      <c r="CA246" s="134"/>
      <c r="CB246" s="134"/>
      <c r="CC246" s="134"/>
      <c r="CD246" s="134"/>
      <c r="CE246" s="134"/>
      <c r="CF246" s="134"/>
      <c r="CG246" s="92"/>
      <c r="CH246" s="92"/>
      <c r="CI246" s="92"/>
      <c r="CJ246" s="92"/>
      <c r="CK246" s="92"/>
    </row>
    <row r="247" spans="1:89" ht="17.25" customHeight="1">
      <c r="A247" s="160"/>
      <c r="B247" s="52"/>
      <c r="C247" s="52"/>
      <c r="D247" s="137">
        <f t="shared" si="28"/>
        <v>0</v>
      </c>
      <c r="E247" s="208"/>
      <c r="F247" s="202"/>
      <c r="G247" s="207"/>
      <c r="H247" s="202"/>
      <c r="I247" s="208"/>
      <c r="J247" s="202"/>
      <c r="K247" s="208">
        <f t="shared" si="12"/>
        <v>0</v>
      </c>
      <c r="L247" s="202"/>
      <c r="M247" s="207"/>
      <c r="N247" s="202"/>
      <c r="O247" s="209"/>
      <c r="P247" s="202"/>
      <c r="Q247" s="206"/>
      <c r="R247" s="202"/>
      <c r="S247" s="207"/>
      <c r="T247" s="202"/>
      <c r="U247" s="207"/>
      <c r="V247" s="202"/>
      <c r="W247" s="208"/>
      <c r="X247" s="202"/>
      <c r="Y247" s="210">
        <f t="shared" si="31"/>
        <v>0</v>
      </c>
      <c r="Z247" s="202"/>
      <c r="AA247" s="207"/>
      <c r="AB247" s="202"/>
      <c r="AC247" s="209"/>
      <c r="AD247" s="202"/>
      <c r="AE247" s="206"/>
      <c r="AF247" s="202"/>
      <c r="AG247" s="207"/>
      <c r="AH247" s="202"/>
      <c r="AI247" s="207"/>
      <c r="AJ247" s="202"/>
      <c r="AK247" s="208"/>
      <c r="AL247" s="202"/>
      <c r="AM247" s="210">
        <f t="shared" si="14"/>
        <v>0</v>
      </c>
      <c r="AN247" s="202"/>
      <c r="AO247" s="207"/>
      <c r="AP247" s="202"/>
      <c r="AQ247" s="209"/>
      <c r="AR247" s="202"/>
      <c r="AS247" s="206"/>
      <c r="AT247" s="202"/>
      <c r="AU247" s="204"/>
      <c r="AV247" s="202"/>
      <c r="AW247" s="204"/>
      <c r="AX247" s="202"/>
      <c r="AY247" s="201"/>
      <c r="AZ247" s="202"/>
      <c r="BA247" s="210">
        <f t="shared" si="15"/>
        <v>0</v>
      </c>
      <c r="BB247" s="202"/>
      <c r="BC247" s="204"/>
      <c r="BD247" s="202"/>
      <c r="BE247" s="209"/>
      <c r="BF247" s="202"/>
      <c r="BG247" s="206"/>
      <c r="BH247" s="202"/>
      <c r="BI247" s="204"/>
      <c r="BJ247" s="202"/>
      <c r="BK247" s="204"/>
      <c r="BL247" s="202"/>
      <c r="BM247" s="201"/>
      <c r="BN247" s="202"/>
      <c r="BO247" s="203">
        <f t="shared" si="16"/>
        <v>0</v>
      </c>
      <c r="BP247" s="202"/>
      <c r="BQ247" s="138"/>
      <c r="BR247" s="128"/>
      <c r="BS247" s="128"/>
      <c r="BT247" s="128"/>
      <c r="BU247" s="128"/>
      <c r="BV247" s="128"/>
      <c r="BW247" s="139"/>
      <c r="BX247" s="140"/>
      <c r="BY247" s="139"/>
      <c r="BZ247" s="139"/>
      <c r="CA247" s="134"/>
      <c r="CB247" s="134"/>
      <c r="CC247" s="134"/>
      <c r="CD247" s="134"/>
      <c r="CE247" s="134"/>
      <c r="CF247" s="134"/>
      <c r="CG247" s="92"/>
      <c r="CH247" s="92"/>
      <c r="CI247" s="92"/>
      <c r="CJ247" s="92"/>
      <c r="CK247" s="92"/>
    </row>
    <row r="248" spans="1:89" ht="17.25" customHeight="1">
      <c r="A248" s="160"/>
      <c r="B248" s="52"/>
      <c r="C248" s="52"/>
      <c r="D248" s="137">
        <f t="shared" si="28"/>
        <v>0</v>
      </c>
      <c r="E248" s="208"/>
      <c r="F248" s="202"/>
      <c r="G248" s="207"/>
      <c r="H248" s="202"/>
      <c r="I248" s="208"/>
      <c r="J248" s="202"/>
      <c r="K248" s="208">
        <f t="shared" si="12"/>
        <v>0</v>
      </c>
      <c r="L248" s="202"/>
      <c r="M248" s="207"/>
      <c r="N248" s="202"/>
      <c r="O248" s="209"/>
      <c r="P248" s="202"/>
      <c r="Q248" s="206"/>
      <c r="R248" s="202"/>
      <c r="S248" s="207"/>
      <c r="T248" s="202"/>
      <c r="U248" s="207"/>
      <c r="V248" s="202"/>
      <c r="W248" s="208"/>
      <c r="X248" s="202"/>
      <c r="Y248" s="210">
        <f t="shared" si="31"/>
        <v>0</v>
      </c>
      <c r="Z248" s="202"/>
      <c r="AA248" s="207"/>
      <c r="AB248" s="202"/>
      <c r="AC248" s="209"/>
      <c r="AD248" s="202"/>
      <c r="AE248" s="206"/>
      <c r="AF248" s="202"/>
      <c r="AG248" s="207"/>
      <c r="AH248" s="202"/>
      <c r="AI248" s="207"/>
      <c r="AJ248" s="202"/>
      <c r="AK248" s="208"/>
      <c r="AL248" s="202"/>
      <c r="AM248" s="210">
        <f t="shared" si="14"/>
        <v>0</v>
      </c>
      <c r="AN248" s="202"/>
      <c r="AO248" s="207"/>
      <c r="AP248" s="202"/>
      <c r="AQ248" s="209"/>
      <c r="AR248" s="202"/>
      <c r="AS248" s="206"/>
      <c r="AT248" s="202"/>
      <c r="AU248" s="204"/>
      <c r="AV248" s="202"/>
      <c r="AW248" s="204"/>
      <c r="AX248" s="202"/>
      <c r="AY248" s="201"/>
      <c r="AZ248" s="202"/>
      <c r="BA248" s="210">
        <f t="shared" si="15"/>
        <v>0</v>
      </c>
      <c r="BB248" s="202"/>
      <c r="BC248" s="204"/>
      <c r="BD248" s="202"/>
      <c r="BE248" s="209"/>
      <c r="BF248" s="202"/>
      <c r="BG248" s="206"/>
      <c r="BH248" s="202"/>
      <c r="BI248" s="204"/>
      <c r="BJ248" s="202"/>
      <c r="BK248" s="204"/>
      <c r="BL248" s="202"/>
      <c r="BM248" s="201"/>
      <c r="BN248" s="202"/>
      <c r="BO248" s="203">
        <f t="shared" si="16"/>
        <v>0</v>
      </c>
      <c r="BP248" s="202"/>
      <c r="BQ248" s="138"/>
      <c r="BR248" s="128"/>
      <c r="BS248" s="128"/>
      <c r="BT248" s="128"/>
      <c r="BU248" s="128"/>
      <c r="BV248" s="128"/>
      <c r="BW248" s="139"/>
      <c r="BX248" s="140"/>
      <c r="BY248" s="139"/>
      <c r="BZ248" s="139"/>
      <c r="CA248" s="134"/>
      <c r="CB248" s="134"/>
      <c r="CC248" s="134"/>
      <c r="CD248" s="134"/>
      <c r="CE248" s="134"/>
      <c r="CF248" s="134"/>
      <c r="CG248" s="92"/>
      <c r="CH248" s="92"/>
      <c r="CI248" s="92"/>
      <c r="CJ248" s="92"/>
      <c r="CK248" s="92"/>
    </row>
    <row r="249" spans="1:89" ht="17.25" customHeight="1">
      <c r="A249" s="160"/>
      <c r="B249" s="52"/>
      <c r="C249" s="52"/>
      <c r="D249" s="137">
        <f t="shared" si="28"/>
        <v>0</v>
      </c>
      <c r="E249" s="208"/>
      <c r="F249" s="202"/>
      <c r="G249" s="207"/>
      <c r="H249" s="202"/>
      <c r="I249" s="208"/>
      <c r="J249" s="202"/>
      <c r="K249" s="208">
        <f t="shared" si="12"/>
        <v>0</v>
      </c>
      <c r="L249" s="202"/>
      <c r="M249" s="207"/>
      <c r="N249" s="202"/>
      <c r="O249" s="209"/>
      <c r="P249" s="202"/>
      <c r="Q249" s="206"/>
      <c r="R249" s="202"/>
      <c r="S249" s="207"/>
      <c r="T249" s="202"/>
      <c r="U249" s="207"/>
      <c r="V249" s="202"/>
      <c r="W249" s="208"/>
      <c r="X249" s="202"/>
      <c r="Y249" s="210">
        <f t="shared" si="31"/>
        <v>0</v>
      </c>
      <c r="Z249" s="202"/>
      <c r="AA249" s="207"/>
      <c r="AB249" s="202"/>
      <c r="AC249" s="209"/>
      <c r="AD249" s="202"/>
      <c r="AE249" s="206"/>
      <c r="AF249" s="202"/>
      <c r="AG249" s="207"/>
      <c r="AH249" s="202"/>
      <c r="AI249" s="207"/>
      <c r="AJ249" s="202"/>
      <c r="AK249" s="208"/>
      <c r="AL249" s="202"/>
      <c r="AM249" s="210">
        <f t="shared" si="14"/>
        <v>0</v>
      </c>
      <c r="AN249" s="202"/>
      <c r="AO249" s="207"/>
      <c r="AP249" s="202"/>
      <c r="AQ249" s="209"/>
      <c r="AR249" s="202"/>
      <c r="AS249" s="206"/>
      <c r="AT249" s="202"/>
      <c r="AU249" s="204"/>
      <c r="AV249" s="202"/>
      <c r="AW249" s="204"/>
      <c r="AX249" s="202"/>
      <c r="AY249" s="201"/>
      <c r="AZ249" s="202"/>
      <c r="BA249" s="210">
        <f t="shared" si="15"/>
        <v>0</v>
      </c>
      <c r="BB249" s="202"/>
      <c r="BC249" s="204"/>
      <c r="BD249" s="202"/>
      <c r="BE249" s="209"/>
      <c r="BF249" s="202"/>
      <c r="BG249" s="206"/>
      <c r="BH249" s="202"/>
      <c r="BI249" s="204"/>
      <c r="BJ249" s="202"/>
      <c r="BK249" s="204"/>
      <c r="BL249" s="202"/>
      <c r="BM249" s="201"/>
      <c r="BN249" s="202"/>
      <c r="BO249" s="203">
        <f t="shared" si="16"/>
        <v>0</v>
      </c>
      <c r="BP249" s="202"/>
      <c r="BQ249" s="138"/>
      <c r="BR249" s="128"/>
      <c r="BS249" s="128"/>
      <c r="BT249" s="128"/>
      <c r="BU249" s="128"/>
      <c r="BV249" s="128"/>
      <c r="BW249" s="139"/>
      <c r="BX249" s="140"/>
      <c r="BY249" s="139"/>
      <c r="BZ249" s="139"/>
      <c r="CA249" s="134"/>
      <c r="CB249" s="134"/>
      <c r="CC249" s="134"/>
      <c r="CD249" s="134"/>
      <c r="CE249" s="134"/>
      <c r="CF249" s="134"/>
      <c r="CG249" s="92"/>
      <c r="CH249" s="92"/>
      <c r="CI249" s="92"/>
      <c r="CJ249" s="92"/>
      <c r="CK249" s="92"/>
    </row>
    <row r="250" spans="1:89" ht="17.25" customHeight="1">
      <c r="A250" s="160"/>
      <c r="B250" s="52"/>
      <c r="C250" s="52"/>
      <c r="D250" s="137">
        <f t="shared" si="28"/>
        <v>0</v>
      </c>
      <c r="E250" s="208"/>
      <c r="F250" s="202"/>
      <c r="G250" s="207"/>
      <c r="H250" s="202"/>
      <c r="I250" s="208"/>
      <c r="J250" s="202"/>
      <c r="K250" s="208">
        <f t="shared" si="12"/>
        <v>0</v>
      </c>
      <c r="L250" s="202"/>
      <c r="M250" s="207"/>
      <c r="N250" s="202"/>
      <c r="O250" s="209"/>
      <c r="P250" s="202"/>
      <c r="Q250" s="206"/>
      <c r="R250" s="202"/>
      <c r="S250" s="207"/>
      <c r="T250" s="202"/>
      <c r="U250" s="207"/>
      <c r="V250" s="202"/>
      <c r="W250" s="208"/>
      <c r="X250" s="202"/>
      <c r="Y250" s="210">
        <f t="shared" si="31"/>
        <v>0</v>
      </c>
      <c r="Z250" s="202"/>
      <c r="AA250" s="207"/>
      <c r="AB250" s="202"/>
      <c r="AC250" s="209"/>
      <c r="AD250" s="202"/>
      <c r="AE250" s="206"/>
      <c r="AF250" s="202"/>
      <c r="AG250" s="207"/>
      <c r="AH250" s="202"/>
      <c r="AI250" s="207"/>
      <c r="AJ250" s="202"/>
      <c r="AK250" s="208"/>
      <c r="AL250" s="202"/>
      <c r="AM250" s="210">
        <f t="shared" si="14"/>
        <v>0</v>
      </c>
      <c r="AN250" s="202"/>
      <c r="AO250" s="207"/>
      <c r="AP250" s="202"/>
      <c r="AQ250" s="209"/>
      <c r="AR250" s="202"/>
      <c r="AS250" s="206"/>
      <c r="AT250" s="202"/>
      <c r="AU250" s="204"/>
      <c r="AV250" s="202"/>
      <c r="AW250" s="204"/>
      <c r="AX250" s="202"/>
      <c r="AY250" s="201"/>
      <c r="AZ250" s="202"/>
      <c r="BA250" s="210">
        <f t="shared" si="15"/>
        <v>0</v>
      </c>
      <c r="BB250" s="202"/>
      <c r="BC250" s="204"/>
      <c r="BD250" s="202"/>
      <c r="BE250" s="209"/>
      <c r="BF250" s="202"/>
      <c r="BG250" s="206"/>
      <c r="BH250" s="202"/>
      <c r="BI250" s="204"/>
      <c r="BJ250" s="202"/>
      <c r="BK250" s="204"/>
      <c r="BL250" s="202"/>
      <c r="BM250" s="201"/>
      <c r="BN250" s="202"/>
      <c r="BO250" s="203">
        <f t="shared" si="16"/>
        <v>0</v>
      </c>
      <c r="BP250" s="202"/>
      <c r="BQ250" s="138"/>
      <c r="BR250" s="128"/>
      <c r="BS250" s="128"/>
      <c r="BT250" s="128"/>
      <c r="BU250" s="128"/>
      <c r="BV250" s="128"/>
      <c r="BW250" s="139"/>
      <c r="BX250" s="140"/>
      <c r="BY250" s="139"/>
      <c r="BZ250" s="139"/>
      <c r="CA250" s="134"/>
      <c r="CB250" s="134"/>
      <c r="CC250" s="134"/>
      <c r="CD250" s="134"/>
      <c r="CE250" s="134"/>
      <c r="CF250" s="134"/>
      <c r="CG250" s="92"/>
      <c r="CH250" s="92"/>
      <c r="CI250" s="92"/>
      <c r="CJ250" s="92"/>
      <c r="CK250" s="92"/>
    </row>
    <row r="251" spans="1:89" ht="17.25" customHeight="1">
      <c r="A251" s="160"/>
      <c r="B251" s="52"/>
      <c r="C251" s="52"/>
      <c r="D251" s="137">
        <f t="shared" si="28"/>
        <v>0</v>
      </c>
      <c r="E251" s="208"/>
      <c r="F251" s="202"/>
      <c r="G251" s="207"/>
      <c r="H251" s="202"/>
      <c r="I251" s="208"/>
      <c r="J251" s="202"/>
      <c r="K251" s="208">
        <f t="shared" si="12"/>
        <v>0</v>
      </c>
      <c r="L251" s="202"/>
      <c r="M251" s="207"/>
      <c r="N251" s="202"/>
      <c r="O251" s="209"/>
      <c r="P251" s="202"/>
      <c r="Q251" s="206"/>
      <c r="R251" s="202"/>
      <c r="S251" s="207"/>
      <c r="T251" s="202"/>
      <c r="U251" s="207"/>
      <c r="V251" s="202"/>
      <c r="W251" s="208"/>
      <c r="X251" s="202"/>
      <c r="Y251" s="210">
        <f t="shared" si="31"/>
        <v>0</v>
      </c>
      <c r="Z251" s="202"/>
      <c r="AA251" s="207"/>
      <c r="AB251" s="202"/>
      <c r="AC251" s="209"/>
      <c r="AD251" s="202"/>
      <c r="AE251" s="206"/>
      <c r="AF251" s="202"/>
      <c r="AG251" s="207"/>
      <c r="AH251" s="202"/>
      <c r="AI251" s="207"/>
      <c r="AJ251" s="202"/>
      <c r="AK251" s="208"/>
      <c r="AL251" s="202"/>
      <c r="AM251" s="210">
        <f t="shared" si="14"/>
        <v>0</v>
      </c>
      <c r="AN251" s="202"/>
      <c r="AO251" s="207"/>
      <c r="AP251" s="202"/>
      <c r="AQ251" s="209"/>
      <c r="AR251" s="202"/>
      <c r="AS251" s="206"/>
      <c r="AT251" s="202"/>
      <c r="AU251" s="204"/>
      <c r="AV251" s="202"/>
      <c r="AW251" s="204"/>
      <c r="AX251" s="202"/>
      <c r="AY251" s="201"/>
      <c r="AZ251" s="202"/>
      <c r="BA251" s="210">
        <f t="shared" si="15"/>
        <v>0</v>
      </c>
      <c r="BB251" s="202"/>
      <c r="BC251" s="204"/>
      <c r="BD251" s="202"/>
      <c r="BE251" s="209"/>
      <c r="BF251" s="202"/>
      <c r="BG251" s="206"/>
      <c r="BH251" s="202"/>
      <c r="BI251" s="204"/>
      <c r="BJ251" s="202"/>
      <c r="BK251" s="204"/>
      <c r="BL251" s="202"/>
      <c r="BM251" s="201"/>
      <c r="BN251" s="202"/>
      <c r="BO251" s="203">
        <f t="shared" si="16"/>
        <v>0</v>
      </c>
      <c r="BP251" s="202"/>
      <c r="BQ251" s="138"/>
      <c r="BR251" s="128"/>
      <c r="BS251" s="128"/>
      <c r="BT251" s="128"/>
      <c r="BU251" s="128"/>
      <c r="BV251" s="128"/>
      <c r="BW251" s="139"/>
      <c r="BX251" s="140"/>
      <c r="BY251" s="139"/>
      <c r="BZ251" s="139"/>
      <c r="CA251" s="134"/>
      <c r="CB251" s="134"/>
      <c r="CC251" s="134"/>
      <c r="CD251" s="134"/>
      <c r="CE251" s="134"/>
      <c r="CF251" s="134"/>
      <c r="CG251" s="92"/>
      <c r="CH251" s="92"/>
      <c r="CI251" s="92"/>
      <c r="CJ251" s="92"/>
      <c r="CK251" s="92"/>
    </row>
    <row r="252" spans="1:89" ht="17.25" customHeight="1">
      <c r="A252" s="160"/>
      <c r="B252" s="52"/>
      <c r="C252" s="52"/>
      <c r="D252" s="137">
        <f t="shared" si="28"/>
        <v>0</v>
      </c>
      <c r="E252" s="208"/>
      <c r="F252" s="202"/>
      <c r="G252" s="207"/>
      <c r="H252" s="202"/>
      <c r="I252" s="208"/>
      <c r="J252" s="202"/>
      <c r="K252" s="208">
        <f t="shared" si="12"/>
        <v>0</v>
      </c>
      <c r="L252" s="202"/>
      <c r="M252" s="207"/>
      <c r="N252" s="202"/>
      <c r="O252" s="209"/>
      <c r="P252" s="202"/>
      <c r="Q252" s="206"/>
      <c r="R252" s="202"/>
      <c r="S252" s="207"/>
      <c r="T252" s="202"/>
      <c r="U252" s="207"/>
      <c r="V252" s="202"/>
      <c r="W252" s="208"/>
      <c r="X252" s="202"/>
      <c r="Y252" s="210">
        <f t="shared" si="31"/>
        <v>0</v>
      </c>
      <c r="Z252" s="202"/>
      <c r="AA252" s="207"/>
      <c r="AB252" s="202"/>
      <c r="AC252" s="209"/>
      <c r="AD252" s="202"/>
      <c r="AE252" s="206"/>
      <c r="AF252" s="202"/>
      <c r="AG252" s="207"/>
      <c r="AH252" s="202"/>
      <c r="AI252" s="207"/>
      <c r="AJ252" s="202"/>
      <c r="AK252" s="208"/>
      <c r="AL252" s="202"/>
      <c r="AM252" s="210">
        <f t="shared" si="14"/>
        <v>0</v>
      </c>
      <c r="AN252" s="202"/>
      <c r="AO252" s="207"/>
      <c r="AP252" s="202"/>
      <c r="AQ252" s="209"/>
      <c r="AR252" s="202"/>
      <c r="AS252" s="206"/>
      <c r="AT252" s="202"/>
      <c r="AU252" s="204"/>
      <c r="AV252" s="202"/>
      <c r="AW252" s="204"/>
      <c r="AX252" s="202"/>
      <c r="AY252" s="201"/>
      <c r="AZ252" s="202"/>
      <c r="BA252" s="210">
        <f t="shared" si="15"/>
        <v>0</v>
      </c>
      <c r="BB252" s="202"/>
      <c r="BC252" s="204"/>
      <c r="BD252" s="202"/>
      <c r="BE252" s="209"/>
      <c r="BF252" s="202"/>
      <c r="BG252" s="206"/>
      <c r="BH252" s="202"/>
      <c r="BI252" s="204"/>
      <c r="BJ252" s="202"/>
      <c r="BK252" s="204"/>
      <c r="BL252" s="202"/>
      <c r="BM252" s="201"/>
      <c r="BN252" s="202"/>
      <c r="BO252" s="203">
        <f t="shared" si="16"/>
        <v>0</v>
      </c>
      <c r="BP252" s="202"/>
      <c r="BQ252" s="138"/>
      <c r="BR252" s="128"/>
      <c r="BS252" s="128"/>
      <c r="BT252" s="128"/>
      <c r="BU252" s="128"/>
      <c r="BV252" s="128"/>
      <c r="BW252" s="139"/>
      <c r="BX252" s="140"/>
      <c r="BY252" s="139"/>
      <c r="BZ252" s="139"/>
      <c r="CA252" s="134"/>
      <c r="CB252" s="134"/>
      <c r="CC252" s="134"/>
      <c r="CD252" s="134"/>
      <c r="CE252" s="134"/>
      <c r="CF252" s="134"/>
      <c r="CG252" s="92"/>
      <c r="CH252" s="92"/>
      <c r="CI252" s="92"/>
      <c r="CJ252" s="92"/>
      <c r="CK252" s="92"/>
    </row>
    <row r="253" spans="1:89" ht="17.25" customHeight="1">
      <c r="A253" s="160"/>
      <c r="B253" s="52"/>
      <c r="C253" s="52"/>
      <c r="D253" s="137">
        <f t="shared" si="28"/>
        <v>0</v>
      </c>
      <c r="E253" s="208"/>
      <c r="F253" s="202"/>
      <c r="G253" s="207"/>
      <c r="H253" s="202"/>
      <c r="I253" s="208"/>
      <c r="J253" s="202"/>
      <c r="K253" s="208">
        <f t="shared" si="12"/>
        <v>0</v>
      </c>
      <c r="L253" s="202"/>
      <c r="M253" s="207"/>
      <c r="N253" s="202"/>
      <c r="O253" s="209"/>
      <c r="P253" s="202"/>
      <c r="Q253" s="206"/>
      <c r="R253" s="202"/>
      <c r="S253" s="207"/>
      <c r="T253" s="202"/>
      <c r="U253" s="207"/>
      <c r="V253" s="202"/>
      <c r="W253" s="208"/>
      <c r="X253" s="202"/>
      <c r="Y253" s="210">
        <f t="shared" si="31"/>
        <v>0</v>
      </c>
      <c r="Z253" s="202"/>
      <c r="AA253" s="207"/>
      <c r="AB253" s="202"/>
      <c r="AC253" s="209"/>
      <c r="AD253" s="202"/>
      <c r="AE253" s="206"/>
      <c r="AF253" s="202"/>
      <c r="AG253" s="207"/>
      <c r="AH253" s="202"/>
      <c r="AI253" s="207"/>
      <c r="AJ253" s="202"/>
      <c r="AK253" s="208"/>
      <c r="AL253" s="202"/>
      <c r="AM253" s="210">
        <f t="shared" si="14"/>
        <v>0</v>
      </c>
      <c r="AN253" s="202"/>
      <c r="AO253" s="207"/>
      <c r="AP253" s="202"/>
      <c r="AQ253" s="209"/>
      <c r="AR253" s="202"/>
      <c r="AS253" s="206"/>
      <c r="AT253" s="202"/>
      <c r="AU253" s="204"/>
      <c r="AV253" s="202"/>
      <c r="AW253" s="204"/>
      <c r="AX253" s="202"/>
      <c r="AY253" s="201"/>
      <c r="AZ253" s="202"/>
      <c r="BA253" s="210">
        <f t="shared" si="15"/>
        <v>0</v>
      </c>
      <c r="BB253" s="202"/>
      <c r="BC253" s="204"/>
      <c r="BD253" s="202"/>
      <c r="BE253" s="209"/>
      <c r="BF253" s="202"/>
      <c r="BG253" s="206"/>
      <c r="BH253" s="202"/>
      <c r="BI253" s="204"/>
      <c r="BJ253" s="202"/>
      <c r="BK253" s="204"/>
      <c r="BL253" s="202"/>
      <c r="BM253" s="201"/>
      <c r="BN253" s="202"/>
      <c r="BO253" s="203">
        <f t="shared" si="16"/>
        <v>0</v>
      </c>
      <c r="BP253" s="202"/>
      <c r="BQ253" s="138"/>
      <c r="BR253" s="128"/>
      <c r="BS253" s="128"/>
      <c r="BT253" s="128"/>
      <c r="BU253" s="128"/>
      <c r="BV253" s="128"/>
      <c r="BW253" s="139"/>
      <c r="BX253" s="140"/>
      <c r="BY253" s="139"/>
      <c r="BZ253" s="139"/>
      <c r="CA253" s="134"/>
      <c r="CB253" s="134"/>
      <c r="CC253" s="134"/>
      <c r="CD253" s="134"/>
      <c r="CE253" s="134"/>
      <c r="CF253" s="134"/>
      <c r="CG253" s="92"/>
      <c r="CH253" s="92"/>
      <c r="CI253" s="92"/>
      <c r="CJ253" s="92"/>
      <c r="CK253" s="92"/>
    </row>
    <row r="254" spans="1:89" ht="17.25" customHeight="1">
      <c r="A254" s="160"/>
      <c r="B254" s="52"/>
      <c r="C254" s="52"/>
      <c r="D254" s="137">
        <f t="shared" si="28"/>
        <v>0</v>
      </c>
      <c r="E254" s="208"/>
      <c r="F254" s="202"/>
      <c r="G254" s="207"/>
      <c r="H254" s="202"/>
      <c r="I254" s="208"/>
      <c r="J254" s="202"/>
      <c r="K254" s="208">
        <f t="shared" si="12"/>
        <v>0</v>
      </c>
      <c r="L254" s="202"/>
      <c r="M254" s="207"/>
      <c r="N254" s="202"/>
      <c r="O254" s="209"/>
      <c r="P254" s="202"/>
      <c r="Q254" s="206"/>
      <c r="R254" s="202"/>
      <c r="S254" s="207"/>
      <c r="T254" s="202"/>
      <c r="U254" s="207"/>
      <c r="V254" s="202"/>
      <c r="W254" s="208"/>
      <c r="X254" s="202"/>
      <c r="Y254" s="210">
        <f t="shared" si="31"/>
        <v>0</v>
      </c>
      <c r="Z254" s="202"/>
      <c r="AA254" s="207"/>
      <c r="AB254" s="202"/>
      <c r="AC254" s="209"/>
      <c r="AD254" s="202"/>
      <c r="AE254" s="206"/>
      <c r="AF254" s="202"/>
      <c r="AG254" s="207"/>
      <c r="AH254" s="202"/>
      <c r="AI254" s="207"/>
      <c r="AJ254" s="202"/>
      <c r="AK254" s="208"/>
      <c r="AL254" s="202"/>
      <c r="AM254" s="210">
        <f t="shared" si="14"/>
        <v>0</v>
      </c>
      <c r="AN254" s="202"/>
      <c r="AO254" s="207"/>
      <c r="AP254" s="202"/>
      <c r="AQ254" s="209"/>
      <c r="AR254" s="202"/>
      <c r="AS254" s="206"/>
      <c r="AT254" s="202"/>
      <c r="AU254" s="204"/>
      <c r="AV254" s="202"/>
      <c r="AW254" s="204"/>
      <c r="AX254" s="202"/>
      <c r="AY254" s="201"/>
      <c r="AZ254" s="202"/>
      <c r="BA254" s="210">
        <f t="shared" si="15"/>
        <v>0</v>
      </c>
      <c r="BB254" s="202"/>
      <c r="BC254" s="204"/>
      <c r="BD254" s="202"/>
      <c r="BE254" s="209"/>
      <c r="BF254" s="202"/>
      <c r="BG254" s="206"/>
      <c r="BH254" s="202"/>
      <c r="BI254" s="204"/>
      <c r="BJ254" s="202"/>
      <c r="BK254" s="204"/>
      <c r="BL254" s="202"/>
      <c r="BM254" s="201"/>
      <c r="BN254" s="202"/>
      <c r="BO254" s="203">
        <f t="shared" si="16"/>
        <v>0</v>
      </c>
      <c r="BP254" s="202"/>
      <c r="BQ254" s="138"/>
      <c r="BR254" s="128"/>
      <c r="BS254" s="128"/>
      <c r="BT254" s="128"/>
      <c r="BU254" s="128"/>
      <c r="BV254" s="128"/>
      <c r="BW254" s="139"/>
      <c r="BX254" s="140"/>
      <c r="BY254" s="139"/>
      <c r="BZ254" s="139"/>
      <c r="CA254" s="134"/>
      <c r="CB254" s="134"/>
      <c r="CC254" s="134"/>
      <c r="CD254" s="134"/>
      <c r="CE254" s="134"/>
      <c r="CF254" s="134"/>
      <c r="CG254" s="92"/>
      <c r="CH254" s="92"/>
      <c r="CI254" s="92"/>
      <c r="CJ254" s="92"/>
      <c r="CK254" s="92"/>
    </row>
    <row r="255" spans="1:89" ht="17.25" customHeight="1">
      <c r="A255" s="160"/>
      <c r="B255" s="52"/>
      <c r="C255" s="52"/>
      <c r="D255" s="137">
        <f t="shared" si="28"/>
        <v>0</v>
      </c>
      <c r="E255" s="208"/>
      <c r="F255" s="202"/>
      <c r="G255" s="207"/>
      <c r="H255" s="202"/>
      <c r="I255" s="208"/>
      <c r="J255" s="202"/>
      <c r="K255" s="208">
        <f t="shared" si="12"/>
        <v>0</v>
      </c>
      <c r="L255" s="202"/>
      <c r="M255" s="207"/>
      <c r="N255" s="202"/>
      <c r="O255" s="209"/>
      <c r="P255" s="202"/>
      <c r="Q255" s="206"/>
      <c r="R255" s="202"/>
      <c r="S255" s="207"/>
      <c r="T255" s="202"/>
      <c r="U255" s="207"/>
      <c r="V255" s="202"/>
      <c r="W255" s="208"/>
      <c r="X255" s="202"/>
      <c r="Y255" s="210">
        <f t="shared" si="31"/>
        <v>0</v>
      </c>
      <c r="Z255" s="202"/>
      <c r="AA255" s="207"/>
      <c r="AB255" s="202"/>
      <c r="AC255" s="209"/>
      <c r="AD255" s="202"/>
      <c r="AE255" s="206"/>
      <c r="AF255" s="202"/>
      <c r="AG255" s="207"/>
      <c r="AH255" s="202"/>
      <c r="AI255" s="207"/>
      <c r="AJ255" s="202"/>
      <c r="AK255" s="208"/>
      <c r="AL255" s="202"/>
      <c r="AM255" s="210">
        <f t="shared" si="14"/>
        <v>0</v>
      </c>
      <c r="AN255" s="202"/>
      <c r="AO255" s="207"/>
      <c r="AP255" s="202"/>
      <c r="AQ255" s="209"/>
      <c r="AR255" s="202"/>
      <c r="AS255" s="206"/>
      <c r="AT255" s="202"/>
      <c r="AU255" s="204"/>
      <c r="AV255" s="202"/>
      <c r="AW255" s="204"/>
      <c r="AX255" s="202"/>
      <c r="AY255" s="201"/>
      <c r="AZ255" s="202"/>
      <c r="BA255" s="210">
        <f t="shared" si="15"/>
        <v>0</v>
      </c>
      <c r="BB255" s="202"/>
      <c r="BC255" s="204"/>
      <c r="BD255" s="202"/>
      <c r="BE255" s="209"/>
      <c r="BF255" s="202"/>
      <c r="BG255" s="206"/>
      <c r="BH255" s="202"/>
      <c r="BI255" s="204"/>
      <c r="BJ255" s="202"/>
      <c r="BK255" s="204"/>
      <c r="BL255" s="202"/>
      <c r="BM255" s="201"/>
      <c r="BN255" s="202"/>
      <c r="BO255" s="203">
        <f t="shared" si="16"/>
        <v>0</v>
      </c>
      <c r="BP255" s="202"/>
      <c r="BQ255" s="138"/>
      <c r="BR255" s="128"/>
      <c r="BS255" s="128"/>
      <c r="BT255" s="128"/>
      <c r="BU255" s="128"/>
      <c r="BV255" s="128"/>
      <c r="BW255" s="139"/>
      <c r="BX255" s="140"/>
      <c r="BY255" s="139"/>
      <c r="BZ255" s="139"/>
      <c r="CA255" s="134"/>
      <c r="CB255" s="134"/>
      <c r="CC255" s="134"/>
      <c r="CD255" s="134"/>
      <c r="CE255" s="134"/>
      <c r="CF255" s="134"/>
      <c r="CG255" s="92"/>
      <c r="CH255" s="92"/>
      <c r="CI255" s="92"/>
      <c r="CJ255" s="92"/>
      <c r="CK255" s="92"/>
    </row>
    <row r="256" spans="1:89" ht="17.25" customHeight="1">
      <c r="A256" s="160"/>
      <c r="B256" s="52"/>
      <c r="C256" s="52"/>
      <c r="D256" s="137">
        <f t="shared" si="28"/>
        <v>0</v>
      </c>
      <c r="E256" s="208"/>
      <c r="F256" s="202"/>
      <c r="G256" s="207"/>
      <c r="H256" s="202"/>
      <c r="I256" s="208"/>
      <c r="J256" s="202"/>
      <c r="K256" s="208">
        <f t="shared" si="12"/>
        <v>0</v>
      </c>
      <c r="L256" s="202"/>
      <c r="M256" s="207"/>
      <c r="N256" s="202"/>
      <c r="O256" s="209"/>
      <c r="P256" s="202"/>
      <c r="Q256" s="206"/>
      <c r="R256" s="202"/>
      <c r="S256" s="207"/>
      <c r="T256" s="202"/>
      <c r="U256" s="207"/>
      <c r="V256" s="202"/>
      <c r="W256" s="208"/>
      <c r="X256" s="202"/>
      <c r="Y256" s="210">
        <f t="shared" si="31"/>
        <v>0</v>
      </c>
      <c r="Z256" s="202"/>
      <c r="AA256" s="207"/>
      <c r="AB256" s="202"/>
      <c r="AC256" s="209"/>
      <c r="AD256" s="202"/>
      <c r="AE256" s="206"/>
      <c r="AF256" s="202"/>
      <c r="AG256" s="207"/>
      <c r="AH256" s="202"/>
      <c r="AI256" s="207"/>
      <c r="AJ256" s="202"/>
      <c r="AK256" s="208"/>
      <c r="AL256" s="202"/>
      <c r="AM256" s="210">
        <f t="shared" si="14"/>
        <v>0</v>
      </c>
      <c r="AN256" s="202"/>
      <c r="AO256" s="207"/>
      <c r="AP256" s="202"/>
      <c r="AQ256" s="209"/>
      <c r="AR256" s="202"/>
      <c r="AS256" s="206"/>
      <c r="AT256" s="202"/>
      <c r="AU256" s="161"/>
      <c r="AV256" s="162"/>
      <c r="AW256" s="204"/>
      <c r="AX256" s="202"/>
      <c r="AY256" s="201"/>
      <c r="AZ256" s="202"/>
      <c r="BA256" s="210">
        <f t="shared" si="15"/>
        <v>0</v>
      </c>
      <c r="BB256" s="202"/>
      <c r="BC256" s="204"/>
      <c r="BD256" s="202"/>
      <c r="BE256" s="209"/>
      <c r="BF256" s="202"/>
      <c r="BG256" s="206"/>
      <c r="BH256" s="202"/>
      <c r="BI256" s="204"/>
      <c r="BJ256" s="202"/>
      <c r="BK256" s="204"/>
      <c r="BL256" s="202"/>
      <c r="BM256" s="201"/>
      <c r="BN256" s="202"/>
      <c r="BO256" s="203">
        <f t="shared" si="16"/>
        <v>0</v>
      </c>
      <c r="BP256" s="202"/>
      <c r="BQ256" s="138"/>
      <c r="BR256" s="128"/>
      <c r="BS256" s="128"/>
      <c r="BT256" s="128"/>
      <c r="BU256" s="128"/>
      <c r="BV256" s="128"/>
      <c r="BW256" s="139"/>
      <c r="BX256" s="140"/>
      <c r="BY256" s="139"/>
      <c r="BZ256" s="139"/>
      <c r="CA256" s="134"/>
      <c r="CB256" s="134"/>
      <c r="CC256" s="134"/>
      <c r="CD256" s="134"/>
      <c r="CE256" s="134"/>
      <c r="CF256" s="134"/>
      <c r="CG256" s="92"/>
      <c r="CH256" s="92"/>
      <c r="CI256" s="92"/>
      <c r="CJ256" s="92"/>
      <c r="CK256" s="92"/>
    </row>
    <row r="257" spans="1:89" ht="17.25" customHeight="1">
      <c r="A257" s="160"/>
      <c r="B257" s="52"/>
      <c r="C257" s="52"/>
      <c r="D257" s="137">
        <f t="shared" si="28"/>
        <v>0</v>
      </c>
      <c r="E257" s="208"/>
      <c r="F257" s="202"/>
      <c r="G257" s="207"/>
      <c r="H257" s="202"/>
      <c r="I257" s="208"/>
      <c r="J257" s="202"/>
      <c r="K257" s="208">
        <f t="shared" si="12"/>
        <v>0</v>
      </c>
      <c r="L257" s="202"/>
      <c r="M257" s="207"/>
      <c r="N257" s="202"/>
      <c r="O257" s="209"/>
      <c r="P257" s="202"/>
      <c r="Q257" s="206"/>
      <c r="R257" s="202"/>
      <c r="S257" s="207"/>
      <c r="T257" s="202"/>
      <c r="U257" s="207"/>
      <c r="V257" s="202"/>
      <c r="W257" s="208"/>
      <c r="X257" s="202"/>
      <c r="Y257" s="210">
        <f t="shared" si="31"/>
        <v>0</v>
      </c>
      <c r="Z257" s="202"/>
      <c r="AA257" s="207"/>
      <c r="AB257" s="202"/>
      <c r="AC257" s="209"/>
      <c r="AD257" s="202"/>
      <c r="AE257" s="206"/>
      <c r="AF257" s="202"/>
      <c r="AG257" s="207"/>
      <c r="AH257" s="202"/>
      <c r="AI257" s="207"/>
      <c r="AJ257" s="202"/>
      <c r="AK257" s="208"/>
      <c r="AL257" s="202"/>
      <c r="AM257" s="210">
        <f t="shared" si="14"/>
        <v>0</v>
      </c>
      <c r="AN257" s="202"/>
      <c r="AO257" s="207"/>
      <c r="AP257" s="202"/>
      <c r="AQ257" s="209"/>
      <c r="AR257" s="202"/>
      <c r="AS257" s="206"/>
      <c r="AT257" s="202"/>
      <c r="AU257" s="204"/>
      <c r="AV257" s="202"/>
      <c r="AW257" s="204"/>
      <c r="AX257" s="202"/>
      <c r="AY257" s="201"/>
      <c r="AZ257" s="202"/>
      <c r="BA257" s="210">
        <f t="shared" si="15"/>
        <v>0</v>
      </c>
      <c r="BB257" s="202"/>
      <c r="BC257" s="204"/>
      <c r="BD257" s="202"/>
      <c r="BE257" s="209"/>
      <c r="BF257" s="202"/>
      <c r="BG257" s="206"/>
      <c r="BH257" s="202"/>
      <c r="BI257" s="204"/>
      <c r="BJ257" s="202"/>
      <c r="BK257" s="204"/>
      <c r="BL257" s="202"/>
      <c r="BM257" s="201"/>
      <c r="BN257" s="202"/>
      <c r="BO257" s="203">
        <f t="shared" si="16"/>
        <v>0</v>
      </c>
      <c r="BP257" s="202"/>
      <c r="BQ257" s="138"/>
      <c r="BR257" s="128"/>
      <c r="BS257" s="128"/>
      <c r="BT257" s="128"/>
      <c r="BU257" s="128"/>
      <c r="BV257" s="128"/>
      <c r="BW257" s="139"/>
      <c r="BX257" s="140"/>
      <c r="BY257" s="139"/>
      <c r="BZ257" s="139"/>
      <c r="CA257" s="134"/>
      <c r="CB257" s="134"/>
      <c r="CC257" s="134"/>
      <c r="CD257" s="134"/>
      <c r="CE257" s="134"/>
      <c r="CF257" s="134"/>
      <c r="CG257" s="92"/>
      <c r="CH257" s="92"/>
      <c r="CI257" s="92"/>
      <c r="CJ257" s="92"/>
      <c r="CK257" s="92"/>
    </row>
    <row r="258" spans="1:89" ht="17.25" customHeight="1">
      <c r="A258" s="160"/>
      <c r="B258" s="52"/>
      <c r="C258" s="52"/>
      <c r="D258" s="137">
        <f t="shared" si="28"/>
        <v>0</v>
      </c>
      <c r="E258" s="208"/>
      <c r="F258" s="202"/>
      <c r="G258" s="207"/>
      <c r="H258" s="202"/>
      <c r="I258" s="208"/>
      <c r="J258" s="202"/>
      <c r="K258" s="208">
        <f t="shared" si="12"/>
        <v>0</v>
      </c>
      <c r="L258" s="202"/>
      <c r="M258" s="207"/>
      <c r="N258" s="202"/>
      <c r="O258" s="209"/>
      <c r="P258" s="202"/>
      <c r="Q258" s="206"/>
      <c r="R258" s="202"/>
      <c r="S258" s="207"/>
      <c r="T258" s="202"/>
      <c r="U258" s="207"/>
      <c r="V258" s="202"/>
      <c r="W258" s="208"/>
      <c r="X258" s="202"/>
      <c r="Y258" s="210">
        <f t="shared" si="31"/>
        <v>0</v>
      </c>
      <c r="Z258" s="202"/>
      <c r="AA258" s="207"/>
      <c r="AB258" s="202"/>
      <c r="AC258" s="209"/>
      <c r="AD258" s="202"/>
      <c r="AE258" s="206"/>
      <c r="AF258" s="202"/>
      <c r="AG258" s="207"/>
      <c r="AH258" s="202"/>
      <c r="AI258" s="207"/>
      <c r="AJ258" s="202"/>
      <c r="AK258" s="208"/>
      <c r="AL258" s="202"/>
      <c r="AM258" s="210">
        <f t="shared" si="14"/>
        <v>0</v>
      </c>
      <c r="AN258" s="202"/>
      <c r="AO258" s="207"/>
      <c r="AP258" s="202"/>
      <c r="AQ258" s="209"/>
      <c r="AR258" s="202"/>
      <c r="AS258" s="206"/>
      <c r="AT258" s="202"/>
      <c r="AU258" s="204"/>
      <c r="AV258" s="202"/>
      <c r="AW258" s="204"/>
      <c r="AX258" s="202"/>
      <c r="AY258" s="201"/>
      <c r="AZ258" s="202"/>
      <c r="BA258" s="210">
        <f t="shared" si="15"/>
        <v>0</v>
      </c>
      <c r="BB258" s="202"/>
      <c r="BC258" s="204"/>
      <c r="BD258" s="202"/>
      <c r="BE258" s="209"/>
      <c r="BF258" s="202"/>
      <c r="BG258" s="206"/>
      <c r="BH258" s="202"/>
      <c r="BI258" s="204"/>
      <c r="BJ258" s="202"/>
      <c r="BK258" s="204"/>
      <c r="BL258" s="202"/>
      <c r="BM258" s="201"/>
      <c r="BN258" s="202"/>
      <c r="BO258" s="203">
        <f t="shared" si="16"/>
        <v>0</v>
      </c>
      <c r="BP258" s="202"/>
      <c r="BQ258" s="138"/>
      <c r="BR258" s="128"/>
      <c r="BS258" s="128"/>
      <c r="BT258" s="128"/>
      <c r="BU258" s="128"/>
      <c r="BV258" s="128"/>
      <c r="BW258" s="139"/>
      <c r="BX258" s="140"/>
      <c r="BY258" s="139"/>
      <c r="BZ258" s="139"/>
      <c r="CA258" s="134"/>
      <c r="CB258" s="134"/>
      <c r="CC258" s="134"/>
      <c r="CD258" s="134"/>
      <c r="CE258" s="134"/>
      <c r="CF258" s="134"/>
      <c r="CG258" s="92"/>
      <c r="CH258" s="92"/>
      <c r="CI258" s="92"/>
      <c r="CJ258" s="92"/>
      <c r="CK258" s="92"/>
    </row>
    <row r="259" spans="1:89" ht="17.25" customHeight="1">
      <c r="A259" s="160"/>
      <c r="B259" s="52"/>
      <c r="C259" s="52"/>
      <c r="D259" s="137">
        <f t="shared" si="28"/>
        <v>0</v>
      </c>
      <c r="E259" s="208"/>
      <c r="F259" s="202"/>
      <c r="G259" s="207"/>
      <c r="H259" s="202"/>
      <c r="I259" s="208"/>
      <c r="J259" s="202"/>
      <c r="K259" s="208">
        <f t="shared" si="12"/>
        <v>0</v>
      </c>
      <c r="L259" s="202"/>
      <c r="M259" s="207"/>
      <c r="N259" s="202"/>
      <c r="O259" s="209"/>
      <c r="P259" s="202"/>
      <c r="Q259" s="206"/>
      <c r="R259" s="202"/>
      <c r="S259" s="207"/>
      <c r="T259" s="202"/>
      <c r="U259" s="207"/>
      <c r="V259" s="202"/>
      <c r="W259" s="208"/>
      <c r="X259" s="202"/>
      <c r="Y259" s="210">
        <f t="shared" si="31"/>
        <v>0</v>
      </c>
      <c r="Z259" s="202"/>
      <c r="AA259" s="207"/>
      <c r="AB259" s="202"/>
      <c r="AC259" s="209"/>
      <c r="AD259" s="202"/>
      <c r="AE259" s="206"/>
      <c r="AF259" s="202"/>
      <c r="AG259" s="207"/>
      <c r="AH259" s="202"/>
      <c r="AI259" s="207"/>
      <c r="AJ259" s="202"/>
      <c r="AK259" s="208"/>
      <c r="AL259" s="202"/>
      <c r="AM259" s="210">
        <f t="shared" si="14"/>
        <v>0</v>
      </c>
      <c r="AN259" s="202"/>
      <c r="AO259" s="207"/>
      <c r="AP259" s="202"/>
      <c r="AQ259" s="209"/>
      <c r="AR259" s="202"/>
      <c r="AS259" s="206"/>
      <c r="AT259" s="202"/>
      <c r="AU259" s="204"/>
      <c r="AV259" s="202"/>
      <c r="AW259" s="204"/>
      <c r="AX259" s="202"/>
      <c r="AY259" s="201"/>
      <c r="AZ259" s="202"/>
      <c r="BA259" s="210">
        <f t="shared" si="15"/>
        <v>0</v>
      </c>
      <c r="BB259" s="202"/>
      <c r="BC259" s="204"/>
      <c r="BD259" s="202"/>
      <c r="BE259" s="209"/>
      <c r="BF259" s="202"/>
      <c r="BG259" s="206"/>
      <c r="BH259" s="202"/>
      <c r="BI259" s="204"/>
      <c r="BJ259" s="202"/>
      <c r="BK259" s="204"/>
      <c r="BL259" s="202"/>
      <c r="BM259" s="201"/>
      <c r="BN259" s="202"/>
      <c r="BO259" s="203">
        <f t="shared" si="16"/>
        <v>0</v>
      </c>
      <c r="BP259" s="202"/>
      <c r="BQ259" s="138"/>
      <c r="BR259" s="128"/>
      <c r="BS259" s="128"/>
      <c r="BT259" s="128"/>
      <c r="BU259" s="128"/>
      <c r="BV259" s="128"/>
      <c r="BW259" s="139"/>
      <c r="BX259" s="140"/>
      <c r="BY259" s="139"/>
      <c r="BZ259" s="139"/>
      <c r="CA259" s="134"/>
      <c r="CB259" s="134"/>
      <c r="CC259" s="134"/>
      <c r="CD259" s="134"/>
      <c r="CE259" s="134"/>
      <c r="CF259" s="134"/>
      <c r="CG259" s="92"/>
      <c r="CH259" s="92"/>
      <c r="CI259" s="92"/>
      <c r="CJ259" s="92"/>
      <c r="CK259" s="92"/>
    </row>
    <row r="260" spans="1:89" ht="17.25" customHeight="1">
      <c r="A260" s="160"/>
      <c r="B260" s="52"/>
      <c r="C260" s="52"/>
      <c r="D260" s="137">
        <f t="shared" si="28"/>
        <v>0</v>
      </c>
      <c r="E260" s="208"/>
      <c r="F260" s="202"/>
      <c r="G260" s="207"/>
      <c r="H260" s="202"/>
      <c r="I260" s="208"/>
      <c r="J260" s="202"/>
      <c r="K260" s="208">
        <f t="shared" si="12"/>
        <v>0</v>
      </c>
      <c r="L260" s="202"/>
      <c r="M260" s="207"/>
      <c r="N260" s="202"/>
      <c r="O260" s="209"/>
      <c r="P260" s="202"/>
      <c r="Q260" s="206"/>
      <c r="R260" s="202"/>
      <c r="S260" s="207"/>
      <c r="T260" s="202"/>
      <c r="U260" s="207"/>
      <c r="V260" s="202"/>
      <c r="W260" s="208"/>
      <c r="X260" s="202"/>
      <c r="Y260" s="210">
        <f t="shared" si="31"/>
        <v>0</v>
      </c>
      <c r="Z260" s="202"/>
      <c r="AA260" s="207"/>
      <c r="AB260" s="202"/>
      <c r="AC260" s="209"/>
      <c r="AD260" s="202"/>
      <c r="AE260" s="206"/>
      <c r="AF260" s="202"/>
      <c r="AG260" s="207"/>
      <c r="AH260" s="202"/>
      <c r="AI260" s="207"/>
      <c r="AJ260" s="202"/>
      <c r="AK260" s="208"/>
      <c r="AL260" s="202"/>
      <c r="AM260" s="210">
        <f t="shared" si="14"/>
        <v>0</v>
      </c>
      <c r="AN260" s="202"/>
      <c r="AO260" s="207"/>
      <c r="AP260" s="202"/>
      <c r="AQ260" s="209"/>
      <c r="AR260" s="202"/>
      <c r="AS260" s="206"/>
      <c r="AT260" s="202"/>
      <c r="AU260" s="204"/>
      <c r="AV260" s="202"/>
      <c r="AW260" s="204"/>
      <c r="AX260" s="202"/>
      <c r="AY260" s="201"/>
      <c r="AZ260" s="202"/>
      <c r="BA260" s="210">
        <f t="shared" si="15"/>
        <v>0</v>
      </c>
      <c r="BB260" s="202"/>
      <c r="BC260" s="204"/>
      <c r="BD260" s="202"/>
      <c r="BE260" s="209"/>
      <c r="BF260" s="202"/>
      <c r="BG260" s="206"/>
      <c r="BH260" s="202"/>
      <c r="BI260" s="204"/>
      <c r="BJ260" s="202"/>
      <c r="BK260" s="204"/>
      <c r="BL260" s="202"/>
      <c r="BM260" s="201"/>
      <c r="BN260" s="202"/>
      <c r="BO260" s="203">
        <f t="shared" si="16"/>
        <v>0</v>
      </c>
      <c r="BP260" s="202"/>
      <c r="BQ260" s="138"/>
      <c r="BR260" s="128"/>
      <c r="BS260" s="128"/>
      <c r="BT260" s="128"/>
      <c r="BU260" s="128"/>
      <c r="BV260" s="128"/>
      <c r="BW260" s="139"/>
      <c r="BX260" s="140"/>
      <c r="BY260" s="139"/>
      <c r="BZ260" s="139"/>
      <c r="CA260" s="134"/>
      <c r="CB260" s="134"/>
      <c r="CC260" s="134"/>
      <c r="CD260" s="134"/>
      <c r="CE260" s="134"/>
      <c r="CF260" s="134"/>
      <c r="CG260" s="92"/>
      <c r="CH260" s="92"/>
      <c r="CI260" s="92"/>
      <c r="CJ260" s="92"/>
      <c r="CK260" s="92"/>
    </row>
    <row r="261" spans="1:89" ht="17.25" customHeight="1">
      <c r="A261" s="160"/>
      <c r="B261" s="52"/>
      <c r="C261" s="52"/>
      <c r="D261" s="137">
        <f t="shared" si="28"/>
        <v>0</v>
      </c>
      <c r="E261" s="208"/>
      <c r="F261" s="202"/>
      <c r="G261" s="207"/>
      <c r="H261" s="202"/>
      <c r="I261" s="208"/>
      <c r="J261" s="202"/>
      <c r="K261" s="208">
        <f t="shared" si="12"/>
        <v>0</v>
      </c>
      <c r="L261" s="202"/>
      <c r="M261" s="207"/>
      <c r="N261" s="202"/>
      <c r="O261" s="209"/>
      <c r="P261" s="202"/>
      <c r="Q261" s="206"/>
      <c r="R261" s="202"/>
      <c r="S261" s="207"/>
      <c r="T261" s="202"/>
      <c r="U261" s="207"/>
      <c r="V261" s="202"/>
      <c r="W261" s="208"/>
      <c r="X261" s="202"/>
      <c r="Y261" s="210">
        <f t="shared" si="31"/>
        <v>0</v>
      </c>
      <c r="Z261" s="202"/>
      <c r="AA261" s="207"/>
      <c r="AB261" s="202"/>
      <c r="AC261" s="209"/>
      <c r="AD261" s="202"/>
      <c r="AE261" s="206"/>
      <c r="AF261" s="202"/>
      <c r="AG261" s="207"/>
      <c r="AH261" s="202"/>
      <c r="AI261" s="207"/>
      <c r="AJ261" s="202"/>
      <c r="AK261" s="208"/>
      <c r="AL261" s="202"/>
      <c r="AM261" s="210">
        <f t="shared" si="14"/>
        <v>0</v>
      </c>
      <c r="AN261" s="202"/>
      <c r="AO261" s="207"/>
      <c r="AP261" s="202"/>
      <c r="AQ261" s="209"/>
      <c r="AR261" s="202"/>
      <c r="AS261" s="206"/>
      <c r="AT261" s="202"/>
      <c r="AU261" s="204"/>
      <c r="AV261" s="202"/>
      <c r="AW261" s="204"/>
      <c r="AX261" s="202"/>
      <c r="AY261" s="201"/>
      <c r="AZ261" s="202"/>
      <c r="BA261" s="210">
        <f t="shared" si="15"/>
        <v>0</v>
      </c>
      <c r="BB261" s="202"/>
      <c r="BC261" s="204"/>
      <c r="BD261" s="202"/>
      <c r="BE261" s="209"/>
      <c r="BF261" s="202"/>
      <c r="BG261" s="206"/>
      <c r="BH261" s="202"/>
      <c r="BI261" s="204"/>
      <c r="BJ261" s="202"/>
      <c r="BK261" s="204"/>
      <c r="BL261" s="202"/>
      <c r="BM261" s="201"/>
      <c r="BN261" s="202"/>
      <c r="BO261" s="203">
        <f t="shared" si="16"/>
        <v>0</v>
      </c>
      <c r="BP261" s="202"/>
      <c r="BQ261" s="138"/>
      <c r="BR261" s="128"/>
      <c r="BS261" s="128"/>
      <c r="BT261" s="128"/>
      <c r="BU261" s="128"/>
      <c r="BV261" s="128"/>
      <c r="BW261" s="139"/>
      <c r="BX261" s="140"/>
      <c r="BY261" s="139"/>
      <c r="BZ261" s="139"/>
      <c r="CA261" s="134"/>
      <c r="CB261" s="134"/>
      <c r="CC261" s="134"/>
      <c r="CD261" s="134"/>
      <c r="CE261" s="134"/>
      <c r="CF261" s="134"/>
      <c r="CG261" s="92"/>
      <c r="CH261" s="92"/>
      <c r="CI261" s="92"/>
      <c r="CJ261" s="92"/>
      <c r="CK261" s="92"/>
    </row>
    <row r="262" spans="1:89" ht="17.25" customHeight="1">
      <c r="A262" s="160"/>
      <c r="B262" s="52"/>
      <c r="C262" s="52"/>
      <c r="D262" s="137">
        <f t="shared" si="28"/>
        <v>0</v>
      </c>
      <c r="E262" s="208"/>
      <c r="F262" s="202"/>
      <c r="G262" s="207"/>
      <c r="H262" s="202"/>
      <c r="I262" s="208"/>
      <c r="J262" s="202"/>
      <c r="K262" s="208">
        <f t="shared" si="12"/>
        <v>0</v>
      </c>
      <c r="L262" s="202"/>
      <c r="M262" s="207"/>
      <c r="N262" s="202"/>
      <c r="O262" s="209"/>
      <c r="P262" s="202"/>
      <c r="Q262" s="206"/>
      <c r="R262" s="202"/>
      <c r="S262" s="207"/>
      <c r="T262" s="202"/>
      <c r="U262" s="207"/>
      <c r="V262" s="202"/>
      <c r="W262" s="208"/>
      <c r="X262" s="202"/>
      <c r="Y262" s="210">
        <f t="shared" si="31"/>
        <v>0</v>
      </c>
      <c r="Z262" s="202"/>
      <c r="AA262" s="207"/>
      <c r="AB262" s="202"/>
      <c r="AC262" s="209"/>
      <c r="AD262" s="202"/>
      <c r="AE262" s="206"/>
      <c r="AF262" s="202"/>
      <c r="AG262" s="207"/>
      <c r="AH262" s="202"/>
      <c r="AI262" s="207"/>
      <c r="AJ262" s="202"/>
      <c r="AK262" s="208"/>
      <c r="AL262" s="202"/>
      <c r="AM262" s="210">
        <f t="shared" si="14"/>
        <v>0</v>
      </c>
      <c r="AN262" s="202"/>
      <c r="AO262" s="207"/>
      <c r="AP262" s="202"/>
      <c r="AQ262" s="209"/>
      <c r="AR262" s="202"/>
      <c r="AS262" s="206"/>
      <c r="AT262" s="202"/>
      <c r="AU262" s="204"/>
      <c r="AV262" s="202"/>
      <c r="AW262" s="204"/>
      <c r="AX262" s="202"/>
      <c r="AY262" s="201"/>
      <c r="AZ262" s="202"/>
      <c r="BA262" s="210">
        <f t="shared" si="15"/>
        <v>0</v>
      </c>
      <c r="BB262" s="202"/>
      <c r="BC262" s="204"/>
      <c r="BD262" s="202"/>
      <c r="BE262" s="209"/>
      <c r="BF262" s="202"/>
      <c r="BG262" s="206"/>
      <c r="BH262" s="202"/>
      <c r="BI262" s="204"/>
      <c r="BJ262" s="202"/>
      <c r="BK262" s="204"/>
      <c r="BL262" s="202"/>
      <c r="BM262" s="201"/>
      <c r="BN262" s="202"/>
      <c r="BO262" s="203">
        <f t="shared" si="16"/>
        <v>0</v>
      </c>
      <c r="BP262" s="202"/>
      <c r="BQ262" s="138"/>
      <c r="BR262" s="128"/>
      <c r="BS262" s="128"/>
      <c r="BT262" s="128"/>
      <c r="BU262" s="128"/>
      <c r="BV262" s="128"/>
      <c r="BW262" s="139"/>
      <c r="BX262" s="140"/>
      <c r="BY262" s="139"/>
      <c r="BZ262" s="139"/>
      <c r="CA262" s="134"/>
      <c r="CB262" s="134"/>
      <c r="CC262" s="134"/>
      <c r="CD262" s="134"/>
      <c r="CE262" s="134"/>
      <c r="CF262" s="134"/>
      <c r="CG262" s="92"/>
      <c r="CH262" s="92"/>
      <c r="CI262" s="92"/>
      <c r="CJ262" s="92"/>
      <c r="CK262" s="92"/>
    </row>
    <row r="263" spans="1:89" ht="17.25" customHeight="1">
      <c r="A263" s="160"/>
      <c r="B263" s="52"/>
      <c r="C263" s="52"/>
      <c r="D263" s="137">
        <f t="shared" si="28"/>
        <v>0</v>
      </c>
      <c r="E263" s="208"/>
      <c r="F263" s="202"/>
      <c r="G263" s="207"/>
      <c r="H263" s="202"/>
      <c r="I263" s="208"/>
      <c r="J263" s="202"/>
      <c r="K263" s="208">
        <f t="shared" si="12"/>
        <v>0</v>
      </c>
      <c r="L263" s="202"/>
      <c r="M263" s="207"/>
      <c r="N263" s="202"/>
      <c r="O263" s="209"/>
      <c r="P263" s="202"/>
      <c r="Q263" s="206"/>
      <c r="R263" s="202"/>
      <c r="S263" s="207"/>
      <c r="T263" s="202"/>
      <c r="U263" s="207"/>
      <c r="V263" s="202"/>
      <c r="W263" s="208"/>
      <c r="X263" s="202"/>
      <c r="Y263" s="210">
        <f t="shared" si="31"/>
        <v>0</v>
      </c>
      <c r="Z263" s="202"/>
      <c r="AA263" s="207"/>
      <c r="AB263" s="202"/>
      <c r="AC263" s="209"/>
      <c r="AD263" s="202"/>
      <c r="AE263" s="206"/>
      <c r="AF263" s="202"/>
      <c r="AG263" s="207"/>
      <c r="AH263" s="202"/>
      <c r="AI263" s="207"/>
      <c r="AJ263" s="202"/>
      <c r="AK263" s="208"/>
      <c r="AL263" s="202"/>
      <c r="AM263" s="210">
        <f t="shared" si="14"/>
        <v>0</v>
      </c>
      <c r="AN263" s="202"/>
      <c r="AO263" s="207"/>
      <c r="AP263" s="202"/>
      <c r="AQ263" s="209"/>
      <c r="AR263" s="202"/>
      <c r="AS263" s="206"/>
      <c r="AT263" s="202"/>
      <c r="AU263" s="204"/>
      <c r="AV263" s="202"/>
      <c r="AW263" s="204"/>
      <c r="AX263" s="202"/>
      <c r="AY263" s="201"/>
      <c r="AZ263" s="202"/>
      <c r="BA263" s="210">
        <f t="shared" si="15"/>
        <v>0</v>
      </c>
      <c r="BB263" s="202"/>
      <c r="BC263" s="204"/>
      <c r="BD263" s="202"/>
      <c r="BE263" s="209"/>
      <c r="BF263" s="202"/>
      <c r="BG263" s="206"/>
      <c r="BH263" s="202"/>
      <c r="BI263" s="204"/>
      <c r="BJ263" s="202"/>
      <c r="BK263" s="204"/>
      <c r="BL263" s="202"/>
      <c r="BM263" s="201"/>
      <c r="BN263" s="202"/>
      <c r="BO263" s="203">
        <f t="shared" si="16"/>
        <v>0</v>
      </c>
      <c r="BP263" s="202"/>
      <c r="BQ263" s="138"/>
      <c r="BR263" s="128"/>
      <c r="BS263" s="128"/>
      <c r="BT263" s="128"/>
      <c r="BU263" s="128"/>
      <c r="BV263" s="128"/>
      <c r="BW263" s="139"/>
      <c r="BX263" s="140"/>
      <c r="BY263" s="139"/>
      <c r="BZ263" s="139"/>
      <c r="CA263" s="134"/>
      <c r="CB263" s="134"/>
      <c r="CC263" s="134"/>
      <c r="CD263" s="134"/>
      <c r="CE263" s="134"/>
      <c r="CF263" s="134"/>
      <c r="CG263" s="92"/>
      <c r="CH263" s="92"/>
      <c r="CI263" s="92"/>
      <c r="CJ263" s="92"/>
      <c r="CK263" s="92"/>
    </row>
    <row r="264" spans="1:89" ht="17.25" customHeight="1">
      <c r="A264" s="160"/>
      <c r="B264" s="52"/>
      <c r="C264" s="52"/>
      <c r="D264" s="137">
        <f t="shared" si="28"/>
        <v>0</v>
      </c>
      <c r="E264" s="208"/>
      <c r="F264" s="202"/>
      <c r="G264" s="207"/>
      <c r="H264" s="202"/>
      <c r="I264" s="208"/>
      <c r="J264" s="202"/>
      <c r="K264" s="208">
        <f t="shared" si="12"/>
        <v>0</v>
      </c>
      <c r="L264" s="202"/>
      <c r="M264" s="207"/>
      <c r="N264" s="202"/>
      <c r="O264" s="209"/>
      <c r="P264" s="202"/>
      <c r="Q264" s="206"/>
      <c r="R264" s="202"/>
      <c r="S264" s="207"/>
      <c r="T264" s="202"/>
      <c r="U264" s="207"/>
      <c r="V264" s="202"/>
      <c r="W264" s="208"/>
      <c r="X264" s="202"/>
      <c r="Y264" s="210">
        <f t="shared" si="31"/>
        <v>0</v>
      </c>
      <c r="Z264" s="202"/>
      <c r="AA264" s="207"/>
      <c r="AB264" s="202"/>
      <c r="AC264" s="209"/>
      <c r="AD264" s="202"/>
      <c r="AE264" s="206"/>
      <c r="AF264" s="202"/>
      <c r="AG264" s="207"/>
      <c r="AH264" s="202"/>
      <c r="AI264" s="207"/>
      <c r="AJ264" s="202"/>
      <c r="AK264" s="208"/>
      <c r="AL264" s="202"/>
      <c r="AM264" s="210">
        <f t="shared" si="14"/>
        <v>0</v>
      </c>
      <c r="AN264" s="202"/>
      <c r="AO264" s="207"/>
      <c r="AP264" s="202"/>
      <c r="AQ264" s="209"/>
      <c r="AR264" s="202"/>
      <c r="AS264" s="206"/>
      <c r="AT264" s="202"/>
      <c r="AU264" s="204"/>
      <c r="AV264" s="202"/>
      <c r="AW264" s="204"/>
      <c r="AX264" s="202"/>
      <c r="AY264" s="201"/>
      <c r="AZ264" s="202"/>
      <c r="BA264" s="210">
        <f t="shared" si="15"/>
        <v>0</v>
      </c>
      <c r="BB264" s="202"/>
      <c r="BC264" s="204"/>
      <c r="BD264" s="202"/>
      <c r="BE264" s="209"/>
      <c r="BF264" s="202"/>
      <c r="BG264" s="206"/>
      <c r="BH264" s="202"/>
      <c r="BI264" s="204"/>
      <c r="BJ264" s="202"/>
      <c r="BK264" s="204"/>
      <c r="BL264" s="202"/>
      <c r="BM264" s="201"/>
      <c r="BN264" s="202"/>
      <c r="BO264" s="203">
        <f t="shared" si="16"/>
        <v>0</v>
      </c>
      <c r="BP264" s="202"/>
      <c r="BQ264" s="138"/>
      <c r="BR264" s="128"/>
      <c r="BS264" s="128"/>
      <c r="BT264" s="128"/>
      <c r="BU264" s="128"/>
      <c r="BV264" s="128"/>
      <c r="BW264" s="139"/>
      <c r="BX264" s="140"/>
      <c r="BY264" s="139"/>
      <c r="BZ264" s="139"/>
      <c r="CA264" s="134"/>
      <c r="CB264" s="134"/>
      <c r="CC264" s="134"/>
      <c r="CD264" s="134"/>
      <c r="CE264" s="134"/>
      <c r="CF264" s="134"/>
      <c r="CG264" s="92"/>
      <c r="CH264" s="92"/>
      <c r="CI264" s="92"/>
      <c r="CJ264" s="92"/>
      <c r="CK264" s="92"/>
    </row>
    <row r="265" spans="1:89" ht="17.25" customHeight="1">
      <c r="A265" s="160"/>
      <c r="B265" s="52"/>
      <c r="C265" s="52"/>
      <c r="D265" s="137">
        <f t="shared" si="28"/>
        <v>0</v>
      </c>
      <c r="E265" s="208"/>
      <c r="F265" s="202"/>
      <c r="G265" s="207"/>
      <c r="H265" s="202"/>
      <c r="I265" s="208"/>
      <c r="J265" s="202"/>
      <c r="K265" s="208">
        <f t="shared" si="12"/>
        <v>0</v>
      </c>
      <c r="L265" s="202"/>
      <c r="M265" s="207"/>
      <c r="N265" s="202"/>
      <c r="O265" s="209"/>
      <c r="P265" s="202"/>
      <c r="Q265" s="206"/>
      <c r="R265" s="202"/>
      <c r="S265" s="207"/>
      <c r="T265" s="202"/>
      <c r="U265" s="207"/>
      <c r="V265" s="202"/>
      <c r="W265" s="208"/>
      <c r="X265" s="202"/>
      <c r="Y265" s="210">
        <f t="shared" si="31"/>
        <v>0</v>
      </c>
      <c r="Z265" s="202"/>
      <c r="AA265" s="207"/>
      <c r="AB265" s="202"/>
      <c r="AC265" s="209"/>
      <c r="AD265" s="202"/>
      <c r="AE265" s="206"/>
      <c r="AF265" s="202"/>
      <c r="AG265" s="207"/>
      <c r="AH265" s="202"/>
      <c r="AI265" s="207"/>
      <c r="AJ265" s="202"/>
      <c r="AK265" s="208"/>
      <c r="AL265" s="202"/>
      <c r="AM265" s="210">
        <f t="shared" si="14"/>
        <v>0</v>
      </c>
      <c r="AN265" s="202"/>
      <c r="AO265" s="207"/>
      <c r="AP265" s="202"/>
      <c r="AQ265" s="209"/>
      <c r="AR265" s="202"/>
      <c r="AS265" s="206"/>
      <c r="AT265" s="202"/>
      <c r="AU265" s="204"/>
      <c r="AV265" s="202"/>
      <c r="AW265" s="204"/>
      <c r="AX265" s="202"/>
      <c r="AY265" s="201"/>
      <c r="AZ265" s="202"/>
      <c r="BA265" s="210">
        <f t="shared" si="15"/>
        <v>0</v>
      </c>
      <c r="BB265" s="202"/>
      <c r="BC265" s="204"/>
      <c r="BD265" s="202"/>
      <c r="BE265" s="209"/>
      <c r="BF265" s="202"/>
      <c r="BG265" s="206"/>
      <c r="BH265" s="202"/>
      <c r="BI265" s="204"/>
      <c r="BJ265" s="202"/>
      <c r="BK265" s="204"/>
      <c r="BL265" s="202"/>
      <c r="BM265" s="201"/>
      <c r="BN265" s="202"/>
      <c r="BO265" s="203">
        <f t="shared" si="16"/>
        <v>0</v>
      </c>
      <c r="BP265" s="202"/>
      <c r="BQ265" s="138"/>
      <c r="BR265" s="128"/>
      <c r="BS265" s="128"/>
      <c r="BT265" s="128"/>
      <c r="BU265" s="128"/>
      <c r="BV265" s="128"/>
      <c r="BW265" s="139"/>
      <c r="BX265" s="140"/>
      <c r="BY265" s="139"/>
      <c r="BZ265" s="139"/>
      <c r="CA265" s="134"/>
      <c r="CB265" s="134"/>
      <c r="CC265" s="134"/>
      <c r="CD265" s="134"/>
      <c r="CE265" s="134"/>
      <c r="CF265" s="134"/>
      <c r="CG265" s="92"/>
      <c r="CH265" s="92"/>
      <c r="CI265" s="92"/>
      <c r="CJ265" s="92"/>
      <c r="CK265" s="92"/>
    </row>
    <row r="266" spans="1:89" ht="17.25" customHeight="1">
      <c r="A266" s="160"/>
      <c r="B266" s="52"/>
      <c r="C266" s="52"/>
      <c r="D266" s="137">
        <f t="shared" si="28"/>
        <v>0</v>
      </c>
      <c r="E266" s="208"/>
      <c r="F266" s="202"/>
      <c r="G266" s="207"/>
      <c r="H266" s="202"/>
      <c r="I266" s="208"/>
      <c r="J266" s="202"/>
      <c r="K266" s="208">
        <f t="shared" si="12"/>
        <v>0</v>
      </c>
      <c r="L266" s="202"/>
      <c r="M266" s="207"/>
      <c r="N266" s="202"/>
      <c r="O266" s="209"/>
      <c r="P266" s="202"/>
      <c r="Q266" s="206"/>
      <c r="R266" s="202"/>
      <c r="S266" s="207"/>
      <c r="T266" s="202"/>
      <c r="U266" s="207"/>
      <c r="V266" s="202"/>
      <c r="W266" s="208"/>
      <c r="X266" s="202"/>
      <c r="Y266" s="210">
        <f t="shared" si="31"/>
        <v>0</v>
      </c>
      <c r="Z266" s="202"/>
      <c r="AA266" s="207"/>
      <c r="AB266" s="202"/>
      <c r="AC266" s="209"/>
      <c r="AD266" s="202"/>
      <c r="AE266" s="206"/>
      <c r="AF266" s="202"/>
      <c r="AG266" s="207"/>
      <c r="AH266" s="202"/>
      <c r="AI266" s="207"/>
      <c r="AJ266" s="202"/>
      <c r="AK266" s="208"/>
      <c r="AL266" s="202"/>
      <c r="AM266" s="210">
        <f t="shared" si="14"/>
        <v>0</v>
      </c>
      <c r="AN266" s="202"/>
      <c r="AO266" s="207"/>
      <c r="AP266" s="202"/>
      <c r="AQ266" s="209"/>
      <c r="AR266" s="202"/>
      <c r="AS266" s="206"/>
      <c r="AT266" s="202"/>
      <c r="AU266" s="204"/>
      <c r="AV266" s="202"/>
      <c r="AW266" s="204"/>
      <c r="AX266" s="202"/>
      <c r="AY266" s="201"/>
      <c r="AZ266" s="202"/>
      <c r="BA266" s="210">
        <f t="shared" si="15"/>
        <v>0</v>
      </c>
      <c r="BB266" s="202"/>
      <c r="BC266" s="204"/>
      <c r="BD266" s="202"/>
      <c r="BE266" s="209"/>
      <c r="BF266" s="202"/>
      <c r="BG266" s="206"/>
      <c r="BH266" s="202"/>
      <c r="BI266" s="204"/>
      <c r="BJ266" s="202"/>
      <c r="BK266" s="204"/>
      <c r="BL266" s="202"/>
      <c r="BM266" s="201"/>
      <c r="BN266" s="202"/>
      <c r="BO266" s="203">
        <f t="shared" si="16"/>
        <v>0</v>
      </c>
      <c r="BP266" s="202"/>
      <c r="BQ266" s="138"/>
      <c r="BR266" s="128"/>
      <c r="BS266" s="128"/>
      <c r="BT266" s="128"/>
      <c r="BU266" s="128"/>
      <c r="BV266" s="128"/>
      <c r="BW266" s="139"/>
      <c r="BX266" s="140"/>
      <c r="BY266" s="139"/>
      <c r="BZ266" s="139"/>
      <c r="CA266" s="134"/>
      <c r="CB266" s="134"/>
      <c r="CC266" s="134"/>
      <c r="CD266" s="134"/>
      <c r="CE266" s="134"/>
      <c r="CF266" s="134"/>
      <c r="CG266" s="92"/>
      <c r="CH266" s="92"/>
      <c r="CI266" s="92"/>
      <c r="CJ266" s="92"/>
      <c r="CK266" s="92"/>
    </row>
    <row r="267" spans="1:89" ht="17.25" customHeight="1">
      <c r="A267" s="160"/>
      <c r="B267" s="52"/>
      <c r="C267" s="52"/>
      <c r="D267" s="137">
        <f t="shared" si="28"/>
        <v>0</v>
      </c>
      <c r="E267" s="208"/>
      <c r="F267" s="202"/>
      <c r="G267" s="207"/>
      <c r="H267" s="202"/>
      <c r="I267" s="208"/>
      <c r="J267" s="202"/>
      <c r="K267" s="208">
        <f t="shared" si="12"/>
        <v>0</v>
      </c>
      <c r="L267" s="202"/>
      <c r="M267" s="207"/>
      <c r="N267" s="202"/>
      <c r="O267" s="209"/>
      <c r="P267" s="202"/>
      <c r="Q267" s="206"/>
      <c r="R267" s="202"/>
      <c r="S267" s="207"/>
      <c r="T267" s="202"/>
      <c r="U267" s="207"/>
      <c r="V267" s="202"/>
      <c r="W267" s="208"/>
      <c r="X267" s="202"/>
      <c r="Y267" s="210">
        <f t="shared" si="31"/>
        <v>0</v>
      </c>
      <c r="Z267" s="202"/>
      <c r="AA267" s="207"/>
      <c r="AB267" s="202"/>
      <c r="AC267" s="209"/>
      <c r="AD267" s="202"/>
      <c r="AE267" s="206"/>
      <c r="AF267" s="202"/>
      <c r="AG267" s="207"/>
      <c r="AH267" s="202"/>
      <c r="AI267" s="207"/>
      <c r="AJ267" s="202"/>
      <c r="AK267" s="208"/>
      <c r="AL267" s="202"/>
      <c r="AM267" s="210">
        <f t="shared" si="14"/>
        <v>0</v>
      </c>
      <c r="AN267" s="202"/>
      <c r="AO267" s="207"/>
      <c r="AP267" s="202"/>
      <c r="AQ267" s="209"/>
      <c r="AR267" s="202"/>
      <c r="AS267" s="206"/>
      <c r="AT267" s="202"/>
      <c r="AU267" s="204"/>
      <c r="AV267" s="202"/>
      <c r="AW267" s="204"/>
      <c r="AX267" s="202"/>
      <c r="AY267" s="201"/>
      <c r="AZ267" s="202"/>
      <c r="BA267" s="210">
        <f t="shared" si="15"/>
        <v>0</v>
      </c>
      <c r="BB267" s="202"/>
      <c r="BC267" s="204"/>
      <c r="BD267" s="202"/>
      <c r="BE267" s="209"/>
      <c r="BF267" s="202"/>
      <c r="BG267" s="206"/>
      <c r="BH267" s="202"/>
      <c r="BI267" s="204"/>
      <c r="BJ267" s="202"/>
      <c r="BK267" s="204"/>
      <c r="BL267" s="202"/>
      <c r="BM267" s="201"/>
      <c r="BN267" s="202"/>
      <c r="BO267" s="203">
        <f t="shared" si="16"/>
        <v>0</v>
      </c>
      <c r="BP267" s="202"/>
      <c r="BQ267" s="138"/>
      <c r="BR267" s="128"/>
      <c r="BS267" s="128"/>
      <c r="BT267" s="128"/>
      <c r="BU267" s="128"/>
      <c r="BV267" s="128"/>
      <c r="BW267" s="139"/>
      <c r="BX267" s="140"/>
      <c r="BY267" s="139"/>
      <c r="BZ267" s="139"/>
      <c r="CA267" s="134"/>
      <c r="CB267" s="134"/>
      <c r="CC267" s="134"/>
      <c r="CD267" s="134"/>
      <c r="CE267" s="134"/>
      <c r="CF267" s="134"/>
      <c r="CG267" s="92"/>
      <c r="CH267" s="92"/>
      <c r="CI267" s="92"/>
      <c r="CJ267" s="92"/>
      <c r="CK267" s="92"/>
    </row>
    <row r="268" spans="1:89" ht="17.25" customHeight="1">
      <c r="A268" s="160"/>
      <c r="B268" s="52"/>
      <c r="C268" s="52"/>
      <c r="D268" s="137">
        <f t="shared" si="28"/>
        <v>0</v>
      </c>
      <c r="E268" s="208"/>
      <c r="F268" s="202"/>
      <c r="G268" s="207"/>
      <c r="H268" s="202"/>
      <c r="I268" s="208"/>
      <c r="J268" s="202"/>
      <c r="K268" s="208">
        <f t="shared" si="12"/>
        <v>0</v>
      </c>
      <c r="L268" s="202"/>
      <c r="M268" s="207"/>
      <c r="N268" s="202"/>
      <c r="O268" s="209"/>
      <c r="P268" s="202"/>
      <c r="Q268" s="206"/>
      <c r="R268" s="202"/>
      <c r="S268" s="207"/>
      <c r="T268" s="202"/>
      <c r="U268" s="207"/>
      <c r="V268" s="202"/>
      <c r="W268" s="208"/>
      <c r="X268" s="202"/>
      <c r="Y268" s="210">
        <f t="shared" si="31"/>
        <v>0</v>
      </c>
      <c r="Z268" s="202"/>
      <c r="AA268" s="207"/>
      <c r="AB268" s="202"/>
      <c r="AC268" s="209"/>
      <c r="AD268" s="202"/>
      <c r="AE268" s="206"/>
      <c r="AF268" s="202"/>
      <c r="AG268" s="207"/>
      <c r="AH268" s="202"/>
      <c r="AI268" s="207"/>
      <c r="AJ268" s="202"/>
      <c r="AK268" s="208"/>
      <c r="AL268" s="202"/>
      <c r="AM268" s="210">
        <f t="shared" si="14"/>
        <v>0</v>
      </c>
      <c r="AN268" s="202"/>
      <c r="AO268" s="207"/>
      <c r="AP268" s="202"/>
      <c r="AQ268" s="209"/>
      <c r="AR268" s="202"/>
      <c r="AS268" s="206"/>
      <c r="AT268" s="202"/>
      <c r="AU268" s="204"/>
      <c r="AV268" s="202"/>
      <c r="AW268" s="204"/>
      <c r="AX268" s="202"/>
      <c r="AY268" s="201"/>
      <c r="AZ268" s="202"/>
      <c r="BA268" s="210">
        <f t="shared" si="15"/>
        <v>0</v>
      </c>
      <c r="BB268" s="202"/>
      <c r="BC268" s="204"/>
      <c r="BD268" s="202"/>
      <c r="BE268" s="209"/>
      <c r="BF268" s="202"/>
      <c r="BG268" s="206"/>
      <c r="BH268" s="202"/>
      <c r="BI268" s="204"/>
      <c r="BJ268" s="202"/>
      <c r="BK268" s="204"/>
      <c r="BL268" s="202"/>
      <c r="BM268" s="201"/>
      <c r="BN268" s="202"/>
      <c r="BO268" s="203">
        <f t="shared" si="16"/>
        <v>0</v>
      </c>
      <c r="BP268" s="202"/>
      <c r="BQ268" s="138"/>
      <c r="BR268" s="128"/>
      <c r="BS268" s="128"/>
      <c r="BT268" s="128"/>
      <c r="BU268" s="128"/>
      <c r="BV268" s="128"/>
      <c r="BW268" s="139"/>
      <c r="BX268" s="140"/>
      <c r="BY268" s="139"/>
      <c r="BZ268" s="139"/>
      <c r="CA268" s="134"/>
      <c r="CB268" s="134"/>
      <c r="CC268" s="134"/>
      <c r="CD268" s="134"/>
      <c r="CE268" s="134"/>
      <c r="CF268" s="134"/>
      <c r="CG268" s="92"/>
      <c r="CH268" s="92"/>
      <c r="CI268" s="92"/>
      <c r="CJ268" s="92"/>
      <c r="CK268" s="92"/>
    </row>
    <row r="269" spans="1:89" ht="17.25" customHeight="1">
      <c r="A269" s="160"/>
      <c r="B269" s="52"/>
      <c r="C269" s="52"/>
      <c r="D269" s="137">
        <f t="shared" si="28"/>
        <v>0</v>
      </c>
      <c r="E269" s="208"/>
      <c r="F269" s="202"/>
      <c r="G269" s="207"/>
      <c r="H269" s="202"/>
      <c r="I269" s="208"/>
      <c r="J269" s="202"/>
      <c r="K269" s="208">
        <f t="shared" si="12"/>
        <v>0</v>
      </c>
      <c r="L269" s="202"/>
      <c r="M269" s="207"/>
      <c r="N269" s="202"/>
      <c r="O269" s="209"/>
      <c r="P269" s="202"/>
      <c r="Q269" s="206"/>
      <c r="R269" s="202"/>
      <c r="S269" s="207"/>
      <c r="T269" s="202"/>
      <c r="U269" s="207"/>
      <c r="V269" s="202"/>
      <c r="W269" s="208"/>
      <c r="X269" s="202"/>
      <c r="Y269" s="210">
        <f t="shared" si="31"/>
        <v>0</v>
      </c>
      <c r="Z269" s="202"/>
      <c r="AA269" s="207"/>
      <c r="AB269" s="202"/>
      <c r="AC269" s="209"/>
      <c r="AD269" s="202"/>
      <c r="AE269" s="206"/>
      <c r="AF269" s="202"/>
      <c r="AG269" s="207"/>
      <c r="AH269" s="202"/>
      <c r="AI269" s="207"/>
      <c r="AJ269" s="202"/>
      <c r="AK269" s="208"/>
      <c r="AL269" s="202"/>
      <c r="AM269" s="210">
        <f t="shared" si="14"/>
        <v>0</v>
      </c>
      <c r="AN269" s="202"/>
      <c r="AO269" s="207"/>
      <c r="AP269" s="202"/>
      <c r="AQ269" s="209"/>
      <c r="AR269" s="202"/>
      <c r="AS269" s="206"/>
      <c r="AT269" s="202"/>
      <c r="AU269" s="204"/>
      <c r="AV269" s="202"/>
      <c r="AW269" s="204"/>
      <c r="AX269" s="202"/>
      <c r="AY269" s="201"/>
      <c r="AZ269" s="202"/>
      <c r="BA269" s="210">
        <f t="shared" si="15"/>
        <v>0</v>
      </c>
      <c r="BB269" s="202"/>
      <c r="BC269" s="204"/>
      <c r="BD269" s="202"/>
      <c r="BE269" s="209"/>
      <c r="BF269" s="202"/>
      <c r="BG269" s="206"/>
      <c r="BH269" s="202"/>
      <c r="BI269" s="204"/>
      <c r="BJ269" s="202"/>
      <c r="BK269" s="204"/>
      <c r="BL269" s="202"/>
      <c r="BM269" s="201"/>
      <c r="BN269" s="202"/>
      <c r="BO269" s="203">
        <f t="shared" si="16"/>
        <v>0</v>
      </c>
      <c r="BP269" s="202"/>
      <c r="BQ269" s="138"/>
      <c r="BR269" s="128"/>
      <c r="BS269" s="128"/>
      <c r="BT269" s="128"/>
      <c r="BU269" s="128"/>
      <c r="BV269" s="128"/>
      <c r="BW269" s="139"/>
      <c r="BX269" s="140"/>
      <c r="BY269" s="139"/>
      <c r="BZ269" s="139"/>
      <c r="CA269" s="134"/>
      <c r="CB269" s="134"/>
      <c r="CC269" s="134"/>
      <c r="CD269" s="134"/>
      <c r="CE269" s="134"/>
      <c r="CF269" s="134"/>
      <c r="CG269" s="92"/>
      <c r="CH269" s="92"/>
      <c r="CI269" s="92"/>
      <c r="CJ269" s="92"/>
      <c r="CK269" s="92"/>
    </row>
    <row r="270" spans="1:89" ht="17.25" customHeight="1">
      <c r="A270" s="160"/>
      <c r="B270" s="52"/>
      <c r="C270" s="52"/>
      <c r="D270" s="137">
        <f t="shared" si="28"/>
        <v>0</v>
      </c>
      <c r="E270" s="208"/>
      <c r="F270" s="202"/>
      <c r="G270" s="207"/>
      <c r="H270" s="202"/>
      <c r="I270" s="208"/>
      <c r="J270" s="202"/>
      <c r="K270" s="208">
        <f t="shared" si="12"/>
        <v>0</v>
      </c>
      <c r="L270" s="202"/>
      <c r="M270" s="207"/>
      <c r="N270" s="202"/>
      <c r="O270" s="209"/>
      <c r="P270" s="202"/>
      <c r="Q270" s="206"/>
      <c r="R270" s="202"/>
      <c r="S270" s="207"/>
      <c r="T270" s="202"/>
      <c r="U270" s="207"/>
      <c r="V270" s="202"/>
      <c r="W270" s="208"/>
      <c r="X270" s="202"/>
      <c r="Y270" s="210">
        <f t="shared" si="31"/>
        <v>0</v>
      </c>
      <c r="Z270" s="202"/>
      <c r="AA270" s="207"/>
      <c r="AB270" s="202"/>
      <c r="AC270" s="209"/>
      <c r="AD270" s="202"/>
      <c r="AE270" s="206"/>
      <c r="AF270" s="202"/>
      <c r="AG270" s="207"/>
      <c r="AH270" s="202"/>
      <c r="AI270" s="207"/>
      <c r="AJ270" s="202"/>
      <c r="AK270" s="208"/>
      <c r="AL270" s="202"/>
      <c r="AM270" s="210">
        <f t="shared" si="14"/>
        <v>0</v>
      </c>
      <c r="AN270" s="202"/>
      <c r="AO270" s="207"/>
      <c r="AP270" s="202"/>
      <c r="AQ270" s="209"/>
      <c r="AR270" s="202"/>
      <c r="AS270" s="206"/>
      <c r="AT270" s="202"/>
      <c r="AU270" s="204"/>
      <c r="AV270" s="202"/>
      <c r="AW270" s="204"/>
      <c r="AX270" s="202"/>
      <c r="AY270" s="201"/>
      <c r="AZ270" s="202"/>
      <c r="BA270" s="210">
        <f t="shared" si="15"/>
        <v>0</v>
      </c>
      <c r="BB270" s="202"/>
      <c r="BC270" s="204"/>
      <c r="BD270" s="202"/>
      <c r="BE270" s="209"/>
      <c r="BF270" s="202"/>
      <c r="BG270" s="206"/>
      <c r="BH270" s="202"/>
      <c r="BI270" s="204"/>
      <c r="BJ270" s="202"/>
      <c r="BK270" s="204"/>
      <c r="BL270" s="202"/>
      <c r="BM270" s="201"/>
      <c r="BN270" s="202"/>
      <c r="BO270" s="203">
        <f t="shared" si="16"/>
        <v>0</v>
      </c>
      <c r="BP270" s="202"/>
      <c r="BQ270" s="138"/>
      <c r="BR270" s="128"/>
      <c r="BS270" s="128"/>
      <c r="BT270" s="128"/>
      <c r="BU270" s="128"/>
      <c r="BV270" s="128"/>
      <c r="BW270" s="139"/>
      <c r="BX270" s="140"/>
      <c r="BY270" s="139"/>
      <c r="BZ270" s="139"/>
      <c r="CA270" s="134"/>
      <c r="CB270" s="134"/>
      <c r="CC270" s="134"/>
      <c r="CD270" s="134"/>
      <c r="CE270" s="134"/>
      <c r="CF270" s="134"/>
      <c r="CG270" s="92"/>
      <c r="CH270" s="92"/>
      <c r="CI270" s="92"/>
      <c r="CJ270" s="92"/>
      <c r="CK270" s="92"/>
    </row>
    <row r="271" spans="1:89" ht="17.25" customHeight="1">
      <c r="A271" s="160"/>
      <c r="B271" s="52"/>
      <c r="C271" s="52"/>
      <c r="D271" s="137">
        <f t="shared" si="28"/>
        <v>0</v>
      </c>
      <c r="E271" s="208"/>
      <c r="F271" s="202"/>
      <c r="G271" s="207"/>
      <c r="H271" s="202"/>
      <c r="I271" s="208"/>
      <c r="J271" s="202"/>
      <c r="K271" s="208">
        <f t="shared" si="12"/>
        <v>0</v>
      </c>
      <c r="L271" s="202"/>
      <c r="M271" s="207"/>
      <c r="N271" s="202"/>
      <c r="O271" s="209"/>
      <c r="P271" s="202"/>
      <c r="Q271" s="206"/>
      <c r="R271" s="202"/>
      <c r="S271" s="207"/>
      <c r="T271" s="202"/>
      <c r="U271" s="207"/>
      <c r="V271" s="202"/>
      <c r="W271" s="208"/>
      <c r="X271" s="202"/>
      <c r="Y271" s="210">
        <f t="shared" si="31"/>
        <v>0</v>
      </c>
      <c r="Z271" s="202"/>
      <c r="AA271" s="207"/>
      <c r="AB271" s="202"/>
      <c r="AC271" s="209"/>
      <c r="AD271" s="202"/>
      <c r="AE271" s="206"/>
      <c r="AF271" s="202"/>
      <c r="AG271" s="207"/>
      <c r="AH271" s="202"/>
      <c r="AI271" s="207"/>
      <c r="AJ271" s="202"/>
      <c r="AK271" s="208"/>
      <c r="AL271" s="202"/>
      <c r="AM271" s="210">
        <f t="shared" si="14"/>
        <v>0</v>
      </c>
      <c r="AN271" s="202"/>
      <c r="AO271" s="207"/>
      <c r="AP271" s="202"/>
      <c r="AQ271" s="209"/>
      <c r="AR271" s="202"/>
      <c r="AS271" s="206"/>
      <c r="AT271" s="202"/>
      <c r="AU271" s="204"/>
      <c r="AV271" s="202"/>
      <c r="AW271" s="204"/>
      <c r="AX271" s="202"/>
      <c r="AY271" s="201"/>
      <c r="AZ271" s="202"/>
      <c r="BA271" s="210">
        <f t="shared" si="15"/>
        <v>0</v>
      </c>
      <c r="BB271" s="202"/>
      <c r="BC271" s="204"/>
      <c r="BD271" s="202"/>
      <c r="BE271" s="209"/>
      <c r="BF271" s="202"/>
      <c r="BG271" s="206"/>
      <c r="BH271" s="202"/>
      <c r="BI271" s="204"/>
      <c r="BJ271" s="202"/>
      <c r="BK271" s="204"/>
      <c r="BL271" s="202"/>
      <c r="BM271" s="201"/>
      <c r="BN271" s="202"/>
      <c r="BO271" s="203">
        <f t="shared" si="16"/>
        <v>0</v>
      </c>
      <c r="BP271" s="202"/>
      <c r="BQ271" s="138"/>
      <c r="BR271" s="128"/>
      <c r="BS271" s="128"/>
      <c r="BT271" s="128"/>
      <c r="BU271" s="128"/>
      <c r="BV271" s="128"/>
      <c r="BW271" s="139"/>
      <c r="BX271" s="140"/>
      <c r="BY271" s="139"/>
      <c r="BZ271" s="139"/>
      <c r="CA271" s="134"/>
      <c r="CB271" s="134"/>
      <c r="CC271" s="134"/>
      <c r="CD271" s="134"/>
      <c r="CE271" s="134"/>
      <c r="CF271" s="134"/>
      <c r="CG271" s="92"/>
      <c r="CH271" s="92"/>
      <c r="CI271" s="92"/>
      <c r="CJ271" s="92"/>
      <c r="CK271" s="92"/>
    </row>
    <row r="272" spans="1:89" ht="17.25" customHeight="1">
      <c r="A272" s="160"/>
      <c r="B272" s="52"/>
      <c r="C272" s="52"/>
      <c r="D272" s="137">
        <f t="shared" si="28"/>
        <v>0</v>
      </c>
      <c r="E272" s="208"/>
      <c r="F272" s="202"/>
      <c r="G272" s="207"/>
      <c r="H272" s="202"/>
      <c r="I272" s="208"/>
      <c r="J272" s="202"/>
      <c r="K272" s="208">
        <f t="shared" si="12"/>
        <v>0</v>
      </c>
      <c r="L272" s="202"/>
      <c r="O272" s="209"/>
      <c r="P272" s="202"/>
      <c r="Q272" s="206"/>
      <c r="R272" s="202"/>
      <c r="S272" s="207"/>
      <c r="T272" s="202"/>
      <c r="U272" s="207"/>
      <c r="V272" s="202"/>
      <c r="W272" s="208"/>
      <c r="X272" s="202"/>
      <c r="Y272" s="210">
        <f t="shared" si="31"/>
        <v>0</v>
      </c>
      <c r="Z272" s="202"/>
      <c r="AA272" s="207"/>
      <c r="AB272" s="202"/>
      <c r="AC272" s="209"/>
      <c r="AD272" s="202"/>
      <c r="AE272" s="206"/>
      <c r="AF272" s="202"/>
      <c r="AG272" s="207"/>
      <c r="AH272" s="202"/>
      <c r="AI272" s="207"/>
      <c r="AJ272" s="202"/>
      <c r="AK272" s="208"/>
      <c r="AL272" s="202"/>
      <c r="AM272" s="210">
        <f t="shared" si="14"/>
        <v>0</v>
      </c>
      <c r="AN272" s="202"/>
      <c r="AO272" s="207"/>
      <c r="AP272" s="202"/>
      <c r="AQ272" s="209"/>
      <c r="AR272" s="202"/>
      <c r="AS272" s="206"/>
      <c r="AT272" s="202"/>
      <c r="AU272" s="204"/>
      <c r="AV272" s="202"/>
      <c r="AW272" s="204"/>
      <c r="AX272" s="202"/>
      <c r="AY272" s="201"/>
      <c r="AZ272" s="202"/>
      <c r="BA272" s="210">
        <f t="shared" si="15"/>
        <v>0</v>
      </c>
      <c r="BB272" s="202"/>
      <c r="BC272" s="204"/>
      <c r="BD272" s="202"/>
      <c r="BE272" s="209"/>
      <c r="BF272" s="202"/>
      <c r="BG272" s="206"/>
      <c r="BH272" s="202"/>
      <c r="BI272" s="204"/>
      <c r="BJ272" s="202"/>
      <c r="BK272" s="204"/>
      <c r="BL272" s="202"/>
      <c r="BM272" s="201"/>
      <c r="BN272" s="202"/>
      <c r="BO272" s="203">
        <f t="shared" si="16"/>
        <v>0</v>
      </c>
      <c r="BP272" s="202"/>
      <c r="BQ272" s="138"/>
      <c r="BR272" s="128"/>
      <c r="BS272" s="128"/>
      <c r="BT272" s="128"/>
      <c r="BU272" s="128"/>
      <c r="BV272" s="128"/>
      <c r="BW272" s="139"/>
      <c r="BX272" s="140"/>
      <c r="BY272" s="139"/>
      <c r="BZ272" s="139"/>
      <c r="CA272" s="134"/>
      <c r="CB272" s="134"/>
      <c r="CC272" s="134"/>
      <c r="CD272" s="134"/>
      <c r="CE272" s="134"/>
      <c r="CF272" s="134"/>
      <c r="CG272" s="92"/>
      <c r="CH272" s="92"/>
      <c r="CI272" s="92"/>
      <c r="CJ272" s="92"/>
      <c r="CK272" s="92"/>
    </row>
    <row r="273" spans="1:89" ht="17.25" customHeight="1">
      <c r="A273" s="160"/>
      <c r="B273" s="52"/>
      <c r="C273" s="52"/>
      <c r="D273" s="137">
        <f t="shared" si="28"/>
        <v>0</v>
      </c>
      <c r="E273" s="208"/>
      <c r="F273" s="202"/>
      <c r="G273" s="207"/>
      <c r="H273" s="202"/>
      <c r="I273" s="208"/>
      <c r="J273" s="202"/>
      <c r="K273" s="208">
        <f t="shared" si="12"/>
        <v>0</v>
      </c>
      <c r="L273" s="202"/>
      <c r="M273" s="207"/>
      <c r="N273" s="202"/>
      <c r="O273" s="209"/>
      <c r="P273" s="202"/>
      <c r="Q273" s="206"/>
      <c r="R273" s="202"/>
      <c r="S273" s="207"/>
      <c r="T273" s="202"/>
      <c r="U273" s="207"/>
      <c r="V273" s="202"/>
      <c r="W273" s="208"/>
      <c r="X273" s="202"/>
      <c r="Y273" s="210">
        <f t="shared" si="31"/>
        <v>0</v>
      </c>
      <c r="Z273" s="202"/>
      <c r="AA273" s="207"/>
      <c r="AB273" s="202"/>
      <c r="AC273" s="209"/>
      <c r="AD273" s="202"/>
      <c r="AE273" s="206"/>
      <c r="AF273" s="202"/>
      <c r="AG273" s="207"/>
      <c r="AH273" s="202"/>
      <c r="AI273" s="207"/>
      <c r="AJ273" s="202"/>
      <c r="AK273" s="208"/>
      <c r="AL273" s="202"/>
      <c r="AM273" s="210">
        <f t="shared" si="14"/>
        <v>0</v>
      </c>
      <c r="AN273" s="202"/>
      <c r="AO273" s="207"/>
      <c r="AP273" s="202"/>
      <c r="AQ273" s="209"/>
      <c r="AR273" s="202"/>
      <c r="AS273" s="206"/>
      <c r="AT273" s="202"/>
      <c r="AU273" s="204"/>
      <c r="AV273" s="202"/>
      <c r="AW273" s="204"/>
      <c r="AX273" s="202"/>
      <c r="AY273" s="201"/>
      <c r="AZ273" s="202"/>
      <c r="BA273" s="210">
        <f t="shared" si="15"/>
        <v>0</v>
      </c>
      <c r="BB273" s="202"/>
      <c r="BC273" s="204"/>
      <c r="BD273" s="202"/>
      <c r="BE273" s="209"/>
      <c r="BF273" s="202"/>
      <c r="BG273" s="206"/>
      <c r="BH273" s="202"/>
      <c r="BI273" s="204"/>
      <c r="BJ273" s="202"/>
      <c r="BK273" s="204"/>
      <c r="BL273" s="202"/>
      <c r="BM273" s="201"/>
      <c r="BN273" s="202"/>
      <c r="BO273" s="203">
        <f t="shared" si="16"/>
        <v>0</v>
      </c>
      <c r="BP273" s="202"/>
      <c r="BQ273" s="138"/>
      <c r="BR273" s="128"/>
      <c r="BS273" s="128"/>
      <c r="BT273" s="128"/>
      <c r="BU273" s="128"/>
      <c r="BV273" s="128"/>
      <c r="BW273" s="139"/>
      <c r="BX273" s="140"/>
      <c r="BY273" s="139"/>
      <c r="BZ273" s="139"/>
      <c r="CA273" s="134"/>
      <c r="CB273" s="134"/>
      <c r="CC273" s="134"/>
      <c r="CD273" s="134"/>
      <c r="CE273" s="134"/>
      <c r="CF273" s="134"/>
      <c r="CG273" s="92"/>
      <c r="CH273" s="92"/>
      <c r="CI273" s="92"/>
      <c r="CJ273" s="92"/>
      <c r="CK273" s="92"/>
    </row>
    <row r="274" spans="1:89" ht="17.25" customHeight="1">
      <c r="A274" s="160"/>
      <c r="B274" s="52"/>
      <c r="C274" s="52"/>
      <c r="D274" s="137">
        <f t="shared" si="28"/>
        <v>0</v>
      </c>
      <c r="E274" s="208"/>
      <c r="F274" s="202"/>
      <c r="G274" s="207"/>
      <c r="H274" s="202"/>
      <c r="I274" s="208"/>
      <c r="J274" s="202"/>
      <c r="K274" s="208">
        <f t="shared" si="12"/>
        <v>0</v>
      </c>
      <c r="L274" s="202"/>
      <c r="M274" s="207"/>
      <c r="N274" s="202"/>
      <c r="O274" s="209"/>
      <c r="P274" s="202"/>
      <c r="Q274" s="206"/>
      <c r="R274" s="202"/>
      <c r="S274" s="207"/>
      <c r="T274" s="202"/>
      <c r="U274" s="207"/>
      <c r="V274" s="202"/>
      <c r="W274" s="208"/>
      <c r="X274" s="202"/>
      <c r="Y274" s="210">
        <f t="shared" si="31"/>
        <v>0</v>
      </c>
      <c r="Z274" s="202"/>
      <c r="AA274" s="207"/>
      <c r="AB274" s="202"/>
      <c r="AC274" s="209"/>
      <c r="AD274" s="202"/>
      <c r="AE274" s="206"/>
      <c r="AF274" s="202"/>
      <c r="AG274" s="207"/>
      <c r="AH274" s="202"/>
      <c r="AI274" s="207"/>
      <c r="AJ274" s="202"/>
      <c r="AK274" s="208"/>
      <c r="AL274" s="202"/>
      <c r="AM274" s="210">
        <f t="shared" si="14"/>
        <v>0</v>
      </c>
      <c r="AN274" s="202"/>
      <c r="AO274" s="207"/>
      <c r="AP274" s="202"/>
      <c r="AQ274" s="209"/>
      <c r="AR274" s="202"/>
      <c r="AS274" s="206"/>
      <c r="AT274" s="202"/>
      <c r="AU274" s="204"/>
      <c r="AV274" s="202"/>
      <c r="AW274" s="204"/>
      <c r="AX274" s="202"/>
      <c r="AY274" s="201"/>
      <c r="AZ274" s="202"/>
      <c r="BA274" s="210">
        <f t="shared" si="15"/>
        <v>0</v>
      </c>
      <c r="BB274" s="202"/>
      <c r="BC274" s="204"/>
      <c r="BD274" s="202"/>
      <c r="BE274" s="209"/>
      <c r="BF274" s="202"/>
      <c r="BG274" s="206"/>
      <c r="BH274" s="202"/>
      <c r="BI274" s="204"/>
      <c r="BJ274" s="202"/>
      <c r="BK274" s="204"/>
      <c r="BL274" s="202"/>
      <c r="BM274" s="201"/>
      <c r="BN274" s="202"/>
      <c r="BO274" s="203">
        <f t="shared" si="16"/>
        <v>0</v>
      </c>
      <c r="BP274" s="202"/>
      <c r="BQ274" s="138"/>
      <c r="BR274" s="128"/>
      <c r="BS274" s="128"/>
      <c r="BT274" s="128"/>
      <c r="BU274" s="128"/>
      <c r="BV274" s="128"/>
      <c r="BW274" s="139"/>
      <c r="BX274" s="140"/>
      <c r="BY274" s="139"/>
      <c r="BZ274" s="139"/>
      <c r="CA274" s="134"/>
      <c r="CB274" s="134"/>
      <c r="CC274" s="134"/>
      <c r="CD274" s="134"/>
      <c r="CE274" s="134"/>
      <c r="CF274" s="134"/>
      <c r="CG274" s="92"/>
      <c r="CH274" s="92"/>
      <c r="CI274" s="92"/>
      <c r="CJ274" s="92"/>
      <c r="CK274" s="92"/>
    </row>
    <row r="275" spans="1:89" ht="17.25" customHeight="1">
      <c r="A275" s="160"/>
      <c r="B275" s="52"/>
      <c r="C275" s="52"/>
      <c r="D275" s="137">
        <f t="shared" si="28"/>
        <v>0</v>
      </c>
      <c r="E275" s="208"/>
      <c r="F275" s="202"/>
      <c r="G275" s="207"/>
      <c r="H275" s="202"/>
      <c r="I275" s="208"/>
      <c r="J275" s="202"/>
      <c r="K275" s="208">
        <f t="shared" si="12"/>
        <v>0</v>
      </c>
      <c r="L275" s="202"/>
      <c r="M275" s="207"/>
      <c r="N275" s="202"/>
      <c r="O275" s="209"/>
      <c r="P275" s="202"/>
      <c r="Q275" s="206"/>
      <c r="R275" s="202"/>
      <c r="S275" s="207"/>
      <c r="T275" s="202"/>
      <c r="U275" s="207"/>
      <c r="V275" s="202"/>
      <c r="W275" s="208"/>
      <c r="X275" s="202"/>
      <c r="Y275" s="210">
        <f t="shared" si="31"/>
        <v>0</v>
      </c>
      <c r="Z275" s="202"/>
      <c r="AA275" s="207"/>
      <c r="AB275" s="202"/>
      <c r="AC275" s="209"/>
      <c r="AD275" s="202"/>
      <c r="AE275" s="206"/>
      <c r="AF275" s="202"/>
      <c r="AG275" s="207"/>
      <c r="AH275" s="202"/>
      <c r="AI275" s="207"/>
      <c r="AJ275" s="202"/>
      <c r="AK275" s="208"/>
      <c r="AL275" s="202"/>
      <c r="AM275" s="210">
        <f t="shared" si="14"/>
        <v>0</v>
      </c>
      <c r="AN275" s="202"/>
      <c r="AO275" s="207"/>
      <c r="AP275" s="202"/>
      <c r="AQ275" s="209"/>
      <c r="AR275" s="202"/>
      <c r="AS275" s="206"/>
      <c r="AT275" s="202"/>
      <c r="AU275" s="204"/>
      <c r="AV275" s="202"/>
      <c r="AW275" s="204"/>
      <c r="AX275" s="202"/>
      <c r="AY275" s="201"/>
      <c r="AZ275" s="202"/>
      <c r="BA275" s="210">
        <f t="shared" si="15"/>
        <v>0</v>
      </c>
      <c r="BB275" s="202"/>
      <c r="BC275" s="204"/>
      <c r="BD275" s="202"/>
      <c r="BE275" s="209"/>
      <c r="BF275" s="202"/>
      <c r="BG275" s="206"/>
      <c r="BH275" s="202"/>
      <c r="BI275" s="204"/>
      <c r="BJ275" s="202"/>
      <c r="BK275" s="204"/>
      <c r="BL275" s="202"/>
      <c r="BM275" s="201"/>
      <c r="BN275" s="202"/>
      <c r="BO275" s="203">
        <f t="shared" si="16"/>
        <v>0</v>
      </c>
      <c r="BP275" s="202"/>
      <c r="BQ275" s="138"/>
      <c r="BR275" s="128"/>
      <c r="BS275" s="128"/>
      <c r="BT275" s="128"/>
      <c r="BU275" s="128"/>
      <c r="BV275" s="128"/>
      <c r="BW275" s="139"/>
      <c r="BX275" s="140"/>
      <c r="BY275" s="139"/>
      <c r="BZ275" s="139"/>
      <c r="CA275" s="134"/>
      <c r="CB275" s="134"/>
      <c r="CC275" s="134"/>
      <c r="CD275" s="134"/>
      <c r="CE275" s="134"/>
      <c r="CF275" s="134"/>
      <c r="CG275" s="92"/>
      <c r="CH275" s="92"/>
      <c r="CI275" s="92"/>
      <c r="CJ275" s="92"/>
      <c r="CK275" s="92"/>
    </row>
    <row r="276" spans="1:89" ht="17.25" customHeight="1">
      <c r="A276" s="160"/>
      <c r="B276" s="52"/>
      <c r="C276" s="52"/>
      <c r="D276" s="137">
        <f t="shared" si="28"/>
        <v>0</v>
      </c>
      <c r="E276" s="208"/>
      <c r="F276" s="202"/>
      <c r="G276" s="207"/>
      <c r="H276" s="202"/>
      <c r="I276" s="208"/>
      <c r="J276" s="202"/>
      <c r="K276" s="208">
        <f t="shared" si="12"/>
        <v>0</v>
      </c>
      <c r="L276" s="202"/>
      <c r="M276" s="207"/>
      <c r="N276" s="202"/>
      <c r="O276" s="209"/>
      <c r="P276" s="202"/>
      <c r="Q276" s="206"/>
      <c r="R276" s="202"/>
      <c r="S276" s="207"/>
      <c r="T276" s="202"/>
      <c r="U276" s="207"/>
      <c r="V276" s="202"/>
      <c r="W276" s="208"/>
      <c r="X276" s="202"/>
      <c r="Y276" s="210">
        <f t="shared" si="31"/>
        <v>0</v>
      </c>
      <c r="Z276" s="202"/>
      <c r="AA276" s="207"/>
      <c r="AB276" s="202"/>
      <c r="AC276" s="209"/>
      <c r="AD276" s="202"/>
      <c r="AE276" s="206"/>
      <c r="AF276" s="202"/>
      <c r="AG276" s="207"/>
      <c r="AH276" s="202"/>
      <c r="AI276" s="207"/>
      <c r="AJ276" s="202"/>
      <c r="AK276" s="208"/>
      <c r="AL276" s="202"/>
      <c r="AM276" s="210">
        <f t="shared" si="14"/>
        <v>0</v>
      </c>
      <c r="AN276" s="202"/>
      <c r="AO276" s="207"/>
      <c r="AP276" s="202"/>
      <c r="AQ276" s="209"/>
      <c r="AR276" s="202"/>
      <c r="AS276" s="206"/>
      <c r="AT276" s="202"/>
      <c r="AU276" s="204"/>
      <c r="AV276" s="202"/>
      <c r="AW276" s="204"/>
      <c r="AX276" s="202"/>
      <c r="AY276" s="201"/>
      <c r="AZ276" s="202"/>
      <c r="BA276" s="210">
        <f t="shared" si="15"/>
        <v>0</v>
      </c>
      <c r="BB276" s="202"/>
      <c r="BC276" s="204"/>
      <c r="BD276" s="202"/>
      <c r="BE276" s="209"/>
      <c r="BF276" s="202"/>
      <c r="BG276" s="206"/>
      <c r="BH276" s="202"/>
      <c r="BI276" s="204"/>
      <c r="BJ276" s="202"/>
      <c r="BK276" s="204"/>
      <c r="BL276" s="202"/>
      <c r="BM276" s="201"/>
      <c r="BN276" s="202"/>
      <c r="BO276" s="203">
        <f t="shared" si="16"/>
        <v>0</v>
      </c>
      <c r="BP276" s="202"/>
      <c r="BQ276" s="138"/>
      <c r="BR276" s="128"/>
      <c r="BS276" s="128"/>
      <c r="BT276" s="128"/>
      <c r="BU276" s="128"/>
      <c r="BV276" s="128"/>
      <c r="BW276" s="139"/>
      <c r="BX276" s="140"/>
      <c r="BY276" s="139"/>
      <c r="BZ276" s="139"/>
      <c r="CA276" s="134"/>
      <c r="CB276" s="134"/>
      <c r="CC276" s="134"/>
      <c r="CD276" s="134"/>
      <c r="CE276" s="134"/>
      <c r="CF276" s="134"/>
      <c r="CG276" s="92"/>
      <c r="CH276" s="92"/>
      <c r="CI276" s="92"/>
      <c r="CJ276" s="92"/>
      <c r="CK276" s="92"/>
    </row>
    <row r="277" spans="1:89" ht="17.25" customHeight="1">
      <c r="A277" s="160"/>
      <c r="B277" s="52"/>
      <c r="C277" s="52"/>
      <c r="D277" s="137">
        <f t="shared" si="28"/>
        <v>0</v>
      </c>
      <c r="E277" s="208"/>
      <c r="F277" s="202"/>
      <c r="G277" s="207"/>
      <c r="H277" s="202"/>
      <c r="I277" s="208"/>
      <c r="J277" s="202"/>
      <c r="K277" s="208">
        <f t="shared" si="12"/>
        <v>0</v>
      </c>
      <c r="L277" s="202"/>
      <c r="M277" s="207"/>
      <c r="N277" s="202"/>
      <c r="O277" s="209"/>
      <c r="P277" s="202"/>
      <c r="Q277" s="206"/>
      <c r="R277" s="202"/>
      <c r="S277" s="207"/>
      <c r="T277" s="202"/>
      <c r="U277" s="207"/>
      <c r="V277" s="202"/>
      <c r="W277" s="208"/>
      <c r="X277" s="202"/>
      <c r="Y277" s="210">
        <f t="shared" si="31"/>
        <v>0</v>
      </c>
      <c r="Z277" s="202"/>
      <c r="AA277" s="207"/>
      <c r="AB277" s="202"/>
      <c r="AC277" s="209"/>
      <c r="AD277" s="202"/>
      <c r="AE277" s="206"/>
      <c r="AF277" s="202"/>
      <c r="AG277" s="207"/>
      <c r="AH277" s="202"/>
      <c r="AI277" s="207"/>
      <c r="AJ277" s="202"/>
      <c r="AK277" s="208"/>
      <c r="AL277" s="202"/>
      <c r="AM277" s="210">
        <f t="shared" si="14"/>
        <v>0</v>
      </c>
      <c r="AN277" s="202"/>
      <c r="AO277" s="207"/>
      <c r="AP277" s="202"/>
      <c r="AQ277" s="209"/>
      <c r="AR277" s="202"/>
      <c r="AS277" s="206"/>
      <c r="AT277" s="202"/>
      <c r="AU277" s="204"/>
      <c r="AV277" s="202"/>
      <c r="AW277" s="204"/>
      <c r="AX277" s="202"/>
      <c r="AY277" s="201"/>
      <c r="AZ277" s="202"/>
      <c r="BA277" s="210">
        <f t="shared" si="15"/>
        <v>0</v>
      </c>
      <c r="BB277" s="202"/>
      <c r="BC277" s="204"/>
      <c r="BD277" s="202"/>
      <c r="BE277" s="209"/>
      <c r="BF277" s="202"/>
      <c r="BG277" s="206"/>
      <c r="BH277" s="202"/>
      <c r="BI277" s="204"/>
      <c r="BJ277" s="202"/>
      <c r="BK277" s="204"/>
      <c r="BL277" s="202"/>
      <c r="BM277" s="201"/>
      <c r="BN277" s="202"/>
      <c r="BO277" s="203">
        <f t="shared" si="16"/>
        <v>0</v>
      </c>
      <c r="BP277" s="202"/>
      <c r="BQ277" s="138"/>
      <c r="BR277" s="128"/>
      <c r="BS277" s="128"/>
      <c r="BT277" s="128"/>
      <c r="BU277" s="128"/>
      <c r="BV277" s="128"/>
      <c r="BW277" s="139"/>
      <c r="BX277" s="140"/>
      <c r="BY277" s="139"/>
      <c r="BZ277" s="139"/>
      <c r="CA277" s="134"/>
      <c r="CB277" s="134"/>
      <c r="CC277" s="134"/>
      <c r="CD277" s="134"/>
      <c r="CE277" s="134"/>
      <c r="CF277" s="134"/>
      <c r="CG277" s="92"/>
      <c r="CH277" s="92"/>
      <c r="CI277" s="92"/>
      <c r="CJ277" s="92"/>
      <c r="CK277" s="92"/>
    </row>
    <row r="278" spans="1:89" ht="17.25" customHeight="1">
      <c r="A278" s="160"/>
      <c r="B278" s="52"/>
      <c r="C278" s="52"/>
      <c r="D278" s="137">
        <f t="shared" si="28"/>
        <v>0</v>
      </c>
      <c r="E278" s="208"/>
      <c r="F278" s="202"/>
      <c r="G278" s="207"/>
      <c r="H278" s="202"/>
      <c r="I278" s="208"/>
      <c r="J278" s="202"/>
      <c r="K278" s="208">
        <f t="shared" si="12"/>
        <v>0</v>
      </c>
      <c r="L278" s="202"/>
      <c r="M278" s="207"/>
      <c r="N278" s="202"/>
      <c r="O278" s="209"/>
      <c r="P278" s="202"/>
      <c r="Q278" s="206"/>
      <c r="R278" s="202"/>
      <c r="S278" s="207"/>
      <c r="T278" s="202"/>
      <c r="U278" s="207"/>
      <c r="V278" s="202"/>
      <c r="W278" s="208"/>
      <c r="X278" s="202"/>
      <c r="Y278" s="210">
        <f t="shared" si="31"/>
        <v>0</v>
      </c>
      <c r="Z278" s="202"/>
      <c r="AA278" s="207"/>
      <c r="AB278" s="202"/>
      <c r="AC278" s="209"/>
      <c r="AD278" s="202"/>
      <c r="AE278" s="206"/>
      <c r="AF278" s="202"/>
      <c r="AG278" s="207"/>
      <c r="AH278" s="202"/>
      <c r="AI278" s="207"/>
      <c r="AJ278" s="202"/>
      <c r="AK278" s="208"/>
      <c r="AL278" s="202"/>
      <c r="AM278" s="210">
        <f t="shared" si="14"/>
        <v>0</v>
      </c>
      <c r="AN278" s="202"/>
      <c r="AO278" s="207"/>
      <c r="AP278" s="202"/>
      <c r="AQ278" s="209"/>
      <c r="AR278" s="202"/>
      <c r="AS278" s="206"/>
      <c r="AT278" s="202"/>
      <c r="AU278" s="204"/>
      <c r="AV278" s="202"/>
      <c r="AW278" s="204"/>
      <c r="AX278" s="202"/>
      <c r="AY278" s="201"/>
      <c r="AZ278" s="202"/>
      <c r="BA278" s="210">
        <f t="shared" si="15"/>
        <v>0</v>
      </c>
      <c r="BB278" s="202"/>
      <c r="BC278" s="204"/>
      <c r="BD278" s="202"/>
      <c r="BE278" s="209"/>
      <c r="BF278" s="202"/>
      <c r="BG278" s="206"/>
      <c r="BH278" s="202"/>
      <c r="BI278" s="204"/>
      <c r="BJ278" s="202"/>
      <c r="BK278" s="204"/>
      <c r="BL278" s="202"/>
      <c r="BM278" s="201"/>
      <c r="BN278" s="202"/>
      <c r="BO278" s="203">
        <f t="shared" si="16"/>
        <v>0</v>
      </c>
      <c r="BP278" s="202"/>
      <c r="BQ278" s="138"/>
      <c r="BR278" s="128"/>
      <c r="BS278" s="128"/>
      <c r="BT278" s="128"/>
      <c r="BU278" s="128"/>
      <c r="BV278" s="128"/>
      <c r="BW278" s="139"/>
      <c r="BX278" s="140"/>
      <c r="BY278" s="139"/>
      <c r="BZ278" s="139"/>
      <c r="CA278" s="134"/>
      <c r="CB278" s="134"/>
      <c r="CC278" s="134"/>
      <c r="CD278" s="134"/>
      <c r="CE278" s="134"/>
      <c r="CF278" s="134"/>
      <c r="CG278" s="92"/>
      <c r="CH278" s="92"/>
      <c r="CI278" s="92"/>
      <c r="CJ278" s="92"/>
      <c r="CK278" s="92"/>
    </row>
    <row r="279" spans="1:89" ht="17.25" customHeight="1">
      <c r="A279" s="160"/>
      <c r="B279" s="52"/>
      <c r="C279" s="52"/>
      <c r="D279" s="137">
        <f t="shared" si="28"/>
        <v>0</v>
      </c>
      <c r="E279" s="208"/>
      <c r="F279" s="202"/>
      <c r="G279" s="207"/>
      <c r="H279" s="202"/>
      <c r="I279" s="208"/>
      <c r="J279" s="202"/>
      <c r="K279" s="208">
        <f t="shared" si="12"/>
        <v>0</v>
      </c>
      <c r="L279" s="202"/>
      <c r="M279" s="207"/>
      <c r="N279" s="202"/>
      <c r="O279" s="209"/>
      <c r="P279" s="202"/>
      <c r="Q279" s="206"/>
      <c r="R279" s="202"/>
      <c r="S279" s="207"/>
      <c r="T279" s="202"/>
      <c r="U279" s="207"/>
      <c r="V279" s="202"/>
      <c r="W279" s="208"/>
      <c r="X279" s="202"/>
      <c r="Y279" s="210">
        <f t="shared" si="31"/>
        <v>0</v>
      </c>
      <c r="Z279" s="202"/>
      <c r="AA279" s="207"/>
      <c r="AB279" s="202"/>
      <c r="AC279" s="209"/>
      <c r="AD279" s="202"/>
      <c r="AE279" s="206"/>
      <c r="AF279" s="202"/>
      <c r="AG279" s="207"/>
      <c r="AH279" s="202"/>
      <c r="AI279" s="207"/>
      <c r="AJ279" s="202"/>
      <c r="AK279" s="208"/>
      <c r="AL279" s="202"/>
      <c r="AM279" s="210">
        <f t="shared" si="14"/>
        <v>0</v>
      </c>
      <c r="AN279" s="202"/>
      <c r="AO279" s="207"/>
      <c r="AP279" s="202"/>
      <c r="AQ279" s="209"/>
      <c r="AR279" s="202"/>
      <c r="AS279" s="206"/>
      <c r="AT279" s="202"/>
      <c r="AU279" s="204"/>
      <c r="AV279" s="202"/>
      <c r="AW279" s="204"/>
      <c r="AX279" s="202"/>
      <c r="AY279" s="201"/>
      <c r="AZ279" s="202"/>
      <c r="BA279" s="210">
        <f t="shared" si="15"/>
        <v>0</v>
      </c>
      <c r="BB279" s="202"/>
      <c r="BC279" s="204"/>
      <c r="BD279" s="202"/>
      <c r="BE279" s="209"/>
      <c r="BF279" s="202"/>
      <c r="BG279" s="206"/>
      <c r="BH279" s="202"/>
      <c r="BI279" s="204"/>
      <c r="BJ279" s="202"/>
      <c r="BK279" s="204"/>
      <c r="BL279" s="202"/>
      <c r="BM279" s="201"/>
      <c r="BN279" s="202"/>
      <c r="BO279" s="203">
        <f t="shared" si="16"/>
        <v>0</v>
      </c>
      <c r="BP279" s="202"/>
      <c r="BQ279" s="138"/>
      <c r="BR279" s="128"/>
      <c r="BS279" s="128"/>
      <c r="BT279" s="128"/>
      <c r="BU279" s="128"/>
      <c r="BV279" s="128"/>
      <c r="BW279" s="139"/>
      <c r="BX279" s="140"/>
      <c r="BY279" s="139"/>
      <c r="BZ279" s="139"/>
      <c r="CA279" s="134"/>
      <c r="CB279" s="134"/>
      <c r="CC279" s="134"/>
      <c r="CD279" s="134"/>
      <c r="CE279" s="134"/>
      <c r="CF279" s="134"/>
      <c r="CG279" s="92"/>
      <c r="CH279" s="92"/>
      <c r="CI279" s="92"/>
      <c r="CJ279" s="92"/>
      <c r="CK279" s="92"/>
    </row>
    <row r="280" spans="1:89" ht="17.25" customHeight="1">
      <c r="A280" s="160"/>
      <c r="B280" s="52"/>
      <c r="C280" s="52"/>
      <c r="D280" s="137">
        <f t="shared" si="28"/>
        <v>0</v>
      </c>
      <c r="E280" s="208"/>
      <c r="F280" s="202"/>
      <c r="G280" s="207"/>
      <c r="H280" s="202"/>
      <c r="I280" s="208"/>
      <c r="J280" s="202"/>
      <c r="K280" s="208">
        <f t="shared" si="12"/>
        <v>0</v>
      </c>
      <c r="L280" s="202"/>
      <c r="M280" s="207"/>
      <c r="N280" s="202"/>
      <c r="O280" s="209"/>
      <c r="P280" s="202"/>
      <c r="Q280" s="206"/>
      <c r="R280" s="202"/>
      <c r="S280" s="207"/>
      <c r="T280" s="202"/>
      <c r="U280" s="207"/>
      <c r="V280" s="202"/>
      <c r="W280" s="208"/>
      <c r="X280" s="202"/>
      <c r="Y280" s="210">
        <f t="shared" si="31"/>
        <v>0</v>
      </c>
      <c r="Z280" s="202"/>
      <c r="AA280" s="207"/>
      <c r="AB280" s="202"/>
      <c r="AC280" s="209"/>
      <c r="AD280" s="202"/>
      <c r="AE280" s="206"/>
      <c r="AF280" s="202"/>
      <c r="AG280" s="207"/>
      <c r="AH280" s="202"/>
      <c r="AI280" s="207"/>
      <c r="AJ280" s="202"/>
      <c r="AK280" s="208"/>
      <c r="AL280" s="202"/>
      <c r="AM280" s="210">
        <f t="shared" si="14"/>
        <v>0</v>
      </c>
      <c r="AN280" s="202"/>
      <c r="AO280" s="207"/>
      <c r="AP280" s="202"/>
      <c r="AQ280" s="209"/>
      <c r="AR280" s="202"/>
      <c r="AS280" s="206"/>
      <c r="AT280" s="202"/>
      <c r="AU280" s="204"/>
      <c r="AV280" s="202"/>
      <c r="AW280" s="204"/>
      <c r="AX280" s="202"/>
      <c r="AY280" s="201"/>
      <c r="AZ280" s="202"/>
      <c r="BA280" s="210">
        <f t="shared" si="15"/>
        <v>0</v>
      </c>
      <c r="BB280" s="202"/>
      <c r="BC280" s="204"/>
      <c r="BD280" s="202"/>
      <c r="BE280" s="209"/>
      <c r="BF280" s="202"/>
      <c r="BG280" s="206"/>
      <c r="BH280" s="202"/>
      <c r="BI280" s="204"/>
      <c r="BJ280" s="202"/>
      <c r="BK280" s="204"/>
      <c r="BL280" s="202"/>
      <c r="BM280" s="201"/>
      <c r="BN280" s="202"/>
      <c r="BO280" s="203">
        <f t="shared" si="16"/>
        <v>0</v>
      </c>
      <c r="BP280" s="202"/>
      <c r="BQ280" s="138"/>
      <c r="BR280" s="128"/>
      <c r="BS280" s="128"/>
      <c r="BT280" s="128"/>
      <c r="BU280" s="128"/>
      <c r="BV280" s="128"/>
      <c r="BW280" s="139"/>
      <c r="BX280" s="140"/>
      <c r="BY280" s="139"/>
      <c r="BZ280" s="139"/>
      <c r="CA280" s="134"/>
      <c r="CB280" s="134"/>
      <c r="CC280" s="134"/>
      <c r="CD280" s="134"/>
      <c r="CE280" s="134"/>
      <c r="CF280" s="134"/>
      <c r="CG280" s="92"/>
      <c r="CH280" s="92"/>
      <c r="CI280" s="92"/>
      <c r="CJ280" s="92"/>
      <c r="CK280" s="92"/>
    </row>
    <row r="281" spans="1:89" ht="17.25" customHeight="1">
      <c r="A281" s="160"/>
      <c r="B281" s="52"/>
      <c r="C281" s="52"/>
      <c r="D281" s="137">
        <f t="shared" si="28"/>
        <v>0</v>
      </c>
      <c r="E281" s="208"/>
      <c r="F281" s="202"/>
      <c r="G281" s="207"/>
      <c r="H281" s="202"/>
      <c r="I281" s="208"/>
      <c r="J281" s="202"/>
      <c r="K281" s="208">
        <f t="shared" si="12"/>
        <v>0</v>
      </c>
      <c r="L281" s="202"/>
      <c r="M281" s="207"/>
      <c r="N281" s="202"/>
      <c r="O281" s="209"/>
      <c r="P281" s="202"/>
      <c r="Q281" s="206"/>
      <c r="R281" s="202"/>
      <c r="S281" s="207"/>
      <c r="T281" s="202"/>
      <c r="U281" s="207"/>
      <c r="V281" s="202"/>
      <c r="W281" s="208"/>
      <c r="X281" s="202"/>
      <c r="Y281" s="210">
        <f t="shared" si="31"/>
        <v>0</v>
      </c>
      <c r="Z281" s="202"/>
      <c r="AA281" s="207"/>
      <c r="AB281" s="202"/>
      <c r="AC281" s="209"/>
      <c r="AD281" s="202"/>
      <c r="AE281" s="206"/>
      <c r="AF281" s="202"/>
      <c r="AG281" s="207"/>
      <c r="AH281" s="202"/>
      <c r="AI281" s="207"/>
      <c r="AJ281" s="202"/>
      <c r="AK281" s="208"/>
      <c r="AL281" s="202"/>
      <c r="AM281" s="210">
        <f t="shared" si="14"/>
        <v>0</v>
      </c>
      <c r="AN281" s="202"/>
      <c r="AO281" s="207"/>
      <c r="AP281" s="202"/>
      <c r="AQ281" s="209"/>
      <c r="AR281" s="202"/>
      <c r="AS281" s="206"/>
      <c r="AT281" s="202"/>
      <c r="AU281" s="204"/>
      <c r="AV281" s="202"/>
      <c r="AW281" s="204"/>
      <c r="AX281" s="202"/>
      <c r="AY281" s="201"/>
      <c r="AZ281" s="202"/>
      <c r="BA281" s="210">
        <f t="shared" si="15"/>
        <v>0</v>
      </c>
      <c r="BB281" s="202"/>
      <c r="BC281" s="204"/>
      <c r="BD281" s="202"/>
      <c r="BE281" s="209"/>
      <c r="BF281" s="202"/>
      <c r="BG281" s="206"/>
      <c r="BH281" s="202"/>
      <c r="BI281" s="204"/>
      <c r="BJ281" s="202"/>
      <c r="BK281" s="204"/>
      <c r="BL281" s="202"/>
      <c r="BM281" s="201"/>
      <c r="BN281" s="202"/>
      <c r="BO281" s="203">
        <f t="shared" si="16"/>
        <v>0</v>
      </c>
      <c r="BP281" s="202"/>
      <c r="BQ281" s="138"/>
      <c r="BR281" s="128"/>
      <c r="BS281" s="128"/>
      <c r="BT281" s="128"/>
      <c r="BU281" s="128"/>
      <c r="BV281" s="128"/>
      <c r="BW281" s="139"/>
      <c r="BX281" s="140"/>
      <c r="BY281" s="139"/>
      <c r="BZ281" s="139"/>
      <c r="CA281" s="134"/>
      <c r="CB281" s="134"/>
      <c r="CC281" s="134"/>
      <c r="CD281" s="134"/>
      <c r="CE281" s="134"/>
      <c r="CF281" s="134"/>
      <c r="CG281" s="92"/>
      <c r="CH281" s="92"/>
      <c r="CI281" s="92"/>
      <c r="CJ281" s="92"/>
      <c r="CK281" s="92"/>
    </row>
    <row r="282" spans="1:89" ht="17.25" customHeight="1">
      <c r="A282" s="160"/>
      <c r="B282" s="52"/>
      <c r="C282" s="52"/>
      <c r="D282" s="137">
        <f t="shared" si="28"/>
        <v>0</v>
      </c>
      <c r="E282" s="208"/>
      <c r="F282" s="202"/>
      <c r="G282" s="207"/>
      <c r="H282" s="202"/>
      <c r="I282" s="208"/>
      <c r="J282" s="202"/>
      <c r="K282" s="208">
        <f t="shared" si="12"/>
        <v>0</v>
      </c>
      <c r="L282" s="202"/>
      <c r="M282" s="207"/>
      <c r="N282" s="202"/>
      <c r="O282" s="209"/>
      <c r="P282" s="202"/>
      <c r="Q282" s="206"/>
      <c r="R282" s="202"/>
      <c r="S282" s="207"/>
      <c r="T282" s="202"/>
      <c r="U282" s="207"/>
      <c r="V282" s="202"/>
      <c r="W282" s="208"/>
      <c r="X282" s="202"/>
      <c r="Y282" s="210">
        <f t="shared" si="31"/>
        <v>0</v>
      </c>
      <c r="Z282" s="202"/>
      <c r="AA282" s="207"/>
      <c r="AB282" s="202"/>
      <c r="AC282" s="209"/>
      <c r="AD282" s="202"/>
      <c r="AE282" s="206"/>
      <c r="AF282" s="202"/>
      <c r="AG282" s="207"/>
      <c r="AH282" s="202"/>
      <c r="AI282" s="207"/>
      <c r="AJ282" s="202"/>
      <c r="AK282" s="208"/>
      <c r="AL282" s="202"/>
      <c r="AM282" s="210">
        <f t="shared" si="14"/>
        <v>0</v>
      </c>
      <c r="AN282" s="202"/>
      <c r="AO282" s="207"/>
      <c r="AP282" s="202"/>
      <c r="AQ282" s="209"/>
      <c r="AR282" s="202"/>
      <c r="AS282" s="206"/>
      <c r="AT282" s="202"/>
      <c r="AU282" s="204"/>
      <c r="AV282" s="202"/>
      <c r="AW282" s="204"/>
      <c r="AX282" s="202"/>
      <c r="AY282" s="201"/>
      <c r="AZ282" s="202"/>
      <c r="BA282" s="210">
        <f t="shared" si="15"/>
        <v>0</v>
      </c>
      <c r="BB282" s="202"/>
      <c r="BC282" s="204"/>
      <c r="BD282" s="202"/>
      <c r="BE282" s="209"/>
      <c r="BF282" s="202"/>
      <c r="BG282" s="206"/>
      <c r="BH282" s="202"/>
      <c r="BI282" s="204"/>
      <c r="BJ282" s="202"/>
      <c r="BK282" s="204"/>
      <c r="BL282" s="202"/>
      <c r="BM282" s="201"/>
      <c r="BN282" s="202"/>
      <c r="BO282" s="203">
        <f t="shared" si="16"/>
        <v>0</v>
      </c>
      <c r="BP282" s="202"/>
      <c r="BQ282" s="138"/>
      <c r="BR282" s="128"/>
      <c r="BS282" s="128"/>
      <c r="BT282" s="128"/>
      <c r="BU282" s="128"/>
      <c r="BV282" s="128"/>
      <c r="BW282" s="139"/>
      <c r="BX282" s="140"/>
      <c r="BY282" s="139"/>
      <c r="BZ282" s="139"/>
      <c r="CA282" s="134"/>
      <c r="CB282" s="134"/>
      <c r="CC282" s="134"/>
      <c r="CD282" s="134"/>
      <c r="CE282" s="134"/>
      <c r="CF282" s="134"/>
      <c r="CG282" s="92"/>
      <c r="CH282" s="92"/>
      <c r="CI282" s="92"/>
      <c r="CJ282" s="92"/>
      <c r="CK282" s="92"/>
    </row>
    <row r="283" spans="1:89" ht="17.25" customHeight="1">
      <c r="A283" s="160"/>
      <c r="B283" s="52"/>
      <c r="C283" s="52"/>
      <c r="D283" s="137">
        <f t="shared" si="28"/>
        <v>0</v>
      </c>
      <c r="E283" s="208"/>
      <c r="F283" s="202"/>
      <c r="G283" s="207"/>
      <c r="H283" s="202"/>
      <c r="I283" s="208"/>
      <c r="J283" s="202"/>
      <c r="K283" s="208">
        <f t="shared" si="12"/>
        <v>0</v>
      </c>
      <c r="L283" s="202"/>
      <c r="M283" s="207"/>
      <c r="N283" s="202"/>
      <c r="O283" s="209"/>
      <c r="P283" s="202"/>
      <c r="Q283" s="206"/>
      <c r="R283" s="202"/>
      <c r="S283" s="207"/>
      <c r="T283" s="202"/>
      <c r="U283" s="207"/>
      <c r="V283" s="202"/>
      <c r="W283" s="208"/>
      <c r="X283" s="202"/>
      <c r="Y283" s="210">
        <f t="shared" si="31"/>
        <v>0</v>
      </c>
      <c r="Z283" s="202"/>
      <c r="AA283" s="207"/>
      <c r="AB283" s="202"/>
      <c r="AC283" s="209"/>
      <c r="AD283" s="202"/>
      <c r="AE283" s="206"/>
      <c r="AF283" s="202"/>
      <c r="AG283" s="207"/>
      <c r="AH283" s="202"/>
      <c r="AI283" s="207"/>
      <c r="AJ283" s="202"/>
      <c r="AK283" s="208"/>
      <c r="AL283" s="202"/>
      <c r="AM283" s="210">
        <f t="shared" si="14"/>
        <v>0</v>
      </c>
      <c r="AN283" s="202"/>
      <c r="AO283" s="207"/>
      <c r="AP283" s="202"/>
      <c r="AQ283" s="209"/>
      <c r="AR283" s="202"/>
      <c r="AS283" s="206"/>
      <c r="AT283" s="202"/>
      <c r="AU283" s="204"/>
      <c r="AV283" s="202"/>
      <c r="AW283" s="204"/>
      <c r="AX283" s="202"/>
      <c r="AY283" s="201"/>
      <c r="AZ283" s="202"/>
      <c r="BA283" s="210">
        <f t="shared" si="15"/>
        <v>0</v>
      </c>
      <c r="BB283" s="202"/>
      <c r="BC283" s="204"/>
      <c r="BD283" s="202"/>
      <c r="BE283" s="209"/>
      <c r="BF283" s="202"/>
      <c r="BG283" s="206"/>
      <c r="BH283" s="202"/>
      <c r="BI283" s="204"/>
      <c r="BJ283" s="202"/>
      <c r="BK283" s="204"/>
      <c r="BL283" s="202"/>
      <c r="BM283" s="201"/>
      <c r="BN283" s="202"/>
      <c r="BO283" s="203">
        <f t="shared" si="16"/>
        <v>0</v>
      </c>
      <c r="BP283" s="202"/>
      <c r="BQ283" s="138"/>
      <c r="BR283" s="128"/>
      <c r="BS283" s="128"/>
      <c r="BT283" s="128"/>
      <c r="BU283" s="128"/>
      <c r="BV283" s="128"/>
      <c r="BW283" s="139"/>
      <c r="BX283" s="140"/>
      <c r="BY283" s="139"/>
      <c r="BZ283" s="139"/>
      <c r="CA283" s="134"/>
      <c r="CB283" s="134"/>
      <c r="CC283" s="134"/>
      <c r="CD283" s="134"/>
      <c r="CE283" s="134"/>
      <c r="CF283" s="134"/>
      <c r="CG283" s="92"/>
      <c r="CH283" s="92"/>
      <c r="CI283" s="92"/>
      <c r="CJ283" s="92"/>
      <c r="CK283" s="92"/>
    </row>
    <row r="284" spans="1:89" ht="17.25" customHeight="1">
      <c r="A284" s="160"/>
      <c r="B284" s="52"/>
      <c r="C284" s="52"/>
      <c r="D284" s="137">
        <f t="shared" si="28"/>
        <v>0</v>
      </c>
      <c r="E284" s="208"/>
      <c r="F284" s="202"/>
      <c r="G284" s="207"/>
      <c r="H284" s="202"/>
      <c r="I284" s="208"/>
      <c r="J284" s="202"/>
      <c r="K284" s="208">
        <f t="shared" si="12"/>
        <v>0</v>
      </c>
      <c r="L284" s="202"/>
      <c r="M284" s="207"/>
      <c r="N284" s="202"/>
      <c r="O284" s="209"/>
      <c r="P284" s="202"/>
      <c r="Q284" s="206"/>
      <c r="R284" s="202"/>
      <c r="S284" s="207"/>
      <c r="T284" s="202"/>
      <c r="U284" s="207"/>
      <c r="V284" s="202"/>
      <c r="W284" s="208"/>
      <c r="X284" s="202"/>
      <c r="Y284" s="210">
        <f t="shared" si="31"/>
        <v>0</v>
      </c>
      <c r="Z284" s="202"/>
      <c r="AA284" s="207"/>
      <c r="AB284" s="202"/>
      <c r="AC284" s="209"/>
      <c r="AD284" s="202"/>
      <c r="AE284" s="206"/>
      <c r="AF284" s="202"/>
      <c r="AG284" s="207"/>
      <c r="AH284" s="202"/>
      <c r="AI284" s="207"/>
      <c r="AJ284" s="202"/>
      <c r="AK284" s="208"/>
      <c r="AL284" s="202"/>
      <c r="AM284" s="210">
        <f t="shared" si="14"/>
        <v>0</v>
      </c>
      <c r="AN284" s="202"/>
      <c r="AO284" s="207"/>
      <c r="AP284" s="202"/>
      <c r="AQ284" s="209"/>
      <c r="AR284" s="202"/>
      <c r="AS284" s="206"/>
      <c r="AT284" s="202"/>
      <c r="AU284" s="204"/>
      <c r="AV284" s="202"/>
      <c r="AW284" s="204"/>
      <c r="AX284" s="202"/>
      <c r="AY284" s="201"/>
      <c r="AZ284" s="202"/>
      <c r="BA284" s="210">
        <f t="shared" si="15"/>
        <v>0</v>
      </c>
      <c r="BB284" s="202"/>
      <c r="BC284" s="204"/>
      <c r="BD284" s="202"/>
      <c r="BE284" s="209"/>
      <c r="BF284" s="202"/>
      <c r="BG284" s="206"/>
      <c r="BH284" s="202"/>
      <c r="BI284" s="204"/>
      <c r="BJ284" s="202"/>
      <c r="BK284" s="204"/>
      <c r="BL284" s="202"/>
      <c r="BM284" s="201"/>
      <c r="BN284" s="202"/>
      <c r="BO284" s="203">
        <f t="shared" si="16"/>
        <v>0</v>
      </c>
      <c r="BP284" s="202"/>
      <c r="BQ284" s="138"/>
      <c r="BR284" s="128"/>
      <c r="BS284" s="128"/>
      <c r="BT284" s="128"/>
      <c r="BU284" s="128"/>
      <c r="BV284" s="128"/>
      <c r="BW284" s="139"/>
      <c r="BX284" s="140"/>
      <c r="BY284" s="139"/>
      <c r="BZ284" s="139"/>
      <c r="CA284" s="134"/>
      <c r="CB284" s="134"/>
      <c r="CC284" s="134"/>
      <c r="CD284" s="134"/>
      <c r="CE284" s="134"/>
      <c r="CF284" s="134"/>
      <c r="CG284" s="92"/>
      <c r="CH284" s="92"/>
      <c r="CI284" s="92"/>
      <c r="CJ284" s="92"/>
      <c r="CK284" s="92"/>
    </row>
    <row r="285" spans="1:89" ht="17.25" customHeight="1">
      <c r="A285" s="160"/>
      <c r="B285" s="52"/>
      <c r="C285" s="52"/>
      <c r="D285" s="137">
        <f t="shared" si="28"/>
        <v>0</v>
      </c>
      <c r="E285" s="208"/>
      <c r="F285" s="202"/>
      <c r="G285" s="207"/>
      <c r="H285" s="202"/>
      <c r="I285" s="208"/>
      <c r="J285" s="202"/>
      <c r="K285" s="208">
        <f t="shared" si="12"/>
        <v>0</v>
      </c>
      <c r="L285" s="202"/>
      <c r="M285" s="207"/>
      <c r="N285" s="202"/>
      <c r="O285" s="209"/>
      <c r="P285" s="202"/>
      <c r="Q285" s="206"/>
      <c r="R285" s="202"/>
      <c r="S285" s="207"/>
      <c r="T285" s="202"/>
      <c r="U285" s="207"/>
      <c r="V285" s="202"/>
      <c r="W285" s="208"/>
      <c r="X285" s="202"/>
      <c r="Y285" s="210">
        <f t="shared" si="31"/>
        <v>0</v>
      </c>
      <c r="Z285" s="202"/>
      <c r="AA285" s="207"/>
      <c r="AB285" s="202"/>
      <c r="AC285" s="209"/>
      <c r="AD285" s="202"/>
      <c r="AE285" s="206"/>
      <c r="AF285" s="202"/>
      <c r="AG285" s="207"/>
      <c r="AH285" s="202"/>
      <c r="AI285" s="207"/>
      <c r="AJ285" s="202"/>
      <c r="AK285" s="208"/>
      <c r="AL285" s="202"/>
      <c r="AM285" s="210">
        <f t="shared" si="14"/>
        <v>0</v>
      </c>
      <c r="AN285" s="202"/>
      <c r="AO285" s="207"/>
      <c r="AP285" s="202"/>
      <c r="AQ285" s="209"/>
      <c r="AR285" s="202"/>
      <c r="AS285" s="206"/>
      <c r="AT285" s="202"/>
      <c r="AU285" s="204"/>
      <c r="AV285" s="202"/>
      <c r="AW285" s="204"/>
      <c r="AX285" s="202"/>
      <c r="AY285" s="201"/>
      <c r="AZ285" s="202"/>
      <c r="BA285" s="210">
        <f t="shared" si="15"/>
        <v>0</v>
      </c>
      <c r="BB285" s="202"/>
      <c r="BC285" s="204"/>
      <c r="BD285" s="202"/>
      <c r="BE285" s="209"/>
      <c r="BF285" s="202"/>
      <c r="BG285" s="206"/>
      <c r="BH285" s="202"/>
      <c r="BI285" s="204"/>
      <c r="BJ285" s="202"/>
      <c r="BK285" s="204"/>
      <c r="BL285" s="202"/>
      <c r="BM285" s="201"/>
      <c r="BN285" s="202"/>
      <c r="BO285" s="203">
        <f t="shared" si="16"/>
        <v>0</v>
      </c>
      <c r="BP285" s="202"/>
      <c r="BQ285" s="138"/>
      <c r="BR285" s="128"/>
      <c r="BS285" s="128"/>
      <c r="BT285" s="128"/>
      <c r="BU285" s="128"/>
      <c r="BV285" s="128"/>
      <c r="BW285" s="139"/>
      <c r="BX285" s="140"/>
      <c r="BY285" s="139"/>
      <c r="BZ285" s="139"/>
      <c r="CA285" s="134"/>
      <c r="CB285" s="134"/>
      <c r="CC285" s="134"/>
      <c r="CD285" s="134"/>
      <c r="CE285" s="134"/>
      <c r="CF285" s="134"/>
      <c r="CG285" s="92"/>
      <c r="CH285" s="92"/>
      <c r="CI285" s="92"/>
      <c r="CJ285" s="92"/>
      <c r="CK285" s="92"/>
    </row>
    <row r="286" spans="1:89" ht="17.25" customHeight="1">
      <c r="A286" s="160"/>
      <c r="B286" s="52"/>
      <c r="C286" s="52"/>
      <c r="D286" s="137">
        <f t="shared" si="28"/>
        <v>0</v>
      </c>
      <c r="E286" s="208"/>
      <c r="F286" s="202"/>
      <c r="G286" s="207"/>
      <c r="H286" s="202"/>
      <c r="I286" s="208"/>
      <c r="J286" s="202"/>
      <c r="K286" s="208">
        <f t="shared" si="12"/>
        <v>0</v>
      </c>
      <c r="L286" s="202"/>
      <c r="M286" s="207"/>
      <c r="N286" s="202"/>
      <c r="O286" s="209"/>
      <c r="P286" s="202"/>
      <c r="Q286" s="206"/>
      <c r="R286" s="202"/>
      <c r="S286" s="207"/>
      <c r="T286" s="202"/>
      <c r="U286" s="207"/>
      <c r="V286" s="202"/>
      <c r="W286" s="208"/>
      <c r="X286" s="202"/>
      <c r="Y286" s="210">
        <f t="shared" si="31"/>
        <v>0</v>
      </c>
      <c r="Z286" s="202"/>
      <c r="AA286" s="207"/>
      <c r="AB286" s="202"/>
      <c r="AC286" s="209"/>
      <c r="AD286" s="202"/>
      <c r="AE286" s="206"/>
      <c r="AF286" s="202"/>
      <c r="AG286" s="207"/>
      <c r="AH286" s="202"/>
      <c r="AI286" s="207"/>
      <c r="AJ286" s="202"/>
      <c r="AK286" s="208"/>
      <c r="AL286" s="202"/>
      <c r="AM286" s="210">
        <f t="shared" si="14"/>
        <v>0</v>
      </c>
      <c r="AN286" s="202"/>
      <c r="AO286" s="207"/>
      <c r="AP286" s="202"/>
      <c r="AQ286" s="209"/>
      <c r="AR286" s="202"/>
      <c r="AS286" s="206"/>
      <c r="AT286" s="202"/>
      <c r="AU286" s="204"/>
      <c r="AV286" s="202"/>
      <c r="AW286" s="204"/>
      <c r="AX286" s="202"/>
      <c r="AY286" s="201"/>
      <c r="AZ286" s="202"/>
      <c r="BA286" s="210">
        <f t="shared" si="15"/>
        <v>0</v>
      </c>
      <c r="BB286" s="202"/>
      <c r="BC286" s="204"/>
      <c r="BD286" s="202"/>
      <c r="BE286" s="209"/>
      <c r="BF286" s="202"/>
      <c r="BG286" s="206"/>
      <c r="BH286" s="202"/>
      <c r="BI286" s="204"/>
      <c r="BJ286" s="202"/>
      <c r="BK286" s="204"/>
      <c r="BL286" s="202"/>
      <c r="BM286" s="201"/>
      <c r="BN286" s="202"/>
      <c r="BO286" s="203">
        <f t="shared" si="16"/>
        <v>0</v>
      </c>
      <c r="BP286" s="202"/>
      <c r="BQ286" s="138"/>
      <c r="BR286" s="128"/>
      <c r="BS286" s="128"/>
      <c r="BT286" s="128"/>
      <c r="BU286" s="128"/>
      <c r="BV286" s="128"/>
      <c r="BW286" s="139"/>
      <c r="BX286" s="140"/>
      <c r="BY286" s="139"/>
      <c r="BZ286" s="139"/>
      <c r="CA286" s="134"/>
      <c r="CB286" s="134"/>
      <c r="CC286" s="134"/>
      <c r="CD286" s="134"/>
      <c r="CE286" s="134"/>
      <c r="CF286" s="134"/>
      <c r="CG286" s="92"/>
      <c r="CH286" s="92"/>
      <c r="CI286" s="92"/>
      <c r="CJ286" s="92"/>
      <c r="CK286" s="92"/>
    </row>
    <row r="287" spans="1:89" ht="17.25" customHeight="1">
      <c r="A287" s="160"/>
      <c r="B287" s="52"/>
      <c r="C287" s="52"/>
      <c r="D287" s="137">
        <f t="shared" si="28"/>
        <v>0</v>
      </c>
      <c r="E287" s="208"/>
      <c r="F287" s="202"/>
      <c r="G287" s="207"/>
      <c r="H287" s="202"/>
      <c r="I287" s="208"/>
      <c r="J287" s="202"/>
      <c r="K287" s="208">
        <f t="shared" si="12"/>
        <v>0</v>
      </c>
      <c r="L287" s="202"/>
      <c r="M287" s="207"/>
      <c r="N287" s="202"/>
      <c r="O287" s="209"/>
      <c r="P287" s="202"/>
      <c r="Q287" s="206"/>
      <c r="R287" s="202"/>
      <c r="S287" s="207"/>
      <c r="T287" s="202"/>
      <c r="U287" s="207"/>
      <c r="V287" s="202"/>
      <c r="W287" s="208"/>
      <c r="X287" s="202"/>
      <c r="Y287" s="210">
        <f t="shared" si="31"/>
        <v>0</v>
      </c>
      <c r="Z287" s="202"/>
      <c r="AA287" s="207"/>
      <c r="AB287" s="202"/>
      <c r="AC287" s="209"/>
      <c r="AD287" s="202"/>
      <c r="AE287" s="206"/>
      <c r="AF287" s="202"/>
      <c r="AG287" s="207"/>
      <c r="AH287" s="202"/>
      <c r="AI287" s="207"/>
      <c r="AJ287" s="202"/>
      <c r="AK287" s="208"/>
      <c r="AL287" s="202"/>
      <c r="AM287" s="210">
        <f t="shared" si="14"/>
        <v>0</v>
      </c>
      <c r="AN287" s="202"/>
      <c r="AO287" s="207"/>
      <c r="AP287" s="202"/>
      <c r="AQ287" s="209"/>
      <c r="AR287" s="202"/>
      <c r="AS287" s="206"/>
      <c r="AT287" s="202"/>
      <c r="AU287" s="204"/>
      <c r="AV287" s="202"/>
      <c r="AW287" s="204"/>
      <c r="AX287" s="202"/>
      <c r="AY287" s="201"/>
      <c r="AZ287" s="202"/>
      <c r="BA287" s="210">
        <f t="shared" si="15"/>
        <v>0</v>
      </c>
      <c r="BB287" s="202"/>
      <c r="BC287" s="204"/>
      <c r="BD287" s="202"/>
      <c r="BE287" s="209"/>
      <c r="BF287" s="202"/>
      <c r="BG287" s="206"/>
      <c r="BH287" s="202"/>
      <c r="BI287" s="204"/>
      <c r="BJ287" s="202"/>
      <c r="BK287" s="204"/>
      <c r="BL287" s="202"/>
      <c r="BM287" s="201"/>
      <c r="BN287" s="202"/>
      <c r="BO287" s="203">
        <f t="shared" si="16"/>
        <v>0</v>
      </c>
      <c r="BP287" s="202"/>
      <c r="BQ287" s="138"/>
      <c r="BR287" s="128"/>
      <c r="BS287" s="128"/>
      <c r="BT287" s="128"/>
      <c r="BU287" s="128"/>
      <c r="BV287" s="128"/>
      <c r="BW287" s="139"/>
      <c r="BX287" s="140"/>
      <c r="BY287" s="139"/>
      <c r="BZ287" s="139"/>
      <c r="CA287" s="134"/>
      <c r="CB287" s="134"/>
      <c r="CC287" s="134"/>
      <c r="CD287" s="134"/>
      <c r="CE287" s="134"/>
      <c r="CF287" s="134"/>
      <c r="CG287" s="92"/>
      <c r="CH287" s="92"/>
      <c r="CI287" s="92"/>
      <c r="CJ287" s="92"/>
      <c r="CK287" s="92"/>
    </row>
    <row r="288" spans="1:89" ht="17.25" customHeight="1">
      <c r="A288" s="160"/>
      <c r="B288" s="52"/>
      <c r="C288" s="52"/>
      <c r="D288" s="137">
        <f t="shared" si="28"/>
        <v>0</v>
      </c>
      <c r="E288" s="208"/>
      <c r="F288" s="202"/>
      <c r="G288" s="207"/>
      <c r="H288" s="202"/>
      <c r="I288" s="208"/>
      <c r="J288" s="202"/>
      <c r="K288" s="208">
        <f t="shared" si="12"/>
        <v>0</v>
      </c>
      <c r="L288" s="202"/>
      <c r="M288" s="207"/>
      <c r="N288" s="202"/>
      <c r="O288" s="209"/>
      <c r="P288" s="202"/>
      <c r="Q288" s="206"/>
      <c r="R288" s="202"/>
      <c r="S288" s="207"/>
      <c r="T288" s="202"/>
      <c r="U288" s="207"/>
      <c r="V288" s="202"/>
      <c r="W288" s="208"/>
      <c r="X288" s="202"/>
      <c r="Y288" s="210">
        <f t="shared" si="31"/>
        <v>0</v>
      </c>
      <c r="Z288" s="202"/>
      <c r="AA288" s="207"/>
      <c r="AB288" s="202"/>
      <c r="AC288" s="209"/>
      <c r="AD288" s="202"/>
      <c r="AE288" s="206"/>
      <c r="AF288" s="202"/>
      <c r="AG288" s="207"/>
      <c r="AH288" s="202"/>
      <c r="AI288" s="207"/>
      <c r="AJ288" s="202"/>
      <c r="AK288" s="208"/>
      <c r="AL288" s="202"/>
      <c r="AM288" s="210">
        <f t="shared" si="14"/>
        <v>0</v>
      </c>
      <c r="AN288" s="202"/>
      <c r="AO288" s="207"/>
      <c r="AP288" s="202"/>
      <c r="AQ288" s="209"/>
      <c r="AR288" s="202"/>
      <c r="AS288" s="206"/>
      <c r="AT288" s="202"/>
      <c r="AU288" s="204"/>
      <c r="AV288" s="202"/>
      <c r="AW288" s="204"/>
      <c r="AX288" s="202"/>
      <c r="AY288" s="201"/>
      <c r="AZ288" s="202"/>
      <c r="BA288" s="210">
        <f t="shared" si="15"/>
        <v>0</v>
      </c>
      <c r="BB288" s="202"/>
      <c r="BC288" s="204"/>
      <c r="BD288" s="202"/>
      <c r="BE288" s="209"/>
      <c r="BF288" s="202"/>
      <c r="BG288" s="206"/>
      <c r="BH288" s="202"/>
      <c r="BI288" s="204"/>
      <c r="BJ288" s="202"/>
      <c r="BK288" s="204"/>
      <c r="BL288" s="202"/>
      <c r="BM288" s="201"/>
      <c r="BN288" s="202"/>
      <c r="BO288" s="203">
        <f t="shared" si="16"/>
        <v>0</v>
      </c>
      <c r="BP288" s="202"/>
      <c r="BQ288" s="138"/>
      <c r="BR288" s="128"/>
      <c r="BS288" s="128"/>
      <c r="BT288" s="128"/>
      <c r="BU288" s="128"/>
      <c r="BV288" s="128"/>
      <c r="BW288" s="139"/>
      <c r="BX288" s="140"/>
      <c r="BY288" s="139"/>
      <c r="BZ288" s="139"/>
      <c r="CA288" s="134"/>
      <c r="CB288" s="134"/>
      <c r="CC288" s="134"/>
      <c r="CD288" s="134"/>
      <c r="CE288" s="134"/>
      <c r="CF288" s="134"/>
      <c r="CG288" s="92"/>
      <c r="CH288" s="92"/>
      <c r="CI288" s="92"/>
      <c r="CJ288" s="92"/>
      <c r="CK288" s="92"/>
    </row>
    <row r="289" spans="1:89" ht="17.25" customHeight="1">
      <c r="A289" s="160"/>
      <c r="B289" s="52"/>
      <c r="C289" s="52"/>
      <c r="D289" s="137">
        <f t="shared" si="28"/>
        <v>0</v>
      </c>
      <c r="E289" s="208"/>
      <c r="F289" s="202"/>
      <c r="G289" s="207"/>
      <c r="H289" s="202"/>
      <c r="I289" s="208"/>
      <c r="J289" s="202"/>
      <c r="K289" s="208">
        <f t="shared" si="12"/>
        <v>0</v>
      </c>
      <c r="L289" s="202"/>
      <c r="M289" s="207"/>
      <c r="N289" s="202"/>
      <c r="O289" s="209"/>
      <c r="P289" s="202"/>
      <c r="Q289" s="206"/>
      <c r="R289" s="202"/>
      <c r="S289" s="207"/>
      <c r="T289" s="202"/>
      <c r="U289" s="207"/>
      <c r="V289" s="202"/>
      <c r="W289" s="208"/>
      <c r="X289" s="202"/>
      <c r="Y289" s="210">
        <f t="shared" si="31"/>
        <v>0</v>
      </c>
      <c r="Z289" s="202"/>
      <c r="AA289" s="207"/>
      <c r="AB289" s="202"/>
      <c r="AC289" s="209"/>
      <c r="AD289" s="202"/>
      <c r="AE289" s="206"/>
      <c r="AF289" s="202"/>
      <c r="AG289" s="207"/>
      <c r="AH289" s="202"/>
      <c r="AI289" s="207"/>
      <c r="AJ289" s="202"/>
      <c r="AK289" s="208"/>
      <c r="AL289" s="202"/>
      <c r="AM289" s="210">
        <f t="shared" si="14"/>
        <v>0</v>
      </c>
      <c r="AN289" s="202"/>
      <c r="AO289" s="207"/>
      <c r="AP289" s="202"/>
      <c r="AQ289" s="209"/>
      <c r="AR289" s="202"/>
      <c r="AS289" s="206"/>
      <c r="AT289" s="202"/>
      <c r="AU289" s="204"/>
      <c r="AV289" s="202"/>
      <c r="AW289" s="204"/>
      <c r="AX289" s="202"/>
      <c r="AY289" s="201"/>
      <c r="AZ289" s="202"/>
      <c r="BA289" s="210">
        <f t="shared" si="15"/>
        <v>0</v>
      </c>
      <c r="BB289" s="202"/>
      <c r="BC289" s="204"/>
      <c r="BD289" s="202"/>
      <c r="BE289" s="209"/>
      <c r="BF289" s="202"/>
      <c r="BG289" s="206"/>
      <c r="BH289" s="202"/>
      <c r="BI289" s="204"/>
      <c r="BJ289" s="202"/>
      <c r="BK289" s="204"/>
      <c r="BL289" s="202"/>
      <c r="BM289" s="201"/>
      <c r="BN289" s="202"/>
      <c r="BO289" s="203">
        <f t="shared" si="16"/>
        <v>0</v>
      </c>
      <c r="BP289" s="202"/>
      <c r="BQ289" s="138"/>
      <c r="BR289" s="128"/>
      <c r="BS289" s="128"/>
      <c r="BT289" s="128"/>
      <c r="BU289" s="128"/>
      <c r="BV289" s="128"/>
      <c r="BW289" s="139"/>
      <c r="BX289" s="140"/>
      <c r="BY289" s="139"/>
      <c r="BZ289" s="139"/>
      <c r="CA289" s="134"/>
      <c r="CB289" s="134"/>
      <c r="CC289" s="134"/>
      <c r="CD289" s="134"/>
      <c r="CE289" s="134"/>
      <c r="CF289" s="134"/>
      <c r="CG289" s="92"/>
      <c r="CH289" s="92"/>
      <c r="CI289" s="92"/>
      <c r="CJ289" s="92"/>
      <c r="CK289" s="92"/>
    </row>
    <row r="290" spans="1:89" ht="17.25" customHeight="1">
      <c r="A290" s="160"/>
      <c r="B290" s="52"/>
      <c r="C290" s="52"/>
      <c r="D290" s="137">
        <f t="shared" si="28"/>
        <v>0</v>
      </c>
      <c r="E290" s="208"/>
      <c r="F290" s="202"/>
      <c r="G290" s="207"/>
      <c r="H290" s="202"/>
      <c r="I290" s="208"/>
      <c r="J290" s="202"/>
      <c r="K290" s="208">
        <f t="shared" si="12"/>
        <v>0</v>
      </c>
      <c r="L290" s="202"/>
      <c r="M290" s="207"/>
      <c r="N290" s="202"/>
      <c r="O290" s="209"/>
      <c r="P290" s="202"/>
      <c r="Q290" s="206"/>
      <c r="R290" s="202"/>
      <c r="S290" s="207"/>
      <c r="T290" s="202"/>
      <c r="U290" s="207"/>
      <c r="V290" s="202"/>
      <c r="W290" s="208"/>
      <c r="X290" s="202"/>
      <c r="Y290" s="210">
        <f t="shared" si="31"/>
        <v>0</v>
      </c>
      <c r="Z290" s="202"/>
      <c r="AA290" s="207"/>
      <c r="AB290" s="202"/>
      <c r="AC290" s="209"/>
      <c r="AD290" s="202"/>
      <c r="AE290" s="206"/>
      <c r="AF290" s="202"/>
      <c r="AG290" s="207"/>
      <c r="AH290" s="202"/>
      <c r="AI290" s="207"/>
      <c r="AJ290" s="202"/>
      <c r="AK290" s="208"/>
      <c r="AL290" s="202"/>
      <c r="AM290" s="210">
        <f t="shared" si="14"/>
        <v>0</v>
      </c>
      <c r="AN290" s="202"/>
      <c r="AO290" s="207"/>
      <c r="AP290" s="202"/>
      <c r="AQ290" s="209"/>
      <c r="AR290" s="202"/>
      <c r="AS290" s="206"/>
      <c r="AT290" s="202"/>
      <c r="AU290" s="204"/>
      <c r="AV290" s="202"/>
      <c r="AW290" s="204"/>
      <c r="AX290" s="202"/>
      <c r="AY290" s="201"/>
      <c r="AZ290" s="202"/>
      <c r="BA290" s="210">
        <f t="shared" si="15"/>
        <v>0</v>
      </c>
      <c r="BB290" s="202"/>
      <c r="BC290" s="204"/>
      <c r="BD290" s="202"/>
      <c r="BE290" s="209"/>
      <c r="BF290" s="202"/>
      <c r="BG290" s="206"/>
      <c r="BH290" s="202"/>
      <c r="BI290" s="204"/>
      <c r="BJ290" s="202"/>
      <c r="BK290" s="204"/>
      <c r="BL290" s="202"/>
      <c r="BM290" s="201"/>
      <c r="BN290" s="202"/>
      <c r="BO290" s="203">
        <f t="shared" si="16"/>
        <v>0</v>
      </c>
      <c r="BP290" s="202"/>
      <c r="BQ290" s="138"/>
      <c r="BR290" s="128"/>
      <c r="BS290" s="128"/>
      <c r="BT290" s="128"/>
      <c r="BU290" s="128"/>
      <c r="BV290" s="128"/>
      <c r="BW290" s="139"/>
      <c r="BX290" s="140"/>
      <c r="BY290" s="139"/>
      <c r="BZ290" s="139"/>
      <c r="CA290" s="134"/>
      <c r="CB290" s="134"/>
      <c r="CC290" s="134"/>
      <c r="CD290" s="134"/>
      <c r="CE290" s="134"/>
      <c r="CF290" s="134"/>
      <c r="CG290" s="92"/>
      <c r="CH290" s="92"/>
      <c r="CI290" s="92"/>
      <c r="CJ290" s="92"/>
      <c r="CK290" s="92"/>
    </row>
    <row r="291" spans="1:89" ht="17.25" customHeight="1">
      <c r="A291" s="160"/>
      <c r="B291" s="52"/>
      <c r="C291" s="52"/>
      <c r="D291" s="137">
        <f t="shared" si="28"/>
        <v>0</v>
      </c>
      <c r="E291" s="208"/>
      <c r="F291" s="202"/>
      <c r="G291" s="207"/>
      <c r="H291" s="202"/>
      <c r="I291" s="208"/>
      <c r="J291" s="202"/>
      <c r="K291" s="208">
        <f t="shared" si="12"/>
        <v>0</v>
      </c>
      <c r="L291" s="202"/>
      <c r="M291" s="207"/>
      <c r="N291" s="202"/>
      <c r="O291" s="209"/>
      <c r="P291" s="202"/>
      <c r="Q291" s="206"/>
      <c r="R291" s="202"/>
      <c r="S291" s="207"/>
      <c r="T291" s="202"/>
      <c r="U291" s="207"/>
      <c r="V291" s="202"/>
      <c r="W291" s="208"/>
      <c r="X291" s="202"/>
      <c r="Y291" s="210">
        <f t="shared" si="31"/>
        <v>0</v>
      </c>
      <c r="Z291" s="202"/>
      <c r="AA291" s="207"/>
      <c r="AB291" s="202"/>
      <c r="AC291" s="209"/>
      <c r="AD291" s="202"/>
      <c r="AE291" s="206"/>
      <c r="AF291" s="202"/>
      <c r="AG291" s="207"/>
      <c r="AH291" s="202"/>
      <c r="AI291" s="207"/>
      <c r="AJ291" s="202"/>
      <c r="AK291" s="208"/>
      <c r="AL291" s="202"/>
      <c r="AM291" s="210">
        <f t="shared" si="14"/>
        <v>0</v>
      </c>
      <c r="AN291" s="202"/>
      <c r="AO291" s="207"/>
      <c r="AP291" s="202"/>
      <c r="AQ291" s="209"/>
      <c r="AR291" s="202"/>
      <c r="AS291" s="206"/>
      <c r="AT291" s="202"/>
      <c r="AU291" s="204"/>
      <c r="AV291" s="202"/>
      <c r="AW291" s="204"/>
      <c r="AX291" s="202"/>
      <c r="AY291" s="201"/>
      <c r="AZ291" s="202"/>
      <c r="BA291" s="210">
        <f t="shared" si="15"/>
        <v>0</v>
      </c>
      <c r="BB291" s="202"/>
      <c r="BC291" s="204"/>
      <c r="BD291" s="202"/>
      <c r="BE291" s="209"/>
      <c r="BF291" s="202"/>
      <c r="BG291" s="206"/>
      <c r="BH291" s="202"/>
      <c r="BI291" s="204"/>
      <c r="BJ291" s="202"/>
      <c r="BK291" s="204"/>
      <c r="BL291" s="202"/>
      <c r="BM291" s="201"/>
      <c r="BN291" s="202"/>
      <c r="BO291" s="203">
        <f t="shared" si="16"/>
        <v>0</v>
      </c>
      <c r="BP291" s="202"/>
      <c r="BQ291" s="138"/>
      <c r="BR291" s="128"/>
      <c r="BS291" s="128"/>
      <c r="BT291" s="128"/>
      <c r="BU291" s="128"/>
      <c r="BV291" s="128"/>
      <c r="BW291" s="139"/>
      <c r="BX291" s="140"/>
      <c r="BY291" s="139"/>
      <c r="BZ291" s="139"/>
      <c r="CA291" s="134"/>
      <c r="CB291" s="134"/>
      <c r="CC291" s="134"/>
      <c r="CD291" s="134"/>
      <c r="CE291" s="134"/>
      <c r="CF291" s="134"/>
      <c r="CG291" s="92"/>
      <c r="CH291" s="92"/>
      <c r="CI291" s="92"/>
      <c r="CJ291" s="92"/>
      <c r="CK291" s="92"/>
    </row>
    <row r="292" spans="1:89" ht="17.25" customHeight="1">
      <c r="A292" s="160"/>
      <c r="B292" s="52"/>
      <c r="C292" s="52"/>
      <c r="D292" s="137">
        <f t="shared" si="28"/>
        <v>0</v>
      </c>
      <c r="E292" s="208"/>
      <c r="F292" s="202"/>
      <c r="G292" s="207"/>
      <c r="H292" s="202"/>
      <c r="I292" s="208"/>
      <c r="J292" s="202"/>
      <c r="K292" s="208">
        <f t="shared" si="12"/>
        <v>0</v>
      </c>
      <c r="L292" s="202"/>
      <c r="M292" s="207"/>
      <c r="N292" s="202"/>
      <c r="O292" s="209"/>
      <c r="P292" s="202"/>
      <c r="Q292" s="206"/>
      <c r="R292" s="202"/>
      <c r="S292" s="207"/>
      <c r="T292" s="202"/>
      <c r="U292" s="207"/>
      <c r="V292" s="202"/>
      <c r="W292" s="208"/>
      <c r="X292" s="202"/>
      <c r="Y292" s="210">
        <f t="shared" si="31"/>
        <v>0</v>
      </c>
      <c r="Z292" s="202"/>
      <c r="AA292" s="207"/>
      <c r="AB292" s="202"/>
      <c r="AC292" s="209"/>
      <c r="AD292" s="202"/>
      <c r="AE292" s="206"/>
      <c r="AF292" s="202"/>
      <c r="AG292" s="207"/>
      <c r="AH292" s="202"/>
      <c r="AI292" s="207"/>
      <c r="AJ292" s="202"/>
      <c r="AK292" s="208"/>
      <c r="AL292" s="202"/>
      <c r="AM292" s="210">
        <f t="shared" si="14"/>
        <v>0</v>
      </c>
      <c r="AN292" s="202"/>
      <c r="AO292" s="207"/>
      <c r="AP292" s="202"/>
      <c r="AQ292" s="209"/>
      <c r="AR292" s="202"/>
      <c r="AS292" s="206"/>
      <c r="AT292" s="202"/>
      <c r="AU292" s="204"/>
      <c r="AV292" s="202"/>
      <c r="AW292" s="204"/>
      <c r="AX292" s="202"/>
      <c r="AY292" s="201"/>
      <c r="AZ292" s="202"/>
      <c r="BA292" s="210">
        <f t="shared" si="15"/>
        <v>0</v>
      </c>
      <c r="BB292" s="202"/>
      <c r="BC292" s="204"/>
      <c r="BD292" s="202"/>
      <c r="BE292" s="209"/>
      <c r="BF292" s="202"/>
      <c r="BG292" s="206"/>
      <c r="BH292" s="202"/>
      <c r="BI292" s="204"/>
      <c r="BJ292" s="202"/>
      <c r="BK292" s="204"/>
      <c r="BL292" s="202"/>
      <c r="BM292" s="201"/>
      <c r="BN292" s="202"/>
      <c r="BO292" s="203">
        <f t="shared" si="16"/>
        <v>0</v>
      </c>
      <c r="BP292" s="202"/>
      <c r="BQ292" s="138"/>
      <c r="BR292" s="128"/>
      <c r="BS292" s="128"/>
      <c r="BT292" s="128"/>
      <c r="BU292" s="128"/>
      <c r="BV292" s="128"/>
      <c r="BW292" s="139"/>
      <c r="BX292" s="140"/>
      <c r="BY292" s="139"/>
      <c r="BZ292" s="139"/>
      <c r="CA292" s="134"/>
      <c r="CB292" s="134"/>
      <c r="CC292" s="134"/>
      <c r="CD292" s="134"/>
      <c r="CE292" s="134"/>
      <c r="CF292" s="134"/>
      <c r="CG292" s="92"/>
      <c r="CH292" s="92"/>
      <c r="CI292" s="92"/>
      <c r="CJ292" s="92"/>
      <c r="CK292" s="92"/>
    </row>
    <row r="293" spans="1:89" ht="17.25" customHeight="1">
      <c r="A293" s="160"/>
      <c r="B293" s="52"/>
      <c r="C293" s="52"/>
      <c r="D293" s="137">
        <f t="shared" si="28"/>
        <v>0</v>
      </c>
      <c r="E293" s="208"/>
      <c r="F293" s="202"/>
      <c r="G293" s="207"/>
      <c r="H293" s="202"/>
      <c r="I293" s="208"/>
      <c r="J293" s="202"/>
      <c r="K293" s="208">
        <f t="shared" si="12"/>
        <v>0</v>
      </c>
      <c r="L293" s="202"/>
      <c r="M293" s="207"/>
      <c r="N293" s="202"/>
      <c r="O293" s="209"/>
      <c r="P293" s="202"/>
      <c r="Q293" s="206"/>
      <c r="R293" s="202"/>
      <c r="S293" s="207"/>
      <c r="T293" s="202"/>
      <c r="U293" s="207"/>
      <c r="V293" s="202"/>
      <c r="W293" s="208"/>
      <c r="X293" s="202"/>
      <c r="Y293" s="210">
        <f t="shared" si="31"/>
        <v>0</v>
      </c>
      <c r="Z293" s="202"/>
      <c r="AA293" s="207"/>
      <c r="AB293" s="202"/>
      <c r="AC293" s="209"/>
      <c r="AD293" s="202"/>
      <c r="AE293" s="206"/>
      <c r="AF293" s="202"/>
      <c r="AG293" s="207"/>
      <c r="AH293" s="202"/>
      <c r="AI293" s="207"/>
      <c r="AJ293" s="202"/>
      <c r="AK293" s="208"/>
      <c r="AL293" s="202"/>
      <c r="AM293" s="210">
        <f t="shared" si="14"/>
        <v>0</v>
      </c>
      <c r="AN293" s="202"/>
      <c r="AO293" s="207"/>
      <c r="AP293" s="202"/>
      <c r="AQ293" s="209"/>
      <c r="AR293" s="202"/>
      <c r="AS293" s="206"/>
      <c r="AT293" s="202"/>
      <c r="AU293" s="204"/>
      <c r="AV293" s="202"/>
      <c r="AW293" s="204"/>
      <c r="AX293" s="202"/>
      <c r="AY293" s="201"/>
      <c r="AZ293" s="202"/>
      <c r="BA293" s="210">
        <f t="shared" si="15"/>
        <v>0</v>
      </c>
      <c r="BB293" s="202"/>
      <c r="BC293" s="204"/>
      <c r="BD293" s="202"/>
      <c r="BE293" s="209"/>
      <c r="BF293" s="202"/>
      <c r="BG293" s="206"/>
      <c r="BH293" s="202"/>
      <c r="BI293" s="204"/>
      <c r="BJ293" s="202"/>
      <c r="BK293" s="204"/>
      <c r="BL293" s="202"/>
      <c r="BM293" s="201"/>
      <c r="BN293" s="202"/>
      <c r="BO293" s="203">
        <f t="shared" si="16"/>
        <v>0</v>
      </c>
      <c r="BP293" s="202"/>
      <c r="BQ293" s="138"/>
      <c r="BR293" s="128"/>
      <c r="BS293" s="128"/>
      <c r="BT293" s="128"/>
      <c r="BU293" s="128"/>
      <c r="BV293" s="128"/>
      <c r="BW293" s="139"/>
      <c r="BX293" s="140"/>
      <c r="BY293" s="139"/>
      <c r="BZ293" s="139"/>
      <c r="CA293" s="134"/>
      <c r="CB293" s="134"/>
      <c r="CC293" s="134"/>
      <c r="CD293" s="134"/>
      <c r="CE293" s="134"/>
      <c r="CF293" s="134"/>
      <c r="CG293" s="92"/>
      <c r="CH293" s="92"/>
      <c r="CI293" s="92"/>
      <c r="CJ293" s="92"/>
      <c r="CK293" s="92"/>
    </row>
    <row r="294" spans="1:89" ht="17.25" customHeight="1">
      <c r="A294" s="160"/>
      <c r="B294" s="52"/>
      <c r="C294" s="52"/>
      <c r="D294" s="137">
        <f t="shared" si="28"/>
        <v>0</v>
      </c>
      <c r="E294" s="208"/>
      <c r="F294" s="202"/>
      <c r="G294" s="207"/>
      <c r="H294" s="202"/>
      <c r="I294" s="208"/>
      <c r="J294" s="202"/>
      <c r="K294" s="208">
        <f t="shared" si="12"/>
        <v>0</v>
      </c>
      <c r="L294" s="202"/>
      <c r="M294" s="207"/>
      <c r="N294" s="202"/>
      <c r="O294" s="209"/>
      <c r="P294" s="202"/>
      <c r="Q294" s="206"/>
      <c r="R294" s="202"/>
      <c r="S294" s="207"/>
      <c r="T294" s="202"/>
      <c r="U294" s="207"/>
      <c r="V294" s="202"/>
      <c r="W294" s="208"/>
      <c r="X294" s="202"/>
      <c r="Y294" s="210">
        <f t="shared" si="31"/>
        <v>0</v>
      </c>
      <c r="Z294" s="202"/>
      <c r="AA294" s="207"/>
      <c r="AB294" s="202"/>
      <c r="AC294" s="209"/>
      <c r="AD294" s="202"/>
      <c r="AE294" s="206"/>
      <c r="AF294" s="202"/>
      <c r="AG294" s="207"/>
      <c r="AH294" s="202"/>
      <c r="AI294" s="207"/>
      <c r="AJ294" s="202"/>
      <c r="AK294" s="208"/>
      <c r="AL294" s="202"/>
      <c r="AM294" s="210">
        <f t="shared" si="14"/>
        <v>0</v>
      </c>
      <c r="AN294" s="202"/>
      <c r="AO294" s="207"/>
      <c r="AP294" s="202"/>
      <c r="AQ294" s="209"/>
      <c r="AR294" s="202"/>
      <c r="AS294" s="206"/>
      <c r="AT294" s="202"/>
      <c r="AU294" s="204"/>
      <c r="AV294" s="202"/>
      <c r="AW294" s="204"/>
      <c r="AX294" s="202"/>
      <c r="AY294" s="201"/>
      <c r="AZ294" s="202"/>
      <c r="BA294" s="210">
        <f t="shared" si="15"/>
        <v>0</v>
      </c>
      <c r="BB294" s="202"/>
      <c r="BC294" s="204"/>
      <c r="BD294" s="202"/>
      <c r="BE294" s="209"/>
      <c r="BF294" s="202"/>
      <c r="BG294" s="206"/>
      <c r="BH294" s="202"/>
      <c r="BI294" s="204"/>
      <c r="BJ294" s="202"/>
      <c r="BK294" s="204"/>
      <c r="BL294" s="202"/>
      <c r="BM294" s="201"/>
      <c r="BN294" s="202"/>
      <c r="BO294" s="203">
        <f t="shared" si="16"/>
        <v>0</v>
      </c>
      <c r="BP294" s="202"/>
      <c r="BQ294" s="138"/>
      <c r="BR294" s="128"/>
      <c r="BS294" s="128"/>
      <c r="BT294" s="128"/>
      <c r="BU294" s="128"/>
      <c r="BV294" s="128"/>
      <c r="BW294" s="139"/>
      <c r="BX294" s="140"/>
      <c r="BY294" s="139"/>
      <c r="BZ294" s="139"/>
      <c r="CA294" s="134"/>
      <c r="CB294" s="134"/>
      <c r="CC294" s="134"/>
      <c r="CD294" s="134"/>
      <c r="CE294" s="134"/>
      <c r="CF294" s="134"/>
      <c r="CG294" s="92"/>
      <c r="CH294" s="92"/>
      <c r="CI294" s="92"/>
      <c r="CJ294" s="92"/>
      <c r="CK294" s="92"/>
    </row>
    <row r="295" spans="1:89" ht="17.25" customHeight="1">
      <c r="A295" s="160"/>
      <c r="B295" s="52"/>
      <c r="C295" s="52"/>
      <c r="D295" s="137">
        <f t="shared" si="28"/>
        <v>0</v>
      </c>
      <c r="E295" s="208"/>
      <c r="F295" s="202"/>
      <c r="G295" s="207"/>
      <c r="H295" s="202"/>
      <c r="I295" s="208"/>
      <c r="J295" s="202"/>
      <c r="K295" s="208">
        <f t="shared" si="12"/>
        <v>0</v>
      </c>
      <c r="L295" s="202"/>
      <c r="M295" s="207"/>
      <c r="N295" s="202"/>
      <c r="O295" s="209"/>
      <c r="P295" s="202"/>
      <c r="Q295" s="206"/>
      <c r="R295" s="202"/>
      <c r="S295" s="207"/>
      <c r="T295" s="202"/>
      <c r="U295" s="207"/>
      <c r="V295" s="202"/>
      <c r="W295" s="208"/>
      <c r="X295" s="202"/>
      <c r="Y295" s="210">
        <f t="shared" si="31"/>
        <v>0</v>
      </c>
      <c r="Z295" s="202"/>
      <c r="AA295" s="207"/>
      <c r="AB295" s="202"/>
      <c r="AC295" s="209"/>
      <c r="AD295" s="202"/>
      <c r="AE295" s="206"/>
      <c r="AF295" s="202"/>
      <c r="AG295" s="207"/>
      <c r="AH295" s="202"/>
      <c r="AI295" s="207"/>
      <c r="AJ295" s="202"/>
      <c r="AK295" s="208"/>
      <c r="AL295" s="202"/>
      <c r="AM295" s="210">
        <f t="shared" si="14"/>
        <v>0</v>
      </c>
      <c r="AN295" s="202"/>
      <c r="AO295" s="207"/>
      <c r="AP295" s="202"/>
      <c r="AQ295" s="209"/>
      <c r="AR295" s="202"/>
      <c r="AS295" s="206"/>
      <c r="AT295" s="202"/>
      <c r="AU295" s="204"/>
      <c r="AV295" s="202"/>
      <c r="AW295" s="204"/>
      <c r="AX295" s="202"/>
      <c r="AY295" s="201"/>
      <c r="AZ295" s="202"/>
      <c r="BA295" s="210">
        <f t="shared" si="15"/>
        <v>0</v>
      </c>
      <c r="BB295" s="202"/>
      <c r="BC295" s="204"/>
      <c r="BD295" s="202"/>
      <c r="BE295" s="209"/>
      <c r="BF295" s="202"/>
      <c r="BG295" s="206"/>
      <c r="BH295" s="202"/>
      <c r="BI295" s="204"/>
      <c r="BJ295" s="202"/>
      <c r="BK295" s="204"/>
      <c r="BL295" s="202"/>
      <c r="BM295" s="201"/>
      <c r="BN295" s="202"/>
      <c r="BO295" s="203">
        <f t="shared" si="16"/>
        <v>0</v>
      </c>
      <c r="BP295" s="202"/>
      <c r="BQ295" s="138"/>
      <c r="BR295" s="128"/>
      <c r="BS295" s="128"/>
      <c r="BT295" s="128"/>
      <c r="BU295" s="128"/>
      <c r="BV295" s="128"/>
      <c r="BW295" s="139"/>
      <c r="BX295" s="140"/>
      <c r="BY295" s="139"/>
      <c r="BZ295" s="139"/>
      <c r="CA295" s="134"/>
      <c r="CB295" s="134"/>
      <c r="CC295" s="134"/>
      <c r="CD295" s="134"/>
      <c r="CE295" s="134"/>
      <c r="CF295" s="134"/>
      <c r="CG295" s="92"/>
      <c r="CH295" s="92"/>
      <c r="CI295" s="92"/>
      <c r="CJ295" s="92"/>
      <c r="CK295" s="92"/>
    </row>
    <row r="296" spans="1:89" ht="17.25" customHeight="1">
      <c r="A296" s="160"/>
      <c r="B296" s="52"/>
      <c r="C296" s="52"/>
      <c r="D296" s="137">
        <f t="shared" si="28"/>
        <v>0</v>
      </c>
      <c r="E296" s="208"/>
      <c r="F296" s="202"/>
      <c r="G296" s="207"/>
      <c r="H296" s="202"/>
      <c r="I296" s="208"/>
      <c r="J296" s="202"/>
      <c r="K296" s="208">
        <f t="shared" si="12"/>
        <v>0</v>
      </c>
      <c r="L296" s="202"/>
      <c r="M296" s="207"/>
      <c r="N296" s="202"/>
      <c r="O296" s="209"/>
      <c r="P296" s="202"/>
      <c r="Q296" s="206"/>
      <c r="R296" s="202"/>
      <c r="S296" s="207"/>
      <c r="T296" s="202"/>
      <c r="U296" s="207"/>
      <c r="V296" s="202"/>
      <c r="W296" s="208"/>
      <c r="X296" s="202"/>
      <c r="Y296" s="210">
        <f t="shared" si="31"/>
        <v>0</v>
      </c>
      <c r="Z296" s="202"/>
      <c r="AA296" s="207"/>
      <c r="AB296" s="202"/>
      <c r="AC296" s="209"/>
      <c r="AD296" s="202"/>
      <c r="AE296" s="206"/>
      <c r="AF296" s="202"/>
      <c r="AG296" s="207"/>
      <c r="AH296" s="202"/>
      <c r="AI296" s="207"/>
      <c r="AJ296" s="202"/>
      <c r="AK296" s="208"/>
      <c r="AL296" s="202"/>
      <c r="AM296" s="210">
        <f t="shared" si="14"/>
        <v>0</v>
      </c>
      <c r="AN296" s="202"/>
      <c r="AO296" s="207"/>
      <c r="AP296" s="202"/>
      <c r="AQ296" s="209"/>
      <c r="AR296" s="202"/>
      <c r="AS296" s="206"/>
      <c r="AT296" s="202"/>
      <c r="AU296" s="204"/>
      <c r="AV296" s="202"/>
      <c r="AW296" s="204"/>
      <c r="AX296" s="202"/>
      <c r="AY296" s="201"/>
      <c r="AZ296" s="202"/>
      <c r="BA296" s="210">
        <f t="shared" si="15"/>
        <v>0</v>
      </c>
      <c r="BB296" s="202"/>
      <c r="BC296" s="204"/>
      <c r="BD296" s="202"/>
      <c r="BE296" s="209"/>
      <c r="BF296" s="202"/>
      <c r="BG296" s="206"/>
      <c r="BH296" s="202"/>
      <c r="BI296" s="204"/>
      <c r="BJ296" s="202"/>
      <c r="BK296" s="204"/>
      <c r="BL296" s="202"/>
      <c r="BM296" s="201"/>
      <c r="BN296" s="202"/>
      <c r="BO296" s="203">
        <f t="shared" si="16"/>
        <v>0</v>
      </c>
      <c r="BP296" s="202"/>
      <c r="BQ296" s="138"/>
      <c r="BR296" s="128"/>
      <c r="BS296" s="128"/>
      <c r="BT296" s="128"/>
      <c r="BU296" s="128"/>
      <c r="BV296" s="128"/>
      <c r="BW296" s="139"/>
      <c r="BX296" s="140"/>
      <c r="BY296" s="139"/>
      <c r="BZ296" s="139"/>
      <c r="CA296" s="134"/>
      <c r="CB296" s="134"/>
      <c r="CC296" s="134"/>
      <c r="CD296" s="134"/>
      <c r="CE296" s="134"/>
      <c r="CF296" s="134"/>
      <c r="CG296" s="92"/>
      <c r="CH296" s="92"/>
      <c r="CI296" s="92"/>
      <c r="CJ296" s="92"/>
      <c r="CK296" s="92"/>
    </row>
    <row r="297" spans="1:89" ht="17.25" customHeight="1">
      <c r="A297" s="160"/>
      <c r="B297" s="52"/>
      <c r="C297" s="52"/>
      <c r="D297" s="137">
        <f t="shared" si="28"/>
        <v>0</v>
      </c>
      <c r="E297" s="208"/>
      <c r="F297" s="202"/>
      <c r="G297" s="207"/>
      <c r="H297" s="202"/>
      <c r="I297" s="208"/>
      <c r="J297" s="202"/>
      <c r="K297" s="208">
        <f t="shared" si="12"/>
        <v>0</v>
      </c>
      <c r="L297" s="202"/>
      <c r="M297" s="207"/>
      <c r="N297" s="202"/>
      <c r="O297" s="209"/>
      <c r="P297" s="202"/>
      <c r="Q297" s="206"/>
      <c r="R297" s="202"/>
      <c r="S297" s="207"/>
      <c r="T297" s="202"/>
      <c r="U297" s="207"/>
      <c r="V297" s="202"/>
      <c r="W297" s="208"/>
      <c r="X297" s="202"/>
      <c r="Y297" s="210">
        <f t="shared" si="31"/>
        <v>0</v>
      </c>
      <c r="Z297" s="202"/>
      <c r="AA297" s="207"/>
      <c r="AB297" s="202"/>
      <c r="AC297" s="209"/>
      <c r="AD297" s="202"/>
      <c r="AE297" s="206"/>
      <c r="AF297" s="202"/>
      <c r="AG297" s="207"/>
      <c r="AH297" s="202"/>
      <c r="AI297" s="207"/>
      <c r="AJ297" s="202"/>
      <c r="AK297" s="208"/>
      <c r="AL297" s="202"/>
      <c r="AM297" s="210">
        <f t="shared" si="14"/>
        <v>0</v>
      </c>
      <c r="AN297" s="202"/>
      <c r="AO297" s="207"/>
      <c r="AP297" s="202"/>
      <c r="AQ297" s="209"/>
      <c r="AR297" s="202"/>
      <c r="AS297" s="206"/>
      <c r="AT297" s="202"/>
      <c r="AU297" s="204"/>
      <c r="AV297" s="202"/>
      <c r="AW297" s="204"/>
      <c r="AX297" s="202"/>
      <c r="AY297" s="201"/>
      <c r="AZ297" s="202"/>
      <c r="BA297" s="210">
        <f t="shared" si="15"/>
        <v>0</v>
      </c>
      <c r="BB297" s="202"/>
      <c r="BC297" s="204"/>
      <c r="BD297" s="202"/>
      <c r="BE297" s="209"/>
      <c r="BF297" s="202"/>
      <c r="BG297" s="206"/>
      <c r="BH297" s="202"/>
      <c r="BI297" s="204"/>
      <c r="BJ297" s="202"/>
      <c r="BK297" s="204"/>
      <c r="BL297" s="202"/>
      <c r="BM297" s="201"/>
      <c r="BN297" s="202"/>
      <c r="BO297" s="203">
        <f t="shared" si="16"/>
        <v>0</v>
      </c>
      <c r="BP297" s="202"/>
      <c r="BQ297" s="138"/>
      <c r="BR297" s="128"/>
      <c r="BS297" s="128"/>
      <c r="BT297" s="128"/>
      <c r="BU297" s="128"/>
      <c r="BV297" s="128"/>
      <c r="BW297" s="139"/>
      <c r="BX297" s="140"/>
      <c r="BY297" s="139"/>
      <c r="BZ297" s="139"/>
      <c r="CA297" s="134"/>
      <c r="CB297" s="134"/>
      <c r="CC297" s="134"/>
      <c r="CD297" s="134"/>
      <c r="CE297" s="134"/>
      <c r="CF297" s="134"/>
      <c r="CG297" s="92"/>
      <c r="CH297" s="92"/>
      <c r="CI297" s="92"/>
      <c r="CJ297" s="92"/>
      <c r="CK297" s="92"/>
    </row>
    <row r="298" spans="1:89" ht="17.25" customHeight="1">
      <c r="A298" s="160"/>
      <c r="B298" s="52"/>
      <c r="C298" s="52"/>
      <c r="D298" s="137">
        <f t="shared" si="28"/>
        <v>0</v>
      </c>
      <c r="E298" s="208"/>
      <c r="F298" s="202"/>
      <c r="G298" s="207"/>
      <c r="H298" s="202"/>
      <c r="I298" s="208"/>
      <c r="J298" s="202"/>
      <c r="K298" s="208">
        <f t="shared" si="12"/>
        <v>0</v>
      </c>
      <c r="L298" s="202"/>
      <c r="M298" s="207"/>
      <c r="N298" s="202"/>
      <c r="O298" s="209"/>
      <c r="P298" s="202"/>
      <c r="Q298" s="206"/>
      <c r="R298" s="202"/>
      <c r="S298" s="207"/>
      <c r="T298" s="202"/>
      <c r="U298" s="207"/>
      <c r="V298" s="202"/>
      <c r="W298" s="208"/>
      <c r="X298" s="202"/>
      <c r="Y298" s="210">
        <f t="shared" si="31"/>
        <v>0</v>
      </c>
      <c r="Z298" s="202"/>
      <c r="AA298" s="207"/>
      <c r="AB298" s="202"/>
      <c r="AC298" s="209"/>
      <c r="AD298" s="202"/>
      <c r="AE298" s="206"/>
      <c r="AF298" s="202"/>
      <c r="AG298" s="207"/>
      <c r="AH298" s="202"/>
      <c r="AI298" s="207"/>
      <c r="AJ298" s="202"/>
      <c r="AK298" s="208"/>
      <c r="AL298" s="202"/>
      <c r="AM298" s="210">
        <f t="shared" si="14"/>
        <v>0</v>
      </c>
      <c r="AN298" s="202"/>
      <c r="AO298" s="207"/>
      <c r="AP298" s="202"/>
      <c r="AQ298" s="209"/>
      <c r="AR298" s="202"/>
      <c r="AS298" s="206"/>
      <c r="AT298" s="202"/>
      <c r="AU298" s="204"/>
      <c r="AV298" s="202"/>
      <c r="AW298" s="204"/>
      <c r="AX298" s="202"/>
      <c r="AY298" s="201"/>
      <c r="AZ298" s="202"/>
      <c r="BA298" s="210">
        <f t="shared" si="15"/>
        <v>0</v>
      </c>
      <c r="BB298" s="202"/>
      <c r="BC298" s="204"/>
      <c r="BD298" s="202"/>
      <c r="BE298" s="209"/>
      <c r="BF298" s="202"/>
      <c r="BG298" s="206"/>
      <c r="BH298" s="202"/>
      <c r="BI298" s="204"/>
      <c r="BJ298" s="202"/>
      <c r="BK298" s="204"/>
      <c r="BL298" s="202"/>
      <c r="BM298" s="201"/>
      <c r="BN298" s="202"/>
      <c r="BO298" s="203">
        <f t="shared" si="16"/>
        <v>0</v>
      </c>
      <c r="BP298" s="202"/>
      <c r="BQ298" s="138"/>
      <c r="BR298" s="128"/>
      <c r="BS298" s="128"/>
      <c r="BT298" s="128"/>
      <c r="BU298" s="128"/>
      <c r="BV298" s="128"/>
      <c r="BW298" s="139"/>
      <c r="BX298" s="140"/>
      <c r="BY298" s="139"/>
      <c r="BZ298" s="139"/>
      <c r="CA298" s="134"/>
      <c r="CB298" s="134"/>
      <c r="CC298" s="134"/>
      <c r="CD298" s="134"/>
      <c r="CE298" s="134"/>
      <c r="CF298" s="134"/>
      <c r="CG298" s="92"/>
      <c r="CH298" s="92"/>
      <c r="CI298" s="92"/>
      <c r="CJ298" s="92"/>
      <c r="CK298" s="92"/>
    </row>
    <row r="299" spans="1:89" ht="17.25" customHeight="1">
      <c r="A299" s="160"/>
      <c r="B299" s="52"/>
      <c r="C299" s="52"/>
      <c r="D299" s="137">
        <f t="shared" si="28"/>
        <v>0</v>
      </c>
      <c r="E299" s="208"/>
      <c r="F299" s="202"/>
      <c r="G299" s="207"/>
      <c r="H299" s="202"/>
      <c r="I299" s="208"/>
      <c r="J299" s="202"/>
      <c r="K299" s="208">
        <f t="shared" si="12"/>
        <v>0</v>
      </c>
      <c r="L299" s="202"/>
      <c r="M299" s="207"/>
      <c r="N299" s="202"/>
      <c r="O299" s="209"/>
      <c r="P299" s="202"/>
      <c r="Q299" s="206"/>
      <c r="R299" s="202"/>
      <c r="S299" s="207"/>
      <c r="T299" s="202"/>
      <c r="U299" s="207"/>
      <c r="V299" s="202"/>
      <c r="W299" s="208"/>
      <c r="X299" s="202"/>
      <c r="Y299" s="210">
        <f t="shared" si="31"/>
        <v>0</v>
      </c>
      <c r="Z299" s="202"/>
      <c r="AA299" s="207"/>
      <c r="AB299" s="202"/>
      <c r="AC299" s="209"/>
      <c r="AD299" s="202"/>
      <c r="AE299" s="206"/>
      <c r="AF299" s="202"/>
      <c r="AG299" s="207"/>
      <c r="AH299" s="202"/>
      <c r="AI299" s="207"/>
      <c r="AJ299" s="202"/>
      <c r="AK299" s="208"/>
      <c r="AL299" s="202"/>
      <c r="AM299" s="210">
        <f t="shared" si="14"/>
        <v>0</v>
      </c>
      <c r="AN299" s="202"/>
      <c r="AO299" s="207"/>
      <c r="AP299" s="202"/>
      <c r="AQ299" s="209"/>
      <c r="AR299" s="202"/>
      <c r="AS299" s="206"/>
      <c r="AT299" s="202"/>
      <c r="AU299" s="204"/>
      <c r="AV299" s="202"/>
      <c r="AW299" s="204"/>
      <c r="AX299" s="202"/>
      <c r="AY299" s="201"/>
      <c r="AZ299" s="202"/>
      <c r="BA299" s="210">
        <f t="shared" si="15"/>
        <v>0</v>
      </c>
      <c r="BB299" s="202"/>
      <c r="BC299" s="204"/>
      <c r="BD299" s="202"/>
      <c r="BE299" s="209"/>
      <c r="BF299" s="202"/>
      <c r="BG299" s="206"/>
      <c r="BH299" s="202"/>
      <c r="BI299" s="204"/>
      <c r="BJ299" s="202"/>
      <c r="BK299" s="204"/>
      <c r="BL299" s="202"/>
      <c r="BM299" s="201"/>
      <c r="BN299" s="202"/>
      <c r="BO299" s="203">
        <f t="shared" si="16"/>
        <v>0</v>
      </c>
      <c r="BP299" s="202"/>
      <c r="BQ299" s="138"/>
      <c r="BR299" s="128"/>
      <c r="BS299" s="128"/>
      <c r="BT299" s="128"/>
      <c r="BU299" s="128"/>
      <c r="BV299" s="128"/>
      <c r="BW299" s="139"/>
      <c r="BX299" s="140"/>
      <c r="BY299" s="139"/>
      <c r="BZ299" s="139"/>
      <c r="CA299" s="134"/>
      <c r="CB299" s="134"/>
      <c r="CC299" s="134"/>
      <c r="CD299" s="134"/>
      <c r="CE299" s="134"/>
      <c r="CF299" s="134"/>
      <c r="CG299" s="92"/>
      <c r="CH299" s="92"/>
      <c r="CI299" s="92"/>
      <c r="CJ299" s="92"/>
      <c r="CK299" s="92"/>
    </row>
    <row r="300" spans="1:89" ht="17.25" customHeight="1">
      <c r="A300" s="160"/>
      <c r="B300" s="52"/>
      <c r="C300" s="52"/>
      <c r="D300" s="137">
        <f t="shared" si="28"/>
        <v>0</v>
      </c>
      <c r="E300" s="208"/>
      <c r="F300" s="202"/>
      <c r="G300" s="207"/>
      <c r="H300" s="202"/>
      <c r="I300" s="208"/>
      <c r="J300" s="202"/>
      <c r="K300" s="208">
        <f t="shared" si="12"/>
        <v>0</v>
      </c>
      <c r="L300" s="202"/>
      <c r="M300" s="207"/>
      <c r="N300" s="202"/>
      <c r="O300" s="209"/>
      <c r="P300" s="202"/>
      <c r="Q300" s="206"/>
      <c r="R300" s="202"/>
      <c r="S300" s="207"/>
      <c r="T300" s="202"/>
      <c r="U300" s="207"/>
      <c r="V300" s="202"/>
      <c r="W300" s="208"/>
      <c r="X300" s="202"/>
      <c r="Y300" s="210">
        <f t="shared" si="31"/>
        <v>0</v>
      </c>
      <c r="Z300" s="202"/>
      <c r="AA300" s="207"/>
      <c r="AB300" s="202"/>
      <c r="AC300" s="209"/>
      <c r="AD300" s="202"/>
      <c r="AE300" s="206"/>
      <c r="AF300" s="202"/>
      <c r="AG300" s="207"/>
      <c r="AH300" s="202"/>
      <c r="AI300" s="207"/>
      <c r="AJ300" s="202"/>
      <c r="AK300" s="208"/>
      <c r="AL300" s="202"/>
      <c r="AM300" s="210">
        <f t="shared" si="14"/>
        <v>0</v>
      </c>
      <c r="AN300" s="202"/>
      <c r="AO300" s="207"/>
      <c r="AP300" s="202"/>
      <c r="AQ300" s="209"/>
      <c r="AR300" s="202"/>
      <c r="AS300" s="206"/>
      <c r="AT300" s="202"/>
      <c r="AU300" s="204"/>
      <c r="AV300" s="202"/>
      <c r="AW300" s="204"/>
      <c r="AX300" s="202"/>
      <c r="AY300" s="201"/>
      <c r="AZ300" s="202"/>
      <c r="BA300" s="210">
        <f t="shared" si="15"/>
        <v>0</v>
      </c>
      <c r="BB300" s="202"/>
      <c r="BC300" s="204"/>
      <c r="BD300" s="202"/>
      <c r="BE300" s="209"/>
      <c r="BF300" s="202"/>
      <c r="BG300" s="206"/>
      <c r="BH300" s="202"/>
      <c r="BI300" s="204"/>
      <c r="BJ300" s="202"/>
      <c r="BK300" s="204"/>
      <c r="BL300" s="202"/>
      <c r="BM300" s="201"/>
      <c r="BN300" s="202"/>
      <c r="BO300" s="203">
        <f t="shared" si="16"/>
        <v>0</v>
      </c>
      <c r="BP300" s="202"/>
      <c r="BQ300" s="138"/>
      <c r="BR300" s="128"/>
      <c r="BS300" s="128"/>
      <c r="BT300" s="128"/>
      <c r="BU300" s="128"/>
      <c r="BV300" s="128"/>
      <c r="BW300" s="139"/>
      <c r="BX300" s="140"/>
      <c r="BY300" s="139"/>
      <c r="BZ300" s="139"/>
      <c r="CA300" s="134"/>
      <c r="CB300" s="134"/>
      <c r="CC300" s="134"/>
      <c r="CD300" s="134"/>
      <c r="CE300" s="134"/>
      <c r="CF300" s="134"/>
      <c r="CG300" s="92"/>
      <c r="CH300" s="92"/>
      <c r="CI300" s="92"/>
      <c r="CJ300" s="92"/>
      <c r="CK300" s="92"/>
    </row>
    <row r="301" spans="1:89" ht="17.25" customHeight="1">
      <c r="A301" s="160"/>
      <c r="B301" s="52"/>
      <c r="C301" s="52"/>
      <c r="D301" s="137">
        <f t="shared" si="28"/>
        <v>0</v>
      </c>
      <c r="E301" s="208"/>
      <c r="F301" s="202"/>
      <c r="G301" s="207"/>
      <c r="H301" s="202"/>
      <c r="I301" s="208"/>
      <c r="J301" s="202"/>
      <c r="K301" s="208">
        <f t="shared" si="12"/>
        <v>0</v>
      </c>
      <c r="L301" s="202"/>
      <c r="M301" s="207"/>
      <c r="N301" s="202"/>
      <c r="O301" s="209"/>
      <c r="P301" s="202"/>
      <c r="Q301" s="206"/>
      <c r="R301" s="202"/>
      <c r="S301" s="207"/>
      <c r="T301" s="202"/>
      <c r="U301" s="207"/>
      <c r="V301" s="202"/>
      <c r="W301" s="208"/>
      <c r="X301" s="202"/>
      <c r="Y301" s="210">
        <f t="shared" si="31"/>
        <v>0</v>
      </c>
      <c r="Z301" s="202"/>
      <c r="AA301" s="207"/>
      <c r="AB301" s="202"/>
      <c r="AC301" s="209"/>
      <c r="AD301" s="202"/>
      <c r="AE301" s="206"/>
      <c r="AF301" s="202"/>
      <c r="AG301" s="207"/>
      <c r="AH301" s="202"/>
      <c r="AI301" s="207"/>
      <c r="AJ301" s="202"/>
      <c r="AK301" s="208"/>
      <c r="AL301" s="202"/>
      <c r="AM301" s="210">
        <f t="shared" si="14"/>
        <v>0</v>
      </c>
      <c r="AN301" s="202"/>
      <c r="AO301" s="207"/>
      <c r="AP301" s="202"/>
      <c r="AQ301" s="209"/>
      <c r="AR301" s="202"/>
      <c r="AS301" s="206"/>
      <c r="AT301" s="202"/>
      <c r="AU301" s="204"/>
      <c r="AV301" s="202"/>
      <c r="AW301" s="204"/>
      <c r="AX301" s="202"/>
      <c r="AY301" s="201"/>
      <c r="AZ301" s="202"/>
      <c r="BA301" s="210">
        <f t="shared" si="15"/>
        <v>0</v>
      </c>
      <c r="BB301" s="202"/>
      <c r="BC301" s="204"/>
      <c r="BD301" s="202"/>
      <c r="BE301" s="209"/>
      <c r="BF301" s="202"/>
      <c r="BG301" s="206"/>
      <c r="BH301" s="202"/>
      <c r="BI301" s="204"/>
      <c r="BJ301" s="202"/>
      <c r="BK301" s="204"/>
      <c r="BL301" s="202"/>
      <c r="BM301" s="201"/>
      <c r="BN301" s="202"/>
      <c r="BO301" s="203">
        <f t="shared" si="16"/>
        <v>0</v>
      </c>
      <c r="BP301" s="202"/>
      <c r="BQ301" s="138"/>
      <c r="BR301" s="128"/>
      <c r="BS301" s="128"/>
      <c r="BT301" s="128"/>
      <c r="BU301" s="128"/>
      <c r="BV301" s="128"/>
      <c r="BW301" s="139"/>
      <c r="BX301" s="140"/>
      <c r="BY301" s="139"/>
      <c r="BZ301" s="139"/>
      <c r="CA301" s="134"/>
      <c r="CB301" s="134"/>
      <c r="CC301" s="134"/>
      <c r="CD301" s="134"/>
      <c r="CE301" s="134"/>
      <c r="CF301" s="134"/>
      <c r="CG301" s="92"/>
      <c r="CH301" s="92"/>
      <c r="CI301" s="92"/>
      <c r="CJ301" s="92"/>
      <c r="CK301" s="92"/>
    </row>
    <row r="302" spans="1:89" ht="17.25" customHeight="1">
      <c r="A302" s="160"/>
      <c r="B302" s="52"/>
      <c r="C302" s="52"/>
      <c r="D302" s="137">
        <f t="shared" si="28"/>
        <v>0</v>
      </c>
      <c r="E302" s="208"/>
      <c r="F302" s="202"/>
      <c r="G302" s="207"/>
      <c r="H302" s="202"/>
      <c r="I302" s="208"/>
      <c r="J302" s="202"/>
      <c r="K302" s="208">
        <f t="shared" si="12"/>
        <v>0</v>
      </c>
      <c r="L302" s="202"/>
      <c r="M302" s="207"/>
      <c r="N302" s="202"/>
      <c r="O302" s="209"/>
      <c r="P302" s="202"/>
      <c r="Q302" s="206"/>
      <c r="R302" s="202"/>
      <c r="S302" s="207"/>
      <c r="T302" s="202"/>
      <c r="U302" s="207"/>
      <c r="V302" s="202"/>
      <c r="W302" s="208"/>
      <c r="X302" s="202"/>
      <c r="Y302" s="210">
        <f t="shared" si="31"/>
        <v>0</v>
      </c>
      <c r="Z302" s="202"/>
      <c r="AA302" s="207"/>
      <c r="AB302" s="202"/>
      <c r="AC302" s="209"/>
      <c r="AD302" s="202"/>
      <c r="AE302" s="206"/>
      <c r="AF302" s="202"/>
      <c r="AG302" s="207"/>
      <c r="AH302" s="202"/>
      <c r="AI302" s="207"/>
      <c r="AJ302" s="202"/>
      <c r="AK302" s="208"/>
      <c r="AL302" s="202"/>
      <c r="AM302" s="210">
        <f t="shared" si="14"/>
        <v>0</v>
      </c>
      <c r="AN302" s="202"/>
      <c r="AO302" s="207"/>
      <c r="AP302" s="202"/>
      <c r="AQ302" s="209"/>
      <c r="AR302" s="202"/>
      <c r="AS302" s="206"/>
      <c r="AT302" s="202"/>
      <c r="AU302" s="204"/>
      <c r="AV302" s="202"/>
      <c r="AW302" s="204"/>
      <c r="AX302" s="202"/>
      <c r="AY302" s="201"/>
      <c r="AZ302" s="202"/>
      <c r="BA302" s="210">
        <f t="shared" si="15"/>
        <v>0</v>
      </c>
      <c r="BB302" s="202"/>
      <c r="BC302" s="204"/>
      <c r="BD302" s="202"/>
      <c r="BE302" s="209"/>
      <c r="BF302" s="202"/>
      <c r="BG302" s="206"/>
      <c r="BH302" s="202"/>
      <c r="BI302" s="204"/>
      <c r="BJ302" s="202"/>
      <c r="BK302" s="204"/>
      <c r="BL302" s="202"/>
      <c r="BM302" s="201"/>
      <c r="BN302" s="202"/>
      <c r="BO302" s="203">
        <f t="shared" si="16"/>
        <v>0</v>
      </c>
      <c r="BP302" s="202"/>
      <c r="BQ302" s="138"/>
      <c r="BR302" s="128"/>
      <c r="BS302" s="128"/>
      <c r="BT302" s="128"/>
      <c r="BU302" s="128"/>
      <c r="BV302" s="128"/>
      <c r="BW302" s="139"/>
      <c r="BX302" s="140"/>
      <c r="BY302" s="139"/>
      <c r="BZ302" s="139"/>
      <c r="CA302" s="134"/>
      <c r="CB302" s="134"/>
      <c r="CC302" s="134"/>
      <c r="CD302" s="134"/>
      <c r="CE302" s="134"/>
      <c r="CF302" s="134"/>
      <c r="CG302" s="92"/>
      <c r="CH302" s="92"/>
      <c r="CI302" s="92"/>
      <c r="CJ302" s="92"/>
      <c r="CK302" s="92"/>
    </row>
    <row r="303" spans="1:89" ht="17.25" customHeight="1">
      <c r="A303" s="160"/>
      <c r="B303" s="52"/>
      <c r="C303" s="52"/>
      <c r="D303" s="137">
        <f t="shared" si="28"/>
        <v>0</v>
      </c>
      <c r="E303" s="208"/>
      <c r="F303" s="202"/>
      <c r="G303" s="207"/>
      <c r="H303" s="202"/>
      <c r="I303" s="208"/>
      <c r="J303" s="202"/>
      <c r="K303" s="208">
        <f t="shared" si="12"/>
        <v>0</v>
      </c>
      <c r="L303" s="202"/>
      <c r="M303" s="207"/>
      <c r="N303" s="202"/>
      <c r="O303" s="209"/>
      <c r="P303" s="202"/>
      <c r="Q303" s="206"/>
      <c r="R303" s="202"/>
      <c r="S303" s="207"/>
      <c r="T303" s="202"/>
      <c r="U303" s="207"/>
      <c r="V303" s="202"/>
      <c r="W303" s="208"/>
      <c r="X303" s="202"/>
      <c r="Y303" s="210">
        <f t="shared" si="31"/>
        <v>0</v>
      </c>
      <c r="Z303" s="202"/>
      <c r="AA303" s="207"/>
      <c r="AB303" s="202"/>
      <c r="AC303" s="209"/>
      <c r="AD303" s="202"/>
      <c r="AE303" s="206"/>
      <c r="AF303" s="202"/>
      <c r="AG303" s="207"/>
      <c r="AH303" s="202"/>
      <c r="AI303" s="207"/>
      <c r="AJ303" s="202"/>
      <c r="AK303" s="208"/>
      <c r="AL303" s="202"/>
      <c r="AM303" s="210">
        <f t="shared" si="14"/>
        <v>0</v>
      </c>
      <c r="AN303" s="202"/>
      <c r="AO303" s="207"/>
      <c r="AP303" s="202"/>
      <c r="AQ303" s="209"/>
      <c r="AR303" s="202"/>
      <c r="AS303" s="206"/>
      <c r="AT303" s="202"/>
      <c r="AU303" s="204"/>
      <c r="AV303" s="202"/>
      <c r="AW303" s="204"/>
      <c r="AX303" s="202"/>
      <c r="AY303" s="201"/>
      <c r="AZ303" s="202"/>
      <c r="BA303" s="210">
        <f t="shared" si="15"/>
        <v>0</v>
      </c>
      <c r="BB303" s="202"/>
      <c r="BC303" s="204"/>
      <c r="BD303" s="202"/>
      <c r="BE303" s="209"/>
      <c r="BF303" s="202"/>
      <c r="BG303" s="206"/>
      <c r="BH303" s="202"/>
      <c r="BI303" s="204"/>
      <c r="BJ303" s="202"/>
      <c r="BK303" s="204"/>
      <c r="BL303" s="202"/>
      <c r="BM303" s="201"/>
      <c r="BN303" s="202"/>
      <c r="BO303" s="203">
        <f t="shared" si="16"/>
        <v>0</v>
      </c>
      <c r="BP303" s="202"/>
      <c r="BQ303" s="138"/>
      <c r="BR303" s="128"/>
      <c r="BS303" s="128"/>
      <c r="BT303" s="128"/>
      <c r="BU303" s="128"/>
      <c r="BV303" s="128"/>
      <c r="BW303" s="139"/>
      <c r="BX303" s="140"/>
      <c r="BY303" s="139"/>
      <c r="BZ303" s="139"/>
      <c r="CA303" s="134"/>
      <c r="CB303" s="134"/>
      <c r="CC303" s="134"/>
      <c r="CD303" s="134"/>
      <c r="CE303" s="134"/>
      <c r="CF303" s="134"/>
      <c r="CG303" s="92"/>
      <c r="CH303" s="92"/>
      <c r="CI303" s="92"/>
      <c r="CJ303" s="92"/>
      <c r="CK303" s="92"/>
    </row>
    <row r="304" spans="1:89" ht="17.25" customHeight="1">
      <c r="A304" s="160"/>
      <c r="B304" s="52"/>
      <c r="C304" s="52"/>
      <c r="D304" s="137">
        <f t="shared" si="28"/>
        <v>0</v>
      </c>
      <c r="E304" s="208"/>
      <c r="F304" s="202"/>
      <c r="G304" s="207"/>
      <c r="H304" s="202"/>
      <c r="I304" s="208"/>
      <c r="J304" s="202"/>
      <c r="K304" s="208">
        <f t="shared" si="12"/>
        <v>0</v>
      </c>
      <c r="L304" s="202"/>
      <c r="M304" s="207"/>
      <c r="N304" s="202"/>
      <c r="O304" s="209"/>
      <c r="P304" s="202"/>
      <c r="Q304" s="206"/>
      <c r="R304" s="202"/>
      <c r="S304" s="207"/>
      <c r="T304" s="202"/>
      <c r="U304" s="207"/>
      <c r="V304" s="202"/>
      <c r="W304" s="208"/>
      <c r="X304" s="202"/>
      <c r="Y304" s="210">
        <f t="shared" si="31"/>
        <v>0</v>
      </c>
      <c r="Z304" s="202"/>
      <c r="AA304" s="207"/>
      <c r="AB304" s="202"/>
      <c r="AC304" s="209"/>
      <c r="AD304" s="202"/>
      <c r="AE304" s="206"/>
      <c r="AF304" s="202"/>
      <c r="AG304" s="207"/>
      <c r="AH304" s="202"/>
      <c r="AI304" s="207"/>
      <c r="AJ304" s="202"/>
      <c r="AK304" s="208"/>
      <c r="AL304" s="202"/>
      <c r="AM304" s="210">
        <f t="shared" si="14"/>
        <v>0</v>
      </c>
      <c r="AN304" s="202"/>
      <c r="AO304" s="207"/>
      <c r="AP304" s="202"/>
      <c r="AQ304" s="209"/>
      <c r="AR304" s="202"/>
      <c r="AS304" s="206"/>
      <c r="AT304" s="202"/>
      <c r="AU304" s="204"/>
      <c r="AV304" s="202"/>
      <c r="AW304" s="204"/>
      <c r="AX304" s="202"/>
      <c r="AY304" s="201"/>
      <c r="AZ304" s="202"/>
      <c r="BA304" s="210">
        <f t="shared" si="15"/>
        <v>0</v>
      </c>
      <c r="BB304" s="202"/>
      <c r="BC304" s="204"/>
      <c r="BD304" s="202"/>
      <c r="BE304" s="209"/>
      <c r="BF304" s="202"/>
      <c r="BG304" s="206"/>
      <c r="BH304" s="202"/>
      <c r="BI304" s="204"/>
      <c r="BJ304" s="202"/>
      <c r="BK304" s="204"/>
      <c r="BL304" s="202"/>
      <c r="BM304" s="201"/>
      <c r="BN304" s="202"/>
      <c r="BO304" s="203">
        <f t="shared" si="16"/>
        <v>0</v>
      </c>
      <c r="BP304" s="202"/>
      <c r="BQ304" s="138"/>
      <c r="BR304" s="128"/>
      <c r="BS304" s="128"/>
      <c r="BT304" s="128"/>
      <c r="BU304" s="128"/>
      <c r="BV304" s="128"/>
      <c r="BW304" s="139"/>
      <c r="BX304" s="140"/>
      <c r="BY304" s="139"/>
      <c r="BZ304" s="139"/>
      <c r="CA304" s="134"/>
      <c r="CB304" s="134"/>
      <c r="CC304" s="134"/>
      <c r="CD304" s="134"/>
      <c r="CE304" s="134"/>
      <c r="CF304" s="134"/>
      <c r="CG304" s="92"/>
      <c r="CH304" s="92"/>
      <c r="CI304" s="92"/>
      <c r="CJ304" s="92"/>
      <c r="CK304" s="92"/>
    </row>
    <row r="305" spans="1:89" ht="17.25" customHeight="1">
      <c r="A305" s="160"/>
      <c r="B305" s="52"/>
      <c r="C305" s="52"/>
      <c r="D305" s="137">
        <f t="shared" si="28"/>
        <v>0</v>
      </c>
      <c r="E305" s="208"/>
      <c r="F305" s="202"/>
      <c r="G305" s="207"/>
      <c r="H305" s="202"/>
      <c r="I305" s="208"/>
      <c r="J305" s="202"/>
      <c r="K305" s="208">
        <f t="shared" si="12"/>
        <v>0</v>
      </c>
      <c r="L305" s="202"/>
      <c r="M305" s="207"/>
      <c r="N305" s="202"/>
      <c r="O305" s="209"/>
      <c r="P305" s="202"/>
      <c r="Q305" s="206"/>
      <c r="R305" s="202"/>
      <c r="S305" s="207"/>
      <c r="T305" s="202"/>
      <c r="U305" s="207"/>
      <c r="V305" s="202"/>
      <c r="W305" s="208"/>
      <c r="X305" s="202"/>
      <c r="Y305" s="210">
        <f t="shared" si="31"/>
        <v>0</v>
      </c>
      <c r="Z305" s="202"/>
      <c r="AA305" s="207"/>
      <c r="AB305" s="202"/>
      <c r="AC305" s="209"/>
      <c r="AD305" s="202"/>
      <c r="AE305" s="206"/>
      <c r="AF305" s="202"/>
      <c r="AG305" s="207"/>
      <c r="AH305" s="202"/>
      <c r="AI305" s="207"/>
      <c r="AJ305" s="202"/>
      <c r="AK305" s="208"/>
      <c r="AL305" s="202"/>
      <c r="AM305" s="210">
        <f t="shared" si="14"/>
        <v>0</v>
      </c>
      <c r="AN305" s="202"/>
      <c r="AO305" s="207"/>
      <c r="AP305" s="202"/>
      <c r="AQ305" s="209"/>
      <c r="AR305" s="202"/>
      <c r="AS305" s="206"/>
      <c r="AT305" s="202"/>
      <c r="AU305" s="204"/>
      <c r="AV305" s="202"/>
      <c r="AW305" s="204"/>
      <c r="AX305" s="202"/>
      <c r="AY305" s="201"/>
      <c r="AZ305" s="202"/>
      <c r="BA305" s="210">
        <f t="shared" si="15"/>
        <v>0</v>
      </c>
      <c r="BB305" s="202"/>
      <c r="BC305" s="204"/>
      <c r="BD305" s="202"/>
      <c r="BE305" s="209"/>
      <c r="BF305" s="202"/>
      <c r="BG305" s="206"/>
      <c r="BH305" s="202"/>
      <c r="BI305" s="204"/>
      <c r="BJ305" s="202"/>
      <c r="BK305" s="204"/>
      <c r="BL305" s="202"/>
      <c r="BM305" s="201"/>
      <c r="BN305" s="202"/>
      <c r="BO305" s="203">
        <f t="shared" si="16"/>
        <v>0</v>
      </c>
      <c r="BP305" s="202"/>
      <c r="BQ305" s="138"/>
      <c r="BR305" s="128"/>
      <c r="BS305" s="128"/>
      <c r="BT305" s="128"/>
      <c r="BU305" s="128"/>
      <c r="BV305" s="128"/>
      <c r="BW305" s="139"/>
      <c r="BX305" s="140"/>
      <c r="BY305" s="139"/>
      <c r="BZ305" s="139"/>
      <c r="CA305" s="134"/>
      <c r="CB305" s="134"/>
      <c r="CC305" s="134"/>
      <c r="CD305" s="134"/>
      <c r="CE305" s="134"/>
      <c r="CF305" s="134"/>
      <c r="CG305" s="92"/>
      <c r="CH305" s="92"/>
      <c r="CI305" s="92"/>
      <c r="CJ305" s="92"/>
      <c r="CK305" s="92"/>
    </row>
    <row r="306" spans="1:89" ht="17.25" customHeight="1">
      <c r="A306" s="160"/>
      <c r="B306" s="52"/>
      <c r="C306" s="52"/>
      <c r="D306" s="137">
        <f t="shared" si="28"/>
        <v>0</v>
      </c>
      <c r="E306" s="208"/>
      <c r="F306" s="202"/>
      <c r="G306" s="207"/>
      <c r="H306" s="202"/>
      <c r="I306" s="208"/>
      <c r="J306" s="202"/>
      <c r="K306" s="208">
        <f t="shared" si="12"/>
        <v>0</v>
      </c>
      <c r="L306" s="202"/>
      <c r="M306" s="207"/>
      <c r="N306" s="202"/>
      <c r="O306" s="209"/>
      <c r="P306" s="202"/>
      <c r="Q306" s="206"/>
      <c r="R306" s="202"/>
      <c r="S306" s="207"/>
      <c r="T306" s="202"/>
      <c r="U306" s="207"/>
      <c r="V306" s="202"/>
      <c r="W306" s="208"/>
      <c r="X306" s="202"/>
      <c r="Y306" s="210">
        <f t="shared" si="31"/>
        <v>0</v>
      </c>
      <c r="Z306" s="202"/>
      <c r="AA306" s="207"/>
      <c r="AB306" s="202"/>
      <c r="AC306" s="209"/>
      <c r="AD306" s="202"/>
      <c r="AE306" s="206"/>
      <c r="AF306" s="202"/>
      <c r="AG306" s="207"/>
      <c r="AH306" s="202"/>
      <c r="AI306" s="207"/>
      <c r="AJ306" s="202"/>
      <c r="AK306" s="208"/>
      <c r="AL306" s="202"/>
      <c r="AM306" s="210">
        <f t="shared" si="14"/>
        <v>0</v>
      </c>
      <c r="AN306" s="202"/>
      <c r="AO306" s="207"/>
      <c r="AP306" s="202"/>
      <c r="AQ306" s="209"/>
      <c r="AR306" s="202"/>
      <c r="AS306" s="206"/>
      <c r="AT306" s="202"/>
      <c r="AU306" s="204"/>
      <c r="AV306" s="202"/>
      <c r="AW306" s="204"/>
      <c r="AX306" s="202"/>
      <c r="AY306" s="201"/>
      <c r="AZ306" s="202"/>
      <c r="BA306" s="210">
        <f t="shared" si="15"/>
        <v>0</v>
      </c>
      <c r="BB306" s="202"/>
      <c r="BC306" s="204"/>
      <c r="BD306" s="202"/>
      <c r="BE306" s="209"/>
      <c r="BF306" s="202"/>
      <c r="BG306" s="206"/>
      <c r="BH306" s="202"/>
      <c r="BI306" s="204"/>
      <c r="BJ306" s="202"/>
      <c r="BK306" s="204"/>
      <c r="BL306" s="202"/>
      <c r="BM306" s="201"/>
      <c r="BN306" s="202"/>
      <c r="BO306" s="203">
        <f t="shared" si="16"/>
        <v>0</v>
      </c>
      <c r="BP306" s="202"/>
      <c r="BQ306" s="138"/>
      <c r="BR306" s="128"/>
      <c r="BS306" s="128"/>
      <c r="BT306" s="128"/>
      <c r="BU306" s="128"/>
      <c r="BV306" s="128"/>
      <c r="BW306" s="139"/>
      <c r="BX306" s="140"/>
      <c r="BY306" s="139"/>
      <c r="BZ306" s="139"/>
      <c r="CA306" s="134"/>
      <c r="CB306" s="134"/>
      <c r="CC306" s="134"/>
      <c r="CD306" s="134"/>
      <c r="CE306" s="134"/>
      <c r="CF306" s="134"/>
      <c r="CG306" s="92"/>
      <c r="CH306" s="92"/>
      <c r="CI306" s="92"/>
      <c r="CJ306" s="92"/>
      <c r="CK306" s="92"/>
    </row>
    <row r="307" spans="1:89" ht="17.25" customHeight="1">
      <c r="A307" s="160"/>
      <c r="B307" s="52"/>
      <c r="C307" s="52"/>
      <c r="D307" s="137">
        <f t="shared" si="28"/>
        <v>0</v>
      </c>
      <c r="E307" s="208"/>
      <c r="F307" s="202"/>
      <c r="G307" s="207"/>
      <c r="H307" s="202"/>
      <c r="I307" s="208"/>
      <c r="J307" s="202"/>
      <c r="K307" s="208">
        <f t="shared" si="12"/>
        <v>0</v>
      </c>
      <c r="L307" s="202"/>
      <c r="M307" s="207"/>
      <c r="N307" s="202"/>
      <c r="O307" s="209"/>
      <c r="P307" s="202"/>
      <c r="Q307" s="206"/>
      <c r="R307" s="202"/>
      <c r="S307" s="207"/>
      <c r="T307" s="202"/>
      <c r="U307" s="207"/>
      <c r="V307" s="202"/>
      <c r="W307" s="208"/>
      <c r="X307" s="202"/>
      <c r="Y307" s="210">
        <f t="shared" si="31"/>
        <v>0</v>
      </c>
      <c r="Z307" s="202"/>
      <c r="AA307" s="207"/>
      <c r="AB307" s="202"/>
      <c r="AC307" s="209"/>
      <c r="AD307" s="202"/>
      <c r="AE307" s="206"/>
      <c r="AF307" s="202"/>
      <c r="AG307" s="207"/>
      <c r="AH307" s="202"/>
      <c r="AI307" s="207"/>
      <c r="AJ307" s="202"/>
      <c r="AK307" s="208"/>
      <c r="AL307" s="202"/>
      <c r="AM307" s="210">
        <f t="shared" si="14"/>
        <v>0</v>
      </c>
      <c r="AN307" s="202"/>
      <c r="AO307" s="207"/>
      <c r="AP307" s="202"/>
      <c r="AQ307" s="209"/>
      <c r="AR307" s="202"/>
      <c r="AS307" s="206"/>
      <c r="AT307" s="202"/>
      <c r="AU307" s="204"/>
      <c r="AV307" s="202"/>
      <c r="AW307" s="204"/>
      <c r="AX307" s="202"/>
      <c r="AY307" s="201"/>
      <c r="AZ307" s="202"/>
      <c r="BA307" s="210">
        <f t="shared" si="15"/>
        <v>0</v>
      </c>
      <c r="BB307" s="202"/>
      <c r="BC307" s="204"/>
      <c r="BD307" s="202"/>
      <c r="BE307" s="209"/>
      <c r="BF307" s="202"/>
      <c r="BG307" s="206"/>
      <c r="BH307" s="202"/>
      <c r="BI307" s="204"/>
      <c r="BJ307" s="202"/>
      <c r="BK307" s="204"/>
      <c r="BL307" s="202"/>
      <c r="BM307" s="201"/>
      <c r="BN307" s="202"/>
      <c r="BO307" s="203">
        <f t="shared" si="16"/>
        <v>0</v>
      </c>
      <c r="BP307" s="202"/>
      <c r="BQ307" s="138"/>
      <c r="BR307" s="128"/>
      <c r="BS307" s="128"/>
      <c r="BT307" s="128"/>
      <c r="BU307" s="128"/>
      <c r="BV307" s="128"/>
      <c r="BW307" s="139"/>
      <c r="BX307" s="140"/>
      <c r="BY307" s="139"/>
      <c r="BZ307" s="139"/>
      <c r="CA307" s="134"/>
      <c r="CB307" s="134"/>
      <c r="CC307" s="134"/>
      <c r="CD307" s="134"/>
      <c r="CE307" s="134"/>
      <c r="CF307" s="134"/>
      <c r="CG307" s="92"/>
      <c r="CH307" s="92"/>
      <c r="CI307" s="92"/>
      <c r="CJ307" s="92"/>
      <c r="CK307" s="92"/>
    </row>
    <row r="308" spans="1:89" ht="17.25" customHeight="1">
      <c r="A308" s="160"/>
      <c r="B308" s="52"/>
      <c r="C308" s="52"/>
      <c r="D308" s="137">
        <f t="shared" si="28"/>
        <v>0</v>
      </c>
      <c r="E308" s="208"/>
      <c r="F308" s="202"/>
      <c r="G308" s="207"/>
      <c r="H308" s="202"/>
      <c r="I308" s="208"/>
      <c r="J308" s="202"/>
      <c r="K308" s="208">
        <f t="shared" si="12"/>
        <v>0</v>
      </c>
      <c r="L308" s="202"/>
      <c r="M308" s="207"/>
      <c r="N308" s="202"/>
      <c r="O308" s="209"/>
      <c r="P308" s="202"/>
      <c r="Q308" s="206"/>
      <c r="R308" s="202"/>
      <c r="S308" s="207"/>
      <c r="T308" s="202"/>
      <c r="U308" s="207"/>
      <c r="V308" s="202"/>
      <c r="W308" s="208"/>
      <c r="X308" s="202"/>
      <c r="Y308" s="210">
        <f t="shared" si="31"/>
        <v>0</v>
      </c>
      <c r="Z308" s="202"/>
      <c r="AA308" s="207"/>
      <c r="AB308" s="202"/>
      <c r="AC308" s="209"/>
      <c r="AD308" s="202"/>
      <c r="AE308" s="206"/>
      <c r="AF308" s="202"/>
      <c r="AG308" s="207"/>
      <c r="AH308" s="202"/>
      <c r="AI308" s="207"/>
      <c r="AJ308" s="202"/>
      <c r="AK308" s="208"/>
      <c r="AL308" s="202"/>
      <c r="AM308" s="210">
        <f t="shared" si="14"/>
        <v>0</v>
      </c>
      <c r="AN308" s="202"/>
      <c r="AO308" s="207"/>
      <c r="AP308" s="202"/>
      <c r="AQ308" s="209"/>
      <c r="AR308" s="202"/>
      <c r="AS308" s="206"/>
      <c r="AT308" s="202"/>
      <c r="AU308" s="204"/>
      <c r="AV308" s="202"/>
      <c r="AW308" s="204"/>
      <c r="AX308" s="202"/>
      <c r="AY308" s="201"/>
      <c r="AZ308" s="202"/>
      <c r="BA308" s="210">
        <f t="shared" si="15"/>
        <v>0</v>
      </c>
      <c r="BB308" s="202"/>
      <c r="BC308" s="204"/>
      <c r="BD308" s="202"/>
      <c r="BE308" s="209"/>
      <c r="BF308" s="202"/>
      <c r="BG308" s="206"/>
      <c r="BH308" s="202"/>
      <c r="BI308" s="204"/>
      <c r="BJ308" s="202"/>
      <c r="BK308" s="204"/>
      <c r="BL308" s="202"/>
      <c r="BM308" s="201"/>
      <c r="BN308" s="202"/>
      <c r="BO308" s="203">
        <f t="shared" si="16"/>
        <v>0</v>
      </c>
      <c r="BP308" s="202"/>
      <c r="BQ308" s="138"/>
      <c r="BR308" s="128"/>
      <c r="BS308" s="128"/>
      <c r="BT308" s="128"/>
      <c r="BU308" s="128"/>
      <c r="BV308" s="128"/>
      <c r="BW308" s="139"/>
      <c r="BX308" s="140"/>
      <c r="BY308" s="139"/>
      <c r="BZ308" s="139"/>
      <c r="CA308" s="134"/>
      <c r="CB308" s="134"/>
      <c r="CC308" s="134"/>
      <c r="CD308" s="134"/>
      <c r="CE308" s="134"/>
      <c r="CF308" s="134"/>
      <c r="CG308" s="92"/>
      <c r="CH308" s="92"/>
      <c r="CI308" s="92"/>
      <c r="CJ308" s="92"/>
      <c r="CK308" s="92"/>
    </row>
    <row r="309" spans="1:89" ht="17.25" customHeight="1">
      <c r="A309" s="160"/>
      <c r="B309" s="52"/>
      <c r="C309" s="52"/>
      <c r="D309" s="137">
        <f t="shared" si="28"/>
        <v>0</v>
      </c>
      <c r="E309" s="208"/>
      <c r="F309" s="202"/>
      <c r="G309" s="207"/>
      <c r="H309" s="202"/>
      <c r="I309" s="208"/>
      <c r="J309" s="202"/>
      <c r="K309" s="208">
        <f t="shared" si="12"/>
        <v>0</v>
      </c>
      <c r="L309" s="202"/>
      <c r="M309" s="207"/>
      <c r="N309" s="202"/>
      <c r="O309" s="209"/>
      <c r="P309" s="202"/>
      <c r="Q309" s="206"/>
      <c r="R309" s="202"/>
      <c r="S309" s="207"/>
      <c r="T309" s="202"/>
      <c r="U309" s="207"/>
      <c r="V309" s="202"/>
      <c r="W309" s="208"/>
      <c r="X309" s="202"/>
      <c r="Y309" s="210">
        <f t="shared" si="31"/>
        <v>0</v>
      </c>
      <c r="Z309" s="202"/>
      <c r="AA309" s="207"/>
      <c r="AB309" s="202"/>
      <c r="AC309" s="209"/>
      <c r="AD309" s="202"/>
      <c r="AE309" s="206"/>
      <c r="AF309" s="202"/>
      <c r="AG309" s="207"/>
      <c r="AH309" s="202"/>
      <c r="AI309" s="207"/>
      <c r="AJ309" s="202"/>
      <c r="AK309" s="208"/>
      <c r="AL309" s="202"/>
      <c r="AM309" s="210">
        <f t="shared" si="14"/>
        <v>0</v>
      </c>
      <c r="AN309" s="202"/>
      <c r="AO309" s="207"/>
      <c r="AP309" s="202"/>
      <c r="AQ309" s="209"/>
      <c r="AR309" s="202"/>
      <c r="AS309" s="206"/>
      <c r="AT309" s="202"/>
      <c r="AU309" s="204"/>
      <c r="AV309" s="202"/>
      <c r="AW309" s="204"/>
      <c r="AX309" s="202"/>
      <c r="AY309" s="201"/>
      <c r="AZ309" s="202"/>
      <c r="BA309" s="210">
        <f t="shared" si="15"/>
        <v>0</v>
      </c>
      <c r="BB309" s="202"/>
      <c r="BC309" s="204"/>
      <c r="BD309" s="202"/>
      <c r="BE309" s="209"/>
      <c r="BF309" s="202"/>
      <c r="BG309" s="206"/>
      <c r="BH309" s="202"/>
      <c r="BI309" s="204"/>
      <c r="BJ309" s="202"/>
      <c r="BK309" s="204"/>
      <c r="BL309" s="202"/>
      <c r="BM309" s="201"/>
      <c r="BN309" s="202"/>
      <c r="BO309" s="203">
        <f t="shared" si="16"/>
        <v>0</v>
      </c>
      <c r="BP309" s="202"/>
      <c r="BQ309" s="138"/>
      <c r="BR309" s="128"/>
      <c r="BS309" s="128"/>
      <c r="BT309" s="128"/>
      <c r="BU309" s="128"/>
      <c r="BV309" s="128"/>
      <c r="BW309" s="139"/>
      <c r="BX309" s="140"/>
      <c r="BY309" s="139"/>
      <c r="BZ309" s="139"/>
      <c r="CA309" s="134"/>
      <c r="CB309" s="134"/>
      <c r="CC309" s="134"/>
      <c r="CD309" s="134"/>
      <c r="CE309" s="134"/>
      <c r="CF309" s="134"/>
      <c r="CG309" s="92"/>
      <c r="CH309" s="92"/>
      <c r="CI309" s="92"/>
      <c r="CJ309" s="92"/>
      <c r="CK309" s="92"/>
    </row>
    <row r="310" spans="1:89" ht="17.25" customHeight="1">
      <c r="A310" s="160"/>
      <c r="B310" s="52"/>
      <c r="C310" s="52"/>
      <c r="D310" s="137">
        <f t="shared" si="28"/>
        <v>0</v>
      </c>
      <c r="E310" s="208"/>
      <c r="F310" s="202"/>
      <c r="G310" s="207"/>
      <c r="H310" s="202"/>
      <c r="I310" s="208"/>
      <c r="J310" s="202"/>
      <c r="K310" s="208">
        <f t="shared" si="12"/>
        <v>0</v>
      </c>
      <c r="L310" s="202"/>
      <c r="M310" s="207"/>
      <c r="N310" s="202"/>
      <c r="O310" s="209"/>
      <c r="P310" s="202"/>
      <c r="Q310" s="206"/>
      <c r="R310" s="202"/>
      <c r="S310" s="207"/>
      <c r="T310" s="202"/>
      <c r="U310" s="207"/>
      <c r="V310" s="202"/>
      <c r="W310" s="208"/>
      <c r="X310" s="202"/>
      <c r="Y310" s="210">
        <f t="shared" si="31"/>
        <v>0</v>
      </c>
      <c r="Z310" s="202"/>
      <c r="AA310" s="207"/>
      <c r="AB310" s="202"/>
      <c r="AC310" s="209"/>
      <c r="AD310" s="202"/>
      <c r="AE310" s="206"/>
      <c r="AF310" s="202"/>
      <c r="AG310" s="207"/>
      <c r="AH310" s="202"/>
      <c r="AI310" s="207"/>
      <c r="AJ310" s="202"/>
      <c r="AK310" s="208"/>
      <c r="AL310" s="202"/>
      <c r="AM310" s="210">
        <f t="shared" si="14"/>
        <v>0</v>
      </c>
      <c r="AN310" s="202"/>
      <c r="AO310" s="207"/>
      <c r="AP310" s="202"/>
      <c r="AQ310" s="209"/>
      <c r="AR310" s="202"/>
      <c r="AS310" s="206"/>
      <c r="AT310" s="202"/>
      <c r="AU310" s="204"/>
      <c r="AV310" s="202"/>
      <c r="AW310" s="204"/>
      <c r="AX310" s="202"/>
      <c r="AY310" s="201"/>
      <c r="AZ310" s="202"/>
      <c r="BA310" s="210">
        <f t="shared" si="15"/>
        <v>0</v>
      </c>
      <c r="BB310" s="202"/>
      <c r="BC310" s="204"/>
      <c r="BD310" s="202"/>
      <c r="BE310" s="209"/>
      <c r="BF310" s="202"/>
      <c r="BG310" s="206"/>
      <c r="BH310" s="202"/>
      <c r="BI310" s="204"/>
      <c r="BJ310" s="202"/>
      <c r="BK310" s="204"/>
      <c r="BL310" s="202"/>
      <c r="BM310" s="201"/>
      <c r="BN310" s="202"/>
      <c r="BO310" s="203">
        <f t="shared" si="16"/>
        <v>0</v>
      </c>
      <c r="BP310" s="202"/>
      <c r="BQ310" s="138"/>
      <c r="BR310" s="128"/>
      <c r="BS310" s="128"/>
      <c r="BT310" s="128"/>
      <c r="BU310" s="128"/>
      <c r="BV310" s="128"/>
      <c r="BW310" s="139"/>
      <c r="BX310" s="140"/>
      <c r="BY310" s="139"/>
      <c r="BZ310" s="139"/>
      <c r="CA310" s="134"/>
      <c r="CB310" s="134"/>
      <c r="CC310" s="134"/>
      <c r="CD310" s="134"/>
      <c r="CE310" s="134"/>
      <c r="CF310" s="134"/>
      <c r="CG310" s="92"/>
      <c r="CH310" s="92"/>
      <c r="CI310" s="92"/>
      <c r="CJ310" s="92"/>
      <c r="CK310" s="92"/>
    </row>
    <row r="311" spans="1:89" ht="17.25" customHeight="1">
      <c r="A311" s="160"/>
      <c r="B311" s="52"/>
      <c r="C311" s="52"/>
      <c r="D311" s="137">
        <f t="shared" si="28"/>
        <v>0</v>
      </c>
      <c r="E311" s="208"/>
      <c r="F311" s="202"/>
      <c r="G311" s="207"/>
      <c r="H311" s="202"/>
      <c r="I311" s="208"/>
      <c r="J311" s="202"/>
      <c r="K311" s="208">
        <f t="shared" si="12"/>
        <v>0</v>
      </c>
      <c r="L311" s="202"/>
      <c r="M311" s="207"/>
      <c r="N311" s="202"/>
      <c r="O311" s="209"/>
      <c r="P311" s="202"/>
      <c r="Q311" s="206"/>
      <c r="R311" s="202"/>
      <c r="S311" s="207"/>
      <c r="T311" s="202"/>
      <c r="U311" s="207"/>
      <c r="V311" s="202"/>
      <c r="W311" s="208"/>
      <c r="X311" s="202"/>
      <c r="Y311" s="210">
        <f t="shared" si="31"/>
        <v>0</v>
      </c>
      <c r="Z311" s="202"/>
      <c r="AA311" s="207"/>
      <c r="AB311" s="202"/>
      <c r="AC311" s="209"/>
      <c r="AD311" s="202"/>
      <c r="AE311" s="206"/>
      <c r="AF311" s="202"/>
      <c r="AG311" s="207"/>
      <c r="AH311" s="202"/>
      <c r="AI311" s="207"/>
      <c r="AJ311" s="202"/>
      <c r="AK311" s="208"/>
      <c r="AL311" s="202"/>
      <c r="AM311" s="210">
        <f t="shared" si="14"/>
        <v>0</v>
      </c>
      <c r="AN311" s="202"/>
      <c r="AO311" s="207"/>
      <c r="AP311" s="202"/>
      <c r="AQ311" s="209"/>
      <c r="AR311" s="202"/>
      <c r="AS311" s="206"/>
      <c r="AT311" s="202"/>
      <c r="AU311" s="204"/>
      <c r="AV311" s="202"/>
      <c r="AW311" s="204"/>
      <c r="AX311" s="202"/>
      <c r="AY311" s="201"/>
      <c r="AZ311" s="202"/>
      <c r="BA311" s="210">
        <f t="shared" si="15"/>
        <v>0</v>
      </c>
      <c r="BB311" s="202"/>
      <c r="BC311" s="204"/>
      <c r="BD311" s="202"/>
      <c r="BE311" s="209"/>
      <c r="BF311" s="202"/>
      <c r="BG311" s="206"/>
      <c r="BH311" s="202"/>
      <c r="BI311" s="204"/>
      <c r="BJ311" s="202"/>
      <c r="BK311" s="204"/>
      <c r="BL311" s="202"/>
      <c r="BM311" s="201"/>
      <c r="BN311" s="202"/>
      <c r="BO311" s="203">
        <f t="shared" si="16"/>
        <v>0</v>
      </c>
      <c r="BP311" s="202"/>
      <c r="BQ311" s="138"/>
      <c r="BR311" s="128"/>
      <c r="BS311" s="128"/>
      <c r="BT311" s="128"/>
      <c r="BU311" s="128"/>
      <c r="BV311" s="128"/>
      <c r="BW311" s="139"/>
      <c r="BX311" s="140"/>
      <c r="BY311" s="139"/>
      <c r="BZ311" s="139"/>
      <c r="CA311" s="134"/>
      <c r="CB311" s="134"/>
      <c r="CC311" s="134"/>
      <c r="CD311" s="134"/>
      <c r="CE311" s="134"/>
      <c r="CF311" s="134"/>
      <c r="CG311" s="92"/>
      <c r="CH311" s="92"/>
      <c r="CI311" s="92"/>
      <c r="CJ311" s="92"/>
      <c r="CK311" s="92"/>
    </row>
    <row r="312" spans="1:89" ht="17.25" customHeight="1">
      <c r="A312" s="160"/>
      <c r="B312" s="52"/>
      <c r="C312" s="52"/>
      <c r="D312" s="137">
        <f t="shared" si="28"/>
        <v>0</v>
      </c>
      <c r="E312" s="208"/>
      <c r="F312" s="202"/>
      <c r="G312" s="207"/>
      <c r="H312" s="202"/>
      <c r="I312" s="208"/>
      <c r="J312" s="202"/>
      <c r="K312" s="208">
        <f t="shared" si="12"/>
        <v>0</v>
      </c>
      <c r="L312" s="202"/>
      <c r="M312" s="207"/>
      <c r="N312" s="202"/>
      <c r="O312" s="209"/>
      <c r="P312" s="202"/>
      <c r="Q312" s="206"/>
      <c r="R312" s="202"/>
      <c r="S312" s="207"/>
      <c r="T312" s="202"/>
      <c r="U312" s="207"/>
      <c r="V312" s="202"/>
      <c r="W312" s="208"/>
      <c r="X312" s="202"/>
      <c r="Y312" s="210">
        <f t="shared" si="31"/>
        <v>0</v>
      </c>
      <c r="Z312" s="202"/>
      <c r="AA312" s="207"/>
      <c r="AB312" s="202"/>
      <c r="AC312" s="209"/>
      <c r="AD312" s="202"/>
      <c r="AE312" s="206"/>
      <c r="AF312" s="202"/>
      <c r="AG312" s="207"/>
      <c r="AH312" s="202"/>
      <c r="AI312" s="207"/>
      <c r="AJ312" s="202"/>
      <c r="AK312" s="208"/>
      <c r="AL312" s="202"/>
      <c r="AM312" s="210">
        <f t="shared" si="14"/>
        <v>0</v>
      </c>
      <c r="AN312" s="202"/>
      <c r="AO312" s="207"/>
      <c r="AP312" s="202"/>
      <c r="AQ312" s="209"/>
      <c r="AR312" s="202"/>
      <c r="AS312" s="206"/>
      <c r="AT312" s="202"/>
      <c r="AU312" s="204"/>
      <c r="AV312" s="202"/>
      <c r="AW312" s="204"/>
      <c r="AX312" s="202"/>
      <c r="AY312" s="201"/>
      <c r="AZ312" s="202"/>
      <c r="BA312" s="210">
        <f t="shared" si="15"/>
        <v>0</v>
      </c>
      <c r="BB312" s="202"/>
      <c r="BC312" s="204"/>
      <c r="BD312" s="202"/>
      <c r="BE312" s="209"/>
      <c r="BF312" s="202"/>
      <c r="BG312" s="206"/>
      <c r="BH312" s="202"/>
      <c r="BI312" s="204"/>
      <c r="BJ312" s="202"/>
      <c r="BK312" s="204"/>
      <c r="BL312" s="202"/>
      <c r="BM312" s="201"/>
      <c r="BN312" s="202"/>
      <c r="BO312" s="203">
        <f t="shared" si="16"/>
        <v>0</v>
      </c>
      <c r="BP312" s="202"/>
      <c r="BQ312" s="138"/>
      <c r="BR312" s="128"/>
      <c r="BS312" s="128"/>
      <c r="BT312" s="128"/>
      <c r="BU312" s="128"/>
      <c r="BV312" s="128"/>
      <c r="BW312" s="139"/>
      <c r="BX312" s="140"/>
      <c r="BY312" s="139"/>
      <c r="BZ312" s="139"/>
      <c r="CA312" s="134"/>
      <c r="CB312" s="134"/>
      <c r="CC312" s="134"/>
      <c r="CD312" s="134"/>
      <c r="CE312" s="134"/>
      <c r="CF312" s="134"/>
      <c r="CG312" s="92"/>
      <c r="CH312" s="92"/>
      <c r="CI312" s="92"/>
      <c r="CJ312" s="92"/>
      <c r="CK312" s="92"/>
    </row>
    <row r="313" spans="1:89" ht="17.25" customHeight="1">
      <c r="A313" s="160"/>
      <c r="B313" s="52"/>
      <c r="C313" s="52"/>
      <c r="D313" s="137">
        <f t="shared" si="28"/>
        <v>0</v>
      </c>
      <c r="E313" s="208"/>
      <c r="F313" s="202"/>
      <c r="G313" s="207"/>
      <c r="H313" s="202"/>
      <c r="I313" s="208"/>
      <c r="J313" s="202"/>
      <c r="K313" s="208">
        <f t="shared" si="12"/>
        <v>0</v>
      </c>
      <c r="L313" s="202"/>
      <c r="M313" s="207"/>
      <c r="N313" s="202"/>
      <c r="O313" s="209"/>
      <c r="P313" s="202"/>
      <c r="Q313" s="206"/>
      <c r="R313" s="202"/>
      <c r="S313" s="207"/>
      <c r="T313" s="202"/>
      <c r="U313" s="207"/>
      <c r="V313" s="202"/>
      <c r="W313" s="208"/>
      <c r="X313" s="202"/>
      <c r="Y313" s="210">
        <f t="shared" si="31"/>
        <v>0</v>
      </c>
      <c r="Z313" s="202"/>
      <c r="AA313" s="207"/>
      <c r="AB313" s="202"/>
      <c r="AC313" s="209"/>
      <c r="AD313" s="202"/>
      <c r="AE313" s="206"/>
      <c r="AF313" s="202"/>
      <c r="AG313" s="207"/>
      <c r="AH313" s="202"/>
      <c r="AI313" s="207"/>
      <c r="AJ313" s="202"/>
      <c r="AK313" s="208"/>
      <c r="AL313" s="202"/>
      <c r="AM313" s="210">
        <f t="shared" si="14"/>
        <v>0</v>
      </c>
      <c r="AN313" s="202"/>
      <c r="AO313" s="207"/>
      <c r="AP313" s="202"/>
      <c r="AQ313" s="209"/>
      <c r="AR313" s="202"/>
      <c r="AS313" s="206"/>
      <c r="AT313" s="202"/>
      <c r="AU313" s="204"/>
      <c r="AV313" s="202"/>
      <c r="AW313" s="204"/>
      <c r="AX313" s="202"/>
      <c r="AY313" s="201"/>
      <c r="AZ313" s="202"/>
      <c r="BA313" s="210">
        <f t="shared" si="15"/>
        <v>0</v>
      </c>
      <c r="BB313" s="202"/>
      <c r="BC313" s="204"/>
      <c r="BD313" s="202"/>
      <c r="BE313" s="209"/>
      <c r="BF313" s="202"/>
      <c r="BG313" s="206"/>
      <c r="BH313" s="202"/>
      <c r="BI313" s="204"/>
      <c r="BJ313" s="202"/>
      <c r="BK313" s="204"/>
      <c r="BL313" s="202"/>
      <c r="BM313" s="201"/>
      <c r="BN313" s="202"/>
      <c r="BO313" s="203">
        <f t="shared" si="16"/>
        <v>0</v>
      </c>
      <c r="BP313" s="202"/>
      <c r="BQ313" s="138"/>
      <c r="BR313" s="128"/>
      <c r="BS313" s="128"/>
      <c r="BT313" s="128"/>
      <c r="BU313" s="128"/>
      <c r="BV313" s="128"/>
      <c r="BW313" s="139"/>
      <c r="BX313" s="140"/>
      <c r="BY313" s="139"/>
      <c r="BZ313" s="139"/>
      <c r="CA313" s="134"/>
      <c r="CB313" s="134"/>
      <c r="CC313" s="134"/>
      <c r="CD313" s="134"/>
      <c r="CE313" s="134"/>
      <c r="CF313" s="134"/>
      <c r="CG313" s="92"/>
      <c r="CH313" s="92"/>
      <c r="CI313" s="92"/>
      <c r="CJ313" s="92"/>
      <c r="CK313" s="92"/>
    </row>
    <row r="314" spans="1:89" ht="17.25" customHeight="1">
      <c r="A314" s="160"/>
      <c r="B314" s="52"/>
      <c r="C314" s="52"/>
      <c r="D314" s="137">
        <f t="shared" si="28"/>
        <v>0</v>
      </c>
      <c r="E314" s="208"/>
      <c r="F314" s="202"/>
      <c r="G314" s="207"/>
      <c r="H314" s="202"/>
      <c r="I314" s="208"/>
      <c r="J314" s="202"/>
      <c r="K314" s="208">
        <f t="shared" si="12"/>
        <v>0</v>
      </c>
      <c r="L314" s="202"/>
      <c r="M314" s="207"/>
      <c r="N314" s="202"/>
      <c r="O314" s="209"/>
      <c r="P314" s="202"/>
      <c r="Q314" s="206"/>
      <c r="R314" s="202"/>
      <c r="S314" s="207"/>
      <c r="T314" s="202"/>
      <c r="U314" s="207"/>
      <c r="V314" s="202"/>
      <c r="W314" s="208"/>
      <c r="X314" s="202"/>
      <c r="Y314" s="210">
        <f t="shared" si="31"/>
        <v>0</v>
      </c>
      <c r="Z314" s="202"/>
      <c r="AA314" s="207"/>
      <c r="AB314" s="202"/>
      <c r="AC314" s="209"/>
      <c r="AD314" s="202"/>
      <c r="AE314" s="206"/>
      <c r="AF314" s="202"/>
      <c r="AG314" s="207"/>
      <c r="AH314" s="202"/>
      <c r="AI314" s="207"/>
      <c r="AJ314" s="202"/>
      <c r="AK314" s="208"/>
      <c r="AL314" s="202"/>
      <c r="AM314" s="210">
        <f t="shared" si="14"/>
        <v>0</v>
      </c>
      <c r="AN314" s="202"/>
      <c r="AO314" s="207"/>
      <c r="AP314" s="202"/>
      <c r="AQ314" s="209"/>
      <c r="AR314" s="202"/>
      <c r="AS314" s="206"/>
      <c r="AT314" s="202"/>
      <c r="AU314" s="204"/>
      <c r="AV314" s="202"/>
      <c r="AW314" s="204"/>
      <c r="AX314" s="202"/>
      <c r="AY314" s="201"/>
      <c r="AZ314" s="202"/>
      <c r="BA314" s="210">
        <f t="shared" si="15"/>
        <v>0</v>
      </c>
      <c r="BB314" s="202"/>
      <c r="BC314" s="204"/>
      <c r="BD314" s="202"/>
      <c r="BE314" s="209"/>
      <c r="BF314" s="202"/>
      <c r="BG314" s="206"/>
      <c r="BH314" s="202"/>
      <c r="BI314" s="204"/>
      <c r="BJ314" s="202"/>
      <c r="BK314" s="204"/>
      <c r="BL314" s="202"/>
      <c r="BM314" s="201"/>
      <c r="BN314" s="202"/>
      <c r="BO314" s="203">
        <f t="shared" si="16"/>
        <v>0</v>
      </c>
      <c r="BP314" s="202"/>
      <c r="BQ314" s="138"/>
      <c r="BR314" s="128"/>
      <c r="BS314" s="128"/>
      <c r="BT314" s="128"/>
      <c r="BU314" s="128"/>
      <c r="BV314" s="128"/>
      <c r="BW314" s="139"/>
      <c r="BX314" s="140"/>
      <c r="BY314" s="139"/>
      <c r="BZ314" s="139"/>
      <c r="CA314" s="134"/>
      <c r="CB314" s="134"/>
      <c r="CC314" s="134"/>
      <c r="CD314" s="134"/>
      <c r="CE314" s="134"/>
      <c r="CF314" s="134"/>
      <c r="CG314" s="92"/>
      <c r="CH314" s="92"/>
      <c r="CI314" s="92"/>
      <c r="CJ314" s="92"/>
      <c r="CK314" s="92"/>
    </row>
    <row r="315" spans="1:89" ht="17.25" customHeight="1">
      <c r="A315" s="160"/>
      <c r="B315" s="52"/>
      <c r="C315" s="52"/>
      <c r="D315" s="137">
        <f t="shared" si="28"/>
        <v>0</v>
      </c>
      <c r="E315" s="208"/>
      <c r="F315" s="202"/>
      <c r="G315" s="207"/>
      <c r="H315" s="202"/>
      <c r="I315" s="208"/>
      <c r="J315" s="202"/>
      <c r="K315" s="208">
        <f t="shared" si="12"/>
        <v>0</v>
      </c>
      <c r="L315" s="202"/>
      <c r="M315" s="207"/>
      <c r="N315" s="202"/>
      <c r="O315" s="209"/>
      <c r="P315" s="202"/>
      <c r="Q315" s="206"/>
      <c r="R315" s="202"/>
      <c r="S315" s="207"/>
      <c r="T315" s="202"/>
      <c r="U315" s="207"/>
      <c r="V315" s="202"/>
      <c r="W315" s="208"/>
      <c r="X315" s="202"/>
      <c r="Y315" s="210">
        <f t="shared" si="31"/>
        <v>0</v>
      </c>
      <c r="Z315" s="202"/>
      <c r="AA315" s="207"/>
      <c r="AB315" s="202"/>
      <c r="AC315" s="209"/>
      <c r="AD315" s="202"/>
      <c r="AE315" s="206"/>
      <c r="AF315" s="202"/>
      <c r="AG315" s="207"/>
      <c r="AH315" s="202"/>
      <c r="AI315" s="207"/>
      <c r="AJ315" s="202"/>
      <c r="AK315" s="208"/>
      <c r="AL315" s="202"/>
      <c r="AM315" s="210">
        <f t="shared" si="14"/>
        <v>0</v>
      </c>
      <c r="AN315" s="202"/>
      <c r="AO315" s="207"/>
      <c r="AP315" s="202"/>
      <c r="AQ315" s="209"/>
      <c r="AR315" s="202"/>
      <c r="AS315" s="206"/>
      <c r="AT315" s="202"/>
      <c r="AU315" s="204"/>
      <c r="AV315" s="202"/>
      <c r="AW315" s="204"/>
      <c r="AX315" s="202"/>
      <c r="AY315" s="201"/>
      <c r="AZ315" s="202"/>
      <c r="BA315" s="210">
        <f t="shared" si="15"/>
        <v>0</v>
      </c>
      <c r="BB315" s="202"/>
      <c r="BC315" s="204"/>
      <c r="BD315" s="202"/>
      <c r="BE315" s="209"/>
      <c r="BF315" s="202"/>
      <c r="BG315" s="206"/>
      <c r="BH315" s="202"/>
      <c r="BI315" s="204"/>
      <c r="BJ315" s="202"/>
      <c r="BK315" s="204"/>
      <c r="BL315" s="202"/>
      <c r="BM315" s="201"/>
      <c r="BN315" s="202"/>
      <c r="BO315" s="203">
        <f t="shared" si="16"/>
        <v>0</v>
      </c>
      <c r="BP315" s="202"/>
      <c r="BQ315" s="138"/>
      <c r="BR315" s="128"/>
      <c r="BS315" s="128"/>
      <c r="BT315" s="128"/>
      <c r="BU315" s="128"/>
      <c r="BV315" s="128"/>
      <c r="BW315" s="139"/>
      <c r="BX315" s="140"/>
      <c r="BY315" s="139"/>
      <c r="BZ315" s="139"/>
      <c r="CA315" s="134"/>
      <c r="CB315" s="134"/>
      <c r="CC315" s="134"/>
      <c r="CD315" s="134"/>
      <c r="CE315" s="134"/>
      <c r="CF315" s="134"/>
      <c r="CG315" s="92"/>
      <c r="CH315" s="92"/>
      <c r="CI315" s="92"/>
      <c r="CJ315" s="92"/>
      <c r="CK315" s="92"/>
    </row>
    <row r="316" spans="1:89" ht="17.25" customHeight="1">
      <c r="A316" s="160"/>
      <c r="B316" s="52"/>
      <c r="C316" s="52"/>
      <c r="D316" s="137">
        <f t="shared" si="28"/>
        <v>0</v>
      </c>
      <c r="E316" s="208"/>
      <c r="F316" s="202"/>
      <c r="G316" s="207"/>
      <c r="H316" s="202"/>
      <c r="I316" s="208"/>
      <c r="J316" s="202"/>
      <c r="K316" s="208">
        <f t="shared" si="12"/>
        <v>0</v>
      </c>
      <c r="L316" s="202"/>
      <c r="M316" s="207"/>
      <c r="N316" s="202"/>
      <c r="O316" s="209"/>
      <c r="P316" s="202"/>
      <c r="Q316" s="206"/>
      <c r="R316" s="202"/>
      <c r="S316" s="207"/>
      <c r="T316" s="202"/>
      <c r="U316" s="207"/>
      <c r="V316" s="202"/>
      <c r="W316" s="208"/>
      <c r="X316" s="202"/>
      <c r="Y316" s="210">
        <f t="shared" si="31"/>
        <v>0</v>
      </c>
      <c r="Z316" s="202"/>
      <c r="AA316" s="207"/>
      <c r="AB316" s="202"/>
      <c r="AC316" s="209"/>
      <c r="AD316" s="202"/>
      <c r="AE316" s="206"/>
      <c r="AF316" s="202"/>
      <c r="AG316" s="207"/>
      <c r="AH316" s="202"/>
      <c r="AI316" s="207"/>
      <c r="AJ316" s="202"/>
      <c r="AK316" s="208"/>
      <c r="AL316" s="202"/>
      <c r="AM316" s="210">
        <f t="shared" si="14"/>
        <v>0</v>
      </c>
      <c r="AN316" s="202"/>
      <c r="AO316" s="207"/>
      <c r="AP316" s="202"/>
      <c r="AQ316" s="209"/>
      <c r="AR316" s="202"/>
      <c r="AS316" s="206"/>
      <c r="AT316" s="202"/>
      <c r="AU316" s="204"/>
      <c r="AV316" s="202"/>
      <c r="AW316" s="204"/>
      <c r="AX316" s="202"/>
      <c r="AY316" s="201"/>
      <c r="AZ316" s="202"/>
      <c r="BA316" s="210">
        <f t="shared" si="15"/>
        <v>0</v>
      </c>
      <c r="BB316" s="202"/>
      <c r="BC316" s="204"/>
      <c r="BD316" s="202"/>
      <c r="BE316" s="209"/>
      <c r="BF316" s="202"/>
      <c r="BG316" s="206"/>
      <c r="BH316" s="202"/>
      <c r="BI316" s="204"/>
      <c r="BJ316" s="202"/>
      <c r="BK316" s="204"/>
      <c r="BL316" s="202"/>
      <c r="BM316" s="201"/>
      <c r="BN316" s="202"/>
      <c r="BO316" s="203">
        <f t="shared" si="16"/>
        <v>0</v>
      </c>
      <c r="BP316" s="202"/>
      <c r="BQ316" s="138"/>
      <c r="BR316" s="128"/>
      <c r="BS316" s="128"/>
      <c r="BT316" s="128"/>
      <c r="BU316" s="128"/>
      <c r="BV316" s="128"/>
      <c r="BW316" s="139"/>
      <c r="BX316" s="140"/>
      <c r="BY316" s="139"/>
      <c r="BZ316" s="139"/>
      <c r="CA316" s="134"/>
      <c r="CB316" s="134"/>
      <c r="CC316" s="134"/>
      <c r="CD316" s="134"/>
      <c r="CE316" s="134"/>
      <c r="CF316" s="134"/>
      <c r="CG316" s="92"/>
      <c r="CH316" s="92"/>
      <c r="CI316" s="92"/>
      <c r="CJ316" s="92"/>
      <c r="CK316" s="92"/>
    </row>
    <row r="317" spans="1:89" ht="17.25" customHeight="1">
      <c r="A317" s="160"/>
      <c r="B317" s="52"/>
      <c r="C317" s="52"/>
      <c r="D317" s="137">
        <f t="shared" si="28"/>
        <v>0</v>
      </c>
      <c r="E317" s="208"/>
      <c r="F317" s="202"/>
      <c r="G317" s="207"/>
      <c r="H317" s="202"/>
      <c r="I317" s="208"/>
      <c r="J317" s="202"/>
      <c r="K317" s="208">
        <f t="shared" si="12"/>
        <v>0</v>
      </c>
      <c r="L317" s="202"/>
      <c r="M317" s="207"/>
      <c r="N317" s="202"/>
      <c r="O317" s="209"/>
      <c r="P317" s="202"/>
      <c r="Q317" s="206"/>
      <c r="R317" s="202"/>
      <c r="S317" s="207"/>
      <c r="T317" s="202"/>
      <c r="U317" s="207"/>
      <c r="V317" s="202"/>
      <c r="W317" s="208"/>
      <c r="X317" s="202"/>
      <c r="Y317" s="210">
        <f t="shared" si="31"/>
        <v>0</v>
      </c>
      <c r="Z317" s="202"/>
      <c r="AA317" s="207"/>
      <c r="AB317" s="202"/>
      <c r="AC317" s="209"/>
      <c r="AD317" s="202"/>
      <c r="AE317" s="206"/>
      <c r="AF317" s="202"/>
      <c r="AG317" s="207"/>
      <c r="AH317" s="202"/>
      <c r="AI317" s="207"/>
      <c r="AJ317" s="202"/>
      <c r="AK317" s="208"/>
      <c r="AL317" s="202"/>
      <c r="AM317" s="210">
        <f t="shared" si="14"/>
        <v>0</v>
      </c>
      <c r="AN317" s="202"/>
      <c r="AO317" s="207"/>
      <c r="AP317" s="202"/>
      <c r="AQ317" s="209"/>
      <c r="AR317" s="202"/>
      <c r="AS317" s="206"/>
      <c r="AT317" s="202"/>
      <c r="AU317" s="204"/>
      <c r="AV317" s="202"/>
      <c r="AW317" s="204"/>
      <c r="AX317" s="202"/>
      <c r="AY317" s="201"/>
      <c r="AZ317" s="202"/>
      <c r="BA317" s="210">
        <f t="shared" si="15"/>
        <v>0</v>
      </c>
      <c r="BB317" s="202"/>
      <c r="BC317" s="204"/>
      <c r="BD317" s="202"/>
      <c r="BE317" s="209"/>
      <c r="BF317" s="202"/>
      <c r="BG317" s="206"/>
      <c r="BH317" s="202"/>
      <c r="BI317" s="204"/>
      <c r="BJ317" s="202"/>
      <c r="BK317" s="204"/>
      <c r="BL317" s="202"/>
      <c r="BM317" s="201"/>
      <c r="BN317" s="202"/>
      <c r="BO317" s="203">
        <f t="shared" si="16"/>
        <v>0</v>
      </c>
      <c r="BP317" s="202"/>
      <c r="BQ317" s="138"/>
      <c r="BR317" s="128"/>
      <c r="BS317" s="128"/>
      <c r="BT317" s="128"/>
      <c r="BU317" s="128"/>
      <c r="BV317" s="128"/>
      <c r="BW317" s="139"/>
      <c r="BX317" s="140"/>
      <c r="BY317" s="139"/>
      <c r="BZ317" s="139"/>
      <c r="CA317" s="134"/>
      <c r="CB317" s="134"/>
      <c r="CC317" s="134"/>
      <c r="CD317" s="134"/>
      <c r="CE317" s="134"/>
      <c r="CF317" s="134"/>
      <c r="CG317" s="92"/>
      <c r="CH317" s="92"/>
      <c r="CI317" s="92"/>
      <c r="CJ317" s="92"/>
      <c r="CK317" s="92"/>
    </row>
    <row r="318" spans="1:89" ht="17.25" customHeight="1">
      <c r="A318" s="160"/>
      <c r="B318" s="52"/>
      <c r="C318" s="52"/>
      <c r="D318" s="137">
        <f t="shared" si="28"/>
        <v>0</v>
      </c>
      <c r="E318" s="208"/>
      <c r="F318" s="202"/>
      <c r="G318" s="207"/>
      <c r="H318" s="202"/>
      <c r="I318" s="208"/>
      <c r="J318" s="202"/>
      <c r="K318" s="208">
        <f t="shared" si="12"/>
        <v>0</v>
      </c>
      <c r="L318" s="202"/>
      <c r="M318" s="207"/>
      <c r="N318" s="202"/>
      <c r="O318" s="209"/>
      <c r="P318" s="202"/>
      <c r="Q318" s="206"/>
      <c r="R318" s="202"/>
      <c r="S318" s="207"/>
      <c r="T318" s="202"/>
      <c r="U318" s="207"/>
      <c r="V318" s="202"/>
      <c r="W318" s="208"/>
      <c r="X318" s="202"/>
      <c r="Y318" s="210">
        <f t="shared" si="31"/>
        <v>0</v>
      </c>
      <c r="Z318" s="202"/>
      <c r="AA318" s="207"/>
      <c r="AB318" s="202"/>
      <c r="AC318" s="209"/>
      <c r="AD318" s="202"/>
      <c r="AE318" s="206"/>
      <c r="AF318" s="202"/>
      <c r="AG318" s="207"/>
      <c r="AH318" s="202"/>
      <c r="AI318" s="207"/>
      <c r="AJ318" s="202"/>
      <c r="AK318" s="208"/>
      <c r="AL318" s="202"/>
      <c r="AM318" s="210">
        <f t="shared" si="14"/>
        <v>0</v>
      </c>
      <c r="AN318" s="202"/>
      <c r="AO318" s="207"/>
      <c r="AP318" s="202"/>
      <c r="AQ318" s="209"/>
      <c r="AR318" s="202"/>
      <c r="AS318" s="206"/>
      <c r="AT318" s="202"/>
      <c r="AU318" s="204"/>
      <c r="AV318" s="202"/>
      <c r="AW318" s="204"/>
      <c r="AX318" s="202"/>
      <c r="AY318" s="201"/>
      <c r="AZ318" s="202"/>
      <c r="BA318" s="210">
        <f t="shared" si="15"/>
        <v>0</v>
      </c>
      <c r="BB318" s="202"/>
      <c r="BC318" s="204"/>
      <c r="BD318" s="202"/>
      <c r="BE318" s="209"/>
      <c r="BF318" s="202"/>
      <c r="BG318" s="206"/>
      <c r="BH318" s="202"/>
      <c r="BI318" s="204"/>
      <c r="BJ318" s="202"/>
      <c r="BK318" s="204"/>
      <c r="BL318" s="202"/>
      <c r="BM318" s="201"/>
      <c r="BN318" s="202"/>
      <c r="BO318" s="203">
        <f t="shared" si="16"/>
        <v>0</v>
      </c>
      <c r="BP318" s="202"/>
      <c r="BQ318" s="138"/>
      <c r="BR318" s="128"/>
      <c r="BS318" s="128"/>
      <c r="BT318" s="128"/>
      <c r="BU318" s="128"/>
      <c r="BV318" s="128"/>
      <c r="BW318" s="139"/>
      <c r="BX318" s="140"/>
      <c r="BY318" s="139"/>
      <c r="BZ318" s="139"/>
      <c r="CA318" s="134"/>
      <c r="CB318" s="134"/>
      <c r="CC318" s="134"/>
      <c r="CD318" s="134"/>
      <c r="CE318" s="134"/>
      <c r="CF318" s="134"/>
      <c r="CG318" s="92"/>
      <c r="CH318" s="92"/>
      <c r="CI318" s="92"/>
      <c r="CJ318" s="92"/>
      <c r="CK318" s="92"/>
    </row>
    <row r="319" spans="1:89" ht="17.25" customHeight="1">
      <c r="A319" s="160"/>
      <c r="B319" s="52"/>
      <c r="C319" s="52"/>
      <c r="D319" s="137">
        <f t="shared" si="28"/>
        <v>0</v>
      </c>
      <c r="E319" s="208"/>
      <c r="F319" s="202"/>
      <c r="G319" s="207"/>
      <c r="H319" s="202"/>
      <c r="I319" s="208"/>
      <c r="J319" s="202"/>
      <c r="K319" s="208">
        <f t="shared" si="12"/>
        <v>0</v>
      </c>
      <c r="L319" s="202"/>
      <c r="M319" s="207"/>
      <c r="N319" s="202"/>
      <c r="O319" s="209"/>
      <c r="P319" s="202"/>
      <c r="Q319" s="206"/>
      <c r="R319" s="202"/>
      <c r="S319" s="207"/>
      <c r="T319" s="202"/>
      <c r="U319" s="207"/>
      <c r="V319" s="202"/>
      <c r="W319" s="208"/>
      <c r="X319" s="202"/>
      <c r="Y319" s="210">
        <f t="shared" si="31"/>
        <v>0</v>
      </c>
      <c r="Z319" s="202"/>
      <c r="AA319" s="207"/>
      <c r="AB319" s="202"/>
      <c r="AC319" s="209"/>
      <c r="AD319" s="202"/>
      <c r="AE319" s="206"/>
      <c r="AF319" s="202"/>
      <c r="AG319" s="207"/>
      <c r="AH319" s="202"/>
      <c r="AI319" s="207"/>
      <c r="AJ319" s="202"/>
      <c r="AK319" s="208"/>
      <c r="AL319" s="202"/>
      <c r="AM319" s="210">
        <f t="shared" si="14"/>
        <v>0</v>
      </c>
      <c r="AN319" s="202"/>
      <c r="AO319" s="207"/>
      <c r="AP319" s="202"/>
      <c r="AQ319" s="209"/>
      <c r="AR319" s="202"/>
      <c r="AS319" s="206"/>
      <c r="AT319" s="202"/>
      <c r="AU319" s="204"/>
      <c r="AV319" s="202"/>
      <c r="AW319" s="204"/>
      <c r="AX319" s="202"/>
      <c r="AY319" s="201"/>
      <c r="AZ319" s="202"/>
      <c r="BA319" s="210">
        <f t="shared" si="15"/>
        <v>0</v>
      </c>
      <c r="BB319" s="202"/>
      <c r="BC319" s="204"/>
      <c r="BD319" s="202"/>
      <c r="BE319" s="209"/>
      <c r="BF319" s="202"/>
      <c r="BG319" s="206"/>
      <c r="BH319" s="202"/>
      <c r="BI319" s="204"/>
      <c r="BJ319" s="202"/>
      <c r="BK319" s="204"/>
      <c r="BL319" s="202"/>
      <c r="BM319" s="201"/>
      <c r="BN319" s="202"/>
      <c r="BO319" s="203">
        <f t="shared" si="16"/>
        <v>0</v>
      </c>
      <c r="BP319" s="202"/>
      <c r="BQ319" s="138"/>
      <c r="BR319" s="128"/>
      <c r="BS319" s="128"/>
      <c r="BT319" s="128"/>
      <c r="BU319" s="128"/>
      <c r="BV319" s="128"/>
      <c r="BW319" s="139"/>
      <c r="BX319" s="140"/>
      <c r="BY319" s="139"/>
      <c r="BZ319" s="139"/>
      <c r="CA319" s="134"/>
      <c r="CB319" s="134"/>
      <c r="CC319" s="134"/>
      <c r="CD319" s="134"/>
      <c r="CE319" s="134"/>
      <c r="CF319" s="134"/>
      <c r="CG319" s="92"/>
      <c r="CH319" s="92"/>
      <c r="CI319" s="92"/>
      <c r="CJ319" s="92"/>
      <c r="CK319" s="92"/>
    </row>
    <row r="320" spans="1:89" ht="17.25" customHeight="1">
      <c r="A320" s="160"/>
      <c r="B320" s="52"/>
      <c r="C320" s="52"/>
      <c r="D320" s="137">
        <f t="shared" si="28"/>
        <v>0</v>
      </c>
      <c r="E320" s="208"/>
      <c r="F320" s="202"/>
      <c r="G320" s="207"/>
      <c r="H320" s="202"/>
      <c r="I320" s="208"/>
      <c r="J320" s="202"/>
      <c r="K320" s="208">
        <f t="shared" si="12"/>
        <v>0</v>
      </c>
      <c r="L320" s="202"/>
      <c r="M320" s="207"/>
      <c r="N320" s="202"/>
      <c r="O320" s="209"/>
      <c r="P320" s="202"/>
      <c r="Q320" s="206"/>
      <c r="R320" s="202"/>
      <c r="S320" s="207"/>
      <c r="T320" s="202"/>
      <c r="U320" s="207"/>
      <c r="V320" s="202"/>
      <c r="W320" s="208"/>
      <c r="X320" s="202"/>
      <c r="Y320" s="210">
        <f t="shared" si="31"/>
        <v>0</v>
      </c>
      <c r="Z320" s="202"/>
      <c r="AA320" s="207"/>
      <c r="AB320" s="202"/>
      <c r="AC320" s="209"/>
      <c r="AD320" s="202"/>
      <c r="AE320" s="206"/>
      <c r="AF320" s="202"/>
      <c r="AG320" s="207"/>
      <c r="AH320" s="202"/>
      <c r="AI320" s="207"/>
      <c r="AJ320" s="202"/>
      <c r="AK320" s="208"/>
      <c r="AL320" s="202"/>
      <c r="AM320" s="210">
        <f t="shared" si="14"/>
        <v>0</v>
      </c>
      <c r="AN320" s="202"/>
      <c r="AO320" s="207"/>
      <c r="AP320" s="202"/>
      <c r="AQ320" s="209"/>
      <c r="AR320" s="202"/>
      <c r="AS320" s="206"/>
      <c r="AT320" s="202"/>
      <c r="AU320" s="204"/>
      <c r="AV320" s="202"/>
      <c r="AW320" s="204"/>
      <c r="AX320" s="202"/>
      <c r="AY320" s="201"/>
      <c r="AZ320" s="202"/>
      <c r="BA320" s="210">
        <f t="shared" si="15"/>
        <v>0</v>
      </c>
      <c r="BB320" s="202"/>
      <c r="BC320" s="204"/>
      <c r="BD320" s="202"/>
      <c r="BE320" s="209"/>
      <c r="BF320" s="202"/>
      <c r="BG320" s="206"/>
      <c r="BH320" s="202"/>
      <c r="BI320" s="204"/>
      <c r="BJ320" s="202"/>
      <c r="BK320" s="204"/>
      <c r="BL320" s="202"/>
      <c r="BM320" s="201"/>
      <c r="BN320" s="202"/>
      <c r="BO320" s="203">
        <f t="shared" si="16"/>
        <v>0</v>
      </c>
      <c r="BP320" s="202"/>
      <c r="BQ320" s="138"/>
      <c r="BR320" s="128"/>
      <c r="BS320" s="128"/>
      <c r="BT320" s="128"/>
      <c r="BU320" s="128"/>
      <c r="BV320" s="128"/>
      <c r="BW320" s="139"/>
      <c r="BX320" s="140"/>
      <c r="BY320" s="139"/>
      <c r="BZ320" s="139"/>
      <c r="CA320" s="134"/>
      <c r="CB320" s="134"/>
      <c r="CC320" s="134"/>
      <c r="CD320" s="134"/>
      <c r="CE320" s="134"/>
      <c r="CF320" s="134"/>
      <c r="CG320" s="92"/>
      <c r="CH320" s="92"/>
      <c r="CI320" s="92"/>
      <c r="CJ320" s="92"/>
      <c r="CK320" s="92"/>
    </row>
    <row r="321" spans="1:89" ht="17.25" customHeight="1">
      <c r="A321" s="160"/>
      <c r="B321" s="52"/>
      <c r="C321" s="52"/>
      <c r="D321" s="137">
        <f t="shared" si="28"/>
        <v>0</v>
      </c>
      <c r="E321" s="208"/>
      <c r="F321" s="202"/>
      <c r="G321" s="207"/>
      <c r="H321" s="202"/>
      <c r="I321" s="208"/>
      <c r="J321" s="202"/>
      <c r="K321" s="208">
        <f t="shared" si="12"/>
        <v>0</v>
      </c>
      <c r="L321" s="202"/>
      <c r="M321" s="207"/>
      <c r="N321" s="202"/>
      <c r="O321" s="209"/>
      <c r="P321" s="202"/>
      <c r="Q321" s="206"/>
      <c r="R321" s="202"/>
      <c r="S321" s="207"/>
      <c r="T321" s="202"/>
      <c r="U321" s="207"/>
      <c r="V321" s="202"/>
      <c r="W321" s="208"/>
      <c r="X321" s="202"/>
      <c r="Y321" s="210">
        <f t="shared" si="31"/>
        <v>0</v>
      </c>
      <c r="Z321" s="202"/>
      <c r="AA321" s="207"/>
      <c r="AB321" s="202"/>
      <c r="AC321" s="209"/>
      <c r="AD321" s="202"/>
      <c r="AE321" s="206"/>
      <c r="AF321" s="202"/>
      <c r="AG321" s="207"/>
      <c r="AH321" s="202"/>
      <c r="AI321" s="207"/>
      <c r="AJ321" s="202"/>
      <c r="AK321" s="208"/>
      <c r="AL321" s="202"/>
      <c r="AM321" s="210">
        <f t="shared" si="14"/>
        <v>0</v>
      </c>
      <c r="AN321" s="202"/>
      <c r="AO321" s="207"/>
      <c r="AP321" s="202"/>
      <c r="AQ321" s="209"/>
      <c r="AR321" s="202"/>
      <c r="AS321" s="206"/>
      <c r="AT321" s="202"/>
      <c r="AU321" s="204"/>
      <c r="AV321" s="202"/>
      <c r="AW321" s="204"/>
      <c r="AX321" s="202"/>
      <c r="AY321" s="201"/>
      <c r="AZ321" s="202"/>
      <c r="BA321" s="210">
        <f t="shared" si="15"/>
        <v>0</v>
      </c>
      <c r="BB321" s="202"/>
      <c r="BC321" s="204"/>
      <c r="BD321" s="202"/>
      <c r="BE321" s="209"/>
      <c r="BF321" s="202"/>
      <c r="BG321" s="206"/>
      <c r="BH321" s="202"/>
      <c r="BI321" s="204"/>
      <c r="BJ321" s="202"/>
      <c r="BK321" s="204"/>
      <c r="BL321" s="202"/>
      <c r="BM321" s="201"/>
      <c r="BN321" s="202"/>
      <c r="BO321" s="203">
        <f t="shared" si="16"/>
        <v>0</v>
      </c>
      <c r="BP321" s="202"/>
      <c r="BQ321" s="138"/>
      <c r="BR321" s="128"/>
      <c r="BS321" s="128"/>
      <c r="BT321" s="128"/>
      <c r="BU321" s="128"/>
      <c r="BV321" s="128"/>
      <c r="BW321" s="139"/>
      <c r="BX321" s="140"/>
      <c r="BY321" s="139"/>
      <c r="BZ321" s="139"/>
      <c r="CA321" s="134"/>
      <c r="CB321" s="134"/>
      <c r="CC321" s="134"/>
      <c r="CD321" s="134"/>
      <c r="CE321" s="134"/>
      <c r="CF321" s="134"/>
      <c r="CG321" s="92"/>
      <c r="CH321" s="92"/>
      <c r="CI321" s="92"/>
      <c r="CJ321" s="92"/>
      <c r="CK321" s="92"/>
    </row>
    <row r="322" spans="1:89" ht="17.25" customHeight="1">
      <c r="A322" s="160"/>
      <c r="B322" s="52"/>
      <c r="C322" s="52"/>
      <c r="D322" s="137">
        <f t="shared" si="28"/>
        <v>0</v>
      </c>
      <c r="E322" s="208"/>
      <c r="F322" s="202"/>
      <c r="G322" s="207"/>
      <c r="H322" s="202"/>
      <c r="I322" s="208"/>
      <c r="J322" s="202"/>
      <c r="K322" s="208">
        <f t="shared" si="12"/>
        <v>0</v>
      </c>
      <c r="L322" s="202"/>
      <c r="M322" s="207"/>
      <c r="N322" s="202"/>
      <c r="O322" s="209"/>
      <c r="P322" s="202"/>
      <c r="Q322" s="206"/>
      <c r="R322" s="202"/>
      <c r="S322" s="207"/>
      <c r="T322" s="202"/>
      <c r="U322" s="207"/>
      <c r="V322" s="202"/>
      <c r="W322" s="208"/>
      <c r="X322" s="202"/>
      <c r="Y322" s="210">
        <f t="shared" si="31"/>
        <v>0</v>
      </c>
      <c r="Z322" s="202"/>
      <c r="AA322" s="207"/>
      <c r="AB322" s="202"/>
      <c r="AC322" s="209"/>
      <c r="AD322" s="202"/>
      <c r="AE322" s="206"/>
      <c r="AF322" s="202"/>
      <c r="AG322" s="207"/>
      <c r="AH322" s="202"/>
      <c r="AI322" s="207"/>
      <c r="AJ322" s="202"/>
      <c r="AK322" s="208"/>
      <c r="AL322" s="202"/>
      <c r="AM322" s="210">
        <f t="shared" si="14"/>
        <v>0</v>
      </c>
      <c r="AN322" s="202"/>
      <c r="AO322" s="207"/>
      <c r="AP322" s="202"/>
      <c r="AQ322" s="209"/>
      <c r="AR322" s="202"/>
      <c r="AS322" s="206"/>
      <c r="AT322" s="202"/>
      <c r="AU322" s="204"/>
      <c r="AV322" s="202"/>
      <c r="AW322" s="204"/>
      <c r="AX322" s="202"/>
      <c r="AY322" s="201"/>
      <c r="AZ322" s="202"/>
      <c r="BA322" s="210">
        <f t="shared" si="15"/>
        <v>0</v>
      </c>
      <c r="BB322" s="202"/>
      <c r="BC322" s="204"/>
      <c r="BD322" s="202"/>
      <c r="BE322" s="209"/>
      <c r="BF322" s="202"/>
      <c r="BG322" s="206"/>
      <c r="BH322" s="202"/>
      <c r="BI322" s="204"/>
      <c r="BJ322" s="202"/>
      <c r="BK322" s="204"/>
      <c r="BL322" s="202"/>
      <c r="BM322" s="201"/>
      <c r="BN322" s="202"/>
      <c r="BO322" s="203">
        <f t="shared" si="16"/>
        <v>0</v>
      </c>
      <c r="BP322" s="202"/>
      <c r="BQ322" s="138"/>
      <c r="BR322" s="128"/>
      <c r="BS322" s="128"/>
      <c r="BT322" s="128"/>
      <c r="BU322" s="128"/>
      <c r="BV322" s="128"/>
      <c r="BW322" s="139"/>
      <c r="BX322" s="140"/>
      <c r="BY322" s="139"/>
      <c r="BZ322" s="139"/>
      <c r="CA322" s="134"/>
      <c r="CB322" s="134"/>
      <c r="CC322" s="134"/>
      <c r="CD322" s="134"/>
      <c r="CE322" s="134"/>
      <c r="CF322" s="134"/>
      <c r="CG322" s="92"/>
      <c r="CH322" s="92"/>
      <c r="CI322" s="92"/>
      <c r="CJ322" s="92"/>
      <c r="CK322" s="92"/>
    </row>
    <row r="323" spans="1:89" ht="17.25" customHeight="1">
      <c r="A323" s="160"/>
      <c r="B323" s="52"/>
      <c r="C323" s="52"/>
      <c r="D323" s="137">
        <f t="shared" si="28"/>
        <v>0</v>
      </c>
      <c r="E323" s="208"/>
      <c r="F323" s="202"/>
      <c r="G323" s="207"/>
      <c r="H323" s="202"/>
      <c r="I323" s="208"/>
      <c r="J323" s="202"/>
      <c r="K323" s="208">
        <f t="shared" si="12"/>
        <v>0</v>
      </c>
      <c r="L323" s="202"/>
      <c r="M323" s="207"/>
      <c r="N323" s="202"/>
      <c r="O323" s="209"/>
      <c r="P323" s="202"/>
      <c r="Q323" s="206"/>
      <c r="R323" s="202"/>
      <c r="S323" s="207"/>
      <c r="T323" s="202"/>
      <c r="U323" s="207"/>
      <c r="V323" s="202"/>
      <c r="W323" s="208"/>
      <c r="X323" s="202"/>
      <c r="Y323" s="210">
        <f t="shared" si="31"/>
        <v>0</v>
      </c>
      <c r="Z323" s="202"/>
      <c r="AA323" s="207"/>
      <c r="AB323" s="202"/>
      <c r="AC323" s="209"/>
      <c r="AD323" s="202"/>
      <c r="AE323" s="206"/>
      <c r="AF323" s="202"/>
      <c r="AG323" s="207"/>
      <c r="AH323" s="202"/>
      <c r="AI323" s="207"/>
      <c r="AJ323" s="202"/>
      <c r="AK323" s="208"/>
      <c r="AL323" s="202"/>
      <c r="AM323" s="210">
        <f t="shared" si="14"/>
        <v>0</v>
      </c>
      <c r="AN323" s="202"/>
      <c r="AO323" s="207"/>
      <c r="AP323" s="202"/>
      <c r="AQ323" s="209"/>
      <c r="AR323" s="202"/>
      <c r="AS323" s="206"/>
      <c r="AT323" s="202"/>
      <c r="AU323" s="204"/>
      <c r="AV323" s="202"/>
      <c r="AW323" s="204"/>
      <c r="AX323" s="202"/>
      <c r="AY323" s="201"/>
      <c r="AZ323" s="202"/>
      <c r="BA323" s="210">
        <f t="shared" si="15"/>
        <v>0</v>
      </c>
      <c r="BB323" s="202"/>
      <c r="BC323" s="204"/>
      <c r="BD323" s="202"/>
      <c r="BE323" s="209"/>
      <c r="BF323" s="202"/>
      <c r="BG323" s="206"/>
      <c r="BH323" s="202"/>
      <c r="BI323" s="204"/>
      <c r="BJ323" s="202"/>
      <c r="BK323" s="204"/>
      <c r="BL323" s="202"/>
      <c r="BM323" s="201"/>
      <c r="BN323" s="202"/>
      <c r="BO323" s="203">
        <f t="shared" si="16"/>
        <v>0</v>
      </c>
      <c r="BP323" s="202"/>
      <c r="BQ323" s="138"/>
      <c r="BR323" s="128"/>
      <c r="BS323" s="128"/>
      <c r="BT323" s="128"/>
      <c r="BU323" s="128"/>
      <c r="BV323" s="128"/>
      <c r="BW323" s="139"/>
      <c r="BX323" s="140"/>
      <c r="BY323" s="139"/>
      <c r="BZ323" s="139"/>
      <c r="CA323" s="134"/>
      <c r="CB323" s="134"/>
      <c r="CC323" s="134"/>
      <c r="CD323" s="134"/>
      <c r="CE323" s="134"/>
      <c r="CF323" s="134"/>
      <c r="CG323" s="92"/>
      <c r="CH323" s="92"/>
      <c r="CI323" s="92"/>
      <c r="CJ323" s="92"/>
      <c r="CK323" s="92"/>
    </row>
    <row r="324" spans="1:89" ht="17.25" customHeight="1">
      <c r="A324" s="160"/>
      <c r="B324" s="52"/>
      <c r="C324" s="52"/>
      <c r="D324" s="137">
        <f t="shared" si="28"/>
        <v>0</v>
      </c>
      <c r="E324" s="208"/>
      <c r="F324" s="202"/>
      <c r="G324" s="207"/>
      <c r="H324" s="202"/>
      <c r="I324" s="208"/>
      <c r="J324" s="202"/>
      <c r="K324" s="208">
        <f t="shared" si="12"/>
        <v>0</v>
      </c>
      <c r="L324" s="202"/>
      <c r="M324" s="207"/>
      <c r="N324" s="202"/>
      <c r="O324" s="209"/>
      <c r="P324" s="202"/>
      <c r="Q324" s="206"/>
      <c r="R324" s="202"/>
      <c r="S324" s="207"/>
      <c r="T324" s="202"/>
      <c r="U324" s="207"/>
      <c r="V324" s="202"/>
      <c r="W324" s="208"/>
      <c r="X324" s="202"/>
      <c r="Y324" s="210">
        <f t="shared" si="31"/>
        <v>0</v>
      </c>
      <c r="Z324" s="202"/>
      <c r="AA324" s="207"/>
      <c r="AB324" s="202"/>
      <c r="AC324" s="209"/>
      <c r="AD324" s="202"/>
      <c r="AE324" s="206"/>
      <c r="AF324" s="202"/>
      <c r="AG324" s="207"/>
      <c r="AH324" s="202"/>
      <c r="AI324" s="207"/>
      <c r="AJ324" s="202"/>
      <c r="AK324" s="208"/>
      <c r="AL324" s="202"/>
      <c r="AM324" s="210">
        <f t="shared" si="14"/>
        <v>0</v>
      </c>
      <c r="AN324" s="202"/>
      <c r="AO324" s="207"/>
      <c r="AP324" s="202"/>
      <c r="AQ324" s="209"/>
      <c r="AR324" s="202"/>
      <c r="AS324" s="206"/>
      <c r="AT324" s="202"/>
      <c r="AU324" s="204"/>
      <c r="AV324" s="202"/>
      <c r="AW324" s="204"/>
      <c r="AX324" s="202"/>
      <c r="AY324" s="201"/>
      <c r="AZ324" s="202"/>
      <c r="BA324" s="210">
        <f t="shared" si="15"/>
        <v>0</v>
      </c>
      <c r="BB324" s="202"/>
      <c r="BC324" s="204"/>
      <c r="BD324" s="202"/>
      <c r="BE324" s="209"/>
      <c r="BF324" s="202"/>
      <c r="BG324" s="206"/>
      <c r="BH324" s="202"/>
      <c r="BI324" s="204"/>
      <c r="BJ324" s="202"/>
      <c r="BK324" s="204"/>
      <c r="BL324" s="202"/>
      <c r="BM324" s="201"/>
      <c r="BN324" s="202"/>
      <c r="BO324" s="203">
        <f t="shared" si="16"/>
        <v>0</v>
      </c>
      <c r="BP324" s="202"/>
      <c r="BQ324" s="138"/>
      <c r="BR324" s="128"/>
      <c r="BS324" s="128"/>
      <c r="BT324" s="128"/>
      <c r="BU324" s="128"/>
      <c r="BV324" s="128"/>
      <c r="BW324" s="139"/>
      <c r="BX324" s="140"/>
      <c r="BY324" s="139"/>
      <c r="BZ324" s="139"/>
      <c r="CA324" s="134"/>
      <c r="CB324" s="134"/>
      <c r="CC324" s="134"/>
      <c r="CD324" s="134"/>
      <c r="CE324" s="134"/>
      <c r="CF324" s="134"/>
      <c r="CG324" s="92"/>
      <c r="CH324" s="92"/>
      <c r="CI324" s="92"/>
      <c r="CJ324" s="92"/>
      <c r="CK324" s="92"/>
    </row>
    <row r="325" spans="1:89" ht="17.25" customHeight="1">
      <c r="A325" s="160"/>
      <c r="B325" s="52"/>
      <c r="C325" s="52"/>
      <c r="D325" s="137">
        <f t="shared" si="28"/>
        <v>0</v>
      </c>
      <c r="E325" s="208"/>
      <c r="F325" s="202"/>
      <c r="G325" s="207"/>
      <c r="H325" s="202"/>
      <c r="I325" s="208"/>
      <c r="J325" s="202"/>
      <c r="K325" s="208">
        <f t="shared" si="12"/>
        <v>0</v>
      </c>
      <c r="L325" s="202"/>
      <c r="M325" s="207"/>
      <c r="N325" s="202"/>
      <c r="O325" s="209"/>
      <c r="P325" s="202"/>
      <c r="Q325" s="206"/>
      <c r="R325" s="202"/>
      <c r="S325" s="207"/>
      <c r="T325" s="202"/>
      <c r="U325" s="207"/>
      <c r="V325" s="202"/>
      <c r="W325" s="208"/>
      <c r="X325" s="202"/>
      <c r="Y325" s="210">
        <f t="shared" si="31"/>
        <v>0</v>
      </c>
      <c r="Z325" s="202"/>
      <c r="AA325" s="207"/>
      <c r="AB325" s="202"/>
      <c r="AC325" s="209"/>
      <c r="AD325" s="202"/>
      <c r="AE325" s="206"/>
      <c r="AF325" s="202"/>
      <c r="AG325" s="207"/>
      <c r="AH325" s="202"/>
      <c r="AI325" s="207"/>
      <c r="AJ325" s="202"/>
      <c r="AK325" s="208"/>
      <c r="AL325" s="202"/>
      <c r="AM325" s="210">
        <f t="shared" si="14"/>
        <v>0</v>
      </c>
      <c r="AN325" s="202"/>
      <c r="AO325" s="207"/>
      <c r="AP325" s="202"/>
      <c r="AQ325" s="209"/>
      <c r="AR325" s="202"/>
      <c r="AS325" s="206"/>
      <c r="AT325" s="202"/>
      <c r="AU325" s="204"/>
      <c r="AV325" s="202"/>
      <c r="AW325" s="204"/>
      <c r="AX325" s="202"/>
      <c r="AY325" s="201"/>
      <c r="AZ325" s="202"/>
      <c r="BA325" s="210">
        <f t="shared" si="15"/>
        <v>0</v>
      </c>
      <c r="BB325" s="202"/>
      <c r="BC325" s="204"/>
      <c r="BD325" s="202"/>
      <c r="BE325" s="209"/>
      <c r="BF325" s="202"/>
      <c r="BG325" s="206"/>
      <c r="BH325" s="202"/>
      <c r="BI325" s="204"/>
      <c r="BJ325" s="202"/>
      <c r="BK325" s="204"/>
      <c r="BL325" s="202"/>
      <c r="BM325" s="201"/>
      <c r="BN325" s="202"/>
      <c r="BO325" s="203">
        <f t="shared" si="16"/>
        <v>0</v>
      </c>
      <c r="BP325" s="202"/>
      <c r="BQ325" s="138"/>
      <c r="BR325" s="128"/>
      <c r="BS325" s="128"/>
      <c r="BT325" s="128"/>
      <c r="BU325" s="128"/>
      <c r="BV325" s="128"/>
      <c r="BW325" s="139"/>
      <c r="BX325" s="140"/>
      <c r="BY325" s="139"/>
      <c r="BZ325" s="139"/>
      <c r="CA325" s="134"/>
      <c r="CB325" s="134"/>
      <c r="CC325" s="134"/>
      <c r="CD325" s="134"/>
      <c r="CE325" s="134"/>
      <c r="CF325" s="134"/>
      <c r="CG325" s="92"/>
      <c r="CH325" s="92"/>
      <c r="CI325" s="92"/>
      <c r="CJ325" s="92"/>
      <c r="CK325" s="92"/>
    </row>
    <row r="326" spans="1:89" ht="17.25" customHeight="1">
      <c r="A326" s="160"/>
      <c r="B326" s="52"/>
      <c r="C326" s="52"/>
      <c r="D326" s="137">
        <f t="shared" si="28"/>
        <v>0</v>
      </c>
      <c r="E326" s="208"/>
      <c r="F326" s="202"/>
      <c r="G326" s="207"/>
      <c r="H326" s="202"/>
      <c r="I326" s="208"/>
      <c r="J326" s="202"/>
      <c r="K326" s="208">
        <f t="shared" si="12"/>
        <v>0</v>
      </c>
      <c r="L326" s="202"/>
      <c r="M326" s="207"/>
      <c r="N326" s="202"/>
      <c r="O326" s="209"/>
      <c r="P326" s="202"/>
      <c r="Q326" s="206"/>
      <c r="R326" s="202"/>
      <c r="S326" s="207"/>
      <c r="T326" s="202"/>
      <c r="U326" s="207"/>
      <c r="V326" s="202"/>
      <c r="W326" s="208"/>
      <c r="X326" s="202"/>
      <c r="Y326" s="210">
        <f t="shared" si="31"/>
        <v>0</v>
      </c>
      <c r="Z326" s="202"/>
      <c r="AA326" s="207"/>
      <c r="AB326" s="202"/>
      <c r="AC326" s="209"/>
      <c r="AD326" s="202"/>
      <c r="AE326" s="206"/>
      <c r="AF326" s="202"/>
      <c r="AG326" s="207"/>
      <c r="AH326" s="202"/>
      <c r="AI326" s="207"/>
      <c r="AJ326" s="202"/>
      <c r="AK326" s="208"/>
      <c r="AL326" s="202"/>
      <c r="AM326" s="210">
        <f t="shared" si="14"/>
        <v>0</v>
      </c>
      <c r="AN326" s="202"/>
      <c r="AO326" s="207"/>
      <c r="AP326" s="202"/>
      <c r="AQ326" s="209"/>
      <c r="AR326" s="202"/>
      <c r="AS326" s="206"/>
      <c r="AT326" s="202"/>
      <c r="AU326" s="204"/>
      <c r="AV326" s="202"/>
      <c r="AW326" s="204"/>
      <c r="AX326" s="202"/>
      <c r="AY326" s="201"/>
      <c r="AZ326" s="202"/>
      <c r="BA326" s="210">
        <f t="shared" si="15"/>
        <v>0</v>
      </c>
      <c r="BB326" s="202"/>
      <c r="BC326" s="204"/>
      <c r="BD326" s="202"/>
      <c r="BE326" s="209"/>
      <c r="BF326" s="202"/>
      <c r="BG326" s="206"/>
      <c r="BH326" s="202"/>
      <c r="BI326" s="204"/>
      <c r="BJ326" s="202"/>
      <c r="BK326" s="204"/>
      <c r="BL326" s="202"/>
      <c r="BM326" s="201"/>
      <c r="BN326" s="202"/>
      <c r="BO326" s="203">
        <f t="shared" si="16"/>
        <v>0</v>
      </c>
      <c r="BP326" s="202"/>
      <c r="BQ326" s="138"/>
      <c r="BR326" s="128"/>
      <c r="BS326" s="128"/>
      <c r="BT326" s="128"/>
      <c r="BU326" s="128"/>
      <c r="BV326" s="128"/>
      <c r="BW326" s="139"/>
      <c r="BX326" s="140"/>
      <c r="BY326" s="139"/>
      <c r="BZ326" s="139"/>
      <c r="CA326" s="134"/>
      <c r="CB326" s="134"/>
      <c r="CC326" s="134"/>
      <c r="CD326" s="134"/>
      <c r="CE326" s="134"/>
      <c r="CF326" s="134"/>
      <c r="CG326" s="92"/>
      <c r="CH326" s="92"/>
      <c r="CI326" s="92"/>
      <c r="CJ326" s="92"/>
      <c r="CK326" s="92"/>
    </row>
    <row r="327" spans="1:89" ht="17.25" customHeight="1">
      <c r="A327" s="160"/>
      <c r="B327" s="52"/>
      <c r="C327" s="52"/>
      <c r="D327" s="137">
        <f t="shared" si="28"/>
        <v>0</v>
      </c>
      <c r="E327" s="208"/>
      <c r="F327" s="202"/>
      <c r="G327" s="207"/>
      <c r="H327" s="202"/>
      <c r="I327" s="208"/>
      <c r="J327" s="202"/>
      <c r="K327" s="208">
        <f t="shared" si="12"/>
        <v>0</v>
      </c>
      <c r="L327" s="202"/>
      <c r="M327" s="207"/>
      <c r="N327" s="202"/>
      <c r="O327" s="209"/>
      <c r="P327" s="202"/>
      <c r="Q327" s="206"/>
      <c r="R327" s="202"/>
      <c r="S327" s="207"/>
      <c r="T327" s="202"/>
      <c r="U327" s="207"/>
      <c r="V327" s="202"/>
      <c r="W327" s="208"/>
      <c r="X327" s="202"/>
      <c r="Y327" s="210">
        <f t="shared" si="31"/>
        <v>0</v>
      </c>
      <c r="Z327" s="202"/>
      <c r="AA327" s="207"/>
      <c r="AB327" s="202"/>
      <c r="AC327" s="209"/>
      <c r="AD327" s="202"/>
      <c r="AE327" s="206"/>
      <c r="AF327" s="202"/>
      <c r="AG327" s="207"/>
      <c r="AH327" s="202"/>
      <c r="AI327" s="207"/>
      <c r="AJ327" s="202"/>
      <c r="AK327" s="208"/>
      <c r="AL327" s="202"/>
      <c r="AM327" s="210">
        <f t="shared" si="14"/>
        <v>0</v>
      </c>
      <c r="AN327" s="202"/>
      <c r="AO327" s="207"/>
      <c r="AP327" s="202"/>
      <c r="AQ327" s="209"/>
      <c r="AR327" s="202"/>
      <c r="AS327" s="206"/>
      <c r="AT327" s="202"/>
      <c r="AU327" s="204"/>
      <c r="AV327" s="202"/>
      <c r="AW327" s="204"/>
      <c r="AX327" s="202"/>
      <c r="AY327" s="201"/>
      <c r="AZ327" s="202"/>
      <c r="BA327" s="210">
        <f t="shared" si="15"/>
        <v>0</v>
      </c>
      <c r="BB327" s="202"/>
      <c r="BC327" s="204"/>
      <c r="BD327" s="202"/>
      <c r="BE327" s="209"/>
      <c r="BF327" s="202"/>
      <c r="BG327" s="206"/>
      <c r="BH327" s="202"/>
      <c r="BI327" s="204"/>
      <c r="BJ327" s="202"/>
      <c r="BK327" s="204"/>
      <c r="BL327" s="202"/>
      <c r="BM327" s="201"/>
      <c r="BN327" s="202"/>
      <c r="BO327" s="203">
        <f t="shared" si="16"/>
        <v>0</v>
      </c>
      <c r="BP327" s="202"/>
      <c r="BQ327" s="138"/>
      <c r="BR327" s="128"/>
      <c r="BS327" s="128"/>
      <c r="BT327" s="128"/>
      <c r="BU327" s="128"/>
      <c r="BV327" s="128"/>
      <c r="BW327" s="139"/>
      <c r="BX327" s="140"/>
      <c r="BY327" s="139"/>
      <c r="BZ327" s="139"/>
      <c r="CA327" s="134"/>
      <c r="CB327" s="134"/>
      <c r="CC327" s="134"/>
      <c r="CD327" s="134"/>
      <c r="CE327" s="134"/>
      <c r="CF327" s="134"/>
      <c r="CG327" s="92"/>
      <c r="CH327" s="92"/>
      <c r="CI327" s="92"/>
      <c r="CJ327" s="92"/>
      <c r="CK327" s="92"/>
    </row>
    <row r="328" spans="1:89" ht="17.25" customHeight="1">
      <c r="A328" s="160"/>
      <c r="B328" s="52"/>
      <c r="C328" s="52"/>
      <c r="D328" s="137">
        <f t="shared" si="28"/>
        <v>0</v>
      </c>
      <c r="E328" s="208"/>
      <c r="F328" s="202"/>
      <c r="G328" s="207"/>
      <c r="H328" s="202"/>
      <c r="I328" s="208"/>
      <c r="J328" s="202"/>
      <c r="K328" s="208">
        <f t="shared" si="12"/>
        <v>0</v>
      </c>
      <c r="L328" s="202"/>
      <c r="M328" s="207"/>
      <c r="N328" s="202"/>
      <c r="O328" s="209"/>
      <c r="P328" s="202"/>
      <c r="Q328" s="206"/>
      <c r="R328" s="202"/>
      <c r="S328" s="207"/>
      <c r="T328" s="202"/>
      <c r="U328" s="207"/>
      <c r="V328" s="202"/>
      <c r="W328" s="208"/>
      <c r="X328" s="202"/>
      <c r="Y328" s="210">
        <f t="shared" si="31"/>
        <v>0</v>
      </c>
      <c r="Z328" s="202"/>
      <c r="AA328" s="207"/>
      <c r="AB328" s="202"/>
      <c r="AC328" s="209"/>
      <c r="AD328" s="202"/>
      <c r="AE328" s="206"/>
      <c r="AF328" s="202"/>
      <c r="AG328" s="207"/>
      <c r="AH328" s="202"/>
      <c r="AI328" s="207"/>
      <c r="AJ328" s="202"/>
      <c r="AK328" s="208"/>
      <c r="AL328" s="202"/>
      <c r="AM328" s="210">
        <f t="shared" si="14"/>
        <v>0</v>
      </c>
      <c r="AN328" s="202"/>
      <c r="AO328" s="207"/>
      <c r="AP328" s="202"/>
      <c r="AQ328" s="209"/>
      <c r="AR328" s="202"/>
      <c r="AS328" s="206"/>
      <c r="AT328" s="202"/>
      <c r="AU328" s="204"/>
      <c r="AV328" s="202"/>
      <c r="AW328" s="204"/>
      <c r="AX328" s="202"/>
      <c r="AY328" s="201"/>
      <c r="AZ328" s="202"/>
      <c r="BA328" s="210">
        <f t="shared" si="15"/>
        <v>0</v>
      </c>
      <c r="BB328" s="202"/>
      <c r="BC328" s="204"/>
      <c r="BD328" s="202"/>
      <c r="BE328" s="209"/>
      <c r="BF328" s="202"/>
      <c r="BG328" s="206"/>
      <c r="BH328" s="202"/>
      <c r="BI328" s="204"/>
      <c r="BJ328" s="202"/>
      <c r="BK328" s="204"/>
      <c r="BL328" s="202"/>
      <c r="BM328" s="201"/>
      <c r="BN328" s="202"/>
      <c r="BO328" s="203">
        <f t="shared" si="16"/>
        <v>0</v>
      </c>
      <c r="BP328" s="202"/>
      <c r="BQ328" s="138"/>
      <c r="BR328" s="128"/>
      <c r="BS328" s="128"/>
      <c r="BT328" s="128"/>
      <c r="BU328" s="128"/>
      <c r="BV328" s="128"/>
      <c r="BW328" s="139"/>
      <c r="BX328" s="140"/>
      <c r="BY328" s="139"/>
      <c r="BZ328" s="139"/>
      <c r="CA328" s="134"/>
      <c r="CB328" s="134"/>
      <c r="CC328" s="134"/>
      <c r="CD328" s="134"/>
      <c r="CE328" s="134"/>
      <c r="CF328" s="134"/>
      <c r="CG328" s="92"/>
      <c r="CH328" s="92"/>
      <c r="CI328" s="92"/>
      <c r="CJ328" s="92"/>
      <c r="CK328" s="92"/>
    </row>
    <row r="329" spans="1:89" ht="17.25" customHeight="1">
      <c r="A329" s="160"/>
      <c r="B329" s="52"/>
      <c r="C329" s="52"/>
      <c r="D329" s="137">
        <f t="shared" si="28"/>
        <v>0</v>
      </c>
      <c r="E329" s="208"/>
      <c r="F329" s="202"/>
      <c r="G329" s="207"/>
      <c r="H329" s="202"/>
      <c r="I329" s="208"/>
      <c r="J329" s="202"/>
      <c r="K329" s="208">
        <f t="shared" si="12"/>
        <v>0</v>
      </c>
      <c r="L329" s="202"/>
      <c r="M329" s="207"/>
      <c r="N329" s="202"/>
      <c r="O329" s="209"/>
      <c r="P329" s="202"/>
      <c r="Q329" s="206"/>
      <c r="R329" s="202"/>
      <c r="S329" s="207"/>
      <c r="T329" s="202"/>
      <c r="U329" s="207"/>
      <c r="V329" s="202"/>
      <c r="W329" s="208"/>
      <c r="X329" s="202"/>
      <c r="Y329" s="210">
        <f t="shared" si="31"/>
        <v>0</v>
      </c>
      <c r="Z329" s="202"/>
      <c r="AA329" s="207"/>
      <c r="AB329" s="202"/>
      <c r="AC329" s="209"/>
      <c r="AD329" s="202"/>
      <c r="AE329" s="206"/>
      <c r="AF329" s="202"/>
      <c r="AG329" s="207"/>
      <c r="AH329" s="202"/>
      <c r="AI329" s="207"/>
      <c r="AJ329" s="202"/>
      <c r="AK329" s="208"/>
      <c r="AL329" s="202"/>
      <c r="AM329" s="210">
        <f t="shared" si="14"/>
        <v>0</v>
      </c>
      <c r="AN329" s="202"/>
      <c r="AO329" s="207"/>
      <c r="AP329" s="202"/>
      <c r="AQ329" s="209"/>
      <c r="AR329" s="202"/>
      <c r="AS329" s="206"/>
      <c r="AT329" s="202"/>
      <c r="AU329" s="204"/>
      <c r="AV329" s="202"/>
      <c r="AW329" s="204"/>
      <c r="AX329" s="202"/>
      <c r="AY329" s="201"/>
      <c r="AZ329" s="202"/>
      <c r="BA329" s="210">
        <f t="shared" si="15"/>
        <v>0</v>
      </c>
      <c r="BB329" s="202"/>
      <c r="BC329" s="204"/>
      <c r="BD329" s="202"/>
      <c r="BE329" s="209"/>
      <c r="BF329" s="202"/>
      <c r="BG329" s="206"/>
      <c r="BH329" s="202"/>
      <c r="BI329" s="204"/>
      <c r="BJ329" s="202"/>
      <c r="BK329" s="204"/>
      <c r="BL329" s="202"/>
      <c r="BM329" s="201"/>
      <c r="BN329" s="202"/>
      <c r="BO329" s="203">
        <f t="shared" si="16"/>
        <v>0</v>
      </c>
      <c r="BP329" s="202"/>
      <c r="BQ329" s="138"/>
      <c r="BR329" s="128"/>
      <c r="BS329" s="128"/>
      <c r="BT329" s="128"/>
      <c r="BU329" s="128"/>
      <c r="BV329" s="128"/>
      <c r="BW329" s="139"/>
      <c r="BX329" s="140"/>
      <c r="BY329" s="139"/>
      <c r="BZ329" s="139"/>
      <c r="CA329" s="134"/>
      <c r="CB329" s="134"/>
      <c r="CC329" s="134"/>
      <c r="CD329" s="134"/>
      <c r="CE329" s="134"/>
      <c r="CF329" s="134"/>
      <c r="CG329" s="92"/>
      <c r="CH329" s="92"/>
      <c r="CI329" s="92"/>
      <c r="CJ329" s="92"/>
      <c r="CK329" s="92"/>
    </row>
    <row r="330" spans="1:89" ht="17.25" customHeight="1">
      <c r="A330" s="160"/>
      <c r="B330" s="52"/>
      <c r="C330" s="52"/>
      <c r="D330" s="137">
        <f t="shared" si="28"/>
        <v>0</v>
      </c>
      <c r="E330" s="208"/>
      <c r="F330" s="202"/>
      <c r="G330" s="207"/>
      <c r="H330" s="202"/>
      <c r="I330" s="208"/>
      <c r="J330" s="202"/>
      <c r="K330" s="208">
        <f t="shared" si="12"/>
        <v>0</v>
      </c>
      <c r="L330" s="202"/>
      <c r="M330" s="207"/>
      <c r="N330" s="202"/>
      <c r="O330" s="209"/>
      <c r="P330" s="202"/>
      <c r="Q330" s="206"/>
      <c r="R330" s="202"/>
      <c r="S330" s="207"/>
      <c r="T330" s="202"/>
      <c r="U330" s="207"/>
      <c r="V330" s="202"/>
      <c r="W330" s="208"/>
      <c r="X330" s="202"/>
      <c r="Y330" s="210">
        <f t="shared" si="31"/>
        <v>0</v>
      </c>
      <c r="Z330" s="202"/>
      <c r="AA330" s="207"/>
      <c r="AB330" s="202"/>
      <c r="AC330" s="209"/>
      <c r="AD330" s="202"/>
      <c r="AE330" s="206"/>
      <c r="AF330" s="202"/>
      <c r="AG330" s="207"/>
      <c r="AH330" s="202"/>
      <c r="AI330" s="207"/>
      <c r="AJ330" s="202"/>
      <c r="AK330" s="208"/>
      <c r="AL330" s="202"/>
      <c r="AM330" s="210">
        <f t="shared" si="14"/>
        <v>0</v>
      </c>
      <c r="AN330" s="202"/>
      <c r="AO330" s="207"/>
      <c r="AP330" s="202"/>
      <c r="AQ330" s="209"/>
      <c r="AR330" s="202"/>
      <c r="AS330" s="206"/>
      <c r="AT330" s="202"/>
      <c r="AU330" s="204"/>
      <c r="AV330" s="202"/>
      <c r="AW330" s="204"/>
      <c r="AX330" s="202"/>
      <c r="AY330" s="201"/>
      <c r="AZ330" s="202"/>
      <c r="BA330" s="210">
        <f t="shared" si="15"/>
        <v>0</v>
      </c>
      <c r="BB330" s="202"/>
      <c r="BC330" s="204"/>
      <c r="BD330" s="202"/>
      <c r="BE330" s="209"/>
      <c r="BF330" s="202"/>
      <c r="BG330" s="206"/>
      <c r="BH330" s="202"/>
      <c r="BI330" s="204"/>
      <c r="BJ330" s="202"/>
      <c r="BK330" s="204"/>
      <c r="BL330" s="202"/>
      <c r="BM330" s="201"/>
      <c r="BN330" s="202"/>
      <c r="BO330" s="203">
        <f t="shared" si="16"/>
        <v>0</v>
      </c>
      <c r="BP330" s="202"/>
      <c r="BQ330" s="138"/>
      <c r="BR330" s="128"/>
      <c r="BS330" s="128"/>
      <c r="BT330" s="128"/>
      <c r="BU330" s="128"/>
      <c r="BV330" s="128"/>
      <c r="BW330" s="139"/>
      <c r="BX330" s="140"/>
      <c r="BY330" s="139"/>
      <c r="BZ330" s="139"/>
      <c r="CA330" s="134"/>
      <c r="CB330" s="134"/>
      <c r="CC330" s="134"/>
      <c r="CD330" s="134"/>
      <c r="CE330" s="134"/>
      <c r="CF330" s="134"/>
      <c r="CG330" s="92"/>
      <c r="CH330" s="92"/>
      <c r="CI330" s="92"/>
      <c r="CJ330" s="92"/>
      <c r="CK330" s="92"/>
    </row>
    <row r="331" spans="1:89" ht="17.25" customHeight="1">
      <c r="A331" s="160"/>
      <c r="B331" s="52"/>
      <c r="C331" s="52"/>
      <c r="D331" s="137">
        <f t="shared" si="28"/>
        <v>0</v>
      </c>
      <c r="E331" s="208"/>
      <c r="F331" s="202"/>
      <c r="G331" s="207"/>
      <c r="H331" s="202"/>
      <c r="I331" s="208"/>
      <c r="J331" s="202"/>
      <c r="K331" s="208">
        <f t="shared" si="12"/>
        <v>0</v>
      </c>
      <c r="L331" s="202"/>
      <c r="M331" s="207"/>
      <c r="N331" s="202"/>
      <c r="O331" s="209"/>
      <c r="P331" s="202"/>
      <c r="Q331" s="206"/>
      <c r="R331" s="202"/>
      <c r="S331" s="207"/>
      <c r="T331" s="202"/>
      <c r="U331" s="207"/>
      <c r="V331" s="202"/>
      <c r="W331" s="208"/>
      <c r="X331" s="202"/>
      <c r="Y331" s="210">
        <f t="shared" si="31"/>
        <v>0</v>
      </c>
      <c r="Z331" s="202"/>
      <c r="AA331" s="207"/>
      <c r="AB331" s="202"/>
      <c r="AC331" s="209"/>
      <c r="AD331" s="202"/>
      <c r="AE331" s="206"/>
      <c r="AF331" s="202"/>
      <c r="AG331" s="207"/>
      <c r="AH331" s="202"/>
      <c r="AI331" s="207"/>
      <c r="AJ331" s="202"/>
      <c r="AK331" s="208"/>
      <c r="AL331" s="202"/>
      <c r="AM331" s="210">
        <f t="shared" si="14"/>
        <v>0</v>
      </c>
      <c r="AN331" s="202"/>
      <c r="AO331" s="207"/>
      <c r="AP331" s="202"/>
      <c r="AQ331" s="209"/>
      <c r="AR331" s="202"/>
      <c r="AS331" s="206"/>
      <c r="AT331" s="202"/>
      <c r="AU331" s="204"/>
      <c r="AV331" s="202"/>
      <c r="AW331" s="204"/>
      <c r="AX331" s="202"/>
      <c r="AY331" s="201"/>
      <c r="AZ331" s="202"/>
      <c r="BA331" s="210">
        <f t="shared" si="15"/>
        <v>0</v>
      </c>
      <c r="BB331" s="202"/>
      <c r="BC331" s="204"/>
      <c r="BD331" s="202"/>
      <c r="BE331" s="209"/>
      <c r="BF331" s="202"/>
      <c r="BG331" s="206"/>
      <c r="BH331" s="202"/>
      <c r="BI331" s="204"/>
      <c r="BJ331" s="202"/>
      <c r="BK331" s="204"/>
      <c r="BL331" s="202"/>
      <c r="BM331" s="201"/>
      <c r="BN331" s="202"/>
      <c r="BO331" s="203">
        <f t="shared" si="16"/>
        <v>0</v>
      </c>
      <c r="BP331" s="202"/>
      <c r="BQ331" s="138"/>
      <c r="BR331" s="128"/>
      <c r="BS331" s="128"/>
      <c r="BT331" s="128"/>
      <c r="BU331" s="128"/>
      <c r="BV331" s="128"/>
      <c r="BW331" s="139"/>
      <c r="BX331" s="140"/>
      <c r="BY331" s="139"/>
      <c r="BZ331" s="139"/>
      <c r="CA331" s="134"/>
      <c r="CB331" s="134"/>
      <c r="CC331" s="134"/>
      <c r="CD331" s="134"/>
      <c r="CE331" s="134"/>
      <c r="CF331" s="134"/>
      <c r="CG331" s="92"/>
      <c r="CH331" s="92"/>
      <c r="CI331" s="92"/>
      <c r="CJ331" s="92"/>
      <c r="CK331" s="92"/>
    </row>
    <row r="332" spans="1:89" ht="17.25" customHeight="1">
      <c r="A332" s="160"/>
      <c r="B332" s="52"/>
      <c r="C332" s="52"/>
      <c r="D332" s="137">
        <f t="shared" si="28"/>
        <v>0</v>
      </c>
      <c r="E332" s="208"/>
      <c r="F332" s="202"/>
      <c r="G332" s="207"/>
      <c r="H332" s="202"/>
      <c r="I332" s="208"/>
      <c r="J332" s="202"/>
      <c r="K332" s="208">
        <f t="shared" si="12"/>
        <v>0</v>
      </c>
      <c r="L332" s="202"/>
      <c r="M332" s="207"/>
      <c r="N332" s="202"/>
      <c r="O332" s="209"/>
      <c r="P332" s="202"/>
      <c r="Q332" s="206"/>
      <c r="R332" s="202"/>
      <c r="S332" s="207"/>
      <c r="T332" s="202"/>
      <c r="U332" s="207"/>
      <c r="V332" s="202"/>
      <c r="W332" s="208"/>
      <c r="X332" s="202"/>
      <c r="Y332" s="210">
        <f t="shared" si="31"/>
        <v>0</v>
      </c>
      <c r="Z332" s="202"/>
      <c r="AA332" s="207"/>
      <c r="AB332" s="202"/>
      <c r="AC332" s="209"/>
      <c r="AD332" s="202"/>
      <c r="AE332" s="206"/>
      <c r="AF332" s="202"/>
      <c r="AG332" s="207"/>
      <c r="AH332" s="202"/>
      <c r="AI332" s="207"/>
      <c r="AJ332" s="202"/>
      <c r="AK332" s="208"/>
      <c r="AL332" s="202"/>
      <c r="AM332" s="210">
        <f t="shared" si="14"/>
        <v>0</v>
      </c>
      <c r="AN332" s="202"/>
      <c r="AO332" s="207"/>
      <c r="AP332" s="202"/>
      <c r="AQ332" s="209"/>
      <c r="AR332" s="202"/>
      <c r="AS332" s="206"/>
      <c r="AT332" s="202"/>
      <c r="AU332" s="204"/>
      <c r="AV332" s="202"/>
      <c r="AW332" s="204"/>
      <c r="AX332" s="202"/>
      <c r="AY332" s="201"/>
      <c r="AZ332" s="202"/>
      <c r="BA332" s="210">
        <f t="shared" si="15"/>
        <v>0</v>
      </c>
      <c r="BB332" s="202"/>
      <c r="BC332" s="204"/>
      <c r="BD332" s="202"/>
      <c r="BE332" s="209"/>
      <c r="BF332" s="202"/>
      <c r="BG332" s="206"/>
      <c r="BH332" s="202"/>
      <c r="BI332" s="204"/>
      <c r="BJ332" s="202"/>
      <c r="BK332" s="204"/>
      <c r="BL332" s="202"/>
      <c r="BM332" s="201"/>
      <c r="BN332" s="202"/>
      <c r="BO332" s="203">
        <f t="shared" si="16"/>
        <v>0</v>
      </c>
      <c r="BP332" s="202"/>
      <c r="BQ332" s="138"/>
      <c r="BR332" s="128"/>
      <c r="BS332" s="128"/>
      <c r="BT332" s="128"/>
      <c r="BU332" s="128"/>
      <c r="BV332" s="128"/>
      <c r="BW332" s="139"/>
      <c r="BX332" s="140"/>
      <c r="BY332" s="139"/>
      <c r="BZ332" s="139"/>
      <c r="CA332" s="134"/>
      <c r="CB332" s="134"/>
      <c r="CC332" s="134"/>
      <c r="CD332" s="134"/>
      <c r="CE332" s="134"/>
      <c r="CF332" s="134"/>
      <c r="CG332" s="92"/>
      <c r="CH332" s="92"/>
      <c r="CI332" s="92"/>
      <c r="CJ332" s="92"/>
      <c r="CK332" s="92"/>
    </row>
    <row r="333" spans="1:89" ht="17.25" customHeight="1">
      <c r="A333" s="160"/>
      <c r="B333" s="52"/>
      <c r="C333" s="52"/>
      <c r="D333" s="137">
        <f t="shared" si="28"/>
        <v>0</v>
      </c>
      <c r="E333" s="208"/>
      <c r="F333" s="202"/>
      <c r="G333" s="207"/>
      <c r="H333" s="202"/>
      <c r="I333" s="208"/>
      <c r="J333" s="202"/>
      <c r="K333" s="208">
        <f t="shared" si="12"/>
        <v>0</v>
      </c>
      <c r="L333" s="202"/>
      <c r="M333" s="207"/>
      <c r="N333" s="202"/>
      <c r="O333" s="209"/>
      <c r="P333" s="202"/>
      <c r="Q333" s="206"/>
      <c r="R333" s="202"/>
      <c r="S333" s="207"/>
      <c r="T333" s="202"/>
      <c r="U333" s="207"/>
      <c r="V333" s="202"/>
      <c r="W333" s="208"/>
      <c r="X333" s="202"/>
      <c r="Y333" s="210">
        <f t="shared" si="31"/>
        <v>0</v>
      </c>
      <c r="Z333" s="202"/>
      <c r="AA333" s="207"/>
      <c r="AB333" s="202"/>
      <c r="AC333" s="209"/>
      <c r="AD333" s="202"/>
      <c r="AE333" s="206"/>
      <c r="AF333" s="202"/>
      <c r="AG333" s="207"/>
      <c r="AH333" s="202"/>
      <c r="AI333" s="207"/>
      <c r="AJ333" s="202"/>
      <c r="AK333" s="208"/>
      <c r="AL333" s="202"/>
      <c r="AM333" s="210">
        <f t="shared" si="14"/>
        <v>0</v>
      </c>
      <c r="AN333" s="202"/>
      <c r="AO333" s="207"/>
      <c r="AP333" s="202"/>
      <c r="AQ333" s="209"/>
      <c r="AR333" s="202"/>
      <c r="AS333" s="206"/>
      <c r="AT333" s="202"/>
      <c r="AU333" s="204"/>
      <c r="AV333" s="202"/>
      <c r="AW333" s="204"/>
      <c r="AX333" s="202"/>
      <c r="AY333" s="201"/>
      <c r="AZ333" s="202"/>
      <c r="BA333" s="210">
        <f t="shared" si="15"/>
        <v>0</v>
      </c>
      <c r="BB333" s="202"/>
      <c r="BC333" s="204"/>
      <c r="BD333" s="202"/>
      <c r="BE333" s="209"/>
      <c r="BF333" s="202"/>
      <c r="BG333" s="206"/>
      <c r="BH333" s="202"/>
      <c r="BI333" s="204"/>
      <c r="BJ333" s="202"/>
      <c r="BK333" s="204"/>
      <c r="BL333" s="202"/>
      <c r="BM333" s="201"/>
      <c r="BN333" s="202"/>
      <c r="BO333" s="203">
        <f t="shared" si="16"/>
        <v>0</v>
      </c>
      <c r="BP333" s="202"/>
      <c r="BQ333" s="138"/>
      <c r="BR333" s="128"/>
      <c r="BS333" s="128"/>
      <c r="BT333" s="128"/>
      <c r="BU333" s="128"/>
      <c r="BV333" s="128"/>
      <c r="BW333" s="139"/>
      <c r="BX333" s="140"/>
      <c r="BY333" s="139"/>
      <c r="BZ333" s="139"/>
      <c r="CA333" s="134"/>
      <c r="CB333" s="134"/>
      <c r="CC333" s="134"/>
      <c r="CD333" s="134"/>
      <c r="CE333" s="134"/>
      <c r="CF333" s="134"/>
      <c r="CG333" s="92"/>
      <c r="CH333" s="92"/>
      <c r="CI333" s="92"/>
      <c r="CJ333" s="92"/>
      <c r="CK333" s="92"/>
    </row>
    <row r="334" spans="1:89" ht="17.25" customHeight="1">
      <c r="A334" s="160"/>
      <c r="B334" s="52"/>
      <c r="C334" s="52"/>
      <c r="D334" s="137">
        <f t="shared" si="28"/>
        <v>0</v>
      </c>
      <c r="E334" s="208"/>
      <c r="F334" s="202"/>
      <c r="G334" s="207"/>
      <c r="H334" s="202"/>
      <c r="I334" s="208"/>
      <c r="J334" s="202"/>
      <c r="K334" s="208">
        <f t="shared" si="12"/>
        <v>0</v>
      </c>
      <c r="L334" s="202"/>
      <c r="M334" s="207"/>
      <c r="N334" s="202"/>
      <c r="O334" s="209"/>
      <c r="P334" s="202"/>
      <c r="Q334" s="206"/>
      <c r="R334" s="202"/>
      <c r="S334" s="207"/>
      <c r="T334" s="202"/>
      <c r="U334" s="207"/>
      <c r="V334" s="202"/>
      <c r="W334" s="208"/>
      <c r="X334" s="202"/>
      <c r="Y334" s="210">
        <f t="shared" si="31"/>
        <v>0</v>
      </c>
      <c r="Z334" s="202"/>
      <c r="AA334" s="207"/>
      <c r="AB334" s="202"/>
      <c r="AC334" s="209"/>
      <c r="AD334" s="202"/>
      <c r="AE334" s="206"/>
      <c r="AF334" s="202"/>
      <c r="AG334" s="207"/>
      <c r="AH334" s="202"/>
      <c r="AI334" s="207"/>
      <c r="AJ334" s="202"/>
      <c r="AK334" s="208"/>
      <c r="AL334" s="202"/>
      <c r="AM334" s="210">
        <f t="shared" si="14"/>
        <v>0</v>
      </c>
      <c r="AN334" s="202"/>
      <c r="AO334" s="207"/>
      <c r="AP334" s="202"/>
      <c r="AQ334" s="209"/>
      <c r="AR334" s="202"/>
      <c r="AS334" s="206"/>
      <c r="AT334" s="202"/>
      <c r="AU334" s="204"/>
      <c r="AV334" s="202"/>
      <c r="AW334" s="204"/>
      <c r="AX334" s="202"/>
      <c r="AY334" s="201"/>
      <c r="AZ334" s="202"/>
      <c r="BA334" s="210">
        <f t="shared" si="15"/>
        <v>0</v>
      </c>
      <c r="BB334" s="202"/>
      <c r="BC334" s="204"/>
      <c r="BD334" s="202"/>
      <c r="BE334" s="209"/>
      <c r="BF334" s="202"/>
      <c r="BG334" s="206"/>
      <c r="BH334" s="202"/>
      <c r="BI334" s="204"/>
      <c r="BJ334" s="202"/>
      <c r="BK334" s="204"/>
      <c r="BL334" s="202"/>
      <c r="BM334" s="201"/>
      <c r="BN334" s="202"/>
      <c r="BO334" s="203">
        <f t="shared" si="16"/>
        <v>0</v>
      </c>
      <c r="BP334" s="202"/>
      <c r="BQ334" s="138"/>
      <c r="BR334" s="128"/>
      <c r="BS334" s="128"/>
      <c r="BT334" s="128"/>
      <c r="BU334" s="128"/>
      <c r="BV334" s="128"/>
      <c r="BW334" s="139"/>
      <c r="BX334" s="140"/>
      <c r="BY334" s="139"/>
      <c r="BZ334" s="139"/>
      <c r="CA334" s="134"/>
      <c r="CB334" s="134"/>
      <c r="CC334" s="134"/>
      <c r="CD334" s="134"/>
      <c r="CE334" s="134"/>
      <c r="CF334" s="134"/>
      <c r="CG334" s="92"/>
      <c r="CH334" s="92"/>
      <c r="CI334" s="92"/>
      <c r="CJ334" s="92"/>
      <c r="CK334" s="92"/>
    </row>
    <row r="335" spans="1:89" ht="17.25" customHeight="1">
      <c r="A335" s="160"/>
      <c r="B335" s="52"/>
      <c r="C335" s="52"/>
      <c r="D335" s="137">
        <f t="shared" si="28"/>
        <v>0</v>
      </c>
      <c r="E335" s="208"/>
      <c r="F335" s="202"/>
      <c r="G335" s="207"/>
      <c r="H335" s="202"/>
      <c r="I335" s="208"/>
      <c r="J335" s="202"/>
      <c r="K335" s="208">
        <f t="shared" si="12"/>
        <v>0</v>
      </c>
      <c r="L335" s="202"/>
      <c r="M335" s="207"/>
      <c r="N335" s="202"/>
      <c r="O335" s="209"/>
      <c r="P335" s="202"/>
      <c r="Q335" s="206"/>
      <c r="R335" s="202"/>
      <c r="S335" s="207"/>
      <c r="T335" s="202"/>
      <c r="U335" s="207"/>
      <c r="V335" s="202"/>
      <c r="W335" s="208"/>
      <c r="X335" s="202"/>
      <c r="Y335" s="210">
        <f t="shared" si="31"/>
        <v>0</v>
      </c>
      <c r="Z335" s="202"/>
      <c r="AA335" s="207"/>
      <c r="AB335" s="202"/>
      <c r="AC335" s="209"/>
      <c r="AD335" s="202"/>
      <c r="AE335" s="206"/>
      <c r="AF335" s="202"/>
      <c r="AG335" s="207"/>
      <c r="AH335" s="202"/>
      <c r="AI335" s="207"/>
      <c r="AJ335" s="202"/>
      <c r="AK335" s="208"/>
      <c r="AL335" s="202"/>
      <c r="AM335" s="210">
        <f t="shared" si="14"/>
        <v>0</v>
      </c>
      <c r="AN335" s="202"/>
      <c r="AO335" s="207"/>
      <c r="AP335" s="202"/>
      <c r="AQ335" s="209"/>
      <c r="AR335" s="202"/>
      <c r="AS335" s="206"/>
      <c r="AT335" s="202"/>
      <c r="AU335" s="204"/>
      <c r="AV335" s="202"/>
      <c r="AW335" s="204"/>
      <c r="AX335" s="202"/>
      <c r="AY335" s="201"/>
      <c r="AZ335" s="202"/>
      <c r="BA335" s="210">
        <f t="shared" si="15"/>
        <v>0</v>
      </c>
      <c r="BB335" s="202"/>
      <c r="BC335" s="204"/>
      <c r="BD335" s="202"/>
      <c r="BE335" s="209"/>
      <c r="BF335" s="202"/>
      <c r="BG335" s="206"/>
      <c r="BH335" s="202"/>
      <c r="BI335" s="204"/>
      <c r="BJ335" s="202"/>
      <c r="BK335" s="204"/>
      <c r="BL335" s="202"/>
      <c r="BM335" s="201"/>
      <c r="BN335" s="202"/>
      <c r="BO335" s="203">
        <f t="shared" si="16"/>
        <v>0</v>
      </c>
      <c r="BP335" s="202"/>
      <c r="BQ335" s="138"/>
      <c r="BR335" s="128"/>
      <c r="BS335" s="128"/>
      <c r="BT335" s="128"/>
      <c r="BU335" s="128"/>
      <c r="BV335" s="128"/>
      <c r="BW335" s="139"/>
      <c r="BX335" s="140"/>
      <c r="BY335" s="139"/>
      <c r="BZ335" s="139"/>
      <c r="CA335" s="134"/>
      <c r="CB335" s="134"/>
      <c r="CC335" s="134"/>
      <c r="CD335" s="134"/>
      <c r="CE335" s="134"/>
      <c r="CF335" s="134"/>
      <c r="CG335" s="92"/>
      <c r="CH335" s="92"/>
      <c r="CI335" s="92"/>
      <c r="CJ335" s="92"/>
      <c r="CK335" s="92"/>
    </row>
    <row r="336" spans="1:89" ht="17.25" customHeight="1">
      <c r="A336" s="160"/>
      <c r="B336" s="52"/>
      <c r="C336" s="52"/>
      <c r="D336" s="137">
        <f t="shared" si="28"/>
        <v>0</v>
      </c>
      <c r="E336" s="208"/>
      <c r="F336" s="202"/>
      <c r="G336" s="207"/>
      <c r="H336" s="202"/>
      <c r="I336" s="208"/>
      <c r="J336" s="202"/>
      <c r="K336" s="208">
        <f t="shared" si="12"/>
        <v>0</v>
      </c>
      <c r="L336" s="202"/>
      <c r="M336" s="207"/>
      <c r="N336" s="202"/>
      <c r="O336" s="209"/>
      <c r="P336" s="202"/>
      <c r="Q336" s="206"/>
      <c r="R336" s="202"/>
      <c r="S336" s="207"/>
      <c r="T336" s="202"/>
      <c r="U336" s="207"/>
      <c r="V336" s="202"/>
      <c r="W336" s="208"/>
      <c r="X336" s="202"/>
      <c r="Y336" s="210">
        <f t="shared" si="31"/>
        <v>0</v>
      </c>
      <c r="Z336" s="202"/>
      <c r="AA336" s="207"/>
      <c r="AB336" s="202"/>
      <c r="AC336" s="209"/>
      <c r="AD336" s="202"/>
      <c r="AE336" s="206"/>
      <c r="AF336" s="202"/>
      <c r="AG336" s="207"/>
      <c r="AH336" s="202"/>
      <c r="AI336" s="207"/>
      <c r="AJ336" s="202"/>
      <c r="AK336" s="208"/>
      <c r="AL336" s="202"/>
      <c r="AM336" s="210">
        <f t="shared" si="14"/>
        <v>0</v>
      </c>
      <c r="AN336" s="202"/>
      <c r="AO336" s="207"/>
      <c r="AP336" s="202"/>
      <c r="AQ336" s="209"/>
      <c r="AR336" s="202"/>
      <c r="AS336" s="206"/>
      <c r="AT336" s="202"/>
      <c r="AU336" s="204"/>
      <c r="AV336" s="202"/>
      <c r="AW336" s="204"/>
      <c r="AX336" s="202"/>
      <c r="AY336" s="201"/>
      <c r="AZ336" s="202"/>
      <c r="BA336" s="210">
        <f t="shared" si="15"/>
        <v>0</v>
      </c>
      <c r="BB336" s="202"/>
      <c r="BC336" s="204"/>
      <c r="BD336" s="202"/>
      <c r="BE336" s="209"/>
      <c r="BF336" s="202"/>
      <c r="BG336" s="206"/>
      <c r="BH336" s="202"/>
      <c r="BI336" s="204"/>
      <c r="BJ336" s="202"/>
      <c r="BK336" s="204"/>
      <c r="BL336" s="202"/>
      <c r="BM336" s="201"/>
      <c r="BN336" s="202"/>
      <c r="BO336" s="203">
        <f t="shared" si="16"/>
        <v>0</v>
      </c>
      <c r="BP336" s="202"/>
      <c r="BQ336" s="138"/>
      <c r="BR336" s="128"/>
      <c r="BS336" s="128"/>
      <c r="BT336" s="128"/>
      <c r="BU336" s="128"/>
      <c r="BV336" s="128"/>
      <c r="BW336" s="139"/>
      <c r="BX336" s="140"/>
      <c r="BY336" s="139"/>
      <c r="BZ336" s="139"/>
      <c r="CA336" s="134"/>
      <c r="CB336" s="134"/>
      <c r="CC336" s="134"/>
      <c r="CD336" s="134"/>
      <c r="CE336" s="134"/>
      <c r="CF336" s="134"/>
      <c r="CG336" s="92"/>
      <c r="CH336" s="92"/>
      <c r="CI336" s="92"/>
      <c r="CJ336" s="92"/>
      <c r="CK336" s="92"/>
    </row>
    <row r="337" spans="1:89" ht="17.25" customHeight="1">
      <c r="A337" s="160"/>
      <c r="B337" s="52"/>
      <c r="C337" s="52"/>
      <c r="D337" s="137">
        <f t="shared" si="28"/>
        <v>0</v>
      </c>
      <c r="E337" s="208"/>
      <c r="F337" s="202"/>
      <c r="G337" s="207"/>
      <c r="H337" s="202"/>
      <c r="I337" s="208"/>
      <c r="J337" s="202"/>
      <c r="K337" s="208">
        <f t="shared" si="12"/>
        <v>0</v>
      </c>
      <c r="L337" s="202"/>
      <c r="M337" s="207"/>
      <c r="N337" s="202"/>
      <c r="O337" s="209"/>
      <c r="P337" s="202"/>
      <c r="Q337" s="206"/>
      <c r="R337" s="202"/>
      <c r="S337" s="207"/>
      <c r="T337" s="202"/>
      <c r="U337" s="207"/>
      <c r="V337" s="202"/>
      <c r="W337" s="208"/>
      <c r="X337" s="202"/>
      <c r="Y337" s="210">
        <f t="shared" si="31"/>
        <v>0</v>
      </c>
      <c r="Z337" s="202"/>
      <c r="AA337" s="207"/>
      <c r="AB337" s="202"/>
      <c r="AC337" s="209"/>
      <c r="AD337" s="202"/>
      <c r="AE337" s="206"/>
      <c r="AF337" s="202"/>
      <c r="AG337" s="207"/>
      <c r="AH337" s="202"/>
      <c r="AI337" s="207"/>
      <c r="AJ337" s="202"/>
      <c r="AK337" s="208"/>
      <c r="AL337" s="202"/>
      <c r="AM337" s="210">
        <f t="shared" si="14"/>
        <v>0</v>
      </c>
      <c r="AN337" s="202"/>
      <c r="AO337" s="207"/>
      <c r="AP337" s="202"/>
      <c r="AQ337" s="209"/>
      <c r="AR337" s="202"/>
      <c r="AS337" s="206"/>
      <c r="AT337" s="202"/>
      <c r="AU337" s="204"/>
      <c r="AV337" s="202"/>
      <c r="AW337" s="204"/>
      <c r="AX337" s="202"/>
      <c r="AY337" s="201"/>
      <c r="AZ337" s="202"/>
      <c r="BA337" s="210">
        <f t="shared" si="15"/>
        <v>0</v>
      </c>
      <c r="BB337" s="202"/>
      <c r="BC337" s="204"/>
      <c r="BD337" s="202"/>
      <c r="BE337" s="209"/>
      <c r="BF337" s="202"/>
      <c r="BG337" s="206"/>
      <c r="BH337" s="202"/>
      <c r="BI337" s="204"/>
      <c r="BJ337" s="202"/>
      <c r="BK337" s="204"/>
      <c r="BL337" s="202"/>
      <c r="BM337" s="201"/>
      <c r="BN337" s="202"/>
      <c r="BO337" s="203">
        <f t="shared" si="16"/>
        <v>0</v>
      </c>
      <c r="BP337" s="202"/>
      <c r="BQ337" s="138"/>
      <c r="BR337" s="128"/>
      <c r="BS337" s="128"/>
      <c r="BT337" s="128"/>
      <c r="BU337" s="128"/>
      <c r="BV337" s="128"/>
      <c r="BW337" s="139"/>
      <c r="BX337" s="140"/>
      <c r="BY337" s="139"/>
      <c r="BZ337" s="139"/>
      <c r="CA337" s="134"/>
      <c r="CB337" s="134"/>
      <c r="CC337" s="134"/>
      <c r="CD337" s="134"/>
      <c r="CE337" s="134"/>
      <c r="CF337" s="134"/>
      <c r="CG337" s="92"/>
      <c r="CH337" s="92"/>
      <c r="CI337" s="92"/>
      <c r="CJ337" s="92"/>
      <c r="CK337" s="92"/>
    </row>
    <row r="338" spans="1:89" ht="17.25" customHeight="1">
      <c r="A338" s="160"/>
      <c r="B338" s="52"/>
      <c r="C338" s="52"/>
      <c r="D338" s="137">
        <f t="shared" si="28"/>
        <v>0</v>
      </c>
      <c r="E338" s="208"/>
      <c r="F338" s="202"/>
      <c r="G338" s="207"/>
      <c r="H338" s="202"/>
      <c r="I338" s="208"/>
      <c r="J338" s="202"/>
      <c r="K338" s="208">
        <f t="shared" si="12"/>
        <v>0</v>
      </c>
      <c r="L338" s="202"/>
      <c r="M338" s="207"/>
      <c r="N338" s="202"/>
      <c r="O338" s="209"/>
      <c r="P338" s="202"/>
      <c r="Q338" s="206"/>
      <c r="R338" s="202"/>
      <c r="S338" s="207"/>
      <c r="T338" s="202"/>
      <c r="U338" s="207"/>
      <c r="V338" s="202"/>
      <c r="W338" s="208"/>
      <c r="X338" s="202"/>
      <c r="Y338" s="210">
        <f t="shared" si="31"/>
        <v>0</v>
      </c>
      <c r="Z338" s="202"/>
      <c r="AA338" s="207"/>
      <c r="AB338" s="202"/>
      <c r="AC338" s="209"/>
      <c r="AD338" s="202"/>
      <c r="AE338" s="206"/>
      <c r="AF338" s="202"/>
      <c r="AG338" s="207"/>
      <c r="AH338" s="202"/>
      <c r="AI338" s="207"/>
      <c r="AJ338" s="202"/>
      <c r="AK338" s="208"/>
      <c r="AL338" s="202"/>
      <c r="AM338" s="210">
        <f t="shared" si="14"/>
        <v>0</v>
      </c>
      <c r="AN338" s="202"/>
      <c r="AO338" s="207"/>
      <c r="AP338" s="202"/>
      <c r="AQ338" s="209"/>
      <c r="AR338" s="202"/>
      <c r="AS338" s="206"/>
      <c r="AT338" s="202"/>
      <c r="AU338" s="204"/>
      <c r="AV338" s="202"/>
      <c r="AW338" s="204"/>
      <c r="AX338" s="202"/>
      <c r="AY338" s="201"/>
      <c r="AZ338" s="202"/>
      <c r="BA338" s="210">
        <f t="shared" si="15"/>
        <v>0</v>
      </c>
      <c r="BB338" s="202"/>
      <c r="BC338" s="204"/>
      <c r="BD338" s="202"/>
      <c r="BE338" s="209"/>
      <c r="BF338" s="202"/>
      <c r="BG338" s="206"/>
      <c r="BH338" s="202"/>
      <c r="BI338" s="204"/>
      <c r="BJ338" s="202"/>
      <c r="BK338" s="204"/>
      <c r="BL338" s="202"/>
      <c r="BM338" s="201"/>
      <c r="BN338" s="202"/>
      <c r="BO338" s="203">
        <f t="shared" si="16"/>
        <v>0</v>
      </c>
      <c r="BP338" s="202"/>
      <c r="BQ338" s="138"/>
      <c r="BR338" s="128"/>
      <c r="BS338" s="128"/>
      <c r="BT338" s="128"/>
      <c r="BU338" s="128"/>
      <c r="BV338" s="128"/>
      <c r="BW338" s="139"/>
      <c r="BX338" s="140"/>
      <c r="BY338" s="139"/>
      <c r="BZ338" s="139"/>
      <c r="CA338" s="134"/>
      <c r="CB338" s="134"/>
      <c r="CC338" s="134"/>
      <c r="CD338" s="134"/>
      <c r="CE338" s="134"/>
      <c r="CF338" s="134"/>
      <c r="CG338" s="92"/>
      <c r="CH338" s="92"/>
      <c r="CI338" s="92"/>
      <c r="CJ338" s="92"/>
      <c r="CK338" s="92"/>
    </row>
    <row r="339" spans="1:89" ht="17.25" customHeight="1">
      <c r="A339" s="160"/>
      <c r="B339" s="52"/>
      <c r="C339" s="52"/>
      <c r="D339" s="137">
        <f t="shared" si="28"/>
        <v>0</v>
      </c>
      <c r="E339" s="208"/>
      <c r="F339" s="202"/>
      <c r="G339" s="207"/>
      <c r="H339" s="202"/>
      <c r="I339" s="208"/>
      <c r="J339" s="202"/>
      <c r="K339" s="208">
        <f t="shared" si="12"/>
        <v>0</v>
      </c>
      <c r="L339" s="202"/>
      <c r="M339" s="207"/>
      <c r="N339" s="202"/>
      <c r="O339" s="209"/>
      <c r="P339" s="202"/>
      <c r="Q339" s="206"/>
      <c r="R339" s="202"/>
      <c r="S339" s="207"/>
      <c r="T339" s="202"/>
      <c r="U339" s="207"/>
      <c r="V339" s="202"/>
      <c r="W339" s="208"/>
      <c r="X339" s="202"/>
      <c r="Y339" s="210">
        <f t="shared" si="31"/>
        <v>0</v>
      </c>
      <c r="Z339" s="202"/>
      <c r="AA339" s="207"/>
      <c r="AB339" s="202"/>
      <c r="AC339" s="209"/>
      <c r="AD339" s="202"/>
      <c r="AE339" s="206"/>
      <c r="AF339" s="202"/>
      <c r="AG339" s="207"/>
      <c r="AH339" s="202"/>
      <c r="AI339" s="207"/>
      <c r="AJ339" s="202"/>
      <c r="AK339" s="208"/>
      <c r="AL339" s="202"/>
      <c r="AM339" s="210">
        <f t="shared" si="14"/>
        <v>0</v>
      </c>
      <c r="AN339" s="202"/>
      <c r="AO339" s="207"/>
      <c r="AP339" s="202"/>
      <c r="AQ339" s="209"/>
      <c r="AR339" s="202"/>
      <c r="AS339" s="206"/>
      <c r="AT339" s="202"/>
      <c r="AU339" s="204"/>
      <c r="AV339" s="202"/>
      <c r="AW339" s="204"/>
      <c r="AX339" s="202"/>
      <c r="AY339" s="201"/>
      <c r="AZ339" s="202"/>
      <c r="BA339" s="210">
        <f t="shared" si="15"/>
        <v>0</v>
      </c>
      <c r="BB339" s="202"/>
      <c r="BC339" s="204"/>
      <c r="BD339" s="202"/>
      <c r="BE339" s="209"/>
      <c r="BF339" s="202"/>
      <c r="BG339" s="206"/>
      <c r="BH339" s="202"/>
      <c r="BI339" s="204"/>
      <c r="BJ339" s="202"/>
      <c r="BK339" s="204"/>
      <c r="BL339" s="202"/>
      <c r="BM339" s="201"/>
      <c r="BN339" s="202"/>
      <c r="BO339" s="203">
        <f t="shared" si="16"/>
        <v>0</v>
      </c>
      <c r="BP339" s="202"/>
      <c r="BQ339" s="138"/>
      <c r="BR339" s="128"/>
      <c r="BS339" s="128"/>
      <c r="BT339" s="128"/>
      <c r="BU339" s="128"/>
      <c r="BV339" s="128"/>
      <c r="BW339" s="139"/>
      <c r="BX339" s="140"/>
      <c r="BY339" s="139"/>
      <c r="BZ339" s="139"/>
      <c r="CA339" s="134"/>
      <c r="CB339" s="134"/>
      <c r="CC339" s="134"/>
      <c r="CD339" s="134"/>
      <c r="CE339" s="134"/>
      <c r="CF339" s="134"/>
      <c r="CG339" s="92"/>
      <c r="CH339" s="92"/>
      <c r="CI339" s="92"/>
      <c r="CJ339" s="92"/>
      <c r="CK339" s="92"/>
    </row>
    <row r="340" spans="1:89" ht="17.25" customHeight="1">
      <c r="A340" s="160"/>
      <c r="B340" s="52"/>
      <c r="C340" s="52"/>
      <c r="D340" s="137">
        <f t="shared" si="28"/>
        <v>0</v>
      </c>
      <c r="E340" s="208"/>
      <c r="F340" s="202"/>
      <c r="G340" s="207"/>
      <c r="H340" s="202"/>
      <c r="I340" s="208"/>
      <c r="J340" s="202"/>
      <c r="K340" s="208">
        <f t="shared" si="12"/>
        <v>0</v>
      </c>
      <c r="L340" s="202"/>
      <c r="M340" s="207"/>
      <c r="N340" s="202"/>
      <c r="O340" s="209"/>
      <c r="P340" s="202"/>
      <c r="Q340" s="206"/>
      <c r="R340" s="202"/>
      <c r="S340" s="207"/>
      <c r="T340" s="202"/>
      <c r="U340" s="207"/>
      <c r="V340" s="202"/>
      <c r="W340" s="208"/>
      <c r="X340" s="202"/>
      <c r="Y340" s="210">
        <f t="shared" si="31"/>
        <v>0</v>
      </c>
      <c r="Z340" s="202"/>
      <c r="AA340" s="207"/>
      <c r="AB340" s="202"/>
      <c r="AC340" s="209"/>
      <c r="AD340" s="202"/>
      <c r="AE340" s="206"/>
      <c r="AF340" s="202"/>
      <c r="AG340" s="207"/>
      <c r="AH340" s="202"/>
      <c r="AI340" s="207"/>
      <c r="AJ340" s="202"/>
      <c r="AK340" s="208"/>
      <c r="AL340" s="202"/>
      <c r="AM340" s="210">
        <f t="shared" si="14"/>
        <v>0</v>
      </c>
      <c r="AN340" s="202"/>
      <c r="AO340" s="207"/>
      <c r="AP340" s="202"/>
      <c r="AQ340" s="209"/>
      <c r="AR340" s="202"/>
      <c r="AS340" s="206"/>
      <c r="AT340" s="202"/>
      <c r="AU340" s="204"/>
      <c r="AV340" s="202"/>
      <c r="AW340" s="204"/>
      <c r="AX340" s="202"/>
      <c r="AY340" s="201"/>
      <c r="AZ340" s="202"/>
      <c r="BA340" s="210">
        <f t="shared" si="15"/>
        <v>0</v>
      </c>
      <c r="BB340" s="202"/>
      <c r="BC340" s="204"/>
      <c r="BD340" s="202"/>
      <c r="BE340" s="209"/>
      <c r="BF340" s="202"/>
      <c r="BG340" s="206"/>
      <c r="BH340" s="202"/>
      <c r="BI340" s="204"/>
      <c r="BJ340" s="202"/>
      <c r="BK340" s="204"/>
      <c r="BL340" s="202"/>
      <c r="BM340" s="201"/>
      <c r="BN340" s="202"/>
      <c r="BO340" s="203">
        <f t="shared" si="16"/>
        <v>0</v>
      </c>
      <c r="BP340" s="202"/>
      <c r="BQ340" s="138"/>
      <c r="BR340" s="128"/>
      <c r="BS340" s="128"/>
      <c r="BT340" s="128"/>
      <c r="BU340" s="128"/>
      <c r="BV340" s="128"/>
      <c r="BW340" s="139"/>
      <c r="BX340" s="140"/>
      <c r="BY340" s="139"/>
      <c r="BZ340" s="139"/>
      <c r="CA340" s="134"/>
      <c r="CB340" s="134"/>
      <c r="CC340" s="134"/>
      <c r="CD340" s="134"/>
      <c r="CE340" s="134"/>
      <c r="CF340" s="134"/>
      <c r="CG340" s="92"/>
      <c r="CH340" s="92"/>
      <c r="CI340" s="92"/>
      <c r="CJ340" s="92"/>
      <c r="CK340" s="92"/>
    </row>
    <row r="341" spans="1:89" ht="17.25" customHeight="1">
      <c r="A341" s="160"/>
      <c r="B341" s="52"/>
      <c r="C341" s="52"/>
      <c r="D341" s="137">
        <f t="shared" si="28"/>
        <v>0</v>
      </c>
      <c r="E341" s="208"/>
      <c r="F341" s="202"/>
      <c r="G341" s="207"/>
      <c r="H341" s="202"/>
      <c r="I341" s="208"/>
      <c r="J341" s="202"/>
      <c r="K341" s="208">
        <f t="shared" si="12"/>
        <v>0</v>
      </c>
      <c r="L341" s="202"/>
      <c r="M341" s="207"/>
      <c r="N341" s="202"/>
      <c r="O341" s="209"/>
      <c r="P341" s="202"/>
      <c r="Q341" s="206"/>
      <c r="R341" s="202"/>
      <c r="S341" s="207"/>
      <c r="T341" s="202"/>
      <c r="U341" s="207"/>
      <c r="V341" s="202"/>
      <c r="W341" s="208"/>
      <c r="X341" s="202"/>
      <c r="Y341" s="210">
        <f t="shared" si="31"/>
        <v>0</v>
      </c>
      <c r="Z341" s="202"/>
      <c r="AA341" s="207"/>
      <c r="AB341" s="202"/>
      <c r="AC341" s="209"/>
      <c r="AD341" s="202"/>
      <c r="AE341" s="206"/>
      <c r="AF341" s="202"/>
      <c r="AG341" s="207"/>
      <c r="AH341" s="202"/>
      <c r="AI341" s="207"/>
      <c r="AJ341" s="202"/>
      <c r="AK341" s="208"/>
      <c r="AL341" s="202"/>
      <c r="AM341" s="210">
        <f t="shared" si="14"/>
        <v>0</v>
      </c>
      <c r="AN341" s="202"/>
      <c r="AO341" s="207"/>
      <c r="AP341" s="202"/>
      <c r="AQ341" s="209"/>
      <c r="AR341" s="202"/>
      <c r="AS341" s="206"/>
      <c r="AT341" s="202"/>
      <c r="AU341" s="204"/>
      <c r="AV341" s="202"/>
      <c r="AW341" s="204"/>
      <c r="AX341" s="202"/>
      <c r="AY341" s="201"/>
      <c r="AZ341" s="202"/>
      <c r="BA341" s="210">
        <f t="shared" si="15"/>
        <v>0</v>
      </c>
      <c r="BB341" s="202"/>
      <c r="BC341" s="204"/>
      <c r="BD341" s="202"/>
      <c r="BE341" s="209"/>
      <c r="BF341" s="202"/>
      <c r="BG341" s="206"/>
      <c r="BH341" s="202"/>
      <c r="BI341" s="204"/>
      <c r="BJ341" s="202"/>
      <c r="BK341" s="204"/>
      <c r="BL341" s="202"/>
      <c r="BM341" s="201"/>
      <c r="BN341" s="202"/>
      <c r="BO341" s="203">
        <f t="shared" si="16"/>
        <v>0</v>
      </c>
      <c r="BP341" s="202"/>
      <c r="BQ341" s="138"/>
      <c r="BR341" s="128"/>
      <c r="BS341" s="128"/>
      <c r="BT341" s="128"/>
      <c r="BU341" s="128"/>
      <c r="BV341" s="128"/>
      <c r="BW341" s="139"/>
      <c r="BX341" s="140"/>
      <c r="BY341" s="139"/>
      <c r="BZ341" s="139"/>
      <c r="CA341" s="134"/>
      <c r="CB341" s="134"/>
      <c r="CC341" s="134"/>
      <c r="CD341" s="134"/>
      <c r="CE341" s="134"/>
      <c r="CF341" s="134"/>
      <c r="CG341" s="92"/>
      <c r="CH341" s="92"/>
      <c r="CI341" s="92"/>
      <c r="CJ341" s="92"/>
      <c r="CK341" s="92"/>
    </row>
    <row r="342" spans="1:89" ht="17.25" customHeight="1">
      <c r="A342" s="160"/>
      <c r="B342" s="52"/>
      <c r="C342" s="52"/>
      <c r="D342" s="137">
        <f t="shared" si="28"/>
        <v>0</v>
      </c>
      <c r="E342" s="208"/>
      <c r="F342" s="202"/>
      <c r="G342" s="207"/>
      <c r="H342" s="202"/>
      <c r="I342" s="208"/>
      <c r="J342" s="202"/>
      <c r="K342" s="208">
        <f t="shared" si="12"/>
        <v>0</v>
      </c>
      <c r="L342" s="202"/>
      <c r="M342" s="207"/>
      <c r="N342" s="202"/>
      <c r="O342" s="209"/>
      <c r="P342" s="202"/>
      <c r="Q342" s="206"/>
      <c r="R342" s="202"/>
      <c r="S342" s="207"/>
      <c r="T342" s="202"/>
      <c r="U342" s="207"/>
      <c r="V342" s="202"/>
      <c r="W342" s="208"/>
      <c r="X342" s="202"/>
      <c r="Y342" s="210">
        <f t="shared" si="31"/>
        <v>0</v>
      </c>
      <c r="Z342" s="202"/>
      <c r="AA342" s="207"/>
      <c r="AB342" s="202"/>
      <c r="AC342" s="209"/>
      <c r="AD342" s="202"/>
      <c r="AE342" s="206"/>
      <c r="AF342" s="202"/>
      <c r="AG342" s="207"/>
      <c r="AH342" s="202"/>
      <c r="AI342" s="207"/>
      <c r="AJ342" s="202"/>
      <c r="AK342" s="208"/>
      <c r="AL342" s="202"/>
      <c r="AM342" s="210">
        <f t="shared" si="14"/>
        <v>0</v>
      </c>
      <c r="AN342" s="202"/>
      <c r="AO342" s="207"/>
      <c r="AP342" s="202"/>
      <c r="AQ342" s="209"/>
      <c r="AR342" s="202"/>
      <c r="AS342" s="206"/>
      <c r="AT342" s="202"/>
      <c r="AU342" s="204"/>
      <c r="AV342" s="202"/>
      <c r="AW342" s="204"/>
      <c r="AX342" s="202"/>
      <c r="AY342" s="201"/>
      <c r="AZ342" s="202"/>
      <c r="BA342" s="210">
        <f t="shared" si="15"/>
        <v>0</v>
      </c>
      <c r="BB342" s="202"/>
      <c r="BC342" s="204"/>
      <c r="BD342" s="202"/>
      <c r="BE342" s="209"/>
      <c r="BF342" s="202"/>
      <c r="BG342" s="206"/>
      <c r="BH342" s="202"/>
      <c r="BI342" s="204"/>
      <c r="BJ342" s="202"/>
      <c r="BK342" s="204"/>
      <c r="BL342" s="202"/>
      <c r="BM342" s="201"/>
      <c r="BN342" s="202"/>
      <c r="BO342" s="203">
        <f t="shared" si="16"/>
        <v>0</v>
      </c>
      <c r="BP342" s="202"/>
      <c r="BQ342" s="138"/>
      <c r="BR342" s="128"/>
      <c r="BS342" s="128"/>
      <c r="BT342" s="128"/>
      <c r="BU342" s="128"/>
      <c r="BV342" s="128"/>
      <c r="BW342" s="139"/>
      <c r="BX342" s="140"/>
      <c r="BY342" s="139"/>
      <c r="BZ342" s="139"/>
      <c r="CA342" s="134"/>
      <c r="CB342" s="134"/>
      <c r="CC342" s="134"/>
      <c r="CD342" s="134"/>
      <c r="CE342" s="134"/>
      <c r="CF342" s="134"/>
      <c r="CG342" s="92"/>
      <c r="CH342" s="92"/>
      <c r="CI342" s="92"/>
      <c r="CJ342" s="92"/>
      <c r="CK342" s="92"/>
    </row>
    <row r="343" spans="1:89" ht="17.25" customHeight="1">
      <c r="A343" s="160"/>
      <c r="B343" s="52"/>
      <c r="C343" s="52"/>
      <c r="D343" s="137">
        <f t="shared" si="28"/>
        <v>0</v>
      </c>
      <c r="E343" s="208"/>
      <c r="F343" s="202"/>
      <c r="G343" s="207"/>
      <c r="H343" s="202"/>
      <c r="I343" s="208"/>
      <c r="J343" s="202"/>
      <c r="K343" s="208">
        <f t="shared" si="12"/>
        <v>0</v>
      </c>
      <c r="L343" s="202"/>
      <c r="M343" s="207"/>
      <c r="N343" s="202"/>
      <c r="O343" s="209"/>
      <c r="P343" s="202"/>
      <c r="Q343" s="206"/>
      <c r="R343" s="202"/>
      <c r="S343" s="207"/>
      <c r="T343" s="202"/>
      <c r="U343" s="207"/>
      <c r="V343" s="202"/>
      <c r="W343" s="208"/>
      <c r="X343" s="202"/>
      <c r="Y343" s="210">
        <f t="shared" si="31"/>
        <v>0</v>
      </c>
      <c r="Z343" s="202"/>
      <c r="AA343" s="207"/>
      <c r="AB343" s="202"/>
      <c r="AC343" s="209"/>
      <c r="AD343" s="202"/>
      <c r="AE343" s="206"/>
      <c r="AF343" s="202"/>
      <c r="AG343" s="207"/>
      <c r="AH343" s="202"/>
      <c r="AI343" s="207"/>
      <c r="AJ343" s="202"/>
      <c r="AK343" s="208"/>
      <c r="AL343" s="202"/>
      <c r="AM343" s="210">
        <f t="shared" si="14"/>
        <v>0</v>
      </c>
      <c r="AN343" s="202"/>
      <c r="AO343" s="207"/>
      <c r="AP343" s="202"/>
      <c r="AQ343" s="209"/>
      <c r="AR343" s="202"/>
      <c r="AS343" s="206"/>
      <c r="AT343" s="202"/>
      <c r="AU343" s="204"/>
      <c r="AV343" s="202"/>
      <c r="AW343" s="204"/>
      <c r="AX343" s="202"/>
      <c r="AY343" s="201"/>
      <c r="AZ343" s="202"/>
      <c r="BA343" s="210">
        <f t="shared" si="15"/>
        <v>0</v>
      </c>
      <c r="BB343" s="202"/>
      <c r="BC343" s="204"/>
      <c r="BD343" s="202"/>
      <c r="BE343" s="209"/>
      <c r="BF343" s="202"/>
      <c r="BG343" s="206"/>
      <c r="BH343" s="202"/>
      <c r="BI343" s="204"/>
      <c r="BJ343" s="202"/>
      <c r="BK343" s="204"/>
      <c r="BL343" s="202"/>
      <c r="BM343" s="201"/>
      <c r="BN343" s="202"/>
      <c r="BO343" s="203">
        <f t="shared" si="16"/>
        <v>0</v>
      </c>
      <c r="BP343" s="202"/>
      <c r="BQ343" s="138"/>
      <c r="BR343" s="128"/>
      <c r="BS343" s="128"/>
      <c r="BT343" s="128"/>
      <c r="BU343" s="128"/>
      <c r="BV343" s="128"/>
      <c r="BW343" s="139"/>
      <c r="BX343" s="140"/>
      <c r="BY343" s="139"/>
      <c r="BZ343" s="139"/>
      <c r="CA343" s="134"/>
      <c r="CB343" s="134"/>
      <c r="CC343" s="134"/>
      <c r="CD343" s="134"/>
      <c r="CE343" s="134"/>
      <c r="CF343" s="134"/>
      <c r="CG343" s="92"/>
      <c r="CH343" s="92"/>
      <c r="CI343" s="92"/>
      <c r="CJ343" s="92"/>
      <c r="CK343" s="92"/>
    </row>
    <row r="344" spans="1:89" ht="17.25" customHeight="1">
      <c r="A344" s="160"/>
      <c r="B344" s="52"/>
      <c r="C344" s="52"/>
      <c r="D344" s="137">
        <f t="shared" si="28"/>
        <v>0</v>
      </c>
      <c r="E344" s="208"/>
      <c r="F344" s="202"/>
      <c r="G344" s="207"/>
      <c r="H344" s="202"/>
      <c r="I344" s="208"/>
      <c r="J344" s="202"/>
      <c r="K344" s="208">
        <f t="shared" si="12"/>
        <v>0</v>
      </c>
      <c r="L344" s="202"/>
      <c r="M344" s="207"/>
      <c r="N344" s="202"/>
      <c r="O344" s="209"/>
      <c r="P344" s="202"/>
      <c r="Q344" s="206"/>
      <c r="R344" s="202"/>
      <c r="S344" s="207"/>
      <c r="T344" s="202"/>
      <c r="U344" s="207"/>
      <c r="V344" s="202"/>
      <c r="W344" s="208"/>
      <c r="X344" s="202"/>
      <c r="Y344" s="210">
        <f t="shared" si="31"/>
        <v>0</v>
      </c>
      <c r="Z344" s="202"/>
      <c r="AA344" s="207"/>
      <c r="AB344" s="202"/>
      <c r="AC344" s="209"/>
      <c r="AD344" s="202"/>
      <c r="AE344" s="206"/>
      <c r="AF344" s="202"/>
      <c r="AG344" s="207"/>
      <c r="AH344" s="202"/>
      <c r="AI344" s="207"/>
      <c r="AJ344" s="202"/>
      <c r="AK344" s="208"/>
      <c r="AL344" s="202"/>
      <c r="AM344" s="210">
        <f t="shared" si="14"/>
        <v>0</v>
      </c>
      <c r="AN344" s="202"/>
      <c r="AO344" s="207"/>
      <c r="AP344" s="202"/>
      <c r="AQ344" s="209"/>
      <c r="AR344" s="202"/>
      <c r="AS344" s="206"/>
      <c r="AT344" s="202"/>
      <c r="AU344" s="204"/>
      <c r="AV344" s="202"/>
      <c r="AW344" s="204"/>
      <c r="AX344" s="202"/>
      <c r="AY344" s="201"/>
      <c r="AZ344" s="202"/>
      <c r="BA344" s="210">
        <f t="shared" si="15"/>
        <v>0</v>
      </c>
      <c r="BB344" s="202"/>
      <c r="BC344" s="204"/>
      <c r="BD344" s="202"/>
      <c r="BE344" s="209"/>
      <c r="BF344" s="202"/>
      <c r="BG344" s="206"/>
      <c r="BH344" s="202"/>
      <c r="BI344" s="204"/>
      <c r="BJ344" s="202"/>
      <c r="BK344" s="204"/>
      <c r="BL344" s="202"/>
      <c r="BM344" s="201"/>
      <c r="BN344" s="202"/>
      <c r="BO344" s="203">
        <f t="shared" si="16"/>
        <v>0</v>
      </c>
      <c r="BP344" s="202"/>
      <c r="BQ344" s="138"/>
      <c r="BR344" s="128"/>
      <c r="BS344" s="128"/>
      <c r="BT344" s="128"/>
      <c r="BU344" s="128"/>
      <c r="BV344" s="128"/>
      <c r="BW344" s="139"/>
      <c r="BX344" s="140"/>
      <c r="BY344" s="139"/>
      <c r="BZ344" s="139"/>
      <c r="CA344" s="134"/>
      <c r="CB344" s="134"/>
      <c r="CC344" s="134"/>
      <c r="CD344" s="134"/>
      <c r="CE344" s="134"/>
      <c r="CF344" s="134"/>
      <c r="CG344" s="92"/>
      <c r="CH344" s="92"/>
      <c r="CI344" s="92"/>
      <c r="CJ344" s="92"/>
      <c r="CK344" s="92"/>
    </row>
    <row r="345" spans="1:89" ht="17.25" customHeight="1">
      <c r="A345" s="160"/>
      <c r="B345" s="52"/>
      <c r="C345" s="52"/>
      <c r="D345" s="137">
        <f t="shared" si="28"/>
        <v>0</v>
      </c>
      <c r="E345" s="208"/>
      <c r="F345" s="202"/>
      <c r="G345" s="207"/>
      <c r="H345" s="202"/>
      <c r="I345" s="208"/>
      <c r="J345" s="202"/>
      <c r="K345" s="208">
        <f t="shared" si="12"/>
        <v>0</v>
      </c>
      <c r="L345" s="202"/>
      <c r="M345" s="207"/>
      <c r="N345" s="202"/>
      <c r="O345" s="209"/>
      <c r="P345" s="202"/>
      <c r="Q345" s="206"/>
      <c r="R345" s="202"/>
      <c r="S345" s="207"/>
      <c r="T345" s="202"/>
      <c r="U345" s="207"/>
      <c r="V345" s="202"/>
      <c r="W345" s="208"/>
      <c r="X345" s="202"/>
      <c r="Y345" s="210">
        <f t="shared" si="31"/>
        <v>0</v>
      </c>
      <c r="Z345" s="202"/>
      <c r="AA345" s="207"/>
      <c r="AB345" s="202"/>
      <c r="AC345" s="209"/>
      <c r="AD345" s="202"/>
      <c r="AE345" s="206"/>
      <c r="AF345" s="202"/>
      <c r="AG345" s="207"/>
      <c r="AH345" s="202"/>
      <c r="AI345" s="207"/>
      <c r="AJ345" s="202"/>
      <c r="AK345" s="208"/>
      <c r="AL345" s="202"/>
      <c r="AM345" s="210">
        <f t="shared" si="14"/>
        <v>0</v>
      </c>
      <c r="AN345" s="202"/>
      <c r="AO345" s="207"/>
      <c r="AP345" s="202"/>
      <c r="AQ345" s="209"/>
      <c r="AR345" s="202"/>
      <c r="AS345" s="206"/>
      <c r="AT345" s="202"/>
      <c r="AU345" s="204"/>
      <c r="AV345" s="202"/>
      <c r="AW345" s="204"/>
      <c r="AX345" s="202"/>
      <c r="AY345" s="201"/>
      <c r="AZ345" s="202"/>
      <c r="BA345" s="210">
        <f t="shared" si="15"/>
        <v>0</v>
      </c>
      <c r="BB345" s="202"/>
      <c r="BC345" s="204"/>
      <c r="BD345" s="202"/>
      <c r="BE345" s="209"/>
      <c r="BF345" s="202"/>
      <c r="BG345" s="206"/>
      <c r="BH345" s="202"/>
      <c r="BI345" s="204"/>
      <c r="BJ345" s="202"/>
      <c r="BK345" s="204"/>
      <c r="BL345" s="202"/>
      <c r="BM345" s="201"/>
      <c r="BN345" s="202"/>
      <c r="BO345" s="203">
        <f t="shared" si="16"/>
        <v>0</v>
      </c>
      <c r="BP345" s="202"/>
      <c r="BQ345" s="138"/>
      <c r="BR345" s="128"/>
      <c r="BS345" s="128"/>
      <c r="BT345" s="128"/>
      <c r="BU345" s="128"/>
      <c r="BV345" s="128"/>
      <c r="BW345" s="139"/>
      <c r="BX345" s="140"/>
      <c r="BY345" s="139"/>
      <c r="BZ345" s="139"/>
      <c r="CA345" s="134"/>
      <c r="CB345" s="134"/>
      <c r="CC345" s="134"/>
      <c r="CD345" s="134"/>
      <c r="CE345" s="134"/>
      <c r="CF345" s="134"/>
      <c r="CG345" s="92"/>
      <c r="CH345" s="92"/>
      <c r="CI345" s="92"/>
      <c r="CJ345" s="92"/>
      <c r="CK345" s="92"/>
    </row>
    <row r="346" spans="1:89" ht="17.25" customHeight="1">
      <c r="A346" s="160"/>
      <c r="B346" s="52"/>
      <c r="C346" s="52"/>
      <c r="D346" s="137">
        <f t="shared" si="28"/>
        <v>0</v>
      </c>
      <c r="E346" s="208"/>
      <c r="F346" s="202"/>
      <c r="G346" s="207"/>
      <c r="H346" s="202"/>
      <c r="I346" s="208"/>
      <c r="J346" s="202"/>
      <c r="K346" s="208">
        <f t="shared" si="12"/>
        <v>0</v>
      </c>
      <c r="L346" s="202"/>
      <c r="M346" s="207"/>
      <c r="N346" s="202"/>
      <c r="O346" s="209"/>
      <c r="P346" s="202"/>
      <c r="Q346" s="206"/>
      <c r="R346" s="202"/>
      <c r="S346" s="207"/>
      <c r="T346" s="202"/>
      <c r="U346" s="207"/>
      <c r="V346" s="202"/>
      <c r="W346" s="208"/>
      <c r="X346" s="202"/>
      <c r="Y346" s="210">
        <f t="shared" si="31"/>
        <v>0</v>
      </c>
      <c r="Z346" s="202"/>
      <c r="AA346" s="207"/>
      <c r="AB346" s="202"/>
      <c r="AC346" s="209"/>
      <c r="AD346" s="202"/>
      <c r="AE346" s="206"/>
      <c r="AF346" s="202"/>
      <c r="AG346" s="207"/>
      <c r="AH346" s="202"/>
      <c r="AI346" s="207"/>
      <c r="AJ346" s="202"/>
      <c r="AK346" s="208"/>
      <c r="AL346" s="202"/>
      <c r="AM346" s="210">
        <f t="shared" si="14"/>
        <v>0</v>
      </c>
      <c r="AN346" s="202"/>
      <c r="AO346" s="207"/>
      <c r="AP346" s="202"/>
      <c r="AQ346" s="209"/>
      <c r="AR346" s="202"/>
      <c r="AS346" s="206"/>
      <c r="AT346" s="202"/>
      <c r="AU346" s="204"/>
      <c r="AV346" s="202"/>
      <c r="AW346" s="204"/>
      <c r="AX346" s="202"/>
      <c r="AY346" s="201"/>
      <c r="AZ346" s="202"/>
      <c r="BA346" s="210">
        <f t="shared" si="15"/>
        <v>0</v>
      </c>
      <c r="BB346" s="202"/>
      <c r="BC346" s="204"/>
      <c r="BD346" s="202"/>
      <c r="BE346" s="209"/>
      <c r="BF346" s="202"/>
      <c r="BG346" s="206"/>
      <c r="BH346" s="202"/>
      <c r="BI346" s="204"/>
      <c r="BJ346" s="202"/>
      <c r="BK346" s="204"/>
      <c r="BL346" s="202"/>
      <c r="BM346" s="201"/>
      <c r="BN346" s="202"/>
      <c r="BO346" s="203">
        <f t="shared" si="16"/>
        <v>0</v>
      </c>
      <c r="BP346" s="202"/>
      <c r="BQ346" s="138"/>
      <c r="BR346" s="128"/>
      <c r="BS346" s="128"/>
      <c r="BT346" s="128"/>
      <c r="BU346" s="128"/>
      <c r="BV346" s="128"/>
      <c r="BW346" s="139"/>
      <c r="BX346" s="140"/>
      <c r="BY346" s="139"/>
      <c r="BZ346" s="139"/>
      <c r="CA346" s="134"/>
      <c r="CB346" s="134"/>
      <c r="CC346" s="134"/>
      <c r="CD346" s="134"/>
      <c r="CE346" s="134"/>
      <c r="CF346" s="134"/>
      <c r="CG346" s="92"/>
      <c r="CH346" s="92"/>
      <c r="CI346" s="92"/>
      <c r="CJ346" s="92"/>
      <c r="CK346" s="92"/>
    </row>
    <row r="347" spans="1:89" ht="17.25" customHeight="1">
      <c r="A347" s="160"/>
      <c r="B347" s="52"/>
      <c r="C347" s="52"/>
      <c r="D347" s="137">
        <f t="shared" si="28"/>
        <v>0</v>
      </c>
      <c r="E347" s="208"/>
      <c r="F347" s="202"/>
      <c r="G347" s="207"/>
      <c r="H347" s="202"/>
      <c r="I347" s="208"/>
      <c r="J347" s="202"/>
      <c r="K347" s="208">
        <f t="shared" si="12"/>
        <v>0</v>
      </c>
      <c r="L347" s="202"/>
      <c r="M347" s="207"/>
      <c r="N347" s="202"/>
      <c r="O347" s="209"/>
      <c r="P347" s="202"/>
      <c r="Q347" s="206"/>
      <c r="R347" s="202"/>
      <c r="S347" s="207"/>
      <c r="T347" s="202"/>
      <c r="U347" s="207"/>
      <c r="V347" s="202"/>
      <c r="W347" s="208"/>
      <c r="X347" s="202"/>
      <c r="Y347" s="210">
        <f t="shared" si="31"/>
        <v>0</v>
      </c>
      <c r="Z347" s="202"/>
      <c r="AA347" s="207"/>
      <c r="AB347" s="202"/>
      <c r="AC347" s="209"/>
      <c r="AD347" s="202"/>
      <c r="AE347" s="206"/>
      <c r="AF347" s="202"/>
      <c r="AG347" s="207"/>
      <c r="AH347" s="202"/>
      <c r="AI347" s="207"/>
      <c r="AJ347" s="202"/>
      <c r="AK347" s="208"/>
      <c r="AL347" s="202"/>
      <c r="AM347" s="210">
        <f t="shared" si="14"/>
        <v>0</v>
      </c>
      <c r="AN347" s="202"/>
      <c r="AO347" s="207"/>
      <c r="AP347" s="202"/>
      <c r="AQ347" s="209"/>
      <c r="AR347" s="202"/>
      <c r="AS347" s="206"/>
      <c r="AT347" s="202"/>
      <c r="AU347" s="204"/>
      <c r="AV347" s="202"/>
      <c r="AW347" s="204"/>
      <c r="AX347" s="202"/>
      <c r="AY347" s="201"/>
      <c r="AZ347" s="202"/>
      <c r="BA347" s="210">
        <f t="shared" si="15"/>
        <v>0</v>
      </c>
      <c r="BB347" s="202"/>
      <c r="BC347" s="204"/>
      <c r="BD347" s="202"/>
      <c r="BE347" s="209"/>
      <c r="BF347" s="202"/>
      <c r="BG347" s="206"/>
      <c r="BH347" s="202"/>
      <c r="BI347" s="204"/>
      <c r="BJ347" s="202"/>
      <c r="BK347" s="204"/>
      <c r="BL347" s="202"/>
      <c r="BM347" s="201"/>
      <c r="BN347" s="202"/>
      <c r="BO347" s="203">
        <f t="shared" si="16"/>
        <v>0</v>
      </c>
      <c r="BP347" s="202"/>
      <c r="BQ347" s="138"/>
      <c r="BR347" s="128"/>
      <c r="BS347" s="128"/>
      <c r="BT347" s="128"/>
      <c r="BU347" s="128"/>
      <c r="BV347" s="128"/>
      <c r="BW347" s="139"/>
      <c r="BX347" s="140"/>
      <c r="BY347" s="139"/>
      <c r="BZ347" s="139"/>
      <c r="CA347" s="134"/>
      <c r="CB347" s="134"/>
      <c r="CC347" s="134"/>
      <c r="CD347" s="134"/>
      <c r="CE347" s="134"/>
      <c r="CF347" s="134"/>
      <c r="CG347" s="92"/>
      <c r="CH347" s="92"/>
      <c r="CI347" s="92"/>
      <c r="CJ347" s="92"/>
      <c r="CK347" s="92"/>
    </row>
    <row r="348" spans="1:89" ht="17.25" customHeight="1">
      <c r="A348" s="160"/>
      <c r="B348" s="52"/>
      <c r="C348" s="52"/>
      <c r="D348" s="137">
        <f t="shared" si="28"/>
        <v>0</v>
      </c>
      <c r="E348" s="208"/>
      <c r="F348" s="202"/>
      <c r="G348" s="207"/>
      <c r="H348" s="202"/>
      <c r="I348" s="208"/>
      <c r="J348" s="202"/>
      <c r="K348" s="208">
        <f t="shared" si="12"/>
        <v>0</v>
      </c>
      <c r="L348" s="202"/>
      <c r="M348" s="207"/>
      <c r="N348" s="202"/>
      <c r="O348" s="209"/>
      <c r="P348" s="202"/>
      <c r="Q348" s="206"/>
      <c r="R348" s="202"/>
      <c r="S348" s="207"/>
      <c r="T348" s="202"/>
      <c r="U348" s="207"/>
      <c r="V348" s="202"/>
      <c r="W348" s="208"/>
      <c r="X348" s="202"/>
      <c r="Y348" s="210">
        <f t="shared" si="31"/>
        <v>0</v>
      </c>
      <c r="Z348" s="202"/>
      <c r="AA348" s="207"/>
      <c r="AB348" s="202"/>
      <c r="AC348" s="209"/>
      <c r="AD348" s="202"/>
      <c r="AE348" s="206"/>
      <c r="AF348" s="202"/>
      <c r="AG348" s="207"/>
      <c r="AH348" s="202"/>
      <c r="AI348" s="207"/>
      <c r="AJ348" s="202"/>
      <c r="AK348" s="208"/>
      <c r="AL348" s="202"/>
      <c r="AM348" s="210">
        <f t="shared" si="14"/>
        <v>0</v>
      </c>
      <c r="AN348" s="202"/>
      <c r="AO348" s="207"/>
      <c r="AP348" s="202"/>
      <c r="AQ348" s="209"/>
      <c r="AR348" s="202"/>
      <c r="AS348" s="206"/>
      <c r="AT348" s="202"/>
      <c r="AU348" s="204"/>
      <c r="AV348" s="202"/>
      <c r="AW348" s="204"/>
      <c r="AX348" s="202"/>
      <c r="AY348" s="201"/>
      <c r="AZ348" s="202"/>
      <c r="BA348" s="210">
        <f t="shared" si="15"/>
        <v>0</v>
      </c>
      <c r="BB348" s="202"/>
      <c r="BC348" s="204"/>
      <c r="BD348" s="202"/>
      <c r="BE348" s="209"/>
      <c r="BF348" s="202"/>
      <c r="BG348" s="206"/>
      <c r="BH348" s="202"/>
      <c r="BI348" s="204"/>
      <c r="BJ348" s="202"/>
      <c r="BK348" s="204"/>
      <c r="BL348" s="202"/>
      <c r="BM348" s="201"/>
      <c r="BN348" s="202"/>
      <c r="BO348" s="203">
        <f t="shared" si="16"/>
        <v>0</v>
      </c>
      <c r="BP348" s="202"/>
      <c r="BQ348" s="138"/>
      <c r="BR348" s="128"/>
      <c r="BS348" s="128"/>
      <c r="BT348" s="128"/>
      <c r="BU348" s="128"/>
      <c r="BV348" s="128"/>
      <c r="BW348" s="139"/>
      <c r="BX348" s="140"/>
      <c r="BY348" s="139"/>
      <c r="BZ348" s="139"/>
      <c r="CA348" s="134"/>
      <c r="CB348" s="134"/>
      <c r="CC348" s="134"/>
      <c r="CD348" s="134"/>
      <c r="CE348" s="134"/>
      <c r="CF348" s="134"/>
      <c r="CG348" s="92"/>
      <c r="CH348" s="92"/>
      <c r="CI348" s="92"/>
      <c r="CJ348" s="92"/>
      <c r="CK348" s="92"/>
    </row>
    <row r="349" spans="1:89" ht="17.25" customHeight="1">
      <c r="A349" s="160"/>
      <c r="B349" s="52"/>
      <c r="C349" s="52"/>
      <c r="D349" s="137">
        <f t="shared" si="28"/>
        <v>0</v>
      </c>
      <c r="E349" s="208"/>
      <c r="F349" s="202"/>
      <c r="G349" s="207"/>
      <c r="H349" s="202"/>
      <c r="I349" s="208"/>
      <c r="J349" s="202"/>
      <c r="K349" s="208">
        <f t="shared" si="12"/>
        <v>0</v>
      </c>
      <c r="L349" s="202"/>
      <c r="M349" s="207"/>
      <c r="N349" s="202"/>
      <c r="O349" s="209"/>
      <c r="P349" s="202"/>
      <c r="Q349" s="206"/>
      <c r="R349" s="202"/>
      <c r="S349" s="207"/>
      <c r="T349" s="202"/>
      <c r="U349" s="207"/>
      <c r="V349" s="202"/>
      <c r="W349" s="208"/>
      <c r="X349" s="202"/>
      <c r="Y349" s="210">
        <f t="shared" si="31"/>
        <v>0</v>
      </c>
      <c r="Z349" s="202"/>
      <c r="AA349" s="207"/>
      <c r="AB349" s="202"/>
      <c r="AC349" s="209"/>
      <c r="AD349" s="202"/>
      <c r="AE349" s="206"/>
      <c r="AF349" s="202"/>
      <c r="AG349" s="207"/>
      <c r="AH349" s="202"/>
      <c r="AI349" s="207"/>
      <c r="AJ349" s="202"/>
      <c r="AK349" s="208"/>
      <c r="AL349" s="202"/>
      <c r="AM349" s="210">
        <f t="shared" si="14"/>
        <v>0</v>
      </c>
      <c r="AN349" s="202"/>
      <c r="AO349" s="207"/>
      <c r="AP349" s="202"/>
      <c r="AQ349" s="209"/>
      <c r="AR349" s="202"/>
      <c r="AS349" s="206"/>
      <c r="AT349" s="202"/>
      <c r="AU349" s="204"/>
      <c r="AV349" s="202"/>
      <c r="AW349" s="204"/>
      <c r="AX349" s="202"/>
      <c r="AY349" s="201"/>
      <c r="AZ349" s="202"/>
      <c r="BA349" s="210">
        <f t="shared" si="15"/>
        <v>0</v>
      </c>
      <c r="BB349" s="202"/>
      <c r="BC349" s="204"/>
      <c r="BD349" s="202"/>
      <c r="BE349" s="209"/>
      <c r="BF349" s="202"/>
      <c r="BG349" s="206"/>
      <c r="BH349" s="202"/>
      <c r="BI349" s="204"/>
      <c r="BJ349" s="202"/>
      <c r="BK349" s="204"/>
      <c r="BL349" s="202"/>
      <c r="BM349" s="201"/>
      <c r="BN349" s="202"/>
      <c r="BO349" s="203">
        <f t="shared" si="16"/>
        <v>0</v>
      </c>
      <c r="BP349" s="202"/>
      <c r="BQ349" s="138"/>
      <c r="BR349" s="128"/>
      <c r="BS349" s="128"/>
      <c r="BT349" s="128"/>
      <c r="BU349" s="128"/>
      <c r="BV349" s="128"/>
      <c r="BW349" s="139"/>
      <c r="BX349" s="140"/>
      <c r="BY349" s="139"/>
      <c r="BZ349" s="139"/>
      <c r="CA349" s="134"/>
      <c r="CB349" s="134"/>
      <c r="CC349" s="134"/>
      <c r="CD349" s="134"/>
      <c r="CE349" s="134"/>
      <c r="CF349" s="134"/>
      <c r="CG349" s="92"/>
      <c r="CH349" s="92"/>
      <c r="CI349" s="92"/>
      <c r="CJ349" s="92"/>
      <c r="CK349" s="92"/>
    </row>
    <row r="350" spans="1:89" ht="17.25" customHeight="1">
      <c r="A350" s="160"/>
      <c r="B350" s="52"/>
      <c r="C350" s="52"/>
      <c r="D350" s="137">
        <f t="shared" si="28"/>
        <v>0</v>
      </c>
      <c r="E350" s="208"/>
      <c r="F350" s="202"/>
      <c r="G350" s="207"/>
      <c r="H350" s="202"/>
      <c r="I350" s="208"/>
      <c r="J350" s="202"/>
      <c r="K350" s="208">
        <f t="shared" si="12"/>
        <v>0</v>
      </c>
      <c r="L350" s="202"/>
      <c r="M350" s="207"/>
      <c r="N350" s="202"/>
      <c r="O350" s="209"/>
      <c r="P350" s="202"/>
      <c r="Q350" s="206"/>
      <c r="R350" s="202"/>
      <c r="S350" s="207"/>
      <c r="T350" s="202"/>
      <c r="U350" s="207"/>
      <c r="V350" s="202"/>
      <c r="W350" s="208"/>
      <c r="X350" s="202"/>
      <c r="Y350" s="210">
        <f t="shared" si="31"/>
        <v>0</v>
      </c>
      <c r="Z350" s="202"/>
      <c r="AA350" s="207"/>
      <c r="AB350" s="202"/>
      <c r="AC350" s="209"/>
      <c r="AD350" s="202"/>
      <c r="AE350" s="206"/>
      <c r="AF350" s="202"/>
      <c r="AG350" s="207"/>
      <c r="AH350" s="202"/>
      <c r="AI350" s="207"/>
      <c r="AJ350" s="202"/>
      <c r="AK350" s="208"/>
      <c r="AL350" s="202"/>
      <c r="AM350" s="210">
        <f t="shared" si="14"/>
        <v>0</v>
      </c>
      <c r="AN350" s="202"/>
      <c r="AO350" s="207"/>
      <c r="AP350" s="202"/>
      <c r="AQ350" s="209"/>
      <c r="AR350" s="202"/>
      <c r="AS350" s="206"/>
      <c r="AT350" s="202"/>
      <c r="AU350" s="204"/>
      <c r="AV350" s="202"/>
      <c r="AW350" s="204"/>
      <c r="AX350" s="202"/>
      <c r="AY350" s="201"/>
      <c r="AZ350" s="202"/>
      <c r="BA350" s="210">
        <f t="shared" si="15"/>
        <v>0</v>
      </c>
      <c r="BB350" s="202"/>
      <c r="BC350" s="204"/>
      <c r="BD350" s="202"/>
      <c r="BE350" s="209"/>
      <c r="BF350" s="202"/>
      <c r="BG350" s="206"/>
      <c r="BH350" s="202"/>
      <c r="BI350" s="204"/>
      <c r="BJ350" s="202"/>
      <c r="BK350" s="204"/>
      <c r="BL350" s="202"/>
      <c r="BM350" s="201"/>
      <c r="BN350" s="202"/>
      <c r="BO350" s="203">
        <f t="shared" si="16"/>
        <v>0</v>
      </c>
      <c r="BP350" s="202"/>
      <c r="BQ350" s="138"/>
      <c r="BR350" s="128"/>
      <c r="BS350" s="128"/>
      <c r="BT350" s="128"/>
      <c r="BU350" s="128"/>
      <c r="BV350" s="128"/>
      <c r="BW350" s="139"/>
      <c r="BX350" s="140"/>
      <c r="BY350" s="139"/>
      <c r="BZ350" s="139"/>
      <c r="CA350" s="134"/>
      <c r="CB350" s="134"/>
      <c r="CC350" s="134"/>
      <c r="CD350" s="134"/>
      <c r="CE350" s="134"/>
      <c r="CF350" s="134"/>
      <c r="CG350" s="92"/>
      <c r="CH350" s="92"/>
      <c r="CI350" s="92"/>
      <c r="CJ350" s="92"/>
      <c r="CK350" s="92"/>
    </row>
    <row r="351" spans="1:89" ht="17.25" customHeight="1">
      <c r="A351" s="160"/>
      <c r="B351" s="52"/>
      <c r="C351" s="52"/>
      <c r="D351" s="137">
        <f t="shared" si="28"/>
        <v>0</v>
      </c>
      <c r="E351" s="208"/>
      <c r="F351" s="202"/>
      <c r="G351" s="207"/>
      <c r="H351" s="202"/>
      <c r="I351" s="208"/>
      <c r="J351" s="202"/>
      <c r="K351" s="208">
        <f t="shared" si="12"/>
        <v>0</v>
      </c>
      <c r="L351" s="202"/>
      <c r="M351" s="207"/>
      <c r="N351" s="202"/>
      <c r="O351" s="209"/>
      <c r="P351" s="202"/>
      <c r="Q351" s="206"/>
      <c r="R351" s="202"/>
      <c r="S351" s="207"/>
      <c r="T351" s="202"/>
      <c r="U351" s="207"/>
      <c r="V351" s="202"/>
      <c r="W351" s="208"/>
      <c r="X351" s="202"/>
      <c r="Y351" s="210">
        <f t="shared" si="31"/>
        <v>0</v>
      </c>
      <c r="Z351" s="202"/>
      <c r="AA351" s="207"/>
      <c r="AB351" s="202"/>
      <c r="AC351" s="209"/>
      <c r="AD351" s="202"/>
      <c r="AE351" s="206"/>
      <c r="AF351" s="202"/>
      <c r="AG351" s="207"/>
      <c r="AH351" s="202"/>
      <c r="AI351" s="207"/>
      <c r="AJ351" s="202"/>
      <c r="AK351" s="208"/>
      <c r="AL351" s="202"/>
      <c r="AM351" s="210">
        <f t="shared" si="14"/>
        <v>0</v>
      </c>
      <c r="AN351" s="202"/>
      <c r="AO351" s="207"/>
      <c r="AP351" s="202"/>
      <c r="AQ351" s="209"/>
      <c r="AR351" s="202"/>
      <c r="AS351" s="206"/>
      <c r="AT351" s="202"/>
      <c r="AU351" s="204"/>
      <c r="AV351" s="202"/>
      <c r="AW351" s="204"/>
      <c r="AX351" s="202"/>
      <c r="AY351" s="201"/>
      <c r="AZ351" s="202"/>
      <c r="BA351" s="210">
        <f t="shared" si="15"/>
        <v>0</v>
      </c>
      <c r="BB351" s="202"/>
      <c r="BC351" s="204"/>
      <c r="BD351" s="202"/>
      <c r="BE351" s="209"/>
      <c r="BF351" s="202"/>
      <c r="BG351" s="206"/>
      <c r="BH351" s="202"/>
      <c r="BI351" s="204"/>
      <c r="BJ351" s="202"/>
      <c r="BK351" s="204"/>
      <c r="BL351" s="202"/>
      <c r="BM351" s="201"/>
      <c r="BN351" s="202"/>
      <c r="BO351" s="203">
        <f t="shared" si="16"/>
        <v>0</v>
      </c>
      <c r="BP351" s="202"/>
      <c r="BQ351" s="138"/>
      <c r="BR351" s="128"/>
      <c r="BS351" s="128"/>
      <c r="BT351" s="128"/>
      <c r="BU351" s="128"/>
      <c r="BV351" s="128"/>
      <c r="BW351" s="139"/>
      <c r="BX351" s="140"/>
      <c r="BY351" s="139"/>
      <c r="BZ351" s="139"/>
      <c r="CA351" s="134"/>
      <c r="CB351" s="134"/>
      <c r="CC351" s="134"/>
      <c r="CD351" s="134"/>
      <c r="CE351" s="134"/>
      <c r="CF351" s="134"/>
      <c r="CG351" s="92"/>
      <c r="CH351" s="92"/>
      <c r="CI351" s="92"/>
      <c r="CJ351" s="92"/>
      <c r="CK351" s="92"/>
    </row>
    <row r="352" spans="1:89" ht="17.25" customHeight="1">
      <c r="A352" s="160"/>
      <c r="B352" s="52"/>
      <c r="C352" s="52"/>
      <c r="D352" s="137">
        <f t="shared" si="28"/>
        <v>0</v>
      </c>
      <c r="E352" s="208"/>
      <c r="F352" s="202"/>
      <c r="G352" s="207"/>
      <c r="H352" s="202"/>
      <c r="I352" s="208"/>
      <c r="J352" s="202"/>
      <c r="K352" s="208">
        <f t="shared" si="12"/>
        <v>0</v>
      </c>
      <c r="L352" s="202"/>
      <c r="M352" s="207"/>
      <c r="N352" s="202"/>
      <c r="O352" s="209"/>
      <c r="P352" s="202"/>
      <c r="Q352" s="206"/>
      <c r="R352" s="202"/>
      <c r="S352" s="207"/>
      <c r="T352" s="202"/>
      <c r="U352" s="207"/>
      <c r="V352" s="202"/>
      <c r="W352" s="208"/>
      <c r="X352" s="202"/>
      <c r="Y352" s="210">
        <f t="shared" si="31"/>
        <v>0</v>
      </c>
      <c r="Z352" s="202"/>
      <c r="AA352" s="207"/>
      <c r="AB352" s="202"/>
      <c r="AC352" s="209"/>
      <c r="AD352" s="202"/>
      <c r="AE352" s="206"/>
      <c r="AF352" s="202"/>
      <c r="AG352" s="207"/>
      <c r="AH352" s="202"/>
      <c r="AI352" s="207"/>
      <c r="AJ352" s="202"/>
      <c r="AK352" s="208"/>
      <c r="AL352" s="202"/>
      <c r="AM352" s="210">
        <f t="shared" si="14"/>
        <v>0</v>
      </c>
      <c r="AN352" s="202"/>
      <c r="AO352" s="207"/>
      <c r="AP352" s="202"/>
      <c r="AQ352" s="209"/>
      <c r="AR352" s="202"/>
      <c r="AS352" s="206"/>
      <c r="AT352" s="202"/>
      <c r="AU352" s="204"/>
      <c r="AV352" s="202"/>
      <c r="AW352" s="204"/>
      <c r="AX352" s="202"/>
      <c r="AY352" s="201"/>
      <c r="AZ352" s="202"/>
      <c r="BA352" s="210">
        <f t="shared" si="15"/>
        <v>0</v>
      </c>
      <c r="BB352" s="202"/>
      <c r="BC352" s="204"/>
      <c r="BD352" s="202"/>
      <c r="BE352" s="209"/>
      <c r="BF352" s="202"/>
      <c r="BG352" s="206"/>
      <c r="BH352" s="202"/>
      <c r="BI352" s="204"/>
      <c r="BJ352" s="202"/>
      <c r="BK352" s="204"/>
      <c r="BL352" s="202"/>
      <c r="BM352" s="201"/>
      <c r="BN352" s="202"/>
      <c r="BO352" s="203">
        <f t="shared" si="16"/>
        <v>0</v>
      </c>
      <c r="BP352" s="202"/>
      <c r="BQ352" s="138"/>
      <c r="BR352" s="128"/>
      <c r="BS352" s="128"/>
      <c r="BT352" s="128"/>
      <c r="BU352" s="128"/>
      <c r="BV352" s="128"/>
      <c r="BW352" s="139"/>
      <c r="BX352" s="140"/>
      <c r="BY352" s="139"/>
      <c r="BZ352" s="139"/>
      <c r="CA352" s="134"/>
      <c r="CB352" s="134"/>
      <c r="CC352" s="134"/>
      <c r="CD352" s="134"/>
      <c r="CE352" s="134"/>
      <c r="CF352" s="134"/>
      <c r="CG352" s="92"/>
      <c r="CH352" s="92"/>
      <c r="CI352" s="92"/>
      <c r="CJ352" s="92"/>
      <c r="CK352" s="92"/>
    </row>
    <row r="353" spans="1:89" ht="17.25" customHeight="1">
      <c r="A353" s="160"/>
      <c r="B353" s="52"/>
      <c r="C353" s="52"/>
      <c r="D353" s="137">
        <f t="shared" si="28"/>
        <v>0</v>
      </c>
      <c r="E353" s="208"/>
      <c r="F353" s="202"/>
      <c r="G353" s="207"/>
      <c r="H353" s="202"/>
      <c r="I353" s="208"/>
      <c r="J353" s="202"/>
      <c r="K353" s="208">
        <f t="shared" si="12"/>
        <v>0</v>
      </c>
      <c r="L353" s="202"/>
      <c r="M353" s="207"/>
      <c r="N353" s="202"/>
      <c r="O353" s="209"/>
      <c r="P353" s="202"/>
      <c r="Q353" s="206"/>
      <c r="R353" s="202"/>
      <c r="S353" s="207"/>
      <c r="T353" s="202"/>
      <c r="U353" s="207"/>
      <c r="V353" s="202"/>
      <c r="W353" s="208"/>
      <c r="X353" s="202"/>
      <c r="Y353" s="210">
        <f t="shared" si="31"/>
        <v>0</v>
      </c>
      <c r="Z353" s="202"/>
      <c r="AA353" s="207"/>
      <c r="AB353" s="202"/>
      <c r="AC353" s="209"/>
      <c r="AD353" s="202"/>
      <c r="AE353" s="206"/>
      <c r="AF353" s="202"/>
      <c r="AG353" s="207"/>
      <c r="AH353" s="202"/>
      <c r="AI353" s="207"/>
      <c r="AJ353" s="202"/>
      <c r="AK353" s="208"/>
      <c r="AL353" s="202"/>
      <c r="AM353" s="210">
        <f t="shared" si="14"/>
        <v>0</v>
      </c>
      <c r="AN353" s="202"/>
      <c r="AO353" s="207"/>
      <c r="AP353" s="202"/>
      <c r="AQ353" s="209"/>
      <c r="AR353" s="202"/>
      <c r="AS353" s="206"/>
      <c r="AT353" s="202"/>
      <c r="AU353" s="204"/>
      <c r="AV353" s="202"/>
      <c r="AW353" s="204"/>
      <c r="AX353" s="202"/>
      <c r="AY353" s="201"/>
      <c r="AZ353" s="202"/>
      <c r="BA353" s="210">
        <f t="shared" si="15"/>
        <v>0</v>
      </c>
      <c r="BB353" s="202"/>
      <c r="BC353" s="204"/>
      <c r="BD353" s="202"/>
      <c r="BE353" s="209"/>
      <c r="BF353" s="202"/>
      <c r="BG353" s="206"/>
      <c r="BH353" s="202"/>
      <c r="BI353" s="204"/>
      <c r="BJ353" s="202"/>
      <c r="BK353" s="204"/>
      <c r="BL353" s="202"/>
      <c r="BM353" s="201"/>
      <c r="BN353" s="202"/>
      <c r="BO353" s="203">
        <f t="shared" si="16"/>
        <v>0</v>
      </c>
      <c r="BP353" s="202"/>
      <c r="BQ353" s="138"/>
      <c r="BR353" s="128"/>
      <c r="BS353" s="128"/>
      <c r="BT353" s="128"/>
      <c r="BU353" s="128"/>
      <c r="BV353" s="128"/>
      <c r="BW353" s="139"/>
      <c r="BX353" s="140"/>
      <c r="BY353" s="139"/>
      <c r="BZ353" s="139"/>
      <c r="CA353" s="134"/>
      <c r="CB353" s="134"/>
      <c r="CC353" s="134"/>
      <c r="CD353" s="134"/>
      <c r="CE353" s="134"/>
      <c r="CF353" s="134"/>
      <c r="CG353" s="92"/>
      <c r="CH353" s="92"/>
      <c r="CI353" s="92"/>
      <c r="CJ353" s="92"/>
      <c r="CK353" s="92"/>
    </row>
    <row r="354" spans="1:89" ht="17.25" customHeight="1">
      <c r="A354" s="160"/>
      <c r="B354" s="52"/>
      <c r="C354" s="52"/>
      <c r="D354" s="137">
        <f t="shared" si="28"/>
        <v>0</v>
      </c>
      <c r="E354" s="208"/>
      <c r="F354" s="202"/>
      <c r="G354" s="207"/>
      <c r="H354" s="202"/>
      <c r="I354" s="208"/>
      <c r="J354" s="202"/>
      <c r="K354" s="208">
        <f t="shared" si="12"/>
        <v>0</v>
      </c>
      <c r="L354" s="202"/>
      <c r="M354" s="207"/>
      <c r="N354" s="202"/>
      <c r="O354" s="209"/>
      <c r="P354" s="202"/>
      <c r="Q354" s="206"/>
      <c r="R354" s="202"/>
      <c r="S354" s="207"/>
      <c r="T354" s="202"/>
      <c r="U354" s="207"/>
      <c r="V354" s="202"/>
      <c r="W354" s="208"/>
      <c r="X354" s="202"/>
      <c r="Y354" s="210">
        <f t="shared" si="31"/>
        <v>0</v>
      </c>
      <c r="Z354" s="202"/>
      <c r="AA354" s="207"/>
      <c r="AB354" s="202"/>
      <c r="AC354" s="209"/>
      <c r="AD354" s="202"/>
      <c r="AE354" s="206"/>
      <c r="AF354" s="202"/>
      <c r="AG354" s="207"/>
      <c r="AH354" s="202"/>
      <c r="AI354" s="207"/>
      <c r="AJ354" s="202"/>
      <c r="AK354" s="208"/>
      <c r="AL354" s="202"/>
      <c r="AM354" s="210">
        <f t="shared" si="14"/>
        <v>0</v>
      </c>
      <c r="AN354" s="202"/>
      <c r="AO354" s="207"/>
      <c r="AP354" s="202"/>
      <c r="AQ354" s="209"/>
      <c r="AR354" s="202"/>
      <c r="AS354" s="206"/>
      <c r="AT354" s="202"/>
      <c r="AU354" s="204"/>
      <c r="AV354" s="202"/>
      <c r="AW354" s="204"/>
      <c r="AX354" s="202"/>
      <c r="AY354" s="201"/>
      <c r="AZ354" s="202"/>
      <c r="BA354" s="210">
        <f t="shared" si="15"/>
        <v>0</v>
      </c>
      <c r="BB354" s="202"/>
      <c r="BC354" s="204"/>
      <c r="BD354" s="202"/>
      <c r="BE354" s="209"/>
      <c r="BF354" s="202"/>
      <c r="BG354" s="206"/>
      <c r="BH354" s="202"/>
      <c r="BI354" s="204"/>
      <c r="BJ354" s="202"/>
      <c r="BK354" s="204"/>
      <c r="BL354" s="202"/>
      <c r="BM354" s="201"/>
      <c r="BN354" s="202"/>
      <c r="BO354" s="203">
        <f t="shared" si="16"/>
        <v>0</v>
      </c>
      <c r="BP354" s="202"/>
      <c r="BQ354" s="138"/>
      <c r="BR354" s="128"/>
      <c r="BS354" s="128"/>
      <c r="BT354" s="128"/>
      <c r="BU354" s="128"/>
      <c r="BV354" s="128"/>
      <c r="BW354" s="139"/>
      <c r="BX354" s="140"/>
      <c r="BY354" s="139"/>
      <c r="BZ354" s="139"/>
      <c r="CA354" s="134"/>
      <c r="CB354" s="134"/>
      <c r="CC354" s="134"/>
      <c r="CD354" s="134"/>
      <c r="CE354" s="134"/>
      <c r="CF354" s="134"/>
      <c r="CG354" s="92"/>
      <c r="CH354" s="92"/>
      <c r="CI354" s="92"/>
      <c r="CJ354" s="92"/>
      <c r="CK354" s="92"/>
    </row>
    <row r="355" spans="1:89" ht="17.25" customHeight="1">
      <c r="A355" s="160"/>
      <c r="B355" s="52"/>
      <c r="C355" s="52"/>
      <c r="D355" s="137">
        <f t="shared" si="28"/>
        <v>0</v>
      </c>
      <c r="E355" s="208"/>
      <c r="F355" s="202"/>
      <c r="G355" s="207"/>
      <c r="H355" s="202"/>
      <c r="I355" s="208"/>
      <c r="J355" s="202"/>
      <c r="K355" s="208">
        <f t="shared" si="12"/>
        <v>0</v>
      </c>
      <c r="L355" s="202"/>
      <c r="M355" s="207"/>
      <c r="N355" s="202"/>
      <c r="O355" s="209"/>
      <c r="P355" s="202"/>
      <c r="Q355" s="206"/>
      <c r="R355" s="202"/>
      <c r="S355" s="207"/>
      <c r="T355" s="202"/>
      <c r="U355" s="207"/>
      <c r="V355" s="202"/>
      <c r="W355" s="208"/>
      <c r="X355" s="202"/>
      <c r="Y355" s="210">
        <f t="shared" si="31"/>
        <v>0</v>
      </c>
      <c r="Z355" s="202"/>
      <c r="AA355" s="207"/>
      <c r="AB355" s="202"/>
      <c r="AC355" s="209"/>
      <c r="AD355" s="202"/>
      <c r="AE355" s="206"/>
      <c r="AF355" s="202"/>
      <c r="AG355" s="207"/>
      <c r="AH355" s="202"/>
      <c r="AI355" s="207"/>
      <c r="AJ355" s="202"/>
      <c r="AK355" s="208"/>
      <c r="AL355" s="202"/>
      <c r="AM355" s="210">
        <f t="shared" si="14"/>
        <v>0</v>
      </c>
      <c r="AN355" s="202"/>
      <c r="AO355" s="207"/>
      <c r="AP355" s="202"/>
      <c r="AQ355" s="209"/>
      <c r="AR355" s="202"/>
      <c r="AS355" s="206"/>
      <c r="AT355" s="202"/>
      <c r="AU355" s="204"/>
      <c r="AV355" s="202"/>
      <c r="AW355" s="204"/>
      <c r="AX355" s="202"/>
      <c r="AY355" s="201"/>
      <c r="AZ355" s="202"/>
      <c r="BA355" s="210">
        <f t="shared" si="15"/>
        <v>0</v>
      </c>
      <c r="BB355" s="202"/>
      <c r="BC355" s="204"/>
      <c r="BD355" s="202"/>
      <c r="BE355" s="209"/>
      <c r="BF355" s="202"/>
      <c r="BG355" s="206"/>
      <c r="BH355" s="202"/>
      <c r="BI355" s="204"/>
      <c r="BJ355" s="202"/>
      <c r="BK355" s="204"/>
      <c r="BL355" s="202"/>
      <c r="BM355" s="201"/>
      <c r="BN355" s="202"/>
      <c r="BO355" s="203">
        <f t="shared" si="16"/>
        <v>0</v>
      </c>
      <c r="BP355" s="202"/>
      <c r="BQ355" s="138"/>
      <c r="BR355" s="128"/>
      <c r="BS355" s="128"/>
      <c r="BT355" s="128"/>
      <c r="BU355" s="128"/>
      <c r="BV355" s="128"/>
      <c r="BW355" s="139"/>
      <c r="BX355" s="140"/>
      <c r="BY355" s="139"/>
      <c r="BZ355" s="139"/>
      <c r="CA355" s="134"/>
      <c r="CB355" s="134"/>
      <c r="CC355" s="134"/>
      <c r="CD355" s="134"/>
      <c r="CE355" s="134"/>
      <c r="CF355" s="134"/>
      <c r="CG355" s="92"/>
      <c r="CH355" s="92"/>
      <c r="CI355" s="92"/>
      <c r="CJ355" s="92"/>
      <c r="CK355" s="92"/>
    </row>
    <row r="356" spans="1:89" ht="17.25" customHeight="1">
      <c r="A356" s="160"/>
      <c r="B356" s="52"/>
      <c r="C356" s="52"/>
      <c r="D356" s="137">
        <f t="shared" si="28"/>
        <v>0</v>
      </c>
      <c r="E356" s="208"/>
      <c r="F356" s="202"/>
      <c r="G356" s="207"/>
      <c r="H356" s="202"/>
      <c r="I356" s="208"/>
      <c r="J356" s="202"/>
      <c r="K356" s="208">
        <f t="shared" si="12"/>
        <v>0</v>
      </c>
      <c r="L356" s="202"/>
      <c r="M356" s="207"/>
      <c r="N356" s="202"/>
      <c r="O356" s="209"/>
      <c r="P356" s="202"/>
      <c r="Q356" s="206"/>
      <c r="R356" s="202"/>
      <c r="S356" s="207"/>
      <c r="T356" s="202"/>
      <c r="U356" s="207"/>
      <c r="V356" s="202"/>
      <c r="W356" s="208"/>
      <c r="X356" s="202"/>
      <c r="Y356" s="210">
        <f t="shared" si="31"/>
        <v>0</v>
      </c>
      <c r="Z356" s="202"/>
      <c r="AA356" s="207"/>
      <c r="AB356" s="202"/>
      <c r="AC356" s="209"/>
      <c r="AD356" s="202"/>
      <c r="AE356" s="206"/>
      <c r="AF356" s="202"/>
      <c r="AG356" s="207"/>
      <c r="AH356" s="202"/>
      <c r="AI356" s="207"/>
      <c r="AJ356" s="202"/>
      <c r="AK356" s="208"/>
      <c r="AL356" s="202"/>
      <c r="AM356" s="210">
        <f t="shared" si="14"/>
        <v>0</v>
      </c>
      <c r="AN356" s="202"/>
      <c r="AO356" s="207"/>
      <c r="AP356" s="202"/>
      <c r="AQ356" s="209"/>
      <c r="AR356" s="202"/>
      <c r="AS356" s="206"/>
      <c r="AT356" s="202"/>
      <c r="AU356" s="204"/>
      <c r="AV356" s="202"/>
      <c r="AW356" s="204"/>
      <c r="AX356" s="202"/>
      <c r="AY356" s="201"/>
      <c r="AZ356" s="202"/>
      <c r="BA356" s="210">
        <f t="shared" si="15"/>
        <v>0</v>
      </c>
      <c r="BB356" s="202"/>
      <c r="BC356" s="204"/>
      <c r="BD356" s="202"/>
      <c r="BE356" s="209"/>
      <c r="BF356" s="202"/>
      <c r="BG356" s="206"/>
      <c r="BH356" s="202"/>
      <c r="BI356" s="204"/>
      <c r="BJ356" s="202"/>
      <c r="BK356" s="204"/>
      <c r="BL356" s="202"/>
      <c r="BM356" s="201"/>
      <c r="BN356" s="202"/>
      <c r="BO356" s="203">
        <f t="shared" si="16"/>
        <v>0</v>
      </c>
      <c r="BP356" s="202"/>
      <c r="BQ356" s="138"/>
      <c r="BR356" s="128"/>
      <c r="BS356" s="128"/>
      <c r="BT356" s="128"/>
      <c r="BU356" s="128"/>
      <c r="BV356" s="128"/>
      <c r="BW356" s="139"/>
      <c r="BX356" s="140"/>
      <c r="BY356" s="139"/>
      <c r="BZ356" s="139"/>
      <c r="CA356" s="134"/>
      <c r="CB356" s="134"/>
      <c r="CC356" s="134"/>
      <c r="CD356" s="134"/>
      <c r="CE356" s="134"/>
      <c r="CF356" s="134"/>
      <c r="CG356" s="92"/>
      <c r="CH356" s="92"/>
      <c r="CI356" s="92"/>
      <c r="CJ356" s="92"/>
      <c r="CK356" s="92"/>
    </row>
    <row r="357" spans="1:89" ht="17.25" customHeight="1">
      <c r="A357" s="160"/>
      <c r="B357" s="52"/>
      <c r="C357" s="52"/>
      <c r="D357" s="137">
        <f t="shared" si="28"/>
        <v>0</v>
      </c>
      <c r="E357" s="208"/>
      <c r="F357" s="202"/>
      <c r="G357" s="207"/>
      <c r="H357" s="202"/>
      <c r="I357" s="208"/>
      <c r="J357" s="202"/>
      <c r="K357" s="208">
        <f t="shared" si="12"/>
        <v>0</v>
      </c>
      <c r="L357" s="202"/>
      <c r="M357" s="207"/>
      <c r="N357" s="202"/>
      <c r="O357" s="209"/>
      <c r="P357" s="202"/>
      <c r="Q357" s="206"/>
      <c r="R357" s="202"/>
      <c r="S357" s="207"/>
      <c r="T357" s="202"/>
      <c r="U357" s="207"/>
      <c r="V357" s="202"/>
      <c r="W357" s="208"/>
      <c r="X357" s="202"/>
      <c r="Y357" s="210">
        <f t="shared" si="31"/>
        <v>0</v>
      </c>
      <c r="Z357" s="202"/>
      <c r="AA357" s="207"/>
      <c r="AB357" s="202"/>
      <c r="AC357" s="209"/>
      <c r="AD357" s="202"/>
      <c r="AE357" s="206"/>
      <c r="AF357" s="202"/>
      <c r="AG357" s="207"/>
      <c r="AH357" s="202"/>
      <c r="AI357" s="207"/>
      <c r="AJ357" s="202"/>
      <c r="AK357" s="208"/>
      <c r="AL357" s="202"/>
      <c r="AM357" s="210">
        <f t="shared" si="14"/>
        <v>0</v>
      </c>
      <c r="AN357" s="202"/>
      <c r="AO357" s="207"/>
      <c r="AP357" s="202"/>
      <c r="AQ357" s="209"/>
      <c r="AR357" s="202"/>
      <c r="AS357" s="206"/>
      <c r="AT357" s="202"/>
      <c r="AU357" s="204"/>
      <c r="AV357" s="202"/>
      <c r="AW357" s="204"/>
      <c r="AX357" s="202"/>
      <c r="AY357" s="201"/>
      <c r="AZ357" s="202"/>
      <c r="BA357" s="210">
        <f t="shared" si="15"/>
        <v>0</v>
      </c>
      <c r="BB357" s="202"/>
      <c r="BC357" s="204"/>
      <c r="BD357" s="202"/>
      <c r="BE357" s="209"/>
      <c r="BF357" s="202"/>
      <c r="BG357" s="206"/>
      <c r="BH357" s="202"/>
      <c r="BI357" s="204"/>
      <c r="BJ357" s="202"/>
      <c r="BK357" s="204"/>
      <c r="BL357" s="202"/>
      <c r="BM357" s="201"/>
      <c r="BN357" s="202"/>
      <c r="BO357" s="203">
        <f t="shared" si="16"/>
        <v>0</v>
      </c>
      <c r="BP357" s="202"/>
      <c r="BQ357" s="138"/>
      <c r="BR357" s="128"/>
      <c r="BS357" s="128"/>
      <c r="BT357" s="128"/>
      <c r="BU357" s="128"/>
      <c r="BV357" s="128"/>
      <c r="BW357" s="139"/>
      <c r="BX357" s="140"/>
      <c r="BY357" s="139"/>
      <c r="BZ357" s="139"/>
      <c r="CA357" s="134"/>
      <c r="CB357" s="134"/>
      <c r="CC357" s="134"/>
      <c r="CD357" s="134"/>
      <c r="CE357" s="134"/>
      <c r="CF357" s="134"/>
      <c r="CG357" s="92"/>
      <c r="CH357" s="92"/>
      <c r="CI357" s="92"/>
      <c r="CJ357" s="92"/>
      <c r="CK357" s="92"/>
    </row>
    <row r="358" spans="1:89" ht="17.25" customHeight="1">
      <c r="A358" s="160"/>
      <c r="B358" s="52"/>
      <c r="C358" s="52"/>
      <c r="D358" s="137">
        <f t="shared" si="28"/>
        <v>0</v>
      </c>
      <c r="E358" s="208"/>
      <c r="F358" s="202"/>
      <c r="G358" s="207"/>
      <c r="H358" s="202"/>
      <c r="I358" s="208"/>
      <c r="J358" s="202"/>
      <c r="K358" s="208">
        <f t="shared" si="12"/>
        <v>0</v>
      </c>
      <c r="L358" s="202"/>
      <c r="M358" s="207"/>
      <c r="N358" s="202"/>
      <c r="O358" s="209"/>
      <c r="P358" s="202"/>
      <c r="Q358" s="206"/>
      <c r="R358" s="202"/>
      <c r="S358" s="207"/>
      <c r="T358" s="202"/>
      <c r="U358" s="207"/>
      <c r="V358" s="202"/>
      <c r="W358" s="208"/>
      <c r="X358" s="202"/>
      <c r="Y358" s="210">
        <f t="shared" si="31"/>
        <v>0</v>
      </c>
      <c r="Z358" s="202"/>
      <c r="AA358" s="207"/>
      <c r="AB358" s="202"/>
      <c r="AC358" s="209"/>
      <c r="AD358" s="202"/>
      <c r="AE358" s="206"/>
      <c r="AF358" s="202"/>
      <c r="AG358" s="207"/>
      <c r="AH358" s="202"/>
      <c r="AI358" s="207"/>
      <c r="AJ358" s="202"/>
      <c r="AK358" s="208"/>
      <c r="AL358" s="202"/>
      <c r="AM358" s="210">
        <f t="shared" si="14"/>
        <v>0</v>
      </c>
      <c r="AN358" s="202"/>
      <c r="AO358" s="207"/>
      <c r="AP358" s="202"/>
      <c r="AQ358" s="209"/>
      <c r="AR358" s="202"/>
      <c r="AS358" s="206"/>
      <c r="AT358" s="202"/>
      <c r="AU358" s="204"/>
      <c r="AV358" s="202"/>
      <c r="AW358" s="204"/>
      <c r="AX358" s="202"/>
      <c r="AY358" s="201"/>
      <c r="AZ358" s="202"/>
      <c r="BA358" s="210">
        <f t="shared" si="15"/>
        <v>0</v>
      </c>
      <c r="BB358" s="202"/>
      <c r="BC358" s="204"/>
      <c r="BD358" s="202"/>
      <c r="BE358" s="209"/>
      <c r="BF358" s="202"/>
      <c r="BG358" s="206"/>
      <c r="BH358" s="202"/>
      <c r="BI358" s="204"/>
      <c r="BJ358" s="202"/>
      <c r="BK358" s="204"/>
      <c r="BL358" s="202"/>
      <c r="BM358" s="201"/>
      <c r="BN358" s="202"/>
      <c r="BO358" s="203">
        <f t="shared" si="16"/>
        <v>0</v>
      </c>
      <c r="BP358" s="202"/>
      <c r="BQ358" s="138"/>
      <c r="BR358" s="128"/>
      <c r="BS358" s="128"/>
      <c r="BT358" s="128"/>
      <c r="BU358" s="128"/>
      <c r="BV358" s="128"/>
      <c r="BW358" s="139"/>
      <c r="BX358" s="140"/>
      <c r="BY358" s="139"/>
      <c r="BZ358" s="139"/>
      <c r="CA358" s="134"/>
      <c r="CB358" s="134"/>
      <c r="CC358" s="134"/>
      <c r="CD358" s="134"/>
      <c r="CE358" s="134"/>
      <c r="CF358" s="134"/>
      <c r="CG358" s="92"/>
      <c r="CH358" s="92"/>
      <c r="CI358" s="92"/>
      <c r="CJ358" s="92"/>
      <c r="CK358" s="92"/>
    </row>
    <row r="359" spans="1:89" ht="17.25" customHeight="1">
      <c r="A359" s="160"/>
      <c r="B359" s="52"/>
      <c r="C359" s="52"/>
      <c r="D359" s="137">
        <f t="shared" si="28"/>
        <v>0</v>
      </c>
      <c r="E359" s="208"/>
      <c r="F359" s="202"/>
      <c r="G359" s="207"/>
      <c r="H359" s="202"/>
      <c r="I359" s="208"/>
      <c r="J359" s="202"/>
      <c r="K359" s="208">
        <f t="shared" si="12"/>
        <v>0</v>
      </c>
      <c r="L359" s="202"/>
      <c r="M359" s="207"/>
      <c r="N359" s="202"/>
      <c r="O359" s="209"/>
      <c r="P359" s="202"/>
      <c r="Q359" s="206"/>
      <c r="R359" s="202"/>
      <c r="S359" s="207"/>
      <c r="T359" s="202"/>
      <c r="U359" s="207"/>
      <c r="V359" s="202"/>
      <c r="W359" s="208"/>
      <c r="X359" s="202"/>
      <c r="Y359" s="210">
        <f t="shared" si="31"/>
        <v>0</v>
      </c>
      <c r="Z359" s="202"/>
      <c r="AA359" s="207"/>
      <c r="AB359" s="202"/>
      <c r="AC359" s="209"/>
      <c r="AD359" s="202"/>
      <c r="AE359" s="206"/>
      <c r="AF359" s="202"/>
      <c r="AG359" s="207"/>
      <c r="AH359" s="202"/>
      <c r="AI359" s="207"/>
      <c r="AJ359" s="202"/>
      <c r="AK359" s="208"/>
      <c r="AL359" s="202"/>
      <c r="AM359" s="210">
        <f t="shared" si="14"/>
        <v>0</v>
      </c>
      <c r="AN359" s="202"/>
      <c r="AO359" s="207"/>
      <c r="AP359" s="202"/>
      <c r="AQ359" s="209"/>
      <c r="AR359" s="202"/>
      <c r="AS359" s="206"/>
      <c r="AT359" s="202"/>
      <c r="AU359" s="204"/>
      <c r="AV359" s="202"/>
      <c r="AW359" s="204"/>
      <c r="AX359" s="202"/>
      <c r="AY359" s="201"/>
      <c r="AZ359" s="202"/>
      <c r="BA359" s="210">
        <f t="shared" si="15"/>
        <v>0</v>
      </c>
      <c r="BB359" s="202"/>
      <c r="BC359" s="204"/>
      <c r="BD359" s="202"/>
      <c r="BE359" s="209"/>
      <c r="BF359" s="202"/>
      <c r="BG359" s="206"/>
      <c r="BH359" s="202"/>
      <c r="BI359" s="204"/>
      <c r="BJ359" s="202"/>
      <c r="BK359" s="204"/>
      <c r="BL359" s="202"/>
      <c r="BM359" s="201"/>
      <c r="BN359" s="202"/>
      <c r="BO359" s="203">
        <f t="shared" si="16"/>
        <v>0</v>
      </c>
      <c r="BP359" s="202"/>
      <c r="BQ359" s="138"/>
      <c r="BR359" s="128"/>
      <c r="BS359" s="128"/>
      <c r="BT359" s="128"/>
      <c r="BU359" s="128"/>
      <c r="BV359" s="128"/>
      <c r="BW359" s="139"/>
      <c r="BX359" s="140"/>
      <c r="BY359" s="139"/>
      <c r="BZ359" s="139"/>
      <c r="CA359" s="134"/>
      <c r="CB359" s="134"/>
      <c r="CC359" s="134"/>
      <c r="CD359" s="134"/>
      <c r="CE359" s="134"/>
      <c r="CF359" s="134"/>
      <c r="CG359" s="92"/>
      <c r="CH359" s="92"/>
      <c r="CI359" s="92"/>
      <c r="CJ359" s="92"/>
      <c r="CK359" s="92"/>
    </row>
    <row r="360" spans="1:89" ht="17.25" customHeight="1">
      <c r="A360" s="160"/>
      <c r="B360" s="52"/>
      <c r="C360" s="52"/>
      <c r="D360" s="137">
        <f t="shared" si="28"/>
        <v>0</v>
      </c>
      <c r="E360" s="208"/>
      <c r="F360" s="202"/>
      <c r="G360" s="207"/>
      <c r="H360" s="202"/>
      <c r="I360" s="208"/>
      <c r="J360" s="202"/>
      <c r="K360" s="208">
        <f t="shared" si="12"/>
        <v>0</v>
      </c>
      <c r="L360" s="202"/>
      <c r="M360" s="207"/>
      <c r="N360" s="202"/>
      <c r="O360" s="209"/>
      <c r="P360" s="202"/>
      <c r="Q360" s="206"/>
      <c r="R360" s="202"/>
      <c r="S360" s="207"/>
      <c r="T360" s="202"/>
      <c r="U360" s="207"/>
      <c r="V360" s="202"/>
      <c r="W360" s="208"/>
      <c r="X360" s="202"/>
      <c r="Y360" s="210">
        <f t="shared" si="31"/>
        <v>0</v>
      </c>
      <c r="Z360" s="202"/>
      <c r="AA360" s="207"/>
      <c r="AB360" s="202"/>
      <c r="AC360" s="209"/>
      <c r="AD360" s="202"/>
      <c r="AE360" s="206"/>
      <c r="AF360" s="202"/>
      <c r="AG360" s="207"/>
      <c r="AH360" s="202"/>
      <c r="AI360" s="207"/>
      <c r="AJ360" s="202"/>
      <c r="AK360" s="208"/>
      <c r="AL360" s="202"/>
      <c r="AM360" s="210">
        <f t="shared" si="14"/>
        <v>0</v>
      </c>
      <c r="AN360" s="202"/>
      <c r="AO360" s="207"/>
      <c r="AP360" s="202"/>
      <c r="AQ360" s="209"/>
      <c r="AR360" s="202"/>
      <c r="AS360" s="206"/>
      <c r="AT360" s="202"/>
      <c r="AU360" s="204"/>
      <c r="AV360" s="202"/>
      <c r="AW360" s="204"/>
      <c r="AX360" s="202"/>
      <c r="AY360" s="201"/>
      <c r="AZ360" s="202"/>
      <c r="BA360" s="210">
        <f t="shared" si="15"/>
        <v>0</v>
      </c>
      <c r="BB360" s="202"/>
      <c r="BC360" s="204"/>
      <c r="BD360" s="202"/>
      <c r="BE360" s="209"/>
      <c r="BF360" s="202"/>
      <c r="BG360" s="206"/>
      <c r="BH360" s="202"/>
      <c r="BI360" s="204"/>
      <c r="BJ360" s="202"/>
      <c r="BK360" s="204"/>
      <c r="BL360" s="202"/>
      <c r="BM360" s="201"/>
      <c r="BN360" s="202"/>
      <c r="BO360" s="203">
        <f t="shared" si="16"/>
        <v>0</v>
      </c>
      <c r="BP360" s="202"/>
      <c r="BQ360" s="138"/>
      <c r="BR360" s="128"/>
      <c r="BS360" s="128"/>
      <c r="BT360" s="128"/>
      <c r="BU360" s="128"/>
      <c r="BV360" s="128"/>
      <c r="BW360" s="139"/>
      <c r="BX360" s="140"/>
      <c r="BY360" s="139"/>
      <c r="BZ360" s="139"/>
      <c r="CA360" s="134"/>
      <c r="CB360" s="134"/>
      <c r="CC360" s="134"/>
      <c r="CD360" s="134"/>
      <c r="CE360" s="134"/>
      <c r="CF360" s="134"/>
      <c r="CG360" s="92"/>
      <c r="CH360" s="92"/>
      <c r="CI360" s="92"/>
      <c r="CJ360" s="92"/>
      <c r="CK360" s="92"/>
    </row>
    <row r="361" spans="1:89" ht="17.25" customHeight="1">
      <c r="A361" s="160"/>
      <c r="B361" s="52"/>
      <c r="C361" s="52"/>
      <c r="D361" s="137">
        <f t="shared" si="28"/>
        <v>0</v>
      </c>
      <c r="E361" s="208"/>
      <c r="F361" s="202"/>
      <c r="G361" s="207"/>
      <c r="H361" s="202"/>
      <c r="I361" s="208"/>
      <c r="J361" s="202"/>
      <c r="K361" s="208">
        <f t="shared" si="12"/>
        <v>0</v>
      </c>
      <c r="L361" s="202"/>
      <c r="M361" s="207"/>
      <c r="N361" s="202"/>
      <c r="O361" s="209"/>
      <c r="P361" s="202"/>
      <c r="Q361" s="206"/>
      <c r="R361" s="202"/>
      <c r="S361" s="207"/>
      <c r="T361" s="202"/>
      <c r="U361" s="207"/>
      <c r="V361" s="202"/>
      <c r="W361" s="208"/>
      <c r="X361" s="202"/>
      <c r="Y361" s="210">
        <f t="shared" si="31"/>
        <v>0</v>
      </c>
      <c r="Z361" s="202"/>
      <c r="AA361" s="207"/>
      <c r="AB361" s="202"/>
      <c r="AC361" s="209"/>
      <c r="AD361" s="202"/>
      <c r="AE361" s="206"/>
      <c r="AF361" s="202"/>
      <c r="AG361" s="207"/>
      <c r="AH361" s="202"/>
      <c r="AI361" s="207"/>
      <c r="AJ361" s="202"/>
      <c r="AK361" s="208"/>
      <c r="AL361" s="202"/>
      <c r="AM361" s="210">
        <f t="shared" si="14"/>
        <v>0</v>
      </c>
      <c r="AN361" s="202"/>
      <c r="AO361" s="207"/>
      <c r="AP361" s="202"/>
      <c r="AQ361" s="209"/>
      <c r="AR361" s="202"/>
      <c r="AS361" s="206"/>
      <c r="AT361" s="202"/>
      <c r="AU361" s="204"/>
      <c r="AV361" s="202"/>
      <c r="AW361" s="204"/>
      <c r="AX361" s="202"/>
      <c r="AY361" s="201"/>
      <c r="AZ361" s="202"/>
      <c r="BA361" s="210">
        <f t="shared" si="15"/>
        <v>0</v>
      </c>
      <c r="BB361" s="202"/>
      <c r="BC361" s="204"/>
      <c r="BD361" s="202"/>
      <c r="BE361" s="209"/>
      <c r="BF361" s="202"/>
      <c r="BG361" s="206"/>
      <c r="BH361" s="202"/>
      <c r="BI361" s="204"/>
      <c r="BJ361" s="202"/>
      <c r="BK361" s="204"/>
      <c r="BL361" s="202"/>
      <c r="BM361" s="201"/>
      <c r="BN361" s="202"/>
      <c r="BO361" s="203">
        <f t="shared" si="16"/>
        <v>0</v>
      </c>
      <c r="BP361" s="202"/>
      <c r="BQ361" s="138"/>
      <c r="BR361" s="128"/>
      <c r="BS361" s="128"/>
      <c r="BT361" s="128"/>
      <c r="BU361" s="128"/>
      <c r="BV361" s="128"/>
      <c r="BW361" s="139"/>
      <c r="BX361" s="140"/>
      <c r="BY361" s="139"/>
      <c r="BZ361" s="139"/>
      <c r="CA361" s="134"/>
      <c r="CB361" s="134"/>
      <c r="CC361" s="134"/>
      <c r="CD361" s="134"/>
      <c r="CE361" s="134"/>
      <c r="CF361" s="134"/>
      <c r="CG361" s="92"/>
      <c r="CH361" s="92"/>
      <c r="CI361" s="92"/>
      <c r="CJ361" s="92"/>
      <c r="CK361" s="92"/>
    </row>
    <row r="362" spans="1:89" ht="17.25" customHeight="1">
      <c r="A362" s="160"/>
      <c r="B362" s="52"/>
      <c r="C362" s="52"/>
      <c r="D362" s="137">
        <f t="shared" si="28"/>
        <v>0</v>
      </c>
      <c r="E362" s="208"/>
      <c r="F362" s="202"/>
      <c r="G362" s="207"/>
      <c r="H362" s="202"/>
      <c r="I362" s="208"/>
      <c r="J362" s="202"/>
      <c r="K362" s="208">
        <f t="shared" si="12"/>
        <v>0</v>
      </c>
      <c r="L362" s="202"/>
      <c r="M362" s="207"/>
      <c r="N362" s="202"/>
      <c r="O362" s="209"/>
      <c r="P362" s="202"/>
      <c r="Q362" s="206"/>
      <c r="R362" s="202"/>
      <c r="S362" s="207"/>
      <c r="T362" s="202"/>
      <c r="U362" s="207"/>
      <c r="V362" s="202"/>
      <c r="W362" s="208"/>
      <c r="X362" s="202"/>
      <c r="Y362" s="210">
        <f t="shared" si="31"/>
        <v>0</v>
      </c>
      <c r="Z362" s="202"/>
      <c r="AA362" s="207"/>
      <c r="AB362" s="202"/>
      <c r="AC362" s="209"/>
      <c r="AD362" s="202"/>
      <c r="AE362" s="206"/>
      <c r="AF362" s="202"/>
      <c r="AG362" s="207"/>
      <c r="AH362" s="202"/>
      <c r="AI362" s="207"/>
      <c r="AJ362" s="202"/>
      <c r="AK362" s="208"/>
      <c r="AL362" s="202"/>
      <c r="AM362" s="210">
        <f t="shared" si="14"/>
        <v>0</v>
      </c>
      <c r="AN362" s="202"/>
      <c r="AO362" s="207"/>
      <c r="AP362" s="202"/>
      <c r="AQ362" s="209"/>
      <c r="AR362" s="202"/>
      <c r="AS362" s="206"/>
      <c r="AT362" s="202"/>
      <c r="AU362" s="204"/>
      <c r="AV362" s="202"/>
      <c r="AW362" s="204"/>
      <c r="AX362" s="202"/>
      <c r="AY362" s="201"/>
      <c r="AZ362" s="202"/>
      <c r="BA362" s="210">
        <f t="shared" si="15"/>
        <v>0</v>
      </c>
      <c r="BB362" s="202"/>
      <c r="BC362" s="204"/>
      <c r="BD362" s="202"/>
      <c r="BE362" s="209"/>
      <c r="BF362" s="202"/>
      <c r="BG362" s="206"/>
      <c r="BH362" s="202"/>
      <c r="BI362" s="204"/>
      <c r="BJ362" s="202"/>
      <c r="BK362" s="204"/>
      <c r="BL362" s="202"/>
      <c r="BM362" s="201"/>
      <c r="BN362" s="202"/>
      <c r="BO362" s="203">
        <f t="shared" si="16"/>
        <v>0</v>
      </c>
      <c r="BP362" s="202"/>
      <c r="BQ362" s="138"/>
      <c r="BR362" s="128"/>
      <c r="BS362" s="128"/>
      <c r="BT362" s="128"/>
      <c r="BU362" s="128"/>
      <c r="BV362" s="128"/>
      <c r="BW362" s="139"/>
      <c r="BX362" s="140"/>
      <c r="BY362" s="139"/>
      <c r="BZ362" s="139"/>
      <c r="CA362" s="134"/>
      <c r="CB362" s="134"/>
      <c r="CC362" s="134"/>
      <c r="CD362" s="134"/>
      <c r="CE362" s="134"/>
      <c r="CF362" s="134"/>
      <c r="CG362" s="92"/>
      <c r="CH362" s="92"/>
      <c r="CI362" s="92"/>
      <c r="CJ362" s="92"/>
      <c r="CK362" s="92"/>
    </row>
    <row r="363" spans="1:89" ht="17.25" customHeight="1">
      <c r="A363" s="160"/>
      <c r="B363" s="52"/>
      <c r="C363" s="52"/>
      <c r="D363" s="137">
        <f t="shared" si="28"/>
        <v>0</v>
      </c>
      <c r="E363" s="208"/>
      <c r="F363" s="202"/>
      <c r="G363" s="207"/>
      <c r="H363" s="202"/>
      <c r="I363" s="208"/>
      <c r="J363" s="202"/>
      <c r="K363" s="208">
        <f t="shared" si="12"/>
        <v>0</v>
      </c>
      <c r="L363" s="202"/>
      <c r="M363" s="207"/>
      <c r="N363" s="202"/>
      <c r="O363" s="209"/>
      <c r="P363" s="202"/>
      <c r="Q363" s="206"/>
      <c r="R363" s="202"/>
      <c r="S363" s="207"/>
      <c r="T363" s="202"/>
      <c r="U363" s="207"/>
      <c r="V363" s="202"/>
      <c r="W363" s="208"/>
      <c r="X363" s="202"/>
      <c r="Y363" s="210">
        <f t="shared" si="31"/>
        <v>0</v>
      </c>
      <c r="Z363" s="202"/>
      <c r="AA363" s="207"/>
      <c r="AB363" s="202"/>
      <c r="AC363" s="209"/>
      <c r="AD363" s="202"/>
      <c r="AE363" s="206"/>
      <c r="AF363" s="202"/>
      <c r="AG363" s="207"/>
      <c r="AH363" s="202"/>
      <c r="AI363" s="207"/>
      <c r="AJ363" s="202"/>
      <c r="AK363" s="208"/>
      <c r="AL363" s="202"/>
      <c r="AM363" s="210">
        <f t="shared" si="14"/>
        <v>0</v>
      </c>
      <c r="AN363" s="202"/>
      <c r="AO363" s="207"/>
      <c r="AP363" s="202"/>
      <c r="AQ363" s="209"/>
      <c r="AR363" s="202"/>
      <c r="AS363" s="206"/>
      <c r="AT363" s="202"/>
      <c r="AU363" s="204"/>
      <c r="AV363" s="202"/>
      <c r="AW363" s="204"/>
      <c r="AX363" s="202"/>
      <c r="AY363" s="201"/>
      <c r="AZ363" s="202"/>
      <c r="BA363" s="210">
        <f t="shared" si="15"/>
        <v>0</v>
      </c>
      <c r="BB363" s="202"/>
      <c r="BC363" s="204"/>
      <c r="BD363" s="202"/>
      <c r="BE363" s="209"/>
      <c r="BF363" s="202"/>
      <c r="BG363" s="206"/>
      <c r="BH363" s="202"/>
      <c r="BI363" s="204"/>
      <c r="BJ363" s="202"/>
      <c r="BK363" s="204"/>
      <c r="BL363" s="202"/>
      <c r="BM363" s="201"/>
      <c r="BN363" s="202"/>
      <c r="BO363" s="203">
        <f t="shared" si="16"/>
        <v>0</v>
      </c>
      <c r="BP363" s="202"/>
      <c r="BQ363" s="138"/>
      <c r="BR363" s="128"/>
      <c r="BS363" s="128"/>
      <c r="BT363" s="128"/>
      <c r="BU363" s="128"/>
      <c r="BV363" s="128"/>
      <c r="BW363" s="139"/>
      <c r="BX363" s="140"/>
      <c r="BY363" s="139"/>
      <c r="BZ363" s="139"/>
      <c r="CA363" s="134"/>
      <c r="CB363" s="134"/>
      <c r="CC363" s="134"/>
      <c r="CD363" s="134"/>
      <c r="CE363" s="134"/>
      <c r="CF363" s="134"/>
      <c r="CG363" s="92"/>
      <c r="CH363" s="92"/>
      <c r="CI363" s="92"/>
      <c r="CJ363" s="92"/>
      <c r="CK363" s="92"/>
    </row>
    <row r="364" spans="1:89" ht="17.25" customHeight="1">
      <c r="A364" s="160"/>
      <c r="B364" s="52"/>
      <c r="C364" s="52"/>
      <c r="D364" s="137">
        <f t="shared" si="28"/>
        <v>0</v>
      </c>
      <c r="E364" s="208"/>
      <c r="F364" s="202"/>
      <c r="G364" s="207"/>
      <c r="H364" s="202"/>
      <c r="I364" s="208"/>
      <c r="J364" s="202"/>
      <c r="K364" s="208">
        <f t="shared" si="12"/>
        <v>0</v>
      </c>
      <c r="L364" s="202"/>
      <c r="M364" s="207"/>
      <c r="N364" s="202"/>
      <c r="O364" s="209"/>
      <c r="P364" s="202"/>
      <c r="Q364" s="206"/>
      <c r="R364" s="202"/>
      <c r="S364" s="207"/>
      <c r="T364" s="202"/>
      <c r="U364" s="207"/>
      <c r="V364" s="202"/>
      <c r="W364" s="208"/>
      <c r="X364" s="202"/>
      <c r="Y364" s="210">
        <f t="shared" si="31"/>
        <v>0</v>
      </c>
      <c r="Z364" s="202"/>
      <c r="AA364" s="207"/>
      <c r="AB364" s="202"/>
      <c r="AC364" s="209"/>
      <c r="AD364" s="202"/>
      <c r="AE364" s="206"/>
      <c r="AF364" s="202"/>
      <c r="AG364" s="207"/>
      <c r="AH364" s="202"/>
      <c r="AI364" s="207"/>
      <c r="AJ364" s="202"/>
      <c r="AK364" s="208"/>
      <c r="AL364" s="202"/>
      <c r="AM364" s="210">
        <f t="shared" si="14"/>
        <v>0</v>
      </c>
      <c r="AN364" s="202"/>
      <c r="AO364" s="207"/>
      <c r="AP364" s="202"/>
      <c r="AQ364" s="209"/>
      <c r="AR364" s="202"/>
      <c r="AS364" s="206"/>
      <c r="AT364" s="202"/>
      <c r="AU364" s="204"/>
      <c r="AV364" s="202"/>
      <c r="AW364" s="204"/>
      <c r="AX364" s="202"/>
      <c r="AY364" s="201"/>
      <c r="AZ364" s="202"/>
      <c r="BA364" s="210">
        <f t="shared" si="15"/>
        <v>0</v>
      </c>
      <c r="BB364" s="202"/>
      <c r="BC364" s="204"/>
      <c r="BD364" s="202"/>
      <c r="BE364" s="209"/>
      <c r="BF364" s="202"/>
      <c r="BG364" s="206"/>
      <c r="BH364" s="202"/>
      <c r="BI364" s="204"/>
      <c r="BJ364" s="202"/>
      <c r="BK364" s="204"/>
      <c r="BL364" s="202"/>
      <c r="BM364" s="201"/>
      <c r="BN364" s="202"/>
      <c r="BO364" s="203">
        <f t="shared" si="16"/>
        <v>0</v>
      </c>
      <c r="BP364" s="202"/>
      <c r="BQ364" s="138"/>
      <c r="BR364" s="128"/>
      <c r="BS364" s="128"/>
      <c r="BT364" s="128"/>
      <c r="BU364" s="128"/>
      <c r="BV364" s="128"/>
      <c r="BW364" s="139"/>
      <c r="BX364" s="140"/>
      <c r="BY364" s="139"/>
      <c r="BZ364" s="139"/>
      <c r="CA364" s="134"/>
      <c r="CB364" s="134"/>
      <c r="CC364" s="134"/>
      <c r="CD364" s="134"/>
      <c r="CE364" s="134"/>
      <c r="CF364" s="134"/>
      <c r="CG364" s="92"/>
      <c r="CH364" s="92"/>
      <c r="CI364" s="92"/>
      <c r="CJ364" s="92"/>
      <c r="CK364" s="92"/>
    </row>
    <row r="365" spans="1:89" ht="17.25" customHeight="1">
      <c r="A365" s="160"/>
      <c r="B365" s="52"/>
      <c r="C365" s="52"/>
      <c r="D365" s="137">
        <f t="shared" si="28"/>
        <v>0</v>
      </c>
      <c r="E365" s="208"/>
      <c r="F365" s="202"/>
      <c r="G365" s="207"/>
      <c r="H365" s="202"/>
      <c r="I365" s="208"/>
      <c r="J365" s="202"/>
      <c r="K365" s="208">
        <f t="shared" si="12"/>
        <v>0</v>
      </c>
      <c r="L365" s="202"/>
      <c r="M365" s="207"/>
      <c r="N365" s="202"/>
      <c r="O365" s="209"/>
      <c r="P365" s="202"/>
      <c r="Q365" s="206"/>
      <c r="R365" s="202"/>
      <c r="S365" s="207"/>
      <c r="T365" s="202"/>
      <c r="U365" s="207"/>
      <c r="V365" s="202"/>
      <c r="W365" s="208"/>
      <c r="X365" s="202"/>
      <c r="Y365" s="210">
        <f t="shared" si="31"/>
        <v>0</v>
      </c>
      <c r="Z365" s="202"/>
      <c r="AA365" s="207"/>
      <c r="AB365" s="202"/>
      <c r="AC365" s="209"/>
      <c r="AD365" s="202"/>
      <c r="AE365" s="206"/>
      <c r="AF365" s="202"/>
      <c r="AG365" s="207"/>
      <c r="AH365" s="202"/>
      <c r="AI365" s="207"/>
      <c r="AJ365" s="202"/>
      <c r="AK365" s="208"/>
      <c r="AL365" s="202"/>
      <c r="AM365" s="210">
        <f t="shared" si="14"/>
        <v>0</v>
      </c>
      <c r="AN365" s="202"/>
      <c r="AO365" s="207"/>
      <c r="AP365" s="202"/>
      <c r="AQ365" s="209"/>
      <c r="AR365" s="202"/>
      <c r="AS365" s="206"/>
      <c r="AT365" s="202"/>
      <c r="AU365" s="204"/>
      <c r="AV365" s="202"/>
      <c r="AW365" s="204"/>
      <c r="AX365" s="202"/>
      <c r="AY365" s="201"/>
      <c r="AZ365" s="202"/>
      <c r="BA365" s="210">
        <f t="shared" si="15"/>
        <v>0</v>
      </c>
      <c r="BB365" s="202"/>
      <c r="BC365" s="204"/>
      <c r="BD365" s="202"/>
      <c r="BE365" s="209"/>
      <c r="BF365" s="202"/>
      <c r="BG365" s="206"/>
      <c r="BH365" s="202"/>
      <c r="BI365" s="204"/>
      <c r="BJ365" s="202"/>
      <c r="BK365" s="204"/>
      <c r="BL365" s="202"/>
      <c r="BM365" s="201"/>
      <c r="BN365" s="202"/>
      <c r="BO365" s="203">
        <f t="shared" si="16"/>
        <v>0</v>
      </c>
      <c r="BP365" s="202"/>
      <c r="BQ365" s="138"/>
      <c r="BR365" s="128"/>
      <c r="BS365" s="128"/>
      <c r="BT365" s="128"/>
      <c r="BU365" s="128"/>
      <c r="BV365" s="128"/>
      <c r="BW365" s="139"/>
      <c r="BX365" s="140"/>
      <c r="BY365" s="139"/>
      <c r="BZ365" s="139"/>
      <c r="CA365" s="134"/>
      <c r="CB365" s="134"/>
      <c r="CC365" s="134"/>
      <c r="CD365" s="134"/>
      <c r="CE365" s="134"/>
      <c r="CF365" s="134"/>
      <c r="CG365" s="92"/>
      <c r="CH365" s="92"/>
      <c r="CI365" s="92"/>
      <c r="CJ365" s="92"/>
      <c r="CK365" s="92"/>
    </row>
    <row r="366" spans="1:89" ht="17.25" customHeight="1">
      <c r="A366" s="160"/>
      <c r="B366" s="52"/>
      <c r="C366" s="52"/>
      <c r="D366" s="137">
        <f t="shared" si="28"/>
        <v>0</v>
      </c>
      <c r="E366" s="208"/>
      <c r="F366" s="202"/>
      <c r="G366" s="207"/>
      <c r="H366" s="202"/>
      <c r="I366" s="208"/>
      <c r="J366" s="202"/>
      <c r="K366" s="208">
        <f t="shared" si="12"/>
        <v>0</v>
      </c>
      <c r="L366" s="202"/>
      <c r="M366" s="207"/>
      <c r="N366" s="202"/>
      <c r="O366" s="209"/>
      <c r="P366" s="202"/>
      <c r="Q366" s="206"/>
      <c r="R366" s="202"/>
      <c r="S366" s="207"/>
      <c r="T366" s="202"/>
      <c r="U366" s="207"/>
      <c r="V366" s="202"/>
      <c r="W366" s="208"/>
      <c r="X366" s="202"/>
      <c r="Y366" s="210">
        <f t="shared" si="31"/>
        <v>0</v>
      </c>
      <c r="Z366" s="202"/>
      <c r="AA366" s="207"/>
      <c r="AB366" s="202"/>
      <c r="AC366" s="209"/>
      <c r="AD366" s="202"/>
      <c r="AE366" s="206"/>
      <c r="AF366" s="202"/>
      <c r="AG366" s="207"/>
      <c r="AH366" s="202"/>
      <c r="AI366" s="207"/>
      <c r="AJ366" s="202"/>
      <c r="AK366" s="208"/>
      <c r="AL366" s="202"/>
      <c r="AM366" s="210">
        <f t="shared" si="14"/>
        <v>0</v>
      </c>
      <c r="AN366" s="202"/>
      <c r="AO366" s="207"/>
      <c r="AP366" s="202"/>
      <c r="AQ366" s="209"/>
      <c r="AR366" s="202"/>
      <c r="AS366" s="206"/>
      <c r="AT366" s="202"/>
      <c r="AU366" s="204"/>
      <c r="AV366" s="202"/>
      <c r="AW366" s="204"/>
      <c r="AX366" s="202"/>
      <c r="AY366" s="201"/>
      <c r="AZ366" s="202"/>
      <c r="BA366" s="210">
        <f t="shared" si="15"/>
        <v>0</v>
      </c>
      <c r="BB366" s="202"/>
      <c r="BC366" s="204"/>
      <c r="BD366" s="202"/>
      <c r="BE366" s="209"/>
      <c r="BF366" s="202"/>
      <c r="BG366" s="206"/>
      <c r="BH366" s="202"/>
      <c r="BI366" s="204"/>
      <c r="BJ366" s="202"/>
      <c r="BK366" s="204"/>
      <c r="BL366" s="202"/>
      <c r="BM366" s="201"/>
      <c r="BN366" s="202"/>
      <c r="BO366" s="203">
        <f t="shared" si="16"/>
        <v>0</v>
      </c>
      <c r="BP366" s="202"/>
      <c r="BQ366" s="138"/>
      <c r="BR366" s="128"/>
      <c r="BS366" s="128"/>
      <c r="BT366" s="128"/>
      <c r="BU366" s="128"/>
      <c r="BV366" s="128"/>
      <c r="BW366" s="139"/>
      <c r="BX366" s="140"/>
      <c r="BY366" s="139"/>
      <c r="BZ366" s="139"/>
      <c r="CA366" s="134"/>
      <c r="CB366" s="134"/>
      <c r="CC366" s="134"/>
      <c r="CD366" s="134"/>
      <c r="CE366" s="134"/>
      <c r="CF366" s="134"/>
      <c r="CG366" s="92"/>
      <c r="CH366" s="92"/>
      <c r="CI366" s="92"/>
      <c r="CJ366" s="92"/>
      <c r="CK366" s="92"/>
    </row>
    <row r="367" spans="1:89" ht="17.25" customHeight="1">
      <c r="A367" s="160"/>
      <c r="B367" s="52"/>
      <c r="C367" s="52"/>
      <c r="D367" s="137">
        <f t="shared" si="28"/>
        <v>0</v>
      </c>
      <c r="E367" s="208"/>
      <c r="F367" s="202"/>
      <c r="G367" s="207"/>
      <c r="H367" s="202"/>
      <c r="I367" s="208"/>
      <c r="J367" s="202"/>
      <c r="K367" s="208">
        <f t="shared" si="12"/>
        <v>0</v>
      </c>
      <c r="L367" s="202"/>
      <c r="M367" s="207"/>
      <c r="N367" s="202"/>
      <c r="O367" s="209"/>
      <c r="P367" s="202"/>
      <c r="Q367" s="206"/>
      <c r="R367" s="202"/>
      <c r="S367" s="207"/>
      <c r="T367" s="202"/>
      <c r="U367" s="207"/>
      <c r="V367" s="202"/>
      <c r="W367" s="208"/>
      <c r="X367" s="202"/>
      <c r="Y367" s="210">
        <f t="shared" si="31"/>
        <v>0</v>
      </c>
      <c r="Z367" s="202"/>
      <c r="AA367" s="207"/>
      <c r="AB367" s="202"/>
      <c r="AC367" s="209"/>
      <c r="AD367" s="202"/>
      <c r="AE367" s="206"/>
      <c r="AF367" s="202"/>
      <c r="AG367" s="207"/>
      <c r="AH367" s="202"/>
      <c r="AI367" s="207"/>
      <c r="AJ367" s="202"/>
      <c r="AK367" s="208"/>
      <c r="AL367" s="202"/>
      <c r="AM367" s="210">
        <f t="shared" si="14"/>
        <v>0</v>
      </c>
      <c r="AN367" s="202"/>
      <c r="AO367" s="207"/>
      <c r="AP367" s="202"/>
      <c r="AQ367" s="209"/>
      <c r="AR367" s="202"/>
      <c r="AS367" s="206"/>
      <c r="AT367" s="202"/>
      <c r="AU367" s="204"/>
      <c r="AV367" s="202"/>
      <c r="AW367" s="204"/>
      <c r="AX367" s="202"/>
      <c r="AY367" s="201"/>
      <c r="AZ367" s="202"/>
      <c r="BA367" s="210">
        <f t="shared" si="15"/>
        <v>0</v>
      </c>
      <c r="BB367" s="202"/>
      <c r="BC367" s="204"/>
      <c r="BD367" s="202"/>
      <c r="BE367" s="209"/>
      <c r="BF367" s="202"/>
      <c r="BG367" s="206"/>
      <c r="BH367" s="202"/>
      <c r="BI367" s="204"/>
      <c r="BJ367" s="202"/>
      <c r="BK367" s="204"/>
      <c r="BL367" s="202"/>
      <c r="BM367" s="201"/>
      <c r="BN367" s="202"/>
      <c r="BO367" s="203">
        <f t="shared" si="16"/>
        <v>0</v>
      </c>
      <c r="BP367" s="202"/>
      <c r="BQ367" s="138"/>
      <c r="BR367" s="128"/>
      <c r="BS367" s="128"/>
      <c r="BT367" s="128"/>
      <c r="BU367" s="128"/>
      <c r="BV367" s="128"/>
      <c r="BW367" s="139"/>
      <c r="BX367" s="140"/>
      <c r="BY367" s="139"/>
      <c r="BZ367" s="139"/>
      <c r="CA367" s="134"/>
      <c r="CB367" s="134"/>
      <c r="CC367" s="134"/>
      <c r="CD367" s="134"/>
      <c r="CE367" s="134"/>
      <c r="CF367" s="134"/>
      <c r="CG367" s="92"/>
      <c r="CH367" s="92"/>
      <c r="CI367" s="92"/>
      <c r="CJ367" s="92"/>
      <c r="CK367" s="92"/>
    </row>
    <row r="368" spans="1:89" ht="17.25" customHeight="1">
      <c r="A368" s="160"/>
      <c r="B368" s="52"/>
      <c r="C368" s="52"/>
      <c r="D368" s="137">
        <f t="shared" si="28"/>
        <v>0</v>
      </c>
      <c r="E368" s="208"/>
      <c r="F368" s="202"/>
      <c r="G368" s="207"/>
      <c r="H368" s="202"/>
      <c r="I368" s="208"/>
      <c r="J368" s="202"/>
      <c r="K368" s="208">
        <f t="shared" si="12"/>
        <v>0</v>
      </c>
      <c r="L368" s="202"/>
      <c r="M368" s="207"/>
      <c r="N368" s="202"/>
      <c r="O368" s="209"/>
      <c r="P368" s="202"/>
      <c r="Q368" s="206"/>
      <c r="R368" s="202"/>
      <c r="S368" s="207"/>
      <c r="T368" s="202"/>
      <c r="U368" s="207"/>
      <c r="V368" s="202"/>
      <c r="W368" s="208"/>
      <c r="X368" s="202"/>
      <c r="Y368" s="210">
        <f t="shared" si="31"/>
        <v>0</v>
      </c>
      <c r="Z368" s="202"/>
      <c r="AA368" s="207"/>
      <c r="AB368" s="202"/>
      <c r="AC368" s="209"/>
      <c r="AD368" s="202"/>
      <c r="AE368" s="206"/>
      <c r="AF368" s="202"/>
      <c r="AG368" s="207"/>
      <c r="AH368" s="202"/>
      <c r="AI368" s="207"/>
      <c r="AJ368" s="202"/>
      <c r="AK368" s="208"/>
      <c r="AL368" s="202"/>
      <c r="AM368" s="210">
        <f t="shared" si="14"/>
        <v>0</v>
      </c>
      <c r="AN368" s="202"/>
      <c r="AO368" s="207"/>
      <c r="AP368" s="202"/>
      <c r="AQ368" s="209"/>
      <c r="AR368" s="202"/>
      <c r="AS368" s="206"/>
      <c r="AT368" s="202"/>
      <c r="AU368" s="204"/>
      <c r="AV368" s="202"/>
      <c r="AW368" s="204"/>
      <c r="AX368" s="202"/>
      <c r="AY368" s="201"/>
      <c r="AZ368" s="202"/>
      <c r="BA368" s="210">
        <f t="shared" si="15"/>
        <v>0</v>
      </c>
      <c r="BB368" s="202"/>
      <c r="BC368" s="204"/>
      <c r="BD368" s="202"/>
      <c r="BE368" s="209"/>
      <c r="BF368" s="202"/>
      <c r="BG368" s="206"/>
      <c r="BH368" s="202"/>
      <c r="BI368" s="204"/>
      <c r="BJ368" s="202"/>
      <c r="BK368" s="204"/>
      <c r="BL368" s="202"/>
      <c r="BM368" s="201"/>
      <c r="BN368" s="202"/>
      <c r="BO368" s="203">
        <f t="shared" si="16"/>
        <v>0</v>
      </c>
      <c r="BP368" s="202"/>
      <c r="BQ368" s="138"/>
      <c r="BR368" s="128"/>
      <c r="BS368" s="128"/>
      <c r="BT368" s="128"/>
      <c r="BU368" s="128"/>
      <c r="BV368" s="128"/>
      <c r="BW368" s="139"/>
      <c r="BX368" s="140"/>
      <c r="BY368" s="139"/>
      <c r="BZ368" s="139"/>
      <c r="CA368" s="134"/>
      <c r="CB368" s="134"/>
      <c r="CC368" s="134"/>
      <c r="CD368" s="134"/>
      <c r="CE368" s="134"/>
      <c r="CF368" s="134"/>
      <c r="CG368" s="92"/>
      <c r="CH368" s="92"/>
      <c r="CI368" s="92"/>
      <c r="CJ368" s="92"/>
      <c r="CK368" s="92"/>
    </row>
    <row r="369" spans="1:89" ht="17.25" customHeight="1">
      <c r="A369" s="160"/>
      <c r="B369" s="52"/>
      <c r="C369" s="52"/>
      <c r="D369" s="137">
        <f t="shared" si="28"/>
        <v>0</v>
      </c>
      <c r="E369" s="208"/>
      <c r="F369" s="202"/>
      <c r="G369" s="207"/>
      <c r="H369" s="202"/>
      <c r="I369" s="208"/>
      <c r="J369" s="202"/>
      <c r="K369" s="208">
        <f t="shared" si="12"/>
        <v>0</v>
      </c>
      <c r="L369" s="202"/>
      <c r="M369" s="207"/>
      <c r="N369" s="202"/>
      <c r="O369" s="209"/>
      <c r="P369" s="202"/>
      <c r="Q369" s="206"/>
      <c r="R369" s="202"/>
      <c r="S369" s="207"/>
      <c r="T369" s="202"/>
      <c r="U369" s="207"/>
      <c r="V369" s="202"/>
      <c r="W369" s="208"/>
      <c r="X369" s="202"/>
      <c r="Y369" s="210">
        <f t="shared" si="31"/>
        <v>0</v>
      </c>
      <c r="Z369" s="202"/>
      <c r="AA369" s="207"/>
      <c r="AB369" s="202"/>
      <c r="AC369" s="209"/>
      <c r="AD369" s="202"/>
      <c r="AE369" s="206"/>
      <c r="AF369" s="202"/>
      <c r="AG369" s="207"/>
      <c r="AH369" s="202"/>
      <c r="AI369" s="207"/>
      <c r="AJ369" s="202"/>
      <c r="AK369" s="208"/>
      <c r="AL369" s="202"/>
      <c r="AM369" s="210">
        <f t="shared" si="14"/>
        <v>0</v>
      </c>
      <c r="AN369" s="202"/>
      <c r="AO369" s="207"/>
      <c r="AP369" s="202"/>
      <c r="AQ369" s="209"/>
      <c r="AR369" s="202"/>
      <c r="AS369" s="206"/>
      <c r="AT369" s="202"/>
      <c r="AU369" s="204"/>
      <c r="AV369" s="202"/>
      <c r="AW369" s="204"/>
      <c r="AX369" s="202"/>
      <c r="AY369" s="201"/>
      <c r="AZ369" s="202"/>
      <c r="BA369" s="210">
        <f t="shared" si="15"/>
        <v>0</v>
      </c>
      <c r="BB369" s="202"/>
      <c r="BC369" s="204"/>
      <c r="BD369" s="202"/>
      <c r="BE369" s="209"/>
      <c r="BF369" s="202"/>
      <c r="BG369" s="206"/>
      <c r="BH369" s="202"/>
      <c r="BI369" s="204"/>
      <c r="BJ369" s="202"/>
      <c r="BK369" s="204"/>
      <c r="BL369" s="202"/>
      <c r="BM369" s="201"/>
      <c r="BN369" s="202"/>
      <c r="BO369" s="203">
        <f t="shared" si="16"/>
        <v>0</v>
      </c>
      <c r="BP369" s="202"/>
      <c r="BQ369" s="138"/>
      <c r="BR369" s="128"/>
      <c r="BS369" s="128"/>
      <c r="BT369" s="128"/>
      <c r="BU369" s="128"/>
      <c r="BV369" s="128"/>
      <c r="BW369" s="139"/>
      <c r="BX369" s="140"/>
      <c r="BY369" s="139"/>
      <c r="BZ369" s="139"/>
      <c r="CA369" s="134"/>
      <c r="CB369" s="134"/>
      <c r="CC369" s="134"/>
      <c r="CD369" s="134"/>
      <c r="CE369" s="134"/>
      <c r="CF369" s="134"/>
      <c r="CG369" s="92"/>
      <c r="CH369" s="92"/>
      <c r="CI369" s="92"/>
      <c r="CJ369" s="92"/>
      <c r="CK369" s="92"/>
    </row>
    <row r="370" spans="1:89" ht="17.25" customHeight="1">
      <c r="A370" s="160"/>
      <c r="B370" s="52"/>
      <c r="C370" s="52"/>
      <c r="D370" s="137">
        <f t="shared" si="28"/>
        <v>0</v>
      </c>
      <c r="E370" s="208"/>
      <c r="F370" s="202"/>
      <c r="G370" s="207"/>
      <c r="H370" s="202"/>
      <c r="I370" s="208"/>
      <c r="J370" s="202"/>
      <c r="K370" s="208">
        <f t="shared" si="12"/>
        <v>0</v>
      </c>
      <c r="L370" s="202"/>
      <c r="M370" s="207"/>
      <c r="N370" s="202"/>
      <c r="O370" s="209"/>
      <c r="P370" s="202"/>
      <c r="Q370" s="206"/>
      <c r="R370" s="202"/>
      <c r="S370" s="207"/>
      <c r="T370" s="202"/>
      <c r="U370" s="207"/>
      <c r="V370" s="202"/>
      <c r="W370" s="208"/>
      <c r="X370" s="202"/>
      <c r="Y370" s="210">
        <f t="shared" si="31"/>
        <v>0</v>
      </c>
      <c r="Z370" s="202"/>
      <c r="AA370" s="207"/>
      <c r="AB370" s="202"/>
      <c r="AC370" s="209"/>
      <c r="AD370" s="202"/>
      <c r="AE370" s="206"/>
      <c r="AF370" s="202"/>
      <c r="AG370" s="207"/>
      <c r="AH370" s="202"/>
      <c r="AI370" s="207"/>
      <c r="AJ370" s="202"/>
      <c r="AK370" s="208"/>
      <c r="AL370" s="202"/>
      <c r="AM370" s="210">
        <f t="shared" si="14"/>
        <v>0</v>
      </c>
      <c r="AN370" s="202"/>
      <c r="AO370" s="207"/>
      <c r="AP370" s="202"/>
      <c r="AQ370" s="209"/>
      <c r="AR370" s="202"/>
      <c r="AS370" s="206"/>
      <c r="AT370" s="202"/>
      <c r="AU370" s="204"/>
      <c r="AV370" s="202"/>
      <c r="AW370" s="204"/>
      <c r="AX370" s="202"/>
      <c r="AY370" s="201"/>
      <c r="AZ370" s="202"/>
      <c r="BA370" s="210">
        <f t="shared" si="15"/>
        <v>0</v>
      </c>
      <c r="BB370" s="202"/>
      <c r="BC370" s="204"/>
      <c r="BD370" s="202"/>
      <c r="BE370" s="209"/>
      <c r="BF370" s="202"/>
      <c r="BG370" s="206"/>
      <c r="BH370" s="202"/>
      <c r="BI370" s="204"/>
      <c r="BJ370" s="202"/>
      <c r="BK370" s="204"/>
      <c r="BL370" s="202"/>
      <c r="BM370" s="201"/>
      <c r="BN370" s="202"/>
      <c r="BO370" s="203">
        <f t="shared" si="16"/>
        <v>0</v>
      </c>
      <c r="BP370" s="202"/>
      <c r="BQ370" s="138"/>
      <c r="BR370" s="128"/>
      <c r="BS370" s="128"/>
      <c r="BT370" s="128"/>
      <c r="BU370" s="128"/>
      <c r="BV370" s="128"/>
      <c r="BW370" s="139"/>
      <c r="BX370" s="140"/>
      <c r="BY370" s="139"/>
      <c r="BZ370" s="139"/>
      <c r="CA370" s="134"/>
      <c r="CB370" s="134"/>
      <c r="CC370" s="134"/>
      <c r="CD370" s="134"/>
      <c r="CE370" s="134"/>
      <c r="CF370" s="134"/>
      <c r="CG370" s="92"/>
      <c r="CH370" s="92"/>
      <c r="CI370" s="92"/>
      <c r="CJ370" s="92"/>
      <c r="CK370" s="92"/>
    </row>
    <row r="371" spans="1:89" ht="17.25" customHeight="1">
      <c r="A371" s="160"/>
      <c r="B371" s="52"/>
      <c r="C371" s="52"/>
      <c r="D371" s="137">
        <f t="shared" si="28"/>
        <v>0</v>
      </c>
      <c r="E371" s="208"/>
      <c r="F371" s="202"/>
      <c r="G371" s="207"/>
      <c r="H371" s="202"/>
      <c r="I371" s="208"/>
      <c r="J371" s="202"/>
      <c r="K371" s="208">
        <f t="shared" si="12"/>
        <v>0</v>
      </c>
      <c r="L371" s="202"/>
      <c r="M371" s="207"/>
      <c r="N371" s="202"/>
      <c r="O371" s="209"/>
      <c r="P371" s="202"/>
      <c r="Q371" s="206"/>
      <c r="R371" s="202"/>
      <c r="S371" s="207"/>
      <c r="T371" s="202"/>
      <c r="U371" s="207"/>
      <c r="V371" s="202"/>
      <c r="W371" s="208"/>
      <c r="X371" s="202"/>
      <c r="Y371" s="210">
        <f t="shared" si="31"/>
        <v>0</v>
      </c>
      <c r="Z371" s="202"/>
      <c r="AA371" s="207"/>
      <c r="AB371" s="202"/>
      <c r="AC371" s="209"/>
      <c r="AD371" s="202"/>
      <c r="AE371" s="206"/>
      <c r="AF371" s="202"/>
      <c r="AG371" s="207"/>
      <c r="AH371" s="202"/>
      <c r="AI371" s="207"/>
      <c r="AJ371" s="202"/>
      <c r="AK371" s="208"/>
      <c r="AL371" s="202"/>
      <c r="AM371" s="210">
        <f t="shared" si="14"/>
        <v>0</v>
      </c>
      <c r="AN371" s="202"/>
      <c r="AO371" s="207"/>
      <c r="AP371" s="202"/>
      <c r="AQ371" s="209"/>
      <c r="AR371" s="202"/>
      <c r="AS371" s="206"/>
      <c r="AT371" s="202"/>
      <c r="AU371" s="204"/>
      <c r="AV371" s="202"/>
      <c r="AW371" s="204"/>
      <c r="AX371" s="202"/>
      <c r="AY371" s="201"/>
      <c r="AZ371" s="202"/>
      <c r="BA371" s="210">
        <f t="shared" si="15"/>
        <v>0</v>
      </c>
      <c r="BB371" s="202"/>
      <c r="BC371" s="204"/>
      <c r="BD371" s="202"/>
      <c r="BE371" s="209"/>
      <c r="BF371" s="202"/>
      <c r="BG371" s="206"/>
      <c r="BH371" s="202"/>
      <c r="BI371" s="204"/>
      <c r="BJ371" s="202"/>
      <c r="BK371" s="204"/>
      <c r="BL371" s="202"/>
      <c r="BM371" s="201"/>
      <c r="BN371" s="202"/>
      <c r="BO371" s="203">
        <f t="shared" si="16"/>
        <v>0</v>
      </c>
      <c r="BP371" s="202"/>
      <c r="BQ371" s="138"/>
      <c r="BR371" s="128"/>
      <c r="BS371" s="128"/>
      <c r="BT371" s="128"/>
      <c r="BU371" s="128"/>
      <c r="BV371" s="128"/>
      <c r="BW371" s="139"/>
      <c r="BX371" s="140"/>
      <c r="BY371" s="139"/>
      <c r="BZ371" s="139"/>
      <c r="CA371" s="134"/>
      <c r="CB371" s="134"/>
      <c r="CC371" s="134"/>
      <c r="CD371" s="134"/>
      <c r="CE371" s="134"/>
      <c r="CF371" s="134"/>
      <c r="CG371" s="92"/>
      <c r="CH371" s="92"/>
      <c r="CI371" s="92"/>
      <c r="CJ371" s="92"/>
      <c r="CK371" s="92"/>
    </row>
    <row r="372" spans="1:89" ht="17.25" customHeight="1">
      <c r="A372" s="160"/>
      <c r="B372" s="52"/>
      <c r="C372" s="52"/>
      <c r="D372" s="137">
        <f t="shared" si="28"/>
        <v>0</v>
      </c>
      <c r="E372" s="208"/>
      <c r="F372" s="202"/>
      <c r="G372" s="207"/>
      <c r="H372" s="202"/>
      <c r="I372" s="208"/>
      <c r="J372" s="202"/>
      <c r="K372" s="208">
        <f t="shared" si="12"/>
        <v>0</v>
      </c>
      <c r="L372" s="202"/>
      <c r="M372" s="207"/>
      <c r="N372" s="202"/>
      <c r="O372" s="209"/>
      <c r="P372" s="202"/>
      <c r="Q372" s="206"/>
      <c r="R372" s="202"/>
      <c r="S372" s="207"/>
      <c r="T372" s="202"/>
      <c r="U372" s="207"/>
      <c r="V372" s="202"/>
      <c r="W372" s="208"/>
      <c r="X372" s="202"/>
      <c r="Y372" s="210">
        <f t="shared" si="31"/>
        <v>0</v>
      </c>
      <c r="Z372" s="202"/>
      <c r="AA372" s="207"/>
      <c r="AB372" s="202"/>
      <c r="AC372" s="209"/>
      <c r="AD372" s="202"/>
      <c r="AE372" s="206"/>
      <c r="AF372" s="202"/>
      <c r="AG372" s="207"/>
      <c r="AH372" s="202"/>
      <c r="AI372" s="207"/>
      <c r="AJ372" s="202"/>
      <c r="AK372" s="208"/>
      <c r="AL372" s="202"/>
      <c r="AM372" s="210">
        <f t="shared" si="14"/>
        <v>0</v>
      </c>
      <c r="AN372" s="202"/>
      <c r="AO372" s="207"/>
      <c r="AP372" s="202"/>
      <c r="AQ372" s="209"/>
      <c r="AR372" s="202"/>
      <c r="AS372" s="206"/>
      <c r="AT372" s="202"/>
      <c r="AU372" s="204"/>
      <c r="AV372" s="202"/>
      <c r="AW372" s="204"/>
      <c r="AX372" s="202"/>
      <c r="AY372" s="201"/>
      <c r="AZ372" s="202"/>
      <c r="BA372" s="210">
        <f t="shared" si="15"/>
        <v>0</v>
      </c>
      <c r="BB372" s="202"/>
      <c r="BC372" s="204"/>
      <c r="BD372" s="202"/>
      <c r="BE372" s="209"/>
      <c r="BF372" s="202"/>
      <c r="BG372" s="206"/>
      <c r="BH372" s="202"/>
      <c r="BI372" s="204"/>
      <c r="BJ372" s="202"/>
      <c r="BK372" s="204"/>
      <c r="BL372" s="202"/>
      <c r="BM372" s="201"/>
      <c r="BN372" s="202"/>
      <c r="BO372" s="203">
        <f t="shared" si="16"/>
        <v>0</v>
      </c>
      <c r="BP372" s="202"/>
      <c r="BQ372" s="138"/>
      <c r="BR372" s="128"/>
      <c r="BS372" s="128"/>
      <c r="BT372" s="128"/>
      <c r="BU372" s="128"/>
      <c r="BV372" s="128"/>
      <c r="BW372" s="139"/>
      <c r="BX372" s="140"/>
      <c r="BY372" s="139"/>
      <c r="BZ372" s="139"/>
      <c r="CA372" s="134"/>
      <c r="CB372" s="134"/>
      <c r="CC372" s="134"/>
      <c r="CD372" s="134"/>
      <c r="CE372" s="134"/>
      <c r="CF372" s="134"/>
      <c r="CG372" s="92"/>
      <c r="CH372" s="92"/>
      <c r="CI372" s="92"/>
      <c r="CJ372" s="92"/>
      <c r="CK372" s="92"/>
    </row>
    <row r="373" spans="1:89" ht="17.25" customHeight="1">
      <c r="A373" s="160"/>
      <c r="B373" s="52"/>
      <c r="C373" s="52"/>
      <c r="D373" s="137">
        <f t="shared" si="28"/>
        <v>0</v>
      </c>
      <c r="E373" s="208"/>
      <c r="F373" s="202"/>
      <c r="G373" s="207"/>
      <c r="H373" s="202"/>
      <c r="I373" s="208"/>
      <c r="J373" s="202"/>
      <c r="K373" s="208">
        <f t="shared" si="12"/>
        <v>0</v>
      </c>
      <c r="L373" s="202"/>
      <c r="M373" s="207"/>
      <c r="N373" s="202"/>
      <c r="O373" s="209"/>
      <c r="P373" s="202"/>
      <c r="Q373" s="206"/>
      <c r="R373" s="202"/>
      <c r="S373" s="207"/>
      <c r="T373" s="202"/>
      <c r="U373" s="207"/>
      <c r="V373" s="202"/>
      <c r="W373" s="208"/>
      <c r="X373" s="202"/>
      <c r="Y373" s="210">
        <f t="shared" si="31"/>
        <v>0</v>
      </c>
      <c r="Z373" s="202"/>
      <c r="AA373" s="207"/>
      <c r="AB373" s="202"/>
      <c r="AC373" s="209"/>
      <c r="AD373" s="202"/>
      <c r="AE373" s="206"/>
      <c r="AF373" s="202"/>
      <c r="AG373" s="207"/>
      <c r="AH373" s="202"/>
      <c r="AI373" s="207"/>
      <c r="AJ373" s="202"/>
      <c r="AK373" s="208"/>
      <c r="AL373" s="202"/>
      <c r="AM373" s="210">
        <f t="shared" si="14"/>
        <v>0</v>
      </c>
      <c r="AN373" s="202"/>
      <c r="AO373" s="207"/>
      <c r="AP373" s="202"/>
      <c r="AQ373" s="209"/>
      <c r="AR373" s="202"/>
      <c r="AS373" s="206"/>
      <c r="AT373" s="202"/>
      <c r="AU373" s="204"/>
      <c r="AV373" s="202"/>
      <c r="AW373" s="204"/>
      <c r="AX373" s="202"/>
      <c r="AY373" s="201"/>
      <c r="AZ373" s="202"/>
      <c r="BA373" s="210">
        <f t="shared" si="15"/>
        <v>0</v>
      </c>
      <c r="BB373" s="202"/>
      <c r="BC373" s="204"/>
      <c r="BD373" s="202"/>
      <c r="BE373" s="209"/>
      <c r="BF373" s="202"/>
      <c r="BG373" s="206"/>
      <c r="BH373" s="202"/>
      <c r="BI373" s="204"/>
      <c r="BJ373" s="202"/>
      <c r="BK373" s="204"/>
      <c r="BL373" s="202"/>
      <c r="BM373" s="201"/>
      <c r="BN373" s="202"/>
      <c r="BO373" s="203">
        <f t="shared" si="16"/>
        <v>0</v>
      </c>
      <c r="BP373" s="202"/>
      <c r="BQ373" s="138"/>
      <c r="BR373" s="128"/>
      <c r="BS373" s="128"/>
      <c r="BT373" s="128"/>
      <c r="BU373" s="128"/>
      <c r="BV373" s="128"/>
      <c r="BW373" s="139"/>
      <c r="BX373" s="140"/>
      <c r="BY373" s="139"/>
      <c r="BZ373" s="139"/>
      <c r="CA373" s="134"/>
      <c r="CB373" s="134"/>
      <c r="CC373" s="134"/>
      <c r="CD373" s="134"/>
      <c r="CE373" s="134"/>
      <c r="CF373" s="134"/>
      <c r="CG373" s="92"/>
      <c r="CH373" s="92"/>
      <c r="CI373" s="92"/>
      <c r="CJ373" s="92"/>
      <c r="CK373" s="92"/>
    </row>
    <row r="374" spans="1:89" ht="17.25" customHeight="1">
      <c r="A374" s="160"/>
      <c r="B374" s="52"/>
      <c r="C374" s="52"/>
      <c r="D374" s="137">
        <f t="shared" si="28"/>
        <v>0</v>
      </c>
      <c r="E374" s="208"/>
      <c r="F374" s="202"/>
      <c r="G374" s="207"/>
      <c r="H374" s="202"/>
      <c r="I374" s="208"/>
      <c r="J374" s="202"/>
      <c r="K374" s="208">
        <f t="shared" si="12"/>
        <v>0</v>
      </c>
      <c r="L374" s="202"/>
      <c r="M374" s="207"/>
      <c r="N374" s="202"/>
      <c r="O374" s="209"/>
      <c r="P374" s="202"/>
      <c r="Q374" s="206"/>
      <c r="R374" s="202"/>
      <c r="S374" s="207"/>
      <c r="T374" s="202"/>
      <c r="U374" s="207"/>
      <c r="V374" s="202"/>
      <c r="W374" s="208"/>
      <c r="X374" s="202"/>
      <c r="Y374" s="210">
        <f t="shared" si="31"/>
        <v>0</v>
      </c>
      <c r="Z374" s="202"/>
      <c r="AA374" s="207"/>
      <c r="AB374" s="202"/>
      <c r="AC374" s="209"/>
      <c r="AD374" s="202"/>
      <c r="AE374" s="206"/>
      <c r="AF374" s="202"/>
      <c r="AG374" s="207"/>
      <c r="AH374" s="202"/>
      <c r="AI374" s="207"/>
      <c r="AJ374" s="202"/>
      <c r="AK374" s="208"/>
      <c r="AL374" s="202"/>
      <c r="AM374" s="210">
        <f t="shared" si="14"/>
        <v>0</v>
      </c>
      <c r="AN374" s="202"/>
      <c r="AO374" s="207"/>
      <c r="AP374" s="202"/>
      <c r="AQ374" s="209"/>
      <c r="AR374" s="202"/>
      <c r="AS374" s="206"/>
      <c r="AT374" s="202"/>
      <c r="AU374" s="204"/>
      <c r="AV374" s="202"/>
      <c r="AW374" s="204"/>
      <c r="AX374" s="202"/>
      <c r="AY374" s="201"/>
      <c r="AZ374" s="202"/>
      <c r="BA374" s="210">
        <f t="shared" si="15"/>
        <v>0</v>
      </c>
      <c r="BB374" s="202"/>
      <c r="BC374" s="204"/>
      <c r="BD374" s="202"/>
      <c r="BE374" s="209"/>
      <c r="BF374" s="202"/>
      <c r="BG374" s="206"/>
      <c r="BH374" s="202"/>
      <c r="BI374" s="204"/>
      <c r="BJ374" s="202"/>
      <c r="BK374" s="204"/>
      <c r="BL374" s="202"/>
      <c r="BM374" s="201"/>
      <c r="BN374" s="202"/>
      <c r="BO374" s="203">
        <f t="shared" si="16"/>
        <v>0</v>
      </c>
      <c r="BP374" s="202"/>
      <c r="BQ374" s="138"/>
      <c r="BR374" s="128"/>
      <c r="BS374" s="128"/>
      <c r="BT374" s="128"/>
      <c r="BU374" s="128"/>
      <c r="BV374" s="128"/>
      <c r="BW374" s="139"/>
      <c r="BX374" s="140"/>
      <c r="BY374" s="139"/>
      <c r="BZ374" s="139"/>
      <c r="CA374" s="134"/>
      <c r="CB374" s="134"/>
      <c r="CC374" s="134"/>
      <c r="CD374" s="134"/>
      <c r="CE374" s="134"/>
      <c r="CF374" s="134"/>
      <c r="CG374" s="92"/>
      <c r="CH374" s="92"/>
      <c r="CI374" s="92"/>
      <c r="CJ374" s="92"/>
      <c r="CK374" s="92"/>
    </row>
    <row r="375" spans="1:89" ht="17.25" customHeight="1">
      <c r="A375" s="160"/>
      <c r="B375" s="52"/>
      <c r="C375" s="52"/>
      <c r="D375" s="137">
        <f t="shared" si="28"/>
        <v>0</v>
      </c>
      <c r="E375" s="208"/>
      <c r="F375" s="202"/>
      <c r="G375" s="207"/>
      <c r="H375" s="202"/>
      <c r="I375" s="208"/>
      <c r="J375" s="202"/>
      <c r="K375" s="208">
        <f t="shared" si="12"/>
        <v>0</v>
      </c>
      <c r="L375" s="202"/>
      <c r="M375" s="207"/>
      <c r="N375" s="202"/>
      <c r="O375" s="209"/>
      <c r="P375" s="202"/>
      <c r="Q375" s="206"/>
      <c r="R375" s="202"/>
      <c r="S375" s="207"/>
      <c r="T375" s="202"/>
      <c r="U375" s="207"/>
      <c r="V375" s="202"/>
      <c r="W375" s="208"/>
      <c r="X375" s="202"/>
      <c r="Y375" s="210">
        <f t="shared" si="31"/>
        <v>0</v>
      </c>
      <c r="Z375" s="202"/>
      <c r="AA375" s="207"/>
      <c r="AB375" s="202"/>
      <c r="AC375" s="209"/>
      <c r="AD375" s="202"/>
      <c r="AE375" s="206"/>
      <c r="AF375" s="202"/>
      <c r="AG375" s="207"/>
      <c r="AH375" s="202"/>
      <c r="AI375" s="207"/>
      <c r="AJ375" s="202"/>
      <c r="AK375" s="208"/>
      <c r="AL375" s="202"/>
      <c r="AM375" s="210">
        <f t="shared" si="14"/>
        <v>0</v>
      </c>
      <c r="AN375" s="202"/>
      <c r="AO375" s="207"/>
      <c r="AP375" s="202"/>
      <c r="AQ375" s="209"/>
      <c r="AR375" s="202"/>
      <c r="AS375" s="206"/>
      <c r="AT375" s="202"/>
      <c r="AU375" s="204"/>
      <c r="AV375" s="202"/>
      <c r="AW375" s="204"/>
      <c r="AX375" s="202"/>
      <c r="AY375" s="201"/>
      <c r="AZ375" s="202"/>
      <c r="BA375" s="210">
        <f t="shared" si="15"/>
        <v>0</v>
      </c>
      <c r="BB375" s="202"/>
      <c r="BC375" s="204"/>
      <c r="BD375" s="202"/>
      <c r="BE375" s="209"/>
      <c r="BF375" s="202"/>
      <c r="BG375" s="206"/>
      <c r="BH375" s="202"/>
      <c r="BI375" s="204"/>
      <c r="BJ375" s="202"/>
      <c r="BK375" s="204"/>
      <c r="BL375" s="202"/>
      <c r="BM375" s="201"/>
      <c r="BN375" s="202"/>
      <c r="BO375" s="203">
        <f t="shared" si="16"/>
        <v>0</v>
      </c>
      <c r="BP375" s="202"/>
      <c r="BQ375" s="138"/>
      <c r="BR375" s="128"/>
      <c r="BS375" s="128"/>
      <c r="BT375" s="128"/>
      <c r="BU375" s="128"/>
      <c r="BV375" s="128"/>
      <c r="BW375" s="139"/>
      <c r="BX375" s="140"/>
      <c r="BY375" s="139"/>
      <c r="BZ375" s="139"/>
      <c r="CA375" s="134"/>
      <c r="CB375" s="134"/>
      <c r="CC375" s="134"/>
      <c r="CD375" s="134"/>
      <c r="CE375" s="134"/>
      <c r="CF375" s="134"/>
      <c r="CG375" s="92"/>
      <c r="CH375" s="92"/>
      <c r="CI375" s="92"/>
      <c r="CJ375" s="92"/>
      <c r="CK375" s="92"/>
    </row>
    <row r="376" spans="1:89" ht="17.25" customHeight="1">
      <c r="A376" s="160"/>
      <c r="B376" s="52"/>
      <c r="C376" s="52"/>
      <c r="D376" s="137">
        <f t="shared" si="28"/>
        <v>0</v>
      </c>
      <c r="E376" s="208"/>
      <c r="F376" s="202"/>
      <c r="G376" s="207"/>
      <c r="H376" s="202"/>
      <c r="I376" s="208"/>
      <c r="J376" s="202"/>
      <c r="K376" s="208">
        <f t="shared" si="12"/>
        <v>0</v>
      </c>
      <c r="L376" s="202"/>
      <c r="M376" s="207"/>
      <c r="N376" s="202"/>
      <c r="O376" s="209"/>
      <c r="P376" s="202"/>
      <c r="Q376" s="206"/>
      <c r="R376" s="202"/>
      <c r="S376" s="207"/>
      <c r="T376" s="202"/>
      <c r="U376" s="207"/>
      <c r="V376" s="202"/>
      <c r="W376" s="208"/>
      <c r="X376" s="202"/>
      <c r="Y376" s="210">
        <f t="shared" si="31"/>
        <v>0</v>
      </c>
      <c r="Z376" s="202"/>
      <c r="AA376" s="207"/>
      <c r="AB376" s="202"/>
      <c r="AC376" s="209"/>
      <c r="AD376" s="202"/>
      <c r="AE376" s="206"/>
      <c r="AF376" s="202"/>
      <c r="AG376" s="207"/>
      <c r="AH376" s="202"/>
      <c r="AI376" s="207"/>
      <c r="AJ376" s="202"/>
      <c r="AK376" s="208"/>
      <c r="AL376" s="202"/>
      <c r="AM376" s="210">
        <f t="shared" si="14"/>
        <v>0</v>
      </c>
      <c r="AN376" s="202"/>
      <c r="AO376" s="207"/>
      <c r="AP376" s="202"/>
      <c r="AQ376" s="209"/>
      <c r="AR376" s="202"/>
      <c r="AS376" s="206"/>
      <c r="AT376" s="202"/>
      <c r="AU376" s="204"/>
      <c r="AV376" s="202"/>
      <c r="AW376" s="204"/>
      <c r="AX376" s="202"/>
      <c r="AY376" s="201"/>
      <c r="AZ376" s="202"/>
      <c r="BA376" s="210">
        <f t="shared" si="15"/>
        <v>0</v>
      </c>
      <c r="BB376" s="202"/>
      <c r="BC376" s="204"/>
      <c r="BD376" s="202"/>
      <c r="BE376" s="209"/>
      <c r="BF376" s="202"/>
      <c r="BG376" s="206"/>
      <c r="BH376" s="202"/>
      <c r="BI376" s="204"/>
      <c r="BJ376" s="202"/>
      <c r="BK376" s="204"/>
      <c r="BL376" s="202"/>
      <c r="BM376" s="201"/>
      <c r="BN376" s="202"/>
      <c r="BO376" s="203">
        <f t="shared" si="16"/>
        <v>0</v>
      </c>
      <c r="BP376" s="202"/>
      <c r="BQ376" s="138"/>
      <c r="BR376" s="128"/>
      <c r="BS376" s="128"/>
      <c r="BT376" s="128"/>
      <c r="BU376" s="128"/>
      <c r="BV376" s="128"/>
      <c r="BW376" s="139"/>
      <c r="BX376" s="140"/>
      <c r="BY376" s="139"/>
      <c r="BZ376" s="139"/>
      <c r="CA376" s="134"/>
      <c r="CB376" s="134"/>
      <c r="CC376" s="134"/>
      <c r="CD376" s="134"/>
      <c r="CE376" s="134"/>
      <c r="CF376" s="134"/>
      <c r="CG376" s="92"/>
      <c r="CH376" s="92"/>
      <c r="CI376" s="92"/>
      <c r="CJ376" s="92"/>
      <c r="CK376" s="92"/>
    </row>
    <row r="377" spans="1:89" ht="17.25" customHeight="1">
      <c r="A377" s="160"/>
      <c r="B377" s="52"/>
      <c r="C377" s="52"/>
      <c r="D377" s="137">
        <f t="shared" si="28"/>
        <v>0</v>
      </c>
      <c r="E377" s="208"/>
      <c r="F377" s="202"/>
      <c r="G377" s="207"/>
      <c r="H377" s="202"/>
      <c r="I377" s="208"/>
      <c r="J377" s="202"/>
      <c r="K377" s="208">
        <f t="shared" si="12"/>
        <v>0</v>
      </c>
      <c r="L377" s="202"/>
      <c r="M377" s="207"/>
      <c r="N377" s="202"/>
      <c r="O377" s="209"/>
      <c r="P377" s="202"/>
      <c r="Q377" s="206"/>
      <c r="R377" s="202"/>
      <c r="S377" s="207"/>
      <c r="T377" s="202"/>
      <c r="U377" s="207"/>
      <c r="V377" s="202"/>
      <c r="W377" s="208"/>
      <c r="X377" s="202"/>
      <c r="Y377" s="210">
        <f t="shared" si="31"/>
        <v>0</v>
      </c>
      <c r="Z377" s="202"/>
      <c r="AA377" s="207"/>
      <c r="AB377" s="202"/>
      <c r="AC377" s="209"/>
      <c r="AD377" s="202"/>
      <c r="AE377" s="206"/>
      <c r="AF377" s="202"/>
      <c r="AG377" s="207"/>
      <c r="AH377" s="202"/>
      <c r="AI377" s="207"/>
      <c r="AJ377" s="202"/>
      <c r="AK377" s="208"/>
      <c r="AL377" s="202"/>
      <c r="AM377" s="210">
        <f t="shared" si="14"/>
        <v>0</v>
      </c>
      <c r="AN377" s="202"/>
      <c r="AO377" s="207"/>
      <c r="AP377" s="202"/>
      <c r="AQ377" s="209"/>
      <c r="AR377" s="202"/>
      <c r="AS377" s="206"/>
      <c r="AT377" s="202"/>
      <c r="AU377" s="204"/>
      <c r="AV377" s="202"/>
      <c r="AW377" s="204"/>
      <c r="AX377" s="202"/>
      <c r="AY377" s="201"/>
      <c r="AZ377" s="202"/>
      <c r="BA377" s="210">
        <f t="shared" si="15"/>
        <v>0</v>
      </c>
      <c r="BB377" s="202"/>
      <c r="BC377" s="204"/>
      <c r="BD377" s="202"/>
      <c r="BE377" s="209"/>
      <c r="BF377" s="202"/>
      <c r="BG377" s="206"/>
      <c r="BH377" s="202"/>
      <c r="BI377" s="204"/>
      <c r="BJ377" s="202"/>
      <c r="BK377" s="204"/>
      <c r="BL377" s="202"/>
      <c r="BM377" s="201"/>
      <c r="BN377" s="202"/>
      <c r="BO377" s="203">
        <f t="shared" si="16"/>
        <v>0</v>
      </c>
      <c r="BP377" s="202"/>
      <c r="BQ377" s="138"/>
      <c r="BR377" s="128"/>
      <c r="BS377" s="128"/>
      <c r="BT377" s="128"/>
      <c r="BU377" s="128"/>
      <c r="BV377" s="128"/>
      <c r="BW377" s="139"/>
      <c r="BX377" s="140"/>
      <c r="BY377" s="139"/>
      <c r="BZ377" s="139"/>
      <c r="CA377" s="134"/>
      <c r="CB377" s="134"/>
      <c r="CC377" s="134"/>
      <c r="CD377" s="134"/>
      <c r="CE377" s="134"/>
      <c r="CF377" s="134"/>
      <c r="CG377" s="92"/>
      <c r="CH377" s="92"/>
      <c r="CI377" s="92"/>
      <c r="CJ377" s="92"/>
      <c r="CK377" s="92"/>
    </row>
    <row r="378" spans="1:89" ht="17.25" customHeight="1">
      <c r="A378" s="160"/>
      <c r="B378" s="52"/>
      <c r="C378" s="52"/>
      <c r="D378" s="137">
        <f t="shared" si="28"/>
        <v>0</v>
      </c>
      <c r="E378" s="208"/>
      <c r="F378" s="202"/>
      <c r="G378" s="207"/>
      <c r="H378" s="202"/>
      <c r="I378" s="208"/>
      <c r="J378" s="202"/>
      <c r="K378" s="208">
        <f t="shared" si="12"/>
        <v>0</v>
      </c>
      <c r="L378" s="202"/>
      <c r="M378" s="207"/>
      <c r="N378" s="202"/>
      <c r="O378" s="209"/>
      <c r="P378" s="202"/>
      <c r="Q378" s="206"/>
      <c r="R378" s="202"/>
      <c r="S378" s="207"/>
      <c r="T378" s="202"/>
      <c r="U378" s="207"/>
      <c r="V378" s="202"/>
      <c r="W378" s="208"/>
      <c r="X378" s="202"/>
      <c r="Y378" s="210">
        <f t="shared" si="31"/>
        <v>0</v>
      </c>
      <c r="Z378" s="202"/>
      <c r="AA378" s="207"/>
      <c r="AB378" s="202"/>
      <c r="AC378" s="209"/>
      <c r="AD378" s="202"/>
      <c r="AE378" s="206"/>
      <c r="AF378" s="202"/>
      <c r="AG378" s="207"/>
      <c r="AH378" s="202"/>
      <c r="AI378" s="207"/>
      <c r="AJ378" s="202"/>
      <c r="AK378" s="208"/>
      <c r="AL378" s="202"/>
      <c r="AM378" s="210">
        <f t="shared" si="14"/>
        <v>0</v>
      </c>
      <c r="AN378" s="202"/>
      <c r="AO378" s="207"/>
      <c r="AP378" s="202"/>
      <c r="AQ378" s="209"/>
      <c r="AR378" s="202"/>
      <c r="AS378" s="206"/>
      <c r="AT378" s="202"/>
      <c r="AU378" s="204"/>
      <c r="AV378" s="202"/>
      <c r="AW378" s="204"/>
      <c r="AX378" s="202"/>
      <c r="AY378" s="201"/>
      <c r="AZ378" s="202"/>
      <c r="BA378" s="210">
        <f t="shared" si="15"/>
        <v>0</v>
      </c>
      <c r="BB378" s="202"/>
      <c r="BC378" s="204"/>
      <c r="BD378" s="202"/>
      <c r="BE378" s="209"/>
      <c r="BF378" s="202"/>
      <c r="BG378" s="206"/>
      <c r="BH378" s="202"/>
      <c r="BI378" s="204"/>
      <c r="BJ378" s="202"/>
      <c r="BK378" s="204"/>
      <c r="BL378" s="202"/>
      <c r="BM378" s="201"/>
      <c r="BN378" s="202"/>
      <c r="BO378" s="203">
        <f t="shared" si="16"/>
        <v>0</v>
      </c>
      <c r="BP378" s="202"/>
      <c r="BQ378" s="138"/>
      <c r="BR378" s="128"/>
      <c r="BS378" s="128"/>
      <c r="BT378" s="128"/>
      <c r="BU378" s="128"/>
      <c r="BV378" s="128"/>
      <c r="BW378" s="139"/>
      <c r="BX378" s="140"/>
      <c r="BY378" s="139"/>
      <c r="BZ378" s="139"/>
      <c r="CA378" s="134"/>
      <c r="CB378" s="134"/>
      <c r="CC378" s="134"/>
      <c r="CD378" s="134"/>
      <c r="CE378" s="134"/>
      <c r="CF378" s="134"/>
      <c r="CG378" s="92"/>
      <c r="CH378" s="92"/>
      <c r="CI378" s="92"/>
      <c r="CJ378" s="92"/>
      <c r="CK378" s="92"/>
    </row>
    <row r="379" spans="1:89" ht="17.25" customHeight="1">
      <c r="A379" s="160"/>
      <c r="B379" s="52"/>
      <c r="C379" s="52"/>
      <c r="D379" s="137">
        <f t="shared" si="28"/>
        <v>0</v>
      </c>
      <c r="E379" s="208"/>
      <c r="F379" s="202"/>
      <c r="G379" s="207"/>
      <c r="H379" s="202"/>
      <c r="I379" s="208"/>
      <c r="J379" s="202"/>
      <c r="K379" s="208">
        <f t="shared" si="12"/>
        <v>0</v>
      </c>
      <c r="L379" s="202"/>
      <c r="M379" s="207"/>
      <c r="N379" s="202"/>
      <c r="O379" s="209"/>
      <c r="P379" s="202"/>
      <c r="Q379" s="206"/>
      <c r="R379" s="202"/>
      <c r="S379" s="207"/>
      <c r="T379" s="202"/>
      <c r="U379" s="207"/>
      <c r="V379" s="202"/>
      <c r="W379" s="208"/>
      <c r="X379" s="202"/>
      <c r="Y379" s="210">
        <f t="shared" si="31"/>
        <v>0</v>
      </c>
      <c r="Z379" s="202"/>
      <c r="AA379" s="207"/>
      <c r="AB379" s="202"/>
      <c r="AC379" s="209"/>
      <c r="AD379" s="202"/>
      <c r="AE379" s="206"/>
      <c r="AF379" s="202"/>
      <c r="AG379" s="207"/>
      <c r="AH379" s="202"/>
      <c r="AI379" s="207"/>
      <c r="AJ379" s="202"/>
      <c r="AK379" s="208"/>
      <c r="AL379" s="202"/>
      <c r="AM379" s="210">
        <f t="shared" si="14"/>
        <v>0</v>
      </c>
      <c r="AN379" s="202"/>
      <c r="AO379" s="207"/>
      <c r="AP379" s="202"/>
      <c r="AQ379" s="209"/>
      <c r="AR379" s="202"/>
      <c r="AS379" s="206"/>
      <c r="AT379" s="202"/>
      <c r="AU379" s="204"/>
      <c r="AV379" s="202"/>
      <c r="AW379" s="204"/>
      <c r="AX379" s="202"/>
      <c r="AY379" s="201"/>
      <c r="AZ379" s="202"/>
      <c r="BA379" s="210">
        <f t="shared" si="15"/>
        <v>0</v>
      </c>
      <c r="BB379" s="202"/>
      <c r="BC379" s="204"/>
      <c r="BD379" s="202"/>
      <c r="BE379" s="209"/>
      <c r="BF379" s="202"/>
      <c r="BG379" s="206"/>
      <c r="BH379" s="202"/>
      <c r="BI379" s="204"/>
      <c r="BJ379" s="202"/>
      <c r="BK379" s="204"/>
      <c r="BL379" s="202"/>
      <c r="BM379" s="201"/>
      <c r="BN379" s="202"/>
      <c r="BO379" s="203">
        <f t="shared" si="16"/>
        <v>0</v>
      </c>
      <c r="BP379" s="202"/>
      <c r="BQ379" s="138"/>
      <c r="BR379" s="128"/>
      <c r="BS379" s="128"/>
      <c r="BT379" s="128"/>
      <c r="BU379" s="128"/>
      <c r="BV379" s="128"/>
      <c r="BW379" s="139"/>
      <c r="BX379" s="140"/>
      <c r="BY379" s="139"/>
      <c r="BZ379" s="139"/>
      <c r="CA379" s="134"/>
      <c r="CB379" s="134"/>
      <c r="CC379" s="134"/>
      <c r="CD379" s="134"/>
      <c r="CE379" s="134"/>
      <c r="CF379" s="134"/>
      <c r="CG379" s="92"/>
      <c r="CH379" s="92"/>
      <c r="CI379" s="92"/>
      <c r="CJ379" s="92"/>
      <c r="CK379" s="92"/>
    </row>
    <row r="380" spans="1:89" ht="17.25" customHeight="1">
      <c r="A380" s="160"/>
      <c r="B380" s="52"/>
      <c r="C380" s="52"/>
      <c r="D380" s="137">
        <f t="shared" si="28"/>
        <v>0</v>
      </c>
      <c r="E380" s="208"/>
      <c r="F380" s="202"/>
      <c r="G380" s="207"/>
      <c r="H380" s="202"/>
      <c r="I380" s="208"/>
      <c r="J380" s="202"/>
      <c r="K380" s="208">
        <f t="shared" si="12"/>
        <v>0</v>
      </c>
      <c r="L380" s="202"/>
      <c r="M380" s="207"/>
      <c r="N380" s="202"/>
      <c r="O380" s="209"/>
      <c r="P380" s="202"/>
      <c r="Q380" s="206"/>
      <c r="R380" s="202"/>
      <c r="S380" s="207"/>
      <c r="T380" s="202"/>
      <c r="U380" s="207"/>
      <c r="V380" s="202"/>
      <c r="W380" s="208"/>
      <c r="X380" s="202"/>
      <c r="Y380" s="210">
        <f t="shared" si="31"/>
        <v>0</v>
      </c>
      <c r="Z380" s="202"/>
      <c r="AA380" s="207"/>
      <c r="AB380" s="202"/>
      <c r="AC380" s="209"/>
      <c r="AD380" s="202"/>
      <c r="AE380" s="206"/>
      <c r="AF380" s="202"/>
      <c r="AG380" s="207"/>
      <c r="AH380" s="202"/>
      <c r="AI380" s="207"/>
      <c r="AJ380" s="202"/>
      <c r="AK380" s="208"/>
      <c r="AL380" s="202"/>
      <c r="AM380" s="210">
        <f t="shared" si="14"/>
        <v>0</v>
      </c>
      <c r="AN380" s="202"/>
      <c r="AO380" s="207"/>
      <c r="AP380" s="202"/>
      <c r="AQ380" s="209"/>
      <c r="AR380" s="202"/>
      <c r="AS380" s="206"/>
      <c r="AT380" s="202"/>
      <c r="AU380" s="204"/>
      <c r="AV380" s="202"/>
      <c r="AW380" s="204"/>
      <c r="AX380" s="202"/>
      <c r="AY380" s="201"/>
      <c r="AZ380" s="202"/>
      <c r="BA380" s="210">
        <f t="shared" si="15"/>
        <v>0</v>
      </c>
      <c r="BB380" s="202"/>
      <c r="BC380" s="204"/>
      <c r="BD380" s="202"/>
      <c r="BE380" s="209"/>
      <c r="BF380" s="202"/>
      <c r="BG380" s="206"/>
      <c r="BH380" s="202"/>
      <c r="BI380" s="204"/>
      <c r="BJ380" s="202"/>
      <c r="BK380" s="204"/>
      <c r="BL380" s="202"/>
      <c r="BM380" s="201"/>
      <c r="BN380" s="202"/>
      <c r="BO380" s="203">
        <f t="shared" si="16"/>
        <v>0</v>
      </c>
      <c r="BP380" s="202"/>
      <c r="BQ380" s="138"/>
      <c r="BR380" s="128"/>
      <c r="BS380" s="128"/>
      <c r="BT380" s="128"/>
      <c r="BU380" s="128"/>
      <c r="BV380" s="128"/>
      <c r="BW380" s="139"/>
      <c r="BX380" s="140"/>
      <c r="BY380" s="139"/>
      <c r="BZ380" s="139"/>
      <c r="CA380" s="134"/>
      <c r="CB380" s="134"/>
      <c r="CC380" s="134"/>
      <c r="CD380" s="134"/>
      <c r="CE380" s="134"/>
      <c r="CF380" s="134"/>
      <c r="CG380" s="92"/>
      <c r="CH380" s="92"/>
      <c r="CI380" s="92"/>
      <c r="CJ380" s="92"/>
      <c r="CK380" s="92"/>
    </row>
    <row r="381" spans="1:89" ht="17.25" customHeight="1">
      <c r="A381" s="160"/>
      <c r="B381" s="52"/>
      <c r="C381" s="52"/>
      <c r="D381" s="137">
        <f t="shared" si="28"/>
        <v>0</v>
      </c>
      <c r="E381" s="208"/>
      <c r="F381" s="202"/>
      <c r="G381" s="207"/>
      <c r="H381" s="202"/>
      <c r="I381" s="208"/>
      <c r="J381" s="202"/>
      <c r="K381" s="208">
        <f t="shared" si="12"/>
        <v>0</v>
      </c>
      <c r="L381" s="202"/>
      <c r="M381" s="207"/>
      <c r="N381" s="202"/>
      <c r="O381" s="209"/>
      <c r="P381" s="202"/>
      <c r="Q381" s="206"/>
      <c r="R381" s="202"/>
      <c r="S381" s="207"/>
      <c r="T381" s="202"/>
      <c r="U381" s="207"/>
      <c r="V381" s="202"/>
      <c r="W381" s="208"/>
      <c r="X381" s="202"/>
      <c r="Y381" s="210">
        <f t="shared" si="31"/>
        <v>0</v>
      </c>
      <c r="Z381" s="202"/>
      <c r="AA381" s="207"/>
      <c r="AB381" s="202"/>
      <c r="AC381" s="209"/>
      <c r="AD381" s="202"/>
      <c r="AE381" s="206"/>
      <c r="AF381" s="202"/>
      <c r="AG381" s="207"/>
      <c r="AH381" s="202"/>
      <c r="AI381" s="207"/>
      <c r="AJ381" s="202"/>
      <c r="AK381" s="208"/>
      <c r="AL381" s="202"/>
      <c r="AM381" s="210">
        <f t="shared" si="14"/>
        <v>0</v>
      </c>
      <c r="AN381" s="202"/>
      <c r="AO381" s="207"/>
      <c r="AP381" s="202"/>
      <c r="AQ381" s="209"/>
      <c r="AR381" s="202"/>
      <c r="AS381" s="206"/>
      <c r="AT381" s="202"/>
      <c r="AU381" s="204"/>
      <c r="AV381" s="202"/>
      <c r="AW381" s="204"/>
      <c r="AX381" s="202"/>
      <c r="AY381" s="201"/>
      <c r="AZ381" s="202"/>
      <c r="BA381" s="210">
        <f t="shared" si="15"/>
        <v>0</v>
      </c>
      <c r="BB381" s="202"/>
      <c r="BC381" s="204"/>
      <c r="BD381" s="202"/>
      <c r="BE381" s="209"/>
      <c r="BF381" s="202"/>
      <c r="BG381" s="206"/>
      <c r="BH381" s="202"/>
      <c r="BI381" s="204"/>
      <c r="BJ381" s="202"/>
      <c r="BK381" s="204"/>
      <c r="BL381" s="202"/>
      <c r="BM381" s="201"/>
      <c r="BN381" s="202"/>
      <c r="BO381" s="203">
        <f t="shared" si="16"/>
        <v>0</v>
      </c>
      <c r="BP381" s="202"/>
      <c r="BQ381" s="138"/>
      <c r="BR381" s="128"/>
      <c r="BS381" s="128"/>
      <c r="BT381" s="128"/>
      <c r="BU381" s="128"/>
      <c r="BV381" s="128"/>
      <c r="BW381" s="139"/>
      <c r="BX381" s="140"/>
      <c r="BY381" s="139"/>
      <c r="BZ381" s="139"/>
      <c r="CA381" s="134"/>
      <c r="CB381" s="134"/>
      <c r="CC381" s="134"/>
      <c r="CD381" s="134"/>
      <c r="CE381" s="134"/>
      <c r="CF381" s="134"/>
      <c r="CG381" s="92"/>
      <c r="CH381" s="92"/>
      <c r="CI381" s="92"/>
      <c r="CJ381" s="92"/>
      <c r="CK381" s="92"/>
    </row>
    <row r="382" spans="1:89" ht="17.25" customHeight="1">
      <c r="A382" s="160"/>
      <c r="B382" s="163"/>
      <c r="C382" s="30"/>
      <c r="D382" s="137">
        <f t="shared" ref="D382:D409" si="32">SUM(Q382,AE382,AS382,BG382,BO382)</f>
        <v>0</v>
      </c>
      <c r="E382" s="208"/>
      <c r="F382" s="202"/>
      <c r="G382" s="207"/>
      <c r="H382" s="202"/>
      <c r="I382" s="208"/>
      <c r="J382" s="202"/>
      <c r="K382" s="208">
        <f t="shared" si="12"/>
        <v>0</v>
      </c>
      <c r="L382" s="202"/>
      <c r="M382" s="207"/>
      <c r="N382" s="202"/>
      <c r="O382" s="209"/>
      <c r="P382" s="202"/>
      <c r="Q382" s="206"/>
      <c r="R382" s="202"/>
      <c r="S382" s="207"/>
      <c r="T382" s="202"/>
      <c r="U382" s="207"/>
      <c r="V382" s="202"/>
      <c r="W382" s="208"/>
      <c r="X382" s="202"/>
      <c r="Y382" s="210">
        <f t="shared" si="31"/>
        <v>0</v>
      </c>
      <c r="Z382" s="202"/>
      <c r="AA382" s="207"/>
      <c r="AB382" s="202"/>
      <c r="AC382" s="209"/>
      <c r="AD382" s="202"/>
      <c r="AE382" s="206"/>
      <c r="AF382" s="202"/>
      <c r="AG382" s="207"/>
      <c r="AH382" s="202"/>
      <c r="AI382" s="207"/>
      <c r="AJ382" s="202"/>
      <c r="AK382" s="208"/>
      <c r="AL382" s="202"/>
      <c r="AM382" s="210">
        <f t="shared" si="14"/>
        <v>0</v>
      </c>
      <c r="AN382" s="202"/>
      <c r="AO382" s="207"/>
      <c r="AP382" s="202"/>
      <c r="AQ382" s="209"/>
      <c r="AR382" s="202"/>
      <c r="AS382" s="206"/>
      <c r="AT382" s="202"/>
      <c r="AU382" s="204"/>
      <c r="AV382" s="202"/>
      <c r="AW382" s="204"/>
      <c r="AX382" s="202"/>
      <c r="AY382" s="201"/>
      <c r="AZ382" s="202"/>
      <c r="BA382" s="210">
        <f t="shared" si="15"/>
        <v>0</v>
      </c>
      <c r="BB382" s="202"/>
      <c r="BC382" s="204"/>
      <c r="BD382" s="202"/>
      <c r="BE382" s="209"/>
      <c r="BF382" s="202"/>
      <c r="BG382" s="206"/>
      <c r="BH382" s="202"/>
      <c r="BI382" s="204"/>
      <c r="BJ382" s="202"/>
      <c r="BK382" s="204"/>
      <c r="BL382" s="202"/>
      <c r="BM382" s="201"/>
      <c r="BN382" s="202"/>
      <c r="BO382" s="203">
        <f t="shared" si="16"/>
        <v>0</v>
      </c>
      <c r="BP382" s="202"/>
      <c r="BQ382" s="138"/>
      <c r="BR382" s="128"/>
      <c r="BS382" s="128"/>
      <c r="BT382" s="128"/>
      <c r="BU382" s="128"/>
      <c r="BV382" s="128"/>
      <c r="BW382" s="139"/>
      <c r="BX382" s="140"/>
      <c r="BY382" s="139"/>
      <c r="BZ382" s="139"/>
      <c r="CA382" s="134"/>
      <c r="CB382" s="134"/>
      <c r="CC382" s="134"/>
      <c r="CD382" s="134"/>
      <c r="CE382" s="134"/>
      <c r="CF382" s="134"/>
      <c r="CG382" s="92"/>
      <c r="CH382" s="92"/>
      <c r="CI382" s="92"/>
      <c r="CJ382" s="92"/>
      <c r="CK382" s="92"/>
    </row>
    <row r="383" spans="1:89" ht="17.25" customHeight="1">
      <c r="A383" s="160"/>
      <c r="B383" s="163"/>
      <c r="C383" s="30"/>
      <c r="D383" s="137">
        <f t="shared" si="32"/>
        <v>0</v>
      </c>
      <c r="E383" s="208"/>
      <c r="F383" s="202"/>
      <c r="G383" s="207"/>
      <c r="H383" s="202"/>
      <c r="I383" s="208"/>
      <c r="J383" s="202"/>
      <c r="K383" s="208">
        <f t="shared" si="12"/>
        <v>0</v>
      </c>
      <c r="L383" s="202"/>
      <c r="M383" s="207"/>
      <c r="N383" s="202"/>
      <c r="O383" s="209"/>
      <c r="P383" s="202"/>
      <c r="Q383" s="206"/>
      <c r="R383" s="202"/>
      <c r="S383" s="207"/>
      <c r="T383" s="202"/>
      <c r="U383" s="207"/>
      <c r="V383" s="202"/>
      <c r="W383" s="208"/>
      <c r="X383" s="202"/>
      <c r="Y383" s="210">
        <f t="shared" si="31"/>
        <v>0</v>
      </c>
      <c r="Z383" s="202"/>
      <c r="AA383" s="207"/>
      <c r="AB383" s="202"/>
      <c r="AC383" s="209"/>
      <c r="AD383" s="202"/>
      <c r="AE383" s="206"/>
      <c r="AF383" s="202"/>
      <c r="AG383" s="207"/>
      <c r="AH383" s="202"/>
      <c r="AI383" s="207"/>
      <c r="AJ383" s="202"/>
      <c r="AK383" s="208"/>
      <c r="AL383" s="202"/>
      <c r="AM383" s="210">
        <f t="shared" si="14"/>
        <v>0</v>
      </c>
      <c r="AN383" s="202"/>
      <c r="AO383" s="207"/>
      <c r="AP383" s="202"/>
      <c r="AQ383" s="209"/>
      <c r="AR383" s="202"/>
      <c r="AS383" s="206"/>
      <c r="AT383" s="202"/>
      <c r="AU383" s="204"/>
      <c r="AV383" s="202"/>
      <c r="AW383" s="204"/>
      <c r="AX383" s="202"/>
      <c r="AY383" s="201"/>
      <c r="AZ383" s="202"/>
      <c r="BA383" s="210">
        <f t="shared" si="15"/>
        <v>0</v>
      </c>
      <c r="BB383" s="202"/>
      <c r="BC383" s="204"/>
      <c r="BD383" s="202"/>
      <c r="BE383" s="209"/>
      <c r="BF383" s="202"/>
      <c r="BG383" s="206"/>
      <c r="BH383" s="202"/>
      <c r="BI383" s="204"/>
      <c r="BJ383" s="202"/>
      <c r="BK383" s="204"/>
      <c r="BL383" s="202"/>
      <c r="BM383" s="201"/>
      <c r="BN383" s="202"/>
      <c r="BO383" s="203">
        <f t="shared" si="16"/>
        <v>0</v>
      </c>
      <c r="BP383" s="202"/>
      <c r="BQ383" s="138"/>
      <c r="BR383" s="128"/>
      <c r="BS383" s="128"/>
      <c r="BT383" s="128"/>
      <c r="BU383" s="128"/>
      <c r="BV383" s="128"/>
      <c r="BW383" s="139"/>
      <c r="BX383" s="140"/>
      <c r="BY383" s="139"/>
      <c r="BZ383" s="139"/>
      <c r="CA383" s="134"/>
      <c r="CB383" s="134"/>
      <c r="CC383" s="134"/>
      <c r="CD383" s="134"/>
      <c r="CE383" s="134"/>
      <c r="CF383" s="134"/>
      <c r="CG383" s="92"/>
      <c r="CH383" s="92"/>
      <c r="CI383" s="92"/>
      <c r="CJ383" s="92"/>
      <c r="CK383" s="92"/>
    </row>
    <row r="384" spans="1:89" ht="17.25" customHeight="1">
      <c r="A384" s="160"/>
      <c r="B384" s="163"/>
      <c r="C384" s="30"/>
      <c r="D384" s="137">
        <f t="shared" si="32"/>
        <v>0</v>
      </c>
      <c r="E384" s="208"/>
      <c r="F384" s="202"/>
      <c r="G384" s="207"/>
      <c r="H384" s="202"/>
      <c r="I384" s="208"/>
      <c r="J384" s="202"/>
      <c r="K384" s="208">
        <f t="shared" si="12"/>
        <v>0</v>
      </c>
      <c r="L384" s="202"/>
      <c r="M384" s="207"/>
      <c r="N384" s="202"/>
      <c r="O384" s="209"/>
      <c r="P384" s="202"/>
      <c r="Q384" s="206"/>
      <c r="R384" s="202"/>
      <c r="S384" s="207"/>
      <c r="T384" s="202"/>
      <c r="U384" s="207"/>
      <c r="V384" s="202"/>
      <c r="W384" s="208"/>
      <c r="X384" s="202"/>
      <c r="Y384" s="210">
        <f t="shared" si="31"/>
        <v>0</v>
      </c>
      <c r="Z384" s="202"/>
      <c r="AA384" s="207"/>
      <c r="AB384" s="202"/>
      <c r="AC384" s="209"/>
      <c r="AD384" s="202"/>
      <c r="AE384" s="206"/>
      <c r="AF384" s="202"/>
      <c r="AG384" s="207"/>
      <c r="AH384" s="202"/>
      <c r="AI384" s="207"/>
      <c r="AJ384" s="202"/>
      <c r="AK384" s="208"/>
      <c r="AL384" s="202"/>
      <c r="AM384" s="210">
        <f t="shared" si="14"/>
        <v>0</v>
      </c>
      <c r="AN384" s="202"/>
      <c r="AO384" s="207"/>
      <c r="AP384" s="202"/>
      <c r="AQ384" s="209"/>
      <c r="AR384" s="202"/>
      <c r="AS384" s="206"/>
      <c r="AT384" s="202"/>
      <c r="AU384" s="204"/>
      <c r="AV384" s="202"/>
      <c r="AW384" s="204"/>
      <c r="AX384" s="202"/>
      <c r="AY384" s="201"/>
      <c r="AZ384" s="202"/>
      <c r="BA384" s="210">
        <f t="shared" si="15"/>
        <v>0</v>
      </c>
      <c r="BB384" s="202"/>
      <c r="BC384" s="204"/>
      <c r="BD384" s="202"/>
      <c r="BE384" s="209"/>
      <c r="BF384" s="202"/>
      <c r="BG384" s="206"/>
      <c r="BH384" s="202"/>
      <c r="BI384" s="204"/>
      <c r="BJ384" s="202"/>
      <c r="BK384" s="204"/>
      <c r="BL384" s="202"/>
      <c r="BM384" s="201"/>
      <c r="BN384" s="202"/>
      <c r="BO384" s="203">
        <f t="shared" si="16"/>
        <v>0</v>
      </c>
      <c r="BP384" s="202"/>
      <c r="BQ384" s="138"/>
      <c r="BR384" s="128"/>
      <c r="BS384" s="128"/>
      <c r="BT384" s="128"/>
      <c r="BU384" s="128"/>
      <c r="BV384" s="128"/>
      <c r="BW384" s="139"/>
      <c r="BX384" s="140"/>
      <c r="BY384" s="139"/>
      <c r="BZ384" s="139"/>
      <c r="CA384" s="134"/>
      <c r="CB384" s="134"/>
      <c r="CC384" s="134"/>
      <c r="CD384" s="134"/>
      <c r="CE384" s="134"/>
      <c r="CF384" s="134"/>
      <c r="CG384" s="92"/>
      <c r="CH384" s="92"/>
      <c r="CI384" s="92"/>
      <c r="CJ384" s="92"/>
      <c r="CK384" s="92"/>
    </row>
    <row r="385" spans="1:89" ht="17.25" customHeight="1">
      <c r="A385" s="160"/>
      <c r="B385" s="163"/>
      <c r="C385" s="30"/>
      <c r="D385" s="137">
        <f t="shared" si="32"/>
        <v>0</v>
      </c>
      <c r="E385" s="208"/>
      <c r="F385" s="202"/>
      <c r="G385" s="207"/>
      <c r="H385" s="202"/>
      <c r="I385" s="208"/>
      <c r="J385" s="202"/>
      <c r="K385" s="208">
        <f t="shared" si="12"/>
        <v>0</v>
      </c>
      <c r="L385" s="202"/>
      <c r="M385" s="207"/>
      <c r="N385" s="202"/>
      <c r="O385" s="209"/>
      <c r="P385" s="202"/>
      <c r="Q385" s="206"/>
      <c r="R385" s="202"/>
      <c r="S385" s="207"/>
      <c r="T385" s="202"/>
      <c r="U385" s="207"/>
      <c r="V385" s="202"/>
      <c r="W385" s="208"/>
      <c r="X385" s="202"/>
      <c r="Y385" s="210">
        <f t="shared" si="31"/>
        <v>0</v>
      </c>
      <c r="Z385" s="202"/>
      <c r="AA385" s="207"/>
      <c r="AB385" s="202"/>
      <c r="AC385" s="209"/>
      <c r="AD385" s="202"/>
      <c r="AE385" s="206"/>
      <c r="AF385" s="202"/>
      <c r="AG385" s="207"/>
      <c r="AH385" s="202"/>
      <c r="AI385" s="207"/>
      <c r="AJ385" s="202"/>
      <c r="AK385" s="208"/>
      <c r="AL385" s="202"/>
      <c r="AM385" s="210">
        <f t="shared" si="14"/>
        <v>0</v>
      </c>
      <c r="AN385" s="202"/>
      <c r="AO385" s="207"/>
      <c r="AP385" s="202"/>
      <c r="AQ385" s="209"/>
      <c r="AR385" s="202"/>
      <c r="AS385" s="206"/>
      <c r="AT385" s="202"/>
      <c r="AU385" s="204"/>
      <c r="AV385" s="202"/>
      <c r="AW385" s="204"/>
      <c r="AX385" s="202"/>
      <c r="AY385" s="201"/>
      <c r="AZ385" s="202"/>
      <c r="BA385" s="210">
        <f t="shared" si="15"/>
        <v>0</v>
      </c>
      <c r="BB385" s="202"/>
      <c r="BC385" s="204"/>
      <c r="BD385" s="202"/>
      <c r="BE385" s="209"/>
      <c r="BF385" s="202"/>
      <c r="BG385" s="206"/>
      <c r="BH385" s="202"/>
      <c r="BI385" s="204"/>
      <c r="BJ385" s="202"/>
      <c r="BK385" s="204"/>
      <c r="BL385" s="202"/>
      <c r="BM385" s="201"/>
      <c r="BN385" s="202"/>
      <c r="BO385" s="203">
        <f t="shared" si="16"/>
        <v>0</v>
      </c>
      <c r="BP385" s="202"/>
      <c r="BQ385" s="138"/>
      <c r="BR385" s="128"/>
      <c r="BS385" s="128"/>
      <c r="BT385" s="128"/>
      <c r="BU385" s="128"/>
      <c r="BV385" s="128"/>
      <c r="BW385" s="139"/>
      <c r="BX385" s="140"/>
      <c r="BY385" s="139"/>
      <c r="BZ385" s="139"/>
      <c r="CA385" s="134"/>
      <c r="CB385" s="134"/>
      <c r="CC385" s="134"/>
      <c r="CD385" s="134"/>
      <c r="CE385" s="134"/>
      <c r="CF385" s="134"/>
      <c r="CG385" s="92"/>
      <c r="CH385" s="92"/>
      <c r="CI385" s="92"/>
      <c r="CJ385" s="92"/>
      <c r="CK385" s="92"/>
    </row>
    <row r="386" spans="1:89" ht="17.25" customHeight="1">
      <c r="A386" s="160"/>
      <c r="B386" s="163"/>
      <c r="C386" s="30"/>
      <c r="D386" s="137">
        <f t="shared" si="32"/>
        <v>0</v>
      </c>
      <c r="E386" s="208"/>
      <c r="F386" s="202"/>
      <c r="G386" s="207"/>
      <c r="H386" s="202"/>
      <c r="I386" s="208"/>
      <c r="J386" s="202"/>
      <c r="K386" s="208">
        <f t="shared" si="12"/>
        <v>0</v>
      </c>
      <c r="L386" s="202"/>
      <c r="M386" s="207"/>
      <c r="N386" s="202"/>
      <c r="O386" s="209"/>
      <c r="P386" s="202"/>
      <c r="Q386" s="206"/>
      <c r="R386" s="202"/>
      <c r="S386" s="207"/>
      <c r="T386" s="202"/>
      <c r="U386" s="207"/>
      <c r="V386" s="202"/>
      <c r="W386" s="208"/>
      <c r="X386" s="202"/>
      <c r="Y386" s="210">
        <f t="shared" si="31"/>
        <v>0</v>
      </c>
      <c r="Z386" s="202"/>
      <c r="AA386" s="207"/>
      <c r="AB386" s="202"/>
      <c r="AC386" s="209"/>
      <c r="AD386" s="202"/>
      <c r="AE386" s="206"/>
      <c r="AF386" s="202"/>
      <c r="AG386" s="207"/>
      <c r="AH386" s="202"/>
      <c r="AI386" s="207"/>
      <c r="AJ386" s="202"/>
      <c r="AK386" s="208"/>
      <c r="AL386" s="202"/>
      <c r="AM386" s="210">
        <f t="shared" si="14"/>
        <v>0</v>
      </c>
      <c r="AN386" s="202"/>
      <c r="AO386" s="207"/>
      <c r="AP386" s="202"/>
      <c r="AQ386" s="209"/>
      <c r="AR386" s="202"/>
      <c r="AS386" s="206"/>
      <c r="AT386" s="202"/>
      <c r="AU386" s="204"/>
      <c r="AV386" s="202"/>
      <c r="AW386" s="204"/>
      <c r="AX386" s="202"/>
      <c r="AY386" s="201"/>
      <c r="AZ386" s="202"/>
      <c r="BA386" s="210">
        <f t="shared" si="15"/>
        <v>0</v>
      </c>
      <c r="BB386" s="202"/>
      <c r="BC386" s="204"/>
      <c r="BD386" s="202"/>
      <c r="BE386" s="209"/>
      <c r="BF386" s="202"/>
      <c r="BG386" s="206"/>
      <c r="BH386" s="202"/>
      <c r="BI386" s="204"/>
      <c r="BJ386" s="202"/>
      <c r="BK386" s="204"/>
      <c r="BL386" s="202"/>
      <c r="BM386" s="201"/>
      <c r="BN386" s="202"/>
      <c r="BO386" s="203">
        <f t="shared" si="16"/>
        <v>0</v>
      </c>
      <c r="BP386" s="202"/>
      <c r="BQ386" s="138"/>
      <c r="BR386" s="128"/>
      <c r="BS386" s="128"/>
      <c r="BT386" s="128"/>
      <c r="BU386" s="128"/>
      <c r="BV386" s="128"/>
      <c r="BW386" s="139"/>
      <c r="BX386" s="140"/>
      <c r="BY386" s="139"/>
      <c r="BZ386" s="139"/>
      <c r="CA386" s="134"/>
      <c r="CB386" s="134"/>
      <c r="CC386" s="134"/>
      <c r="CD386" s="134"/>
      <c r="CE386" s="134"/>
      <c r="CF386" s="134"/>
      <c r="CG386" s="92"/>
      <c r="CH386" s="92"/>
      <c r="CI386" s="92"/>
      <c r="CJ386" s="92"/>
      <c r="CK386" s="92"/>
    </row>
    <row r="387" spans="1:89" ht="17.25" customHeight="1">
      <c r="A387" s="160"/>
      <c r="B387" s="163"/>
      <c r="C387" s="30"/>
      <c r="D387" s="137">
        <f t="shared" si="32"/>
        <v>0</v>
      </c>
      <c r="E387" s="208"/>
      <c r="F387" s="202"/>
      <c r="G387" s="207"/>
      <c r="H387" s="202"/>
      <c r="I387" s="208"/>
      <c r="J387" s="202"/>
      <c r="K387" s="208">
        <f t="shared" si="12"/>
        <v>0</v>
      </c>
      <c r="L387" s="202"/>
      <c r="M387" s="207"/>
      <c r="N387" s="202"/>
      <c r="O387" s="209"/>
      <c r="P387" s="202"/>
      <c r="Q387" s="206"/>
      <c r="R387" s="202"/>
      <c r="S387" s="207"/>
      <c r="T387" s="202"/>
      <c r="U387" s="207"/>
      <c r="V387" s="202"/>
      <c r="W387" s="208"/>
      <c r="X387" s="202"/>
      <c r="Y387" s="210">
        <f t="shared" si="31"/>
        <v>0</v>
      </c>
      <c r="Z387" s="202"/>
      <c r="AA387" s="207"/>
      <c r="AB387" s="202"/>
      <c r="AC387" s="209"/>
      <c r="AD387" s="202"/>
      <c r="AE387" s="206"/>
      <c r="AF387" s="202"/>
      <c r="AG387" s="207"/>
      <c r="AH387" s="202"/>
      <c r="AI387" s="207"/>
      <c r="AJ387" s="202"/>
      <c r="AK387" s="208"/>
      <c r="AL387" s="202"/>
      <c r="AM387" s="210">
        <f t="shared" si="14"/>
        <v>0</v>
      </c>
      <c r="AN387" s="202"/>
      <c r="AO387" s="207"/>
      <c r="AP387" s="202"/>
      <c r="AQ387" s="209"/>
      <c r="AR387" s="202"/>
      <c r="AS387" s="206"/>
      <c r="AT387" s="202"/>
      <c r="AU387" s="204"/>
      <c r="AV387" s="202"/>
      <c r="AW387" s="204"/>
      <c r="AX387" s="202"/>
      <c r="AY387" s="201"/>
      <c r="AZ387" s="202"/>
      <c r="BA387" s="210">
        <f t="shared" si="15"/>
        <v>0</v>
      </c>
      <c r="BB387" s="202"/>
      <c r="BC387" s="204"/>
      <c r="BD387" s="202"/>
      <c r="BE387" s="209"/>
      <c r="BF387" s="202"/>
      <c r="BG387" s="206"/>
      <c r="BH387" s="202"/>
      <c r="BI387" s="204"/>
      <c r="BJ387" s="202"/>
      <c r="BK387" s="204"/>
      <c r="BL387" s="202"/>
      <c r="BM387" s="201"/>
      <c r="BN387" s="202"/>
      <c r="BO387" s="203">
        <f t="shared" si="16"/>
        <v>0</v>
      </c>
      <c r="BP387" s="202"/>
      <c r="BQ387" s="138"/>
      <c r="BR387" s="128"/>
      <c r="BS387" s="128"/>
      <c r="BT387" s="128"/>
      <c r="BU387" s="128"/>
      <c r="BV387" s="128"/>
      <c r="BW387" s="139"/>
      <c r="BX387" s="140"/>
      <c r="BY387" s="139"/>
      <c r="BZ387" s="139"/>
      <c r="CA387" s="134"/>
      <c r="CB387" s="134"/>
      <c r="CC387" s="134"/>
      <c r="CD387" s="134"/>
      <c r="CE387" s="134"/>
      <c r="CF387" s="134"/>
      <c r="CG387" s="92"/>
      <c r="CH387" s="92"/>
      <c r="CI387" s="92"/>
      <c r="CJ387" s="92"/>
      <c r="CK387" s="92"/>
    </row>
    <row r="388" spans="1:89" ht="17.25" customHeight="1">
      <c r="A388" s="160"/>
      <c r="B388" s="163"/>
      <c r="C388" s="30"/>
      <c r="D388" s="137">
        <f t="shared" si="32"/>
        <v>0</v>
      </c>
      <c r="E388" s="208"/>
      <c r="F388" s="202"/>
      <c r="G388" s="207"/>
      <c r="H388" s="202"/>
      <c r="I388" s="208"/>
      <c r="J388" s="202"/>
      <c r="K388" s="208">
        <f t="shared" si="12"/>
        <v>0</v>
      </c>
      <c r="L388" s="202"/>
      <c r="M388" s="207"/>
      <c r="N388" s="202"/>
      <c r="O388" s="209"/>
      <c r="P388" s="202"/>
      <c r="Q388" s="206"/>
      <c r="R388" s="202"/>
      <c r="S388" s="207"/>
      <c r="T388" s="202"/>
      <c r="U388" s="207"/>
      <c r="V388" s="202"/>
      <c r="W388" s="208"/>
      <c r="X388" s="202"/>
      <c r="Y388" s="210">
        <f t="shared" si="31"/>
        <v>0</v>
      </c>
      <c r="Z388" s="202"/>
      <c r="AA388" s="207"/>
      <c r="AB388" s="202"/>
      <c r="AC388" s="209"/>
      <c r="AD388" s="202"/>
      <c r="AE388" s="206"/>
      <c r="AF388" s="202"/>
      <c r="AG388" s="207"/>
      <c r="AH388" s="202"/>
      <c r="AI388" s="207"/>
      <c r="AJ388" s="202"/>
      <c r="AK388" s="208"/>
      <c r="AL388" s="202"/>
      <c r="AM388" s="210">
        <f t="shared" si="14"/>
        <v>0</v>
      </c>
      <c r="AN388" s="202"/>
      <c r="AO388" s="207"/>
      <c r="AP388" s="202"/>
      <c r="AQ388" s="209"/>
      <c r="AR388" s="202"/>
      <c r="AS388" s="206"/>
      <c r="AT388" s="202"/>
      <c r="AU388" s="204"/>
      <c r="AV388" s="202"/>
      <c r="AW388" s="204"/>
      <c r="AX388" s="202"/>
      <c r="AY388" s="201"/>
      <c r="AZ388" s="202"/>
      <c r="BA388" s="210">
        <f t="shared" si="15"/>
        <v>0</v>
      </c>
      <c r="BB388" s="202"/>
      <c r="BC388" s="204"/>
      <c r="BD388" s="202"/>
      <c r="BE388" s="209"/>
      <c r="BF388" s="202"/>
      <c r="BG388" s="206"/>
      <c r="BH388" s="202"/>
      <c r="BI388" s="204"/>
      <c r="BJ388" s="202"/>
      <c r="BK388" s="204"/>
      <c r="BL388" s="202"/>
      <c r="BM388" s="201"/>
      <c r="BN388" s="202"/>
      <c r="BO388" s="203">
        <f t="shared" si="16"/>
        <v>0</v>
      </c>
      <c r="BP388" s="202"/>
      <c r="BQ388" s="138"/>
      <c r="BR388" s="128"/>
      <c r="BS388" s="128"/>
      <c r="BT388" s="128"/>
      <c r="BU388" s="128"/>
      <c r="BV388" s="128"/>
      <c r="BW388" s="139"/>
      <c r="BX388" s="140"/>
      <c r="BY388" s="139"/>
      <c r="BZ388" s="139"/>
      <c r="CA388" s="134"/>
      <c r="CB388" s="134"/>
      <c r="CC388" s="134"/>
      <c r="CD388" s="134"/>
      <c r="CE388" s="134"/>
      <c r="CF388" s="134"/>
      <c r="CG388" s="92"/>
      <c r="CH388" s="92"/>
      <c r="CI388" s="92"/>
      <c r="CJ388" s="92"/>
      <c r="CK388" s="92"/>
    </row>
    <row r="389" spans="1:89" ht="17.25" customHeight="1">
      <c r="A389" s="160"/>
      <c r="B389" s="163"/>
      <c r="C389" s="30"/>
      <c r="D389" s="137">
        <f t="shared" si="32"/>
        <v>0</v>
      </c>
      <c r="E389" s="208"/>
      <c r="F389" s="202"/>
      <c r="G389" s="207"/>
      <c r="H389" s="202"/>
      <c r="I389" s="208"/>
      <c r="J389" s="202"/>
      <c r="K389" s="208">
        <f t="shared" si="12"/>
        <v>0</v>
      </c>
      <c r="L389" s="202"/>
      <c r="M389" s="207"/>
      <c r="N389" s="202"/>
      <c r="O389" s="209"/>
      <c r="P389" s="202"/>
      <c r="Q389" s="206"/>
      <c r="R389" s="202"/>
      <c r="S389" s="207"/>
      <c r="T389" s="202"/>
      <c r="U389" s="207"/>
      <c r="V389" s="202"/>
      <c r="W389" s="208"/>
      <c r="X389" s="202"/>
      <c r="Y389" s="210">
        <f t="shared" si="31"/>
        <v>0</v>
      </c>
      <c r="Z389" s="202"/>
      <c r="AA389" s="207"/>
      <c r="AB389" s="202"/>
      <c r="AC389" s="209"/>
      <c r="AD389" s="202"/>
      <c r="AE389" s="206"/>
      <c r="AF389" s="202"/>
      <c r="AG389" s="207"/>
      <c r="AH389" s="202"/>
      <c r="AI389" s="207"/>
      <c r="AJ389" s="202"/>
      <c r="AK389" s="208"/>
      <c r="AL389" s="202"/>
      <c r="AM389" s="210">
        <f t="shared" si="14"/>
        <v>0</v>
      </c>
      <c r="AN389" s="202"/>
      <c r="AO389" s="207"/>
      <c r="AP389" s="202"/>
      <c r="AQ389" s="209"/>
      <c r="AR389" s="202"/>
      <c r="AS389" s="206"/>
      <c r="AT389" s="202"/>
      <c r="AU389" s="204"/>
      <c r="AV389" s="202"/>
      <c r="AW389" s="204"/>
      <c r="AX389" s="202"/>
      <c r="AY389" s="201"/>
      <c r="AZ389" s="202"/>
      <c r="BA389" s="210">
        <f t="shared" si="15"/>
        <v>0</v>
      </c>
      <c r="BB389" s="202"/>
      <c r="BC389" s="204"/>
      <c r="BD389" s="202"/>
      <c r="BE389" s="209"/>
      <c r="BF389" s="202"/>
      <c r="BG389" s="206"/>
      <c r="BH389" s="202"/>
      <c r="BI389" s="204"/>
      <c r="BJ389" s="202"/>
      <c r="BK389" s="204"/>
      <c r="BL389" s="202"/>
      <c r="BM389" s="201"/>
      <c r="BN389" s="202"/>
      <c r="BO389" s="203">
        <f t="shared" si="16"/>
        <v>0</v>
      </c>
      <c r="BP389" s="202"/>
      <c r="BQ389" s="138"/>
      <c r="BR389" s="128"/>
      <c r="BS389" s="128"/>
      <c r="BT389" s="128"/>
      <c r="BU389" s="128"/>
      <c r="BV389" s="128"/>
      <c r="BW389" s="139"/>
      <c r="BX389" s="140"/>
      <c r="BY389" s="139"/>
      <c r="BZ389" s="139"/>
      <c r="CA389" s="134"/>
      <c r="CB389" s="134"/>
      <c r="CC389" s="134"/>
      <c r="CD389" s="134"/>
      <c r="CE389" s="134"/>
      <c r="CF389" s="134"/>
      <c r="CG389" s="92"/>
      <c r="CH389" s="92"/>
      <c r="CI389" s="92"/>
      <c r="CJ389" s="92"/>
      <c r="CK389" s="92"/>
    </row>
    <row r="390" spans="1:89" ht="17.25" customHeight="1">
      <c r="A390" s="160"/>
      <c r="B390" s="163"/>
      <c r="C390" s="30"/>
      <c r="D390" s="137">
        <f t="shared" si="32"/>
        <v>0</v>
      </c>
      <c r="E390" s="208"/>
      <c r="F390" s="202"/>
      <c r="G390" s="207"/>
      <c r="H390" s="202"/>
      <c r="I390" s="208"/>
      <c r="J390" s="202"/>
      <c r="K390" s="208">
        <f t="shared" si="12"/>
        <v>0</v>
      </c>
      <c r="L390" s="202"/>
      <c r="M390" s="207"/>
      <c r="N390" s="202"/>
      <c r="O390" s="209"/>
      <c r="P390" s="202"/>
      <c r="Q390" s="206"/>
      <c r="R390" s="202"/>
      <c r="S390" s="207"/>
      <c r="T390" s="202"/>
      <c r="U390" s="207"/>
      <c r="V390" s="202"/>
      <c r="W390" s="208"/>
      <c r="X390" s="202"/>
      <c r="Y390" s="210">
        <f t="shared" si="31"/>
        <v>0</v>
      </c>
      <c r="Z390" s="202"/>
      <c r="AA390" s="207"/>
      <c r="AB390" s="202"/>
      <c r="AC390" s="209"/>
      <c r="AD390" s="202"/>
      <c r="AE390" s="206"/>
      <c r="AF390" s="202"/>
      <c r="AG390" s="207"/>
      <c r="AH390" s="202"/>
      <c r="AI390" s="207"/>
      <c r="AJ390" s="202"/>
      <c r="AK390" s="208"/>
      <c r="AL390" s="202"/>
      <c r="AM390" s="210">
        <f t="shared" si="14"/>
        <v>0</v>
      </c>
      <c r="AN390" s="202"/>
      <c r="AO390" s="207"/>
      <c r="AP390" s="202"/>
      <c r="AQ390" s="209"/>
      <c r="AR390" s="202"/>
      <c r="AS390" s="206"/>
      <c r="AT390" s="202"/>
      <c r="AU390" s="204"/>
      <c r="AV390" s="202"/>
      <c r="AW390" s="204"/>
      <c r="AX390" s="202"/>
      <c r="AY390" s="201"/>
      <c r="AZ390" s="202"/>
      <c r="BA390" s="210">
        <f t="shared" si="15"/>
        <v>0</v>
      </c>
      <c r="BB390" s="202"/>
      <c r="BC390" s="204"/>
      <c r="BD390" s="202"/>
      <c r="BE390" s="209"/>
      <c r="BF390" s="202"/>
      <c r="BG390" s="206"/>
      <c r="BH390" s="202"/>
      <c r="BI390" s="204"/>
      <c r="BJ390" s="202"/>
      <c r="BK390" s="204"/>
      <c r="BL390" s="202"/>
      <c r="BM390" s="201"/>
      <c r="BN390" s="202"/>
      <c r="BO390" s="203">
        <f t="shared" si="16"/>
        <v>0</v>
      </c>
      <c r="BP390" s="202"/>
      <c r="BQ390" s="138"/>
      <c r="BR390" s="128"/>
      <c r="BS390" s="128"/>
      <c r="BT390" s="128"/>
      <c r="BU390" s="128"/>
      <c r="BV390" s="128"/>
      <c r="BW390" s="139"/>
      <c r="BX390" s="140"/>
      <c r="BY390" s="139"/>
      <c r="BZ390" s="139"/>
      <c r="CA390" s="134"/>
      <c r="CB390" s="134"/>
      <c r="CC390" s="134"/>
      <c r="CD390" s="134"/>
      <c r="CE390" s="134"/>
      <c r="CF390" s="134"/>
      <c r="CG390" s="92"/>
      <c r="CH390" s="92"/>
      <c r="CI390" s="92"/>
      <c r="CJ390" s="92"/>
      <c r="CK390" s="92"/>
    </row>
    <row r="391" spans="1:89" ht="17.25" customHeight="1">
      <c r="A391" s="160"/>
      <c r="B391" s="163"/>
      <c r="C391" s="30"/>
      <c r="D391" s="137">
        <f t="shared" si="32"/>
        <v>0</v>
      </c>
      <c r="E391" s="208"/>
      <c r="F391" s="202"/>
      <c r="G391" s="207"/>
      <c r="H391" s="202"/>
      <c r="I391" s="208"/>
      <c r="J391" s="202"/>
      <c r="K391" s="208">
        <f t="shared" si="12"/>
        <v>0</v>
      </c>
      <c r="L391" s="202"/>
      <c r="M391" s="207"/>
      <c r="N391" s="202"/>
      <c r="O391" s="209"/>
      <c r="P391" s="202"/>
      <c r="Q391" s="206"/>
      <c r="R391" s="202"/>
      <c r="S391" s="207"/>
      <c r="T391" s="202"/>
      <c r="U391" s="207"/>
      <c r="V391" s="202"/>
      <c r="W391" s="208"/>
      <c r="X391" s="202"/>
      <c r="Y391" s="210">
        <f t="shared" si="31"/>
        <v>0</v>
      </c>
      <c r="Z391" s="202"/>
      <c r="AA391" s="207"/>
      <c r="AB391" s="202"/>
      <c r="AC391" s="209"/>
      <c r="AD391" s="202"/>
      <c r="AE391" s="206"/>
      <c r="AF391" s="202"/>
      <c r="AG391" s="207"/>
      <c r="AH391" s="202"/>
      <c r="AI391" s="207"/>
      <c r="AJ391" s="202"/>
      <c r="AK391" s="208"/>
      <c r="AL391" s="202"/>
      <c r="AM391" s="210">
        <f t="shared" si="14"/>
        <v>0</v>
      </c>
      <c r="AN391" s="202"/>
      <c r="AO391" s="207"/>
      <c r="AP391" s="202"/>
      <c r="AQ391" s="209"/>
      <c r="AR391" s="202"/>
      <c r="AS391" s="206"/>
      <c r="AT391" s="202"/>
      <c r="AU391" s="204"/>
      <c r="AV391" s="202"/>
      <c r="AW391" s="204"/>
      <c r="AX391" s="202"/>
      <c r="AY391" s="201"/>
      <c r="AZ391" s="202"/>
      <c r="BA391" s="210">
        <f t="shared" si="15"/>
        <v>0</v>
      </c>
      <c r="BB391" s="202"/>
      <c r="BC391" s="204"/>
      <c r="BD391" s="202"/>
      <c r="BE391" s="209"/>
      <c r="BF391" s="202"/>
      <c r="BG391" s="206"/>
      <c r="BH391" s="202"/>
      <c r="BI391" s="204"/>
      <c r="BJ391" s="202"/>
      <c r="BK391" s="204"/>
      <c r="BL391" s="202"/>
      <c r="BM391" s="201"/>
      <c r="BN391" s="202"/>
      <c r="BO391" s="203">
        <f t="shared" si="16"/>
        <v>0</v>
      </c>
      <c r="BP391" s="202"/>
      <c r="BQ391" s="138"/>
      <c r="BR391" s="128"/>
      <c r="BS391" s="128"/>
      <c r="BT391" s="128"/>
      <c r="BU391" s="128"/>
      <c r="BV391" s="128"/>
      <c r="BW391" s="139"/>
      <c r="BX391" s="140"/>
      <c r="BY391" s="139"/>
      <c r="BZ391" s="139"/>
      <c r="CA391" s="134"/>
      <c r="CB391" s="134"/>
      <c r="CC391" s="134"/>
      <c r="CD391" s="134"/>
      <c r="CE391" s="134"/>
      <c r="CF391" s="134"/>
      <c r="CG391" s="92"/>
      <c r="CH391" s="92"/>
      <c r="CI391" s="92"/>
      <c r="CJ391" s="92"/>
      <c r="CK391" s="92"/>
    </row>
    <row r="392" spans="1:89" ht="17.25" customHeight="1">
      <c r="A392" s="160"/>
      <c r="B392" s="163"/>
      <c r="C392" s="30"/>
      <c r="D392" s="137">
        <f t="shared" si="32"/>
        <v>0</v>
      </c>
      <c r="E392" s="208"/>
      <c r="F392" s="202"/>
      <c r="G392" s="207"/>
      <c r="H392" s="202"/>
      <c r="I392" s="208"/>
      <c r="J392" s="202"/>
      <c r="K392" s="208">
        <f t="shared" si="12"/>
        <v>0</v>
      </c>
      <c r="L392" s="202"/>
      <c r="M392" s="207"/>
      <c r="N392" s="202"/>
      <c r="O392" s="209"/>
      <c r="P392" s="202"/>
      <c r="Q392" s="206"/>
      <c r="R392" s="202"/>
      <c r="S392" s="207"/>
      <c r="T392" s="202"/>
      <c r="U392" s="207"/>
      <c r="V392" s="202"/>
      <c r="W392" s="208"/>
      <c r="X392" s="202"/>
      <c r="Y392" s="210">
        <f t="shared" si="31"/>
        <v>0</v>
      </c>
      <c r="Z392" s="202"/>
      <c r="AA392" s="207"/>
      <c r="AB392" s="202"/>
      <c r="AC392" s="209"/>
      <c r="AD392" s="202"/>
      <c r="AE392" s="206"/>
      <c r="AF392" s="202"/>
      <c r="AG392" s="207"/>
      <c r="AH392" s="202"/>
      <c r="AI392" s="207"/>
      <c r="AJ392" s="202"/>
      <c r="AK392" s="208"/>
      <c r="AL392" s="202"/>
      <c r="AM392" s="210">
        <f t="shared" si="14"/>
        <v>0</v>
      </c>
      <c r="AN392" s="202"/>
      <c r="AO392" s="207"/>
      <c r="AP392" s="202"/>
      <c r="AQ392" s="209"/>
      <c r="AR392" s="202"/>
      <c r="AS392" s="206"/>
      <c r="AT392" s="202"/>
      <c r="AU392" s="204"/>
      <c r="AV392" s="202"/>
      <c r="AW392" s="204"/>
      <c r="AX392" s="202"/>
      <c r="AY392" s="201"/>
      <c r="AZ392" s="202"/>
      <c r="BA392" s="210">
        <f t="shared" si="15"/>
        <v>0</v>
      </c>
      <c r="BB392" s="202"/>
      <c r="BC392" s="204"/>
      <c r="BD392" s="202"/>
      <c r="BE392" s="209"/>
      <c r="BF392" s="202"/>
      <c r="BG392" s="206"/>
      <c r="BH392" s="202"/>
      <c r="BI392" s="204"/>
      <c r="BJ392" s="202"/>
      <c r="BK392" s="204"/>
      <c r="BL392" s="202"/>
      <c r="BM392" s="201"/>
      <c r="BN392" s="202"/>
      <c r="BO392" s="203">
        <f t="shared" si="16"/>
        <v>0</v>
      </c>
      <c r="BP392" s="202"/>
      <c r="BQ392" s="138"/>
      <c r="BR392" s="128"/>
      <c r="BS392" s="128"/>
      <c r="BT392" s="128"/>
      <c r="BU392" s="128"/>
      <c r="BV392" s="128"/>
      <c r="BW392" s="139"/>
      <c r="BX392" s="140"/>
      <c r="BY392" s="139"/>
      <c r="BZ392" s="139"/>
      <c r="CA392" s="134"/>
      <c r="CB392" s="134"/>
      <c r="CC392" s="134"/>
      <c r="CD392" s="134"/>
      <c r="CE392" s="134"/>
      <c r="CF392" s="134"/>
      <c r="CG392" s="92"/>
      <c r="CH392" s="92"/>
      <c r="CI392" s="92"/>
      <c r="CJ392" s="92"/>
      <c r="CK392" s="92"/>
    </row>
    <row r="393" spans="1:89" ht="17.25" customHeight="1">
      <c r="A393" s="160"/>
      <c r="B393" s="163"/>
      <c r="C393" s="30"/>
      <c r="D393" s="137">
        <f t="shared" si="32"/>
        <v>0</v>
      </c>
      <c r="E393" s="208"/>
      <c r="F393" s="202"/>
      <c r="G393" s="207"/>
      <c r="H393" s="202"/>
      <c r="I393" s="208"/>
      <c r="J393" s="202"/>
      <c r="K393" s="208">
        <f t="shared" si="12"/>
        <v>0</v>
      </c>
      <c r="L393" s="202"/>
      <c r="M393" s="207"/>
      <c r="N393" s="202"/>
      <c r="O393" s="209"/>
      <c r="P393" s="202"/>
      <c r="Q393" s="206"/>
      <c r="R393" s="202"/>
      <c r="S393" s="207"/>
      <c r="T393" s="202"/>
      <c r="U393" s="207"/>
      <c r="V393" s="202"/>
      <c r="W393" s="208"/>
      <c r="X393" s="202"/>
      <c r="Y393" s="210">
        <f t="shared" si="31"/>
        <v>0</v>
      </c>
      <c r="Z393" s="202"/>
      <c r="AA393" s="207"/>
      <c r="AB393" s="202"/>
      <c r="AC393" s="209"/>
      <c r="AD393" s="202"/>
      <c r="AE393" s="206"/>
      <c r="AF393" s="202"/>
      <c r="AG393" s="207"/>
      <c r="AH393" s="202"/>
      <c r="AI393" s="207"/>
      <c r="AJ393" s="202"/>
      <c r="AK393" s="208"/>
      <c r="AL393" s="202"/>
      <c r="AM393" s="210">
        <f t="shared" si="14"/>
        <v>0</v>
      </c>
      <c r="AN393" s="202"/>
      <c r="AO393" s="207"/>
      <c r="AP393" s="202"/>
      <c r="AQ393" s="209"/>
      <c r="AR393" s="202"/>
      <c r="AS393" s="206"/>
      <c r="AT393" s="202"/>
      <c r="AU393" s="204"/>
      <c r="AV393" s="202"/>
      <c r="AW393" s="204"/>
      <c r="AX393" s="202"/>
      <c r="AY393" s="201"/>
      <c r="AZ393" s="202"/>
      <c r="BA393" s="210">
        <f t="shared" si="15"/>
        <v>0</v>
      </c>
      <c r="BB393" s="202"/>
      <c r="BC393" s="204"/>
      <c r="BD393" s="202"/>
      <c r="BE393" s="209"/>
      <c r="BF393" s="202"/>
      <c r="BG393" s="206"/>
      <c r="BH393" s="202"/>
      <c r="BI393" s="204"/>
      <c r="BJ393" s="202"/>
      <c r="BK393" s="204"/>
      <c r="BL393" s="202"/>
      <c r="BM393" s="201"/>
      <c r="BN393" s="202"/>
      <c r="BO393" s="203">
        <f t="shared" si="16"/>
        <v>0</v>
      </c>
      <c r="BP393" s="202"/>
      <c r="BQ393" s="138"/>
      <c r="BR393" s="128"/>
      <c r="BS393" s="128"/>
      <c r="BT393" s="128"/>
      <c r="BU393" s="128"/>
      <c r="BV393" s="128"/>
      <c r="BW393" s="139"/>
      <c r="BX393" s="140"/>
      <c r="BY393" s="139"/>
      <c r="BZ393" s="139"/>
      <c r="CA393" s="134"/>
      <c r="CB393" s="134"/>
      <c r="CC393" s="134"/>
      <c r="CD393" s="134"/>
      <c r="CE393" s="134"/>
      <c r="CF393" s="134"/>
      <c r="CG393" s="92"/>
      <c r="CH393" s="92"/>
      <c r="CI393" s="92"/>
      <c r="CJ393" s="92"/>
      <c r="CK393" s="92"/>
    </row>
    <row r="394" spans="1:89" ht="17.25" customHeight="1">
      <c r="A394" s="160"/>
      <c r="B394" s="163"/>
      <c r="C394" s="30"/>
      <c r="D394" s="137">
        <f t="shared" si="32"/>
        <v>0</v>
      </c>
      <c r="E394" s="208"/>
      <c r="F394" s="202"/>
      <c r="G394" s="207"/>
      <c r="H394" s="202"/>
      <c r="I394" s="208"/>
      <c r="J394" s="202"/>
      <c r="K394" s="208">
        <f t="shared" si="12"/>
        <v>0</v>
      </c>
      <c r="L394" s="202"/>
      <c r="M394" s="207"/>
      <c r="N394" s="202"/>
      <c r="O394" s="209"/>
      <c r="P394" s="202"/>
      <c r="Q394" s="206"/>
      <c r="R394" s="202"/>
      <c r="S394" s="207"/>
      <c r="T394" s="202"/>
      <c r="U394" s="207"/>
      <c r="V394" s="202"/>
      <c r="W394" s="208"/>
      <c r="X394" s="202"/>
      <c r="Y394" s="210">
        <f t="shared" si="31"/>
        <v>0</v>
      </c>
      <c r="Z394" s="202"/>
      <c r="AA394" s="207"/>
      <c r="AB394" s="202"/>
      <c r="AC394" s="209"/>
      <c r="AD394" s="202"/>
      <c r="AE394" s="206"/>
      <c r="AF394" s="202"/>
      <c r="AG394" s="207"/>
      <c r="AH394" s="202"/>
      <c r="AI394" s="207"/>
      <c r="AJ394" s="202"/>
      <c r="AK394" s="208"/>
      <c r="AL394" s="202"/>
      <c r="AM394" s="210">
        <f t="shared" si="14"/>
        <v>0</v>
      </c>
      <c r="AN394" s="202"/>
      <c r="AO394" s="207"/>
      <c r="AP394" s="202"/>
      <c r="AQ394" s="209"/>
      <c r="AR394" s="202"/>
      <c r="AS394" s="206"/>
      <c r="AT394" s="202"/>
      <c r="AU394" s="204"/>
      <c r="AV394" s="202"/>
      <c r="AW394" s="204"/>
      <c r="AX394" s="202"/>
      <c r="AY394" s="201"/>
      <c r="AZ394" s="202"/>
      <c r="BA394" s="210">
        <f t="shared" si="15"/>
        <v>0</v>
      </c>
      <c r="BB394" s="202"/>
      <c r="BC394" s="204"/>
      <c r="BD394" s="202"/>
      <c r="BE394" s="209"/>
      <c r="BF394" s="202"/>
      <c r="BG394" s="206"/>
      <c r="BH394" s="202"/>
      <c r="BI394" s="204"/>
      <c r="BJ394" s="202"/>
      <c r="BK394" s="204"/>
      <c r="BL394" s="202"/>
      <c r="BM394" s="201"/>
      <c r="BN394" s="202"/>
      <c r="BO394" s="203">
        <f t="shared" si="16"/>
        <v>0</v>
      </c>
      <c r="BP394" s="202"/>
      <c r="BQ394" s="138"/>
      <c r="BR394" s="128"/>
      <c r="BS394" s="128"/>
      <c r="BT394" s="128"/>
      <c r="BU394" s="128"/>
      <c r="BV394" s="128"/>
      <c r="BW394" s="139"/>
      <c r="BX394" s="140"/>
      <c r="BY394" s="139"/>
      <c r="BZ394" s="139"/>
      <c r="CA394" s="134"/>
      <c r="CB394" s="134"/>
      <c r="CC394" s="134"/>
      <c r="CD394" s="134"/>
      <c r="CE394" s="134"/>
      <c r="CF394" s="134"/>
      <c r="CG394" s="92"/>
      <c r="CH394" s="92"/>
      <c r="CI394" s="92"/>
      <c r="CJ394" s="92"/>
      <c r="CK394" s="92"/>
    </row>
    <row r="395" spans="1:89" ht="17.25" customHeight="1">
      <c r="A395" s="160"/>
      <c r="B395" s="163"/>
      <c r="C395" s="30"/>
      <c r="D395" s="137">
        <f t="shared" si="32"/>
        <v>0</v>
      </c>
      <c r="E395" s="208"/>
      <c r="F395" s="202"/>
      <c r="G395" s="207"/>
      <c r="H395" s="202"/>
      <c r="I395" s="208"/>
      <c r="J395" s="202"/>
      <c r="K395" s="208">
        <f t="shared" si="12"/>
        <v>0</v>
      </c>
      <c r="L395" s="202"/>
      <c r="M395" s="207"/>
      <c r="N395" s="202"/>
      <c r="O395" s="209"/>
      <c r="P395" s="202"/>
      <c r="Q395" s="206"/>
      <c r="R395" s="202"/>
      <c r="S395" s="207"/>
      <c r="T395" s="202"/>
      <c r="U395" s="207"/>
      <c r="V395" s="202"/>
      <c r="W395" s="208"/>
      <c r="X395" s="202"/>
      <c r="Y395" s="210">
        <f t="shared" si="31"/>
        <v>0</v>
      </c>
      <c r="Z395" s="202"/>
      <c r="AA395" s="207"/>
      <c r="AB395" s="202"/>
      <c r="AC395" s="209"/>
      <c r="AD395" s="202"/>
      <c r="AE395" s="206"/>
      <c r="AF395" s="202"/>
      <c r="AG395" s="207"/>
      <c r="AH395" s="202"/>
      <c r="AI395" s="207"/>
      <c r="AJ395" s="202"/>
      <c r="AK395" s="208"/>
      <c r="AL395" s="202"/>
      <c r="AM395" s="210">
        <f t="shared" si="14"/>
        <v>0</v>
      </c>
      <c r="AN395" s="202"/>
      <c r="AO395" s="207"/>
      <c r="AP395" s="202"/>
      <c r="AQ395" s="209"/>
      <c r="AR395" s="202"/>
      <c r="AS395" s="206"/>
      <c r="AT395" s="202"/>
      <c r="AU395" s="204"/>
      <c r="AV395" s="202"/>
      <c r="AW395" s="204"/>
      <c r="AX395" s="202"/>
      <c r="AY395" s="201"/>
      <c r="AZ395" s="202"/>
      <c r="BA395" s="210">
        <f t="shared" si="15"/>
        <v>0</v>
      </c>
      <c r="BB395" s="202"/>
      <c r="BC395" s="204"/>
      <c r="BD395" s="202"/>
      <c r="BE395" s="209"/>
      <c r="BF395" s="202"/>
      <c r="BG395" s="206"/>
      <c r="BH395" s="202"/>
      <c r="BI395" s="204"/>
      <c r="BJ395" s="202"/>
      <c r="BK395" s="204"/>
      <c r="BL395" s="202"/>
      <c r="BM395" s="201"/>
      <c r="BN395" s="202"/>
      <c r="BO395" s="203">
        <f t="shared" si="16"/>
        <v>0</v>
      </c>
      <c r="BP395" s="202"/>
      <c r="BQ395" s="138"/>
      <c r="BR395" s="128"/>
      <c r="BS395" s="128"/>
      <c r="BT395" s="128"/>
      <c r="BU395" s="128"/>
      <c r="BV395" s="128"/>
      <c r="BW395" s="139"/>
      <c r="BX395" s="140"/>
      <c r="BY395" s="139"/>
      <c r="BZ395" s="139"/>
      <c r="CA395" s="134"/>
      <c r="CB395" s="134"/>
      <c r="CC395" s="134"/>
      <c r="CD395" s="134"/>
      <c r="CE395" s="134"/>
      <c r="CF395" s="134"/>
      <c r="CG395" s="92"/>
      <c r="CH395" s="92"/>
      <c r="CI395" s="92"/>
      <c r="CJ395" s="92"/>
      <c r="CK395" s="92"/>
    </row>
    <row r="396" spans="1:89" ht="17.25" customHeight="1">
      <c r="A396" s="160"/>
      <c r="B396" s="163"/>
      <c r="C396" s="30"/>
      <c r="D396" s="137">
        <f t="shared" si="32"/>
        <v>0</v>
      </c>
      <c r="E396" s="208"/>
      <c r="F396" s="202"/>
      <c r="G396" s="207"/>
      <c r="H396" s="202"/>
      <c r="I396" s="208"/>
      <c r="J396" s="202"/>
      <c r="K396" s="208">
        <f t="shared" si="12"/>
        <v>0</v>
      </c>
      <c r="L396" s="202"/>
      <c r="M396" s="207"/>
      <c r="N396" s="202"/>
      <c r="O396" s="209"/>
      <c r="P396" s="202"/>
      <c r="Q396" s="206"/>
      <c r="R396" s="202"/>
      <c r="S396" s="207"/>
      <c r="T396" s="202"/>
      <c r="U396" s="207"/>
      <c r="V396" s="202"/>
      <c r="W396" s="208"/>
      <c r="X396" s="202"/>
      <c r="Y396" s="210">
        <f t="shared" si="31"/>
        <v>0</v>
      </c>
      <c r="Z396" s="202"/>
      <c r="AA396" s="207"/>
      <c r="AB396" s="202"/>
      <c r="AC396" s="209"/>
      <c r="AD396" s="202"/>
      <c r="AE396" s="206"/>
      <c r="AF396" s="202"/>
      <c r="AG396" s="207"/>
      <c r="AH396" s="202"/>
      <c r="AI396" s="207"/>
      <c r="AJ396" s="202"/>
      <c r="AK396" s="208"/>
      <c r="AL396" s="202"/>
      <c r="AM396" s="210">
        <f t="shared" si="14"/>
        <v>0</v>
      </c>
      <c r="AN396" s="202"/>
      <c r="AO396" s="207"/>
      <c r="AP396" s="202"/>
      <c r="AQ396" s="209"/>
      <c r="AR396" s="202"/>
      <c r="AS396" s="206"/>
      <c r="AT396" s="202"/>
      <c r="AU396" s="204"/>
      <c r="AV396" s="202"/>
      <c r="AW396" s="204"/>
      <c r="AX396" s="202"/>
      <c r="AY396" s="201"/>
      <c r="AZ396" s="202"/>
      <c r="BA396" s="210">
        <f t="shared" si="15"/>
        <v>0</v>
      </c>
      <c r="BB396" s="202"/>
      <c r="BC396" s="204"/>
      <c r="BD396" s="202"/>
      <c r="BE396" s="209"/>
      <c r="BF396" s="202"/>
      <c r="BG396" s="206"/>
      <c r="BH396" s="202"/>
      <c r="BI396" s="204"/>
      <c r="BJ396" s="202"/>
      <c r="BK396" s="204"/>
      <c r="BL396" s="202"/>
      <c r="BM396" s="201"/>
      <c r="BN396" s="202"/>
      <c r="BO396" s="203">
        <f t="shared" si="16"/>
        <v>0</v>
      </c>
      <c r="BP396" s="202"/>
      <c r="BQ396" s="138"/>
      <c r="BR396" s="128"/>
      <c r="BS396" s="128"/>
      <c r="BT396" s="128"/>
      <c r="BU396" s="128"/>
      <c r="BV396" s="128"/>
      <c r="BW396" s="139"/>
      <c r="BX396" s="140"/>
      <c r="BY396" s="139"/>
      <c r="BZ396" s="139"/>
      <c r="CA396" s="134"/>
      <c r="CB396" s="134"/>
      <c r="CC396" s="134"/>
      <c r="CD396" s="134"/>
      <c r="CE396" s="134"/>
      <c r="CF396" s="134"/>
      <c r="CG396" s="92"/>
      <c r="CH396" s="92"/>
      <c r="CI396" s="92"/>
      <c r="CJ396" s="92"/>
      <c r="CK396" s="92"/>
    </row>
    <row r="397" spans="1:89" ht="17.25" customHeight="1">
      <c r="A397" s="160"/>
      <c r="B397" s="163"/>
      <c r="C397" s="30"/>
      <c r="D397" s="137">
        <f t="shared" si="32"/>
        <v>0</v>
      </c>
      <c r="E397" s="208"/>
      <c r="F397" s="202"/>
      <c r="G397" s="207"/>
      <c r="H397" s="202"/>
      <c r="I397" s="208"/>
      <c r="J397" s="202"/>
      <c r="K397" s="208">
        <f t="shared" si="12"/>
        <v>0</v>
      </c>
      <c r="L397" s="202"/>
      <c r="M397" s="207"/>
      <c r="N397" s="202"/>
      <c r="O397" s="209"/>
      <c r="P397" s="202"/>
      <c r="Q397" s="206"/>
      <c r="R397" s="202"/>
      <c r="S397" s="207"/>
      <c r="T397" s="202"/>
      <c r="U397" s="207"/>
      <c r="V397" s="202"/>
      <c r="W397" s="208"/>
      <c r="X397" s="202"/>
      <c r="Y397" s="210">
        <f t="shared" si="31"/>
        <v>0</v>
      </c>
      <c r="Z397" s="202"/>
      <c r="AA397" s="207"/>
      <c r="AB397" s="202"/>
      <c r="AC397" s="209"/>
      <c r="AD397" s="202"/>
      <c r="AE397" s="206"/>
      <c r="AF397" s="202"/>
      <c r="AG397" s="207"/>
      <c r="AH397" s="202"/>
      <c r="AI397" s="207"/>
      <c r="AJ397" s="202"/>
      <c r="AK397" s="208"/>
      <c r="AL397" s="202"/>
      <c r="AM397" s="210">
        <f t="shared" si="14"/>
        <v>0</v>
      </c>
      <c r="AN397" s="202"/>
      <c r="AO397" s="207"/>
      <c r="AP397" s="202"/>
      <c r="AQ397" s="209"/>
      <c r="AR397" s="202"/>
      <c r="AS397" s="206"/>
      <c r="AT397" s="202"/>
      <c r="AU397" s="204"/>
      <c r="AV397" s="202"/>
      <c r="AW397" s="204"/>
      <c r="AX397" s="202"/>
      <c r="AY397" s="201"/>
      <c r="AZ397" s="202"/>
      <c r="BA397" s="210">
        <f t="shared" si="15"/>
        <v>0</v>
      </c>
      <c r="BB397" s="202"/>
      <c r="BC397" s="204"/>
      <c r="BD397" s="202"/>
      <c r="BE397" s="209"/>
      <c r="BF397" s="202"/>
      <c r="BG397" s="206"/>
      <c r="BH397" s="202"/>
      <c r="BI397" s="204"/>
      <c r="BJ397" s="202"/>
      <c r="BK397" s="204"/>
      <c r="BL397" s="202"/>
      <c r="BM397" s="201"/>
      <c r="BN397" s="202"/>
      <c r="BO397" s="203">
        <f t="shared" si="16"/>
        <v>0</v>
      </c>
      <c r="BP397" s="202"/>
      <c r="BQ397" s="138"/>
      <c r="BR397" s="128"/>
      <c r="BS397" s="128"/>
      <c r="BT397" s="128"/>
      <c r="BU397" s="128"/>
      <c r="BV397" s="128"/>
      <c r="BW397" s="139"/>
      <c r="BX397" s="140"/>
      <c r="BY397" s="139"/>
      <c r="BZ397" s="139"/>
      <c r="CA397" s="134"/>
      <c r="CB397" s="134"/>
      <c r="CC397" s="134"/>
      <c r="CD397" s="134"/>
      <c r="CE397" s="134"/>
      <c r="CF397" s="134"/>
      <c r="CG397" s="92"/>
      <c r="CH397" s="92"/>
      <c r="CI397" s="92"/>
      <c r="CJ397" s="92"/>
      <c r="CK397" s="92"/>
    </row>
    <row r="398" spans="1:89" ht="17.25" customHeight="1">
      <c r="A398" s="160"/>
      <c r="B398" s="163"/>
      <c r="C398" s="30"/>
      <c r="D398" s="137">
        <f t="shared" si="32"/>
        <v>0</v>
      </c>
      <c r="E398" s="208"/>
      <c r="F398" s="202"/>
      <c r="G398" s="207"/>
      <c r="H398" s="202"/>
      <c r="I398" s="208"/>
      <c r="J398" s="202"/>
      <c r="K398" s="208">
        <f t="shared" si="12"/>
        <v>0</v>
      </c>
      <c r="L398" s="202"/>
      <c r="M398" s="207"/>
      <c r="N398" s="202"/>
      <c r="O398" s="209"/>
      <c r="P398" s="202"/>
      <c r="Q398" s="206"/>
      <c r="R398" s="202"/>
      <c r="S398" s="207"/>
      <c r="T398" s="202"/>
      <c r="U398" s="207"/>
      <c r="V398" s="202"/>
      <c r="W398" s="208"/>
      <c r="X398" s="202"/>
      <c r="Y398" s="210">
        <f t="shared" si="31"/>
        <v>0</v>
      </c>
      <c r="Z398" s="202"/>
      <c r="AA398" s="207"/>
      <c r="AB398" s="202"/>
      <c r="AC398" s="209"/>
      <c r="AD398" s="202"/>
      <c r="AE398" s="206"/>
      <c r="AF398" s="202"/>
      <c r="AG398" s="207"/>
      <c r="AH398" s="202"/>
      <c r="AI398" s="207"/>
      <c r="AJ398" s="202"/>
      <c r="AK398" s="208"/>
      <c r="AL398" s="202"/>
      <c r="AM398" s="210">
        <f t="shared" si="14"/>
        <v>0</v>
      </c>
      <c r="AN398" s="202"/>
      <c r="AO398" s="207"/>
      <c r="AP398" s="202"/>
      <c r="AQ398" s="209"/>
      <c r="AR398" s="202"/>
      <c r="AS398" s="206"/>
      <c r="AT398" s="202"/>
      <c r="AU398" s="204"/>
      <c r="AV398" s="202"/>
      <c r="AW398" s="204"/>
      <c r="AX398" s="202"/>
      <c r="AY398" s="201"/>
      <c r="AZ398" s="202"/>
      <c r="BA398" s="210">
        <f t="shared" si="15"/>
        <v>0</v>
      </c>
      <c r="BB398" s="202"/>
      <c r="BC398" s="204"/>
      <c r="BD398" s="202"/>
      <c r="BE398" s="209"/>
      <c r="BF398" s="202"/>
      <c r="BG398" s="206"/>
      <c r="BH398" s="202"/>
      <c r="BI398" s="204"/>
      <c r="BJ398" s="202"/>
      <c r="BK398" s="204"/>
      <c r="BL398" s="202"/>
      <c r="BM398" s="201"/>
      <c r="BN398" s="202"/>
      <c r="BO398" s="203">
        <f t="shared" si="16"/>
        <v>0</v>
      </c>
      <c r="BP398" s="202"/>
      <c r="BQ398" s="138"/>
      <c r="BR398" s="128"/>
      <c r="BS398" s="128"/>
      <c r="BT398" s="128"/>
      <c r="BU398" s="128"/>
      <c r="BV398" s="128"/>
      <c r="BW398" s="139"/>
      <c r="BX398" s="140"/>
      <c r="BY398" s="139"/>
      <c r="BZ398" s="139"/>
      <c r="CA398" s="134"/>
      <c r="CB398" s="134"/>
      <c r="CC398" s="134"/>
      <c r="CD398" s="134"/>
      <c r="CE398" s="134"/>
      <c r="CF398" s="134"/>
      <c r="CG398" s="92"/>
      <c r="CH398" s="92"/>
      <c r="CI398" s="92"/>
      <c r="CJ398" s="92"/>
      <c r="CK398" s="92"/>
    </row>
    <row r="399" spans="1:89" ht="17.25" customHeight="1">
      <c r="A399" s="160"/>
      <c r="B399" s="163"/>
      <c r="C399" s="30"/>
      <c r="D399" s="137">
        <f t="shared" si="32"/>
        <v>0</v>
      </c>
      <c r="E399" s="208"/>
      <c r="F399" s="202"/>
      <c r="G399" s="207"/>
      <c r="H399" s="202"/>
      <c r="I399" s="208"/>
      <c r="J399" s="202"/>
      <c r="K399" s="208">
        <f t="shared" si="12"/>
        <v>0</v>
      </c>
      <c r="L399" s="202"/>
      <c r="M399" s="207"/>
      <c r="N399" s="202"/>
      <c r="O399" s="209"/>
      <c r="P399" s="202"/>
      <c r="Q399" s="206"/>
      <c r="R399" s="202"/>
      <c r="S399" s="207"/>
      <c r="T399" s="202"/>
      <c r="U399" s="207"/>
      <c r="V399" s="202"/>
      <c r="W399" s="208"/>
      <c r="X399" s="202"/>
      <c r="Y399" s="210">
        <f t="shared" si="31"/>
        <v>0</v>
      </c>
      <c r="Z399" s="202"/>
      <c r="AA399" s="207"/>
      <c r="AB399" s="202"/>
      <c r="AC399" s="209"/>
      <c r="AD399" s="202"/>
      <c r="AE399" s="206"/>
      <c r="AF399" s="202"/>
      <c r="AG399" s="207"/>
      <c r="AH399" s="202"/>
      <c r="AI399" s="207"/>
      <c r="AJ399" s="202"/>
      <c r="AK399" s="208"/>
      <c r="AL399" s="202"/>
      <c r="AM399" s="210">
        <f t="shared" si="14"/>
        <v>0</v>
      </c>
      <c r="AN399" s="202"/>
      <c r="AO399" s="207"/>
      <c r="AP399" s="202"/>
      <c r="AQ399" s="209"/>
      <c r="AR399" s="202"/>
      <c r="AS399" s="206"/>
      <c r="AT399" s="202"/>
      <c r="AU399" s="204"/>
      <c r="AV399" s="202"/>
      <c r="AW399" s="204"/>
      <c r="AX399" s="202"/>
      <c r="AY399" s="201"/>
      <c r="AZ399" s="202"/>
      <c r="BA399" s="210">
        <f t="shared" si="15"/>
        <v>0</v>
      </c>
      <c r="BB399" s="202"/>
      <c r="BC399" s="204"/>
      <c r="BD399" s="202"/>
      <c r="BE399" s="209"/>
      <c r="BF399" s="202"/>
      <c r="BG399" s="206"/>
      <c r="BH399" s="202"/>
      <c r="BI399" s="204"/>
      <c r="BJ399" s="202"/>
      <c r="BK399" s="204"/>
      <c r="BL399" s="202"/>
      <c r="BM399" s="201"/>
      <c r="BN399" s="202"/>
      <c r="BO399" s="203">
        <f t="shared" si="16"/>
        <v>0</v>
      </c>
      <c r="BP399" s="202"/>
      <c r="BQ399" s="138"/>
      <c r="BR399" s="128"/>
      <c r="BS399" s="128"/>
      <c r="BT399" s="128"/>
      <c r="BU399" s="128"/>
      <c r="BV399" s="128"/>
      <c r="BW399" s="139"/>
      <c r="BX399" s="140"/>
      <c r="BY399" s="139"/>
      <c r="BZ399" s="139"/>
      <c r="CA399" s="134"/>
      <c r="CB399" s="134"/>
      <c r="CC399" s="134"/>
      <c r="CD399" s="134"/>
      <c r="CE399" s="134"/>
      <c r="CF399" s="134"/>
      <c r="CG399" s="92"/>
      <c r="CH399" s="92"/>
      <c r="CI399" s="92"/>
      <c r="CJ399" s="92"/>
      <c r="CK399" s="92"/>
    </row>
    <row r="400" spans="1:89" ht="17.25" customHeight="1">
      <c r="A400" s="160"/>
      <c r="B400" s="163"/>
      <c r="C400" s="30"/>
      <c r="D400" s="137">
        <f t="shared" si="32"/>
        <v>0</v>
      </c>
      <c r="E400" s="208"/>
      <c r="F400" s="202"/>
      <c r="G400" s="207"/>
      <c r="H400" s="202"/>
      <c r="I400" s="208"/>
      <c r="J400" s="202"/>
      <c r="K400" s="208">
        <f t="shared" si="12"/>
        <v>0</v>
      </c>
      <c r="L400" s="202"/>
      <c r="M400" s="207"/>
      <c r="N400" s="202"/>
      <c r="O400" s="209"/>
      <c r="P400" s="202"/>
      <c r="Q400" s="206"/>
      <c r="R400" s="202"/>
      <c r="S400" s="207"/>
      <c r="T400" s="202"/>
      <c r="U400" s="207"/>
      <c r="V400" s="202"/>
      <c r="W400" s="208"/>
      <c r="X400" s="202"/>
      <c r="Y400" s="210">
        <f t="shared" si="31"/>
        <v>0</v>
      </c>
      <c r="Z400" s="202"/>
      <c r="AA400" s="207"/>
      <c r="AB400" s="202"/>
      <c r="AC400" s="209"/>
      <c r="AD400" s="202"/>
      <c r="AE400" s="206"/>
      <c r="AF400" s="202"/>
      <c r="AG400" s="207"/>
      <c r="AH400" s="202"/>
      <c r="AI400" s="207"/>
      <c r="AJ400" s="202"/>
      <c r="AK400" s="208"/>
      <c r="AL400" s="202"/>
      <c r="AM400" s="210">
        <f t="shared" si="14"/>
        <v>0</v>
      </c>
      <c r="AN400" s="202"/>
      <c r="AO400" s="207"/>
      <c r="AP400" s="202"/>
      <c r="AQ400" s="209"/>
      <c r="AR400" s="202"/>
      <c r="AS400" s="206"/>
      <c r="AT400" s="202"/>
      <c r="AU400" s="204"/>
      <c r="AV400" s="202"/>
      <c r="AW400" s="204"/>
      <c r="AX400" s="202"/>
      <c r="AY400" s="201"/>
      <c r="AZ400" s="202"/>
      <c r="BA400" s="210">
        <f t="shared" si="15"/>
        <v>0</v>
      </c>
      <c r="BB400" s="202"/>
      <c r="BC400" s="204"/>
      <c r="BD400" s="202"/>
      <c r="BE400" s="209"/>
      <c r="BF400" s="202"/>
      <c r="BG400" s="206"/>
      <c r="BH400" s="202"/>
      <c r="BI400" s="204"/>
      <c r="BJ400" s="202"/>
      <c r="BK400" s="204"/>
      <c r="BL400" s="202"/>
      <c r="BM400" s="201"/>
      <c r="BN400" s="202"/>
      <c r="BO400" s="203">
        <f t="shared" si="16"/>
        <v>0</v>
      </c>
      <c r="BP400" s="202"/>
      <c r="BQ400" s="138"/>
      <c r="BR400" s="128"/>
      <c r="BS400" s="128"/>
      <c r="BT400" s="128"/>
      <c r="BU400" s="128"/>
      <c r="BV400" s="128"/>
      <c r="BW400" s="139"/>
      <c r="BX400" s="140"/>
      <c r="BY400" s="139"/>
      <c r="BZ400" s="139"/>
      <c r="CA400" s="134"/>
      <c r="CB400" s="134"/>
      <c r="CC400" s="134"/>
      <c r="CD400" s="134"/>
      <c r="CE400" s="134"/>
      <c r="CF400" s="134"/>
      <c r="CG400" s="92"/>
      <c r="CH400" s="92"/>
      <c r="CI400" s="92"/>
      <c r="CJ400" s="92"/>
      <c r="CK400" s="92"/>
    </row>
    <row r="401" spans="1:89" ht="17.25" customHeight="1">
      <c r="A401" s="160"/>
      <c r="B401" s="163"/>
      <c r="C401" s="30"/>
      <c r="D401" s="137">
        <f t="shared" si="32"/>
        <v>0</v>
      </c>
      <c r="E401" s="208"/>
      <c r="F401" s="202"/>
      <c r="G401" s="207"/>
      <c r="H401" s="202"/>
      <c r="I401" s="208"/>
      <c r="J401" s="202"/>
      <c r="K401" s="208">
        <f t="shared" si="12"/>
        <v>0</v>
      </c>
      <c r="L401" s="202"/>
      <c r="M401" s="207"/>
      <c r="N401" s="202"/>
      <c r="O401" s="209"/>
      <c r="P401" s="202"/>
      <c r="Q401" s="206"/>
      <c r="R401" s="202"/>
      <c r="S401" s="207"/>
      <c r="T401" s="202"/>
      <c r="U401" s="207"/>
      <c r="V401" s="202"/>
      <c r="W401" s="208"/>
      <c r="X401" s="202"/>
      <c r="Y401" s="210">
        <f t="shared" si="31"/>
        <v>0</v>
      </c>
      <c r="Z401" s="202"/>
      <c r="AA401" s="207"/>
      <c r="AB401" s="202"/>
      <c r="AC401" s="209"/>
      <c r="AD401" s="202"/>
      <c r="AE401" s="206"/>
      <c r="AF401" s="202"/>
      <c r="AG401" s="207"/>
      <c r="AH401" s="202"/>
      <c r="AI401" s="207"/>
      <c r="AJ401" s="202"/>
      <c r="AK401" s="208"/>
      <c r="AL401" s="202"/>
      <c r="AM401" s="210">
        <f t="shared" si="14"/>
        <v>0</v>
      </c>
      <c r="AN401" s="202"/>
      <c r="AO401" s="207"/>
      <c r="AP401" s="202"/>
      <c r="AQ401" s="209"/>
      <c r="AR401" s="202"/>
      <c r="AS401" s="206"/>
      <c r="AT401" s="202"/>
      <c r="AU401" s="204"/>
      <c r="AV401" s="202"/>
      <c r="AW401" s="204"/>
      <c r="AX401" s="202"/>
      <c r="AY401" s="201"/>
      <c r="AZ401" s="202"/>
      <c r="BA401" s="210">
        <f t="shared" si="15"/>
        <v>0</v>
      </c>
      <c r="BB401" s="202"/>
      <c r="BC401" s="204"/>
      <c r="BD401" s="202"/>
      <c r="BE401" s="209"/>
      <c r="BF401" s="202"/>
      <c r="BG401" s="206"/>
      <c r="BH401" s="202"/>
      <c r="BI401" s="204"/>
      <c r="BJ401" s="202"/>
      <c r="BK401" s="204"/>
      <c r="BL401" s="202"/>
      <c r="BM401" s="201"/>
      <c r="BN401" s="202"/>
      <c r="BO401" s="203">
        <f t="shared" si="16"/>
        <v>0</v>
      </c>
      <c r="BP401" s="202"/>
      <c r="BQ401" s="138"/>
      <c r="BR401" s="128"/>
      <c r="BS401" s="128"/>
      <c r="BT401" s="128"/>
      <c r="BU401" s="128"/>
      <c r="BV401" s="128"/>
      <c r="BW401" s="139"/>
      <c r="BX401" s="140"/>
      <c r="BY401" s="139"/>
      <c r="BZ401" s="139"/>
      <c r="CA401" s="134"/>
      <c r="CB401" s="134"/>
      <c r="CC401" s="134"/>
      <c r="CD401" s="134"/>
      <c r="CE401" s="134"/>
      <c r="CF401" s="134"/>
      <c r="CG401" s="92"/>
      <c r="CH401" s="92"/>
      <c r="CI401" s="92"/>
      <c r="CJ401" s="92"/>
      <c r="CK401" s="92"/>
    </row>
    <row r="402" spans="1:89" ht="17.25" customHeight="1">
      <c r="A402" s="160"/>
      <c r="B402" s="163"/>
      <c r="C402" s="30"/>
      <c r="D402" s="137">
        <f t="shared" si="32"/>
        <v>0</v>
      </c>
      <c r="E402" s="208"/>
      <c r="F402" s="202"/>
      <c r="G402" s="207"/>
      <c r="H402" s="202"/>
      <c r="I402" s="208"/>
      <c r="J402" s="202"/>
      <c r="K402" s="208">
        <f t="shared" si="12"/>
        <v>0</v>
      </c>
      <c r="L402" s="202"/>
      <c r="M402" s="207"/>
      <c r="N402" s="202"/>
      <c r="O402" s="209"/>
      <c r="P402" s="202"/>
      <c r="Q402" s="206"/>
      <c r="R402" s="202"/>
      <c r="S402" s="207"/>
      <c r="T402" s="202"/>
      <c r="U402" s="207"/>
      <c r="V402" s="202"/>
      <c r="W402" s="208"/>
      <c r="X402" s="202"/>
      <c r="Y402" s="210">
        <f t="shared" si="31"/>
        <v>0</v>
      </c>
      <c r="Z402" s="202"/>
      <c r="AA402" s="207"/>
      <c r="AB402" s="202"/>
      <c r="AC402" s="209"/>
      <c r="AD402" s="202"/>
      <c r="AE402" s="206"/>
      <c r="AF402" s="202"/>
      <c r="AG402" s="207"/>
      <c r="AH402" s="202"/>
      <c r="AI402" s="207"/>
      <c r="AJ402" s="202"/>
      <c r="AK402" s="208"/>
      <c r="AL402" s="202"/>
      <c r="AM402" s="210">
        <f t="shared" si="14"/>
        <v>0</v>
      </c>
      <c r="AN402" s="202"/>
      <c r="AO402" s="207"/>
      <c r="AP402" s="202"/>
      <c r="AQ402" s="209"/>
      <c r="AR402" s="202"/>
      <c r="AS402" s="206"/>
      <c r="AT402" s="202"/>
      <c r="AU402" s="204"/>
      <c r="AV402" s="202"/>
      <c r="AW402" s="204"/>
      <c r="AX402" s="202"/>
      <c r="AY402" s="201"/>
      <c r="AZ402" s="202"/>
      <c r="BA402" s="210">
        <f t="shared" si="15"/>
        <v>0</v>
      </c>
      <c r="BB402" s="202"/>
      <c r="BC402" s="204"/>
      <c r="BD402" s="202"/>
      <c r="BE402" s="209"/>
      <c r="BF402" s="202"/>
      <c r="BG402" s="206"/>
      <c r="BH402" s="202"/>
      <c r="BI402" s="204"/>
      <c r="BJ402" s="202"/>
      <c r="BK402" s="204"/>
      <c r="BL402" s="202"/>
      <c r="BM402" s="201"/>
      <c r="BN402" s="202"/>
      <c r="BO402" s="203">
        <f t="shared" si="16"/>
        <v>0</v>
      </c>
      <c r="BP402" s="202"/>
      <c r="BQ402" s="138"/>
      <c r="BR402" s="128"/>
      <c r="BS402" s="128"/>
      <c r="BT402" s="128"/>
      <c r="BU402" s="128"/>
      <c r="BV402" s="128"/>
      <c r="BW402" s="139"/>
      <c r="BX402" s="140"/>
      <c r="BY402" s="139"/>
      <c r="BZ402" s="139"/>
      <c r="CA402" s="134"/>
      <c r="CB402" s="134"/>
      <c r="CC402" s="134"/>
      <c r="CD402" s="134"/>
      <c r="CE402" s="134"/>
      <c r="CF402" s="134"/>
      <c r="CG402" s="92"/>
      <c r="CH402" s="92"/>
      <c r="CI402" s="92"/>
      <c r="CJ402" s="92"/>
      <c r="CK402" s="92"/>
    </row>
    <row r="403" spans="1:89" ht="17.25" customHeight="1">
      <c r="A403" s="160"/>
      <c r="B403" s="163"/>
      <c r="C403" s="30"/>
      <c r="D403" s="137">
        <f t="shared" si="32"/>
        <v>0</v>
      </c>
      <c r="E403" s="208"/>
      <c r="F403" s="202"/>
      <c r="G403" s="207"/>
      <c r="H403" s="202"/>
      <c r="I403" s="208"/>
      <c r="J403" s="202"/>
      <c r="K403" s="208">
        <f t="shared" si="12"/>
        <v>0</v>
      </c>
      <c r="L403" s="202"/>
      <c r="M403" s="207"/>
      <c r="N403" s="202"/>
      <c r="O403" s="209"/>
      <c r="P403" s="202"/>
      <c r="Q403" s="206"/>
      <c r="R403" s="202"/>
      <c r="S403" s="207"/>
      <c r="T403" s="202"/>
      <c r="U403" s="207"/>
      <c r="V403" s="202"/>
      <c r="W403" s="208"/>
      <c r="X403" s="202"/>
      <c r="Y403" s="210">
        <f t="shared" si="31"/>
        <v>0</v>
      </c>
      <c r="Z403" s="202"/>
      <c r="AA403" s="207"/>
      <c r="AB403" s="202"/>
      <c r="AC403" s="209"/>
      <c r="AD403" s="202"/>
      <c r="AE403" s="206"/>
      <c r="AF403" s="202"/>
      <c r="AG403" s="207"/>
      <c r="AH403" s="202"/>
      <c r="AI403" s="207"/>
      <c r="AJ403" s="202"/>
      <c r="AK403" s="208"/>
      <c r="AL403" s="202"/>
      <c r="AM403" s="210">
        <f t="shared" si="14"/>
        <v>0</v>
      </c>
      <c r="AN403" s="202"/>
      <c r="AO403" s="207"/>
      <c r="AP403" s="202"/>
      <c r="AQ403" s="209"/>
      <c r="AR403" s="202"/>
      <c r="AS403" s="206"/>
      <c r="AT403" s="202"/>
      <c r="AU403" s="204"/>
      <c r="AV403" s="202"/>
      <c r="AW403" s="204"/>
      <c r="AX403" s="202"/>
      <c r="AY403" s="201"/>
      <c r="AZ403" s="202"/>
      <c r="BA403" s="210">
        <f t="shared" si="15"/>
        <v>0</v>
      </c>
      <c r="BB403" s="202"/>
      <c r="BC403" s="204"/>
      <c r="BD403" s="202"/>
      <c r="BE403" s="209"/>
      <c r="BF403" s="202"/>
      <c r="BG403" s="206"/>
      <c r="BH403" s="202"/>
      <c r="BI403" s="204"/>
      <c r="BJ403" s="202"/>
      <c r="BK403" s="204"/>
      <c r="BL403" s="202"/>
      <c r="BM403" s="201"/>
      <c r="BN403" s="202"/>
      <c r="BO403" s="203">
        <f t="shared" si="16"/>
        <v>0</v>
      </c>
      <c r="BP403" s="202"/>
      <c r="BQ403" s="138"/>
      <c r="BR403" s="128"/>
      <c r="BS403" s="128"/>
      <c r="BT403" s="128"/>
      <c r="BU403" s="128"/>
      <c r="BV403" s="128"/>
      <c r="BW403" s="139"/>
      <c r="BX403" s="140"/>
      <c r="BY403" s="139"/>
      <c r="BZ403" s="139"/>
      <c r="CA403" s="134"/>
      <c r="CB403" s="134"/>
      <c r="CC403" s="134"/>
      <c r="CD403" s="134"/>
      <c r="CE403" s="134"/>
      <c r="CF403" s="134"/>
      <c r="CG403" s="92"/>
      <c r="CH403" s="92"/>
      <c r="CI403" s="92"/>
      <c r="CJ403" s="92"/>
      <c r="CK403" s="92"/>
    </row>
    <row r="404" spans="1:89" ht="17.25" customHeight="1">
      <c r="A404" s="160"/>
      <c r="B404" s="163"/>
      <c r="C404" s="30"/>
      <c r="D404" s="137">
        <f t="shared" si="32"/>
        <v>0</v>
      </c>
      <c r="E404" s="208"/>
      <c r="F404" s="202"/>
      <c r="G404" s="207"/>
      <c r="H404" s="202"/>
      <c r="I404" s="208"/>
      <c r="J404" s="202"/>
      <c r="K404" s="208">
        <f t="shared" si="12"/>
        <v>0</v>
      </c>
      <c r="L404" s="202"/>
      <c r="M404" s="207"/>
      <c r="N404" s="202"/>
      <c r="O404" s="209"/>
      <c r="P404" s="202"/>
      <c r="Q404" s="206"/>
      <c r="R404" s="202"/>
      <c r="S404" s="207"/>
      <c r="T404" s="202"/>
      <c r="U404" s="207"/>
      <c r="V404" s="202"/>
      <c r="W404" s="208"/>
      <c r="X404" s="202"/>
      <c r="Y404" s="210">
        <f t="shared" si="31"/>
        <v>0</v>
      </c>
      <c r="Z404" s="202"/>
      <c r="AA404" s="207"/>
      <c r="AB404" s="202"/>
      <c r="AC404" s="209"/>
      <c r="AD404" s="202"/>
      <c r="AE404" s="206"/>
      <c r="AF404" s="202"/>
      <c r="AG404" s="207"/>
      <c r="AH404" s="202"/>
      <c r="AI404" s="207"/>
      <c r="AJ404" s="202"/>
      <c r="AK404" s="208"/>
      <c r="AL404" s="202"/>
      <c r="AM404" s="210">
        <f t="shared" si="14"/>
        <v>0</v>
      </c>
      <c r="AN404" s="202"/>
      <c r="AO404" s="207"/>
      <c r="AP404" s="202"/>
      <c r="AQ404" s="209"/>
      <c r="AR404" s="202"/>
      <c r="AS404" s="206"/>
      <c r="AT404" s="202"/>
      <c r="AU404" s="204"/>
      <c r="AV404" s="202"/>
      <c r="AW404" s="204"/>
      <c r="AX404" s="202"/>
      <c r="AY404" s="201"/>
      <c r="AZ404" s="202"/>
      <c r="BA404" s="210">
        <f t="shared" si="15"/>
        <v>0</v>
      </c>
      <c r="BB404" s="202"/>
      <c r="BC404" s="204"/>
      <c r="BD404" s="202"/>
      <c r="BE404" s="209"/>
      <c r="BF404" s="202"/>
      <c r="BG404" s="206"/>
      <c r="BH404" s="202"/>
      <c r="BI404" s="204"/>
      <c r="BJ404" s="202"/>
      <c r="BK404" s="204"/>
      <c r="BL404" s="202"/>
      <c r="BM404" s="201"/>
      <c r="BN404" s="202"/>
      <c r="BO404" s="203">
        <f t="shared" si="16"/>
        <v>0</v>
      </c>
      <c r="BP404" s="202"/>
      <c r="BQ404" s="138"/>
      <c r="BR404" s="128"/>
      <c r="BS404" s="128"/>
      <c r="BT404" s="128"/>
      <c r="BU404" s="128"/>
      <c r="BV404" s="128"/>
      <c r="BW404" s="139"/>
      <c r="BX404" s="140"/>
      <c r="BY404" s="139"/>
      <c r="BZ404" s="139"/>
      <c r="CA404" s="134"/>
      <c r="CB404" s="134"/>
      <c r="CC404" s="134"/>
      <c r="CD404" s="134"/>
      <c r="CE404" s="134"/>
      <c r="CF404" s="134"/>
      <c r="CG404" s="92"/>
      <c r="CH404" s="92"/>
      <c r="CI404" s="92"/>
      <c r="CJ404" s="92"/>
      <c r="CK404" s="92"/>
    </row>
    <row r="405" spans="1:89" ht="17.25" customHeight="1">
      <c r="A405" s="160"/>
      <c r="B405" s="163"/>
      <c r="C405" s="30"/>
      <c r="D405" s="137">
        <f t="shared" si="32"/>
        <v>0</v>
      </c>
      <c r="E405" s="208"/>
      <c r="F405" s="202"/>
      <c r="G405" s="207"/>
      <c r="H405" s="202"/>
      <c r="I405" s="208"/>
      <c r="J405" s="202"/>
      <c r="K405" s="208">
        <f t="shared" si="12"/>
        <v>0</v>
      </c>
      <c r="L405" s="202"/>
      <c r="M405" s="207"/>
      <c r="N405" s="202"/>
      <c r="O405" s="209"/>
      <c r="P405" s="202"/>
      <c r="Q405" s="206"/>
      <c r="R405" s="202"/>
      <c r="S405" s="207"/>
      <c r="T405" s="202"/>
      <c r="U405" s="207"/>
      <c r="V405" s="202"/>
      <c r="W405" s="208"/>
      <c r="X405" s="202"/>
      <c r="Y405" s="210">
        <f t="shared" si="31"/>
        <v>0</v>
      </c>
      <c r="Z405" s="202"/>
      <c r="AA405" s="207"/>
      <c r="AB405" s="202"/>
      <c r="AC405" s="209"/>
      <c r="AD405" s="202"/>
      <c r="AE405" s="206"/>
      <c r="AF405" s="202"/>
      <c r="AG405" s="207"/>
      <c r="AH405" s="202"/>
      <c r="AI405" s="207"/>
      <c r="AJ405" s="202"/>
      <c r="AK405" s="208"/>
      <c r="AL405" s="202"/>
      <c r="AM405" s="210">
        <f t="shared" si="14"/>
        <v>0</v>
      </c>
      <c r="AN405" s="202"/>
      <c r="AO405" s="207"/>
      <c r="AP405" s="202"/>
      <c r="AQ405" s="209"/>
      <c r="AR405" s="202"/>
      <c r="AS405" s="206"/>
      <c r="AT405" s="202"/>
      <c r="AU405" s="204"/>
      <c r="AV405" s="202"/>
      <c r="AW405" s="204"/>
      <c r="AX405" s="202"/>
      <c r="AY405" s="201"/>
      <c r="AZ405" s="202"/>
      <c r="BA405" s="210">
        <f t="shared" si="15"/>
        <v>0</v>
      </c>
      <c r="BB405" s="202"/>
      <c r="BC405" s="204"/>
      <c r="BD405" s="202"/>
      <c r="BE405" s="209"/>
      <c r="BF405" s="202"/>
      <c r="BG405" s="206"/>
      <c r="BH405" s="202"/>
      <c r="BI405" s="204"/>
      <c r="BJ405" s="202"/>
      <c r="BK405" s="204"/>
      <c r="BL405" s="202"/>
      <c r="BM405" s="201"/>
      <c r="BN405" s="202"/>
      <c r="BO405" s="203">
        <f t="shared" si="16"/>
        <v>0</v>
      </c>
      <c r="BP405" s="202"/>
      <c r="BQ405" s="138"/>
      <c r="BR405" s="128"/>
      <c r="BS405" s="128"/>
      <c r="BT405" s="128"/>
      <c r="BU405" s="128"/>
      <c r="BV405" s="128"/>
      <c r="BW405" s="139"/>
      <c r="BX405" s="140"/>
      <c r="BY405" s="139"/>
      <c r="BZ405" s="139"/>
      <c r="CA405" s="134"/>
      <c r="CB405" s="134"/>
      <c r="CC405" s="134"/>
      <c r="CD405" s="134"/>
      <c r="CE405" s="134"/>
      <c r="CF405" s="134"/>
      <c r="CG405" s="92"/>
      <c r="CH405" s="92"/>
      <c r="CI405" s="92"/>
      <c r="CJ405" s="92"/>
      <c r="CK405" s="92"/>
    </row>
    <row r="406" spans="1:89" ht="17.25" customHeight="1">
      <c r="A406" s="160"/>
      <c r="B406" s="163"/>
      <c r="C406" s="30"/>
      <c r="D406" s="137">
        <f t="shared" si="32"/>
        <v>0</v>
      </c>
      <c r="E406" s="208"/>
      <c r="F406" s="202"/>
      <c r="G406" s="207"/>
      <c r="H406" s="202"/>
      <c r="I406" s="208"/>
      <c r="J406" s="202"/>
      <c r="K406" s="208">
        <f t="shared" si="12"/>
        <v>0</v>
      </c>
      <c r="L406" s="202"/>
      <c r="M406" s="207"/>
      <c r="N406" s="202"/>
      <c r="O406" s="209"/>
      <c r="P406" s="202"/>
      <c r="Q406" s="206"/>
      <c r="R406" s="202"/>
      <c r="S406" s="207"/>
      <c r="T406" s="202"/>
      <c r="U406" s="207"/>
      <c r="V406" s="202"/>
      <c r="W406" s="208"/>
      <c r="X406" s="202"/>
      <c r="Y406" s="210">
        <f t="shared" si="31"/>
        <v>0</v>
      </c>
      <c r="Z406" s="202"/>
      <c r="AA406" s="207"/>
      <c r="AB406" s="202"/>
      <c r="AC406" s="209"/>
      <c r="AD406" s="202"/>
      <c r="AE406" s="206"/>
      <c r="AF406" s="202"/>
      <c r="AG406" s="207"/>
      <c r="AH406" s="202"/>
      <c r="AI406" s="207"/>
      <c r="AJ406" s="202"/>
      <c r="AK406" s="208"/>
      <c r="AL406" s="202"/>
      <c r="AM406" s="210">
        <f t="shared" si="14"/>
        <v>0</v>
      </c>
      <c r="AN406" s="202"/>
      <c r="AO406" s="207"/>
      <c r="AP406" s="202"/>
      <c r="AQ406" s="209"/>
      <c r="AR406" s="202"/>
      <c r="AS406" s="206"/>
      <c r="AT406" s="202"/>
      <c r="AU406" s="204"/>
      <c r="AV406" s="202"/>
      <c r="AW406" s="204"/>
      <c r="AX406" s="202"/>
      <c r="AY406" s="201"/>
      <c r="AZ406" s="202"/>
      <c r="BA406" s="210">
        <f t="shared" si="15"/>
        <v>0</v>
      </c>
      <c r="BB406" s="202"/>
      <c r="BC406" s="204"/>
      <c r="BD406" s="202"/>
      <c r="BE406" s="209"/>
      <c r="BF406" s="202"/>
      <c r="BG406" s="206"/>
      <c r="BH406" s="202"/>
      <c r="BI406" s="204"/>
      <c r="BJ406" s="202"/>
      <c r="BK406" s="204"/>
      <c r="BL406" s="202"/>
      <c r="BM406" s="201"/>
      <c r="BN406" s="202"/>
      <c r="BO406" s="203">
        <f t="shared" si="16"/>
        <v>0</v>
      </c>
      <c r="BP406" s="202"/>
      <c r="BQ406" s="138"/>
      <c r="BR406" s="128"/>
      <c r="BS406" s="128"/>
      <c r="BT406" s="128"/>
      <c r="BU406" s="128"/>
      <c r="BV406" s="128"/>
      <c r="BW406" s="139"/>
      <c r="BX406" s="140"/>
      <c r="BY406" s="139"/>
      <c r="BZ406" s="139"/>
      <c r="CA406" s="134"/>
      <c r="CB406" s="134"/>
      <c r="CC406" s="134"/>
      <c r="CD406" s="134"/>
      <c r="CE406" s="134"/>
      <c r="CF406" s="134"/>
      <c r="CG406" s="92"/>
      <c r="CH406" s="92"/>
      <c r="CI406" s="92"/>
      <c r="CJ406" s="92"/>
      <c r="CK406" s="92"/>
    </row>
    <row r="407" spans="1:89" ht="17.25" customHeight="1">
      <c r="A407" s="160"/>
      <c r="B407" s="163"/>
      <c r="C407" s="30"/>
      <c r="D407" s="137">
        <f t="shared" si="32"/>
        <v>0</v>
      </c>
      <c r="E407" s="208"/>
      <c r="F407" s="202"/>
      <c r="G407" s="207"/>
      <c r="H407" s="202"/>
      <c r="I407" s="208"/>
      <c r="J407" s="202"/>
      <c r="K407" s="208">
        <f t="shared" si="12"/>
        <v>0</v>
      </c>
      <c r="L407" s="202"/>
      <c r="M407" s="207"/>
      <c r="N407" s="202"/>
      <c r="O407" s="209"/>
      <c r="P407" s="202"/>
      <c r="Q407" s="206"/>
      <c r="R407" s="202"/>
      <c r="S407" s="207"/>
      <c r="T407" s="202"/>
      <c r="U407" s="207"/>
      <c r="V407" s="202"/>
      <c r="W407" s="208"/>
      <c r="X407" s="202"/>
      <c r="Y407" s="210">
        <f t="shared" si="31"/>
        <v>0</v>
      </c>
      <c r="Z407" s="202"/>
      <c r="AA407" s="207"/>
      <c r="AB407" s="202"/>
      <c r="AC407" s="209"/>
      <c r="AD407" s="202"/>
      <c r="AE407" s="206"/>
      <c r="AF407" s="202"/>
      <c r="AG407" s="207"/>
      <c r="AH407" s="202"/>
      <c r="AI407" s="207"/>
      <c r="AJ407" s="202"/>
      <c r="AK407" s="208"/>
      <c r="AL407" s="202"/>
      <c r="AM407" s="210">
        <f t="shared" si="14"/>
        <v>0</v>
      </c>
      <c r="AN407" s="202"/>
      <c r="AO407" s="207"/>
      <c r="AP407" s="202"/>
      <c r="AQ407" s="209"/>
      <c r="AR407" s="202"/>
      <c r="AS407" s="206"/>
      <c r="AT407" s="202"/>
      <c r="AU407" s="204"/>
      <c r="AV407" s="202"/>
      <c r="AW407" s="204"/>
      <c r="AX407" s="202"/>
      <c r="AY407" s="201"/>
      <c r="AZ407" s="202"/>
      <c r="BA407" s="210">
        <f t="shared" si="15"/>
        <v>0</v>
      </c>
      <c r="BB407" s="202"/>
      <c r="BC407" s="204"/>
      <c r="BD407" s="202"/>
      <c r="BE407" s="209"/>
      <c r="BF407" s="202"/>
      <c r="BG407" s="206"/>
      <c r="BH407" s="202"/>
      <c r="BI407" s="204"/>
      <c r="BJ407" s="202"/>
      <c r="BK407" s="204"/>
      <c r="BL407" s="202"/>
      <c r="BM407" s="201"/>
      <c r="BN407" s="202"/>
      <c r="BO407" s="203">
        <f t="shared" si="16"/>
        <v>0</v>
      </c>
      <c r="BP407" s="202"/>
      <c r="BQ407" s="138"/>
      <c r="BR407" s="128"/>
      <c r="BS407" s="128"/>
      <c r="BT407" s="128"/>
      <c r="BU407" s="128"/>
      <c r="BV407" s="128"/>
      <c r="BW407" s="139"/>
      <c r="BX407" s="140"/>
      <c r="BY407" s="139"/>
      <c r="BZ407" s="139"/>
      <c r="CA407" s="134"/>
      <c r="CB407" s="134"/>
      <c r="CC407" s="134"/>
      <c r="CD407" s="134"/>
      <c r="CE407" s="134"/>
      <c r="CF407" s="134"/>
      <c r="CG407" s="92"/>
      <c r="CH407" s="92"/>
      <c r="CI407" s="92"/>
      <c r="CJ407" s="92"/>
      <c r="CK407" s="92"/>
    </row>
    <row r="408" spans="1:89" ht="17.25" customHeight="1">
      <c r="A408" s="160"/>
      <c r="B408" s="163"/>
      <c r="C408" s="30"/>
      <c r="D408" s="137">
        <f t="shared" si="32"/>
        <v>0</v>
      </c>
      <c r="E408" s="208"/>
      <c r="F408" s="202"/>
      <c r="G408" s="207"/>
      <c r="H408" s="202"/>
      <c r="I408" s="208"/>
      <c r="J408" s="202"/>
      <c r="K408" s="208">
        <f t="shared" si="12"/>
        <v>0</v>
      </c>
      <c r="L408" s="202"/>
      <c r="M408" s="207"/>
      <c r="N408" s="202"/>
      <c r="O408" s="209"/>
      <c r="P408" s="202"/>
      <c r="Q408" s="206"/>
      <c r="R408" s="202"/>
      <c r="S408" s="207"/>
      <c r="T408" s="202"/>
      <c r="U408" s="207"/>
      <c r="V408" s="202"/>
      <c r="W408" s="208"/>
      <c r="X408" s="202"/>
      <c r="Y408" s="210">
        <f t="shared" si="31"/>
        <v>0</v>
      </c>
      <c r="Z408" s="202"/>
      <c r="AA408" s="207"/>
      <c r="AB408" s="202"/>
      <c r="AC408" s="209"/>
      <c r="AD408" s="202"/>
      <c r="AE408" s="206"/>
      <c r="AF408" s="202"/>
      <c r="AG408" s="207"/>
      <c r="AH408" s="202"/>
      <c r="AI408" s="207"/>
      <c r="AJ408" s="202"/>
      <c r="AK408" s="208"/>
      <c r="AL408" s="202"/>
      <c r="AM408" s="210">
        <f t="shared" si="14"/>
        <v>0</v>
      </c>
      <c r="AN408" s="202"/>
      <c r="AO408" s="207"/>
      <c r="AP408" s="202"/>
      <c r="AQ408" s="209"/>
      <c r="AR408" s="202"/>
      <c r="AS408" s="206"/>
      <c r="AT408" s="202"/>
      <c r="AU408" s="204"/>
      <c r="AV408" s="202"/>
      <c r="AW408" s="204"/>
      <c r="AX408" s="202"/>
      <c r="AY408" s="201"/>
      <c r="AZ408" s="202"/>
      <c r="BA408" s="210">
        <f t="shared" si="15"/>
        <v>0</v>
      </c>
      <c r="BB408" s="202"/>
      <c r="BC408" s="204"/>
      <c r="BD408" s="202"/>
      <c r="BE408" s="209"/>
      <c r="BF408" s="202"/>
      <c r="BG408" s="206"/>
      <c r="BH408" s="202"/>
      <c r="BI408" s="204"/>
      <c r="BJ408" s="202"/>
      <c r="BK408" s="204"/>
      <c r="BL408" s="202"/>
      <c r="BM408" s="201"/>
      <c r="BN408" s="202"/>
      <c r="BO408" s="203">
        <f t="shared" si="16"/>
        <v>0</v>
      </c>
      <c r="BP408" s="202"/>
      <c r="BQ408" s="138"/>
      <c r="BR408" s="128"/>
      <c r="BS408" s="128"/>
      <c r="BT408" s="128"/>
      <c r="BU408" s="128"/>
      <c r="BV408" s="128"/>
      <c r="BW408" s="139"/>
      <c r="BX408" s="140"/>
      <c r="BY408" s="139"/>
      <c r="BZ408" s="139"/>
      <c r="CA408" s="134"/>
      <c r="CB408" s="134"/>
      <c r="CC408" s="134"/>
      <c r="CD408" s="134"/>
      <c r="CE408" s="134"/>
      <c r="CF408" s="134"/>
      <c r="CG408" s="92"/>
      <c r="CH408" s="92"/>
      <c r="CI408" s="92"/>
      <c r="CJ408" s="92"/>
      <c r="CK408" s="92"/>
    </row>
    <row r="409" spans="1:89" ht="17.25" customHeight="1">
      <c r="A409" s="160"/>
      <c r="B409" s="163"/>
      <c r="C409" s="30"/>
      <c r="D409" s="137">
        <f t="shared" si="32"/>
        <v>0</v>
      </c>
      <c r="E409" s="208"/>
      <c r="F409" s="202"/>
      <c r="G409" s="207"/>
      <c r="H409" s="202"/>
      <c r="I409" s="208"/>
      <c r="J409" s="202"/>
      <c r="K409" s="208">
        <f t="shared" si="12"/>
        <v>0</v>
      </c>
      <c r="L409" s="202"/>
      <c r="M409" s="207"/>
      <c r="N409" s="202"/>
      <c r="O409" s="209"/>
      <c r="P409" s="202"/>
      <c r="Q409" s="206"/>
      <c r="R409" s="202"/>
      <c r="S409" s="207"/>
      <c r="T409" s="202"/>
      <c r="U409" s="207"/>
      <c r="V409" s="202"/>
      <c r="W409" s="208"/>
      <c r="X409" s="202"/>
      <c r="Y409" s="210">
        <f t="shared" si="31"/>
        <v>0</v>
      </c>
      <c r="Z409" s="202"/>
      <c r="AA409" s="207"/>
      <c r="AB409" s="202"/>
      <c r="AC409" s="209"/>
      <c r="AD409" s="202"/>
      <c r="AE409" s="206"/>
      <c r="AF409" s="202"/>
      <c r="AG409" s="207"/>
      <c r="AH409" s="202"/>
      <c r="AI409" s="207"/>
      <c r="AJ409" s="202"/>
      <c r="AK409" s="208"/>
      <c r="AL409" s="202"/>
      <c r="AM409" s="210">
        <f t="shared" si="14"/>
        <v>0</v>
      </c>
      <c r="AN409" s="202"/>
      <c r="AO409" s="207"/>
      <c r="AP409" s="202"/>
      <c r="AQ409" s="209"/>
      <c r="AR409" s="202"/>
      <c r="AS409" s="206"/>
      <c r="AT409" s="202"/>
      <c r="AU409" s="204"/>
      <c r="AV409" s="202"/>
      <c r="AW409" s="204"/>
      <c r="AX409" s="202"/>
      <c r="AY409" s="201"/>
      <c r="AZ409" s="202"/>
      <c r="BA409" s="210">
        <f t="shared" si="15"/>
        <v>0</v>
      </c>
      <c r="BB409" s="202"/>
      <c r="BC409" s="204"/>
      <c r="BD409" s="202"/>
      <c r="BE409" s="209"/>
      <c r="BF409" s="202"/>
      <c r="BG409" s="206"/>
      <c r="BH409" s="202"/>
      <c r="BI409" s="204"/>
      <c r="BJ409" s="202"/>
      <c r="BK409" s="204"/>
      <c r="BL409" s="202"/>
      <c r="BM409" s="201"/>
      <c r="BN409" s="202"/>
      <c r="BO409" s="203">
        <f t="shared" si="16"/>
        <v>0</v>
      </c>
      <c r="BP409" s="202"/>
      <c r="BQ409" s="138"/>
      <c r="BR409" s="128"/>
      <c r="BS409" s="128"/>
      <c r="BT409" s="128"/>
      <c r="BU409" s="128"/>
      <c r="BV409" s="128"/>
      <c r="BW409" s="139"/>
      <c r="BX409" s="140"/>
      <c r="BY409" s="139"/>
      <c r="BZ409" s="139"/>
      <c r="CA409" s="134"/>
      <c r="CB409" s="134"/>
      <c r="CC409" s="134"/>
      <c r="CD409" s="134"/>
      <c r="CE409" s="134"/>
      <c r="CF409" s="134"/>
      <c r="CG409" s="92"/>
      <c r="CH409" s="92"/>
      <c r="CI409" s="92"/>
      <c r="CJ409" s="92"/>
      <c r="CK409" s="92"/>
    </row>
    <row r="410" spans="1:89" ht="17.25" customHeight="1">
      <c r="A410" s="160"/>
      <c r="B410" s="163"/>
      <c r="C410" s="30"/>
      <c r="D410" s="158">
        <v>1</v>
      </c>
      <c r="E410" s="208"/>
      <c r="F410" s="202"/>
      <c r="G410" s="207"/>
      <c r="H410" s="202"/>
      <c r="I410" s="208"/>
      <c r="J410" s="202"/>
      <c r="K410" s="208">
        <f t="shared" si="12"/>
        <v>0</v>
      </c>
      <c r="L410" s="202"/>
      <c r="M410" s="207"/>
      <c r="N410" s="202"/>
      <c r="O410" s="209"/>
      <c r="P410" s="202"/>
      <c r="Q410" s="206"/>
      <c r="R410" s="202"/>
      <c r="S410" s="207"/>
      <c r="T410" s="202"/>
      <c r="U410" s="207"/>
      <c r="V410" s="202"/>
      <c r="W410" s="208"/>
      <c r="X410" s="202"/>
      <c r="Y410" s="210">
        <f t="shared" si="31"/>
        <v>0</v>
      </c>
      <c r="Z410" s="202"/>
      <c r="AA410" s="207"/>
      <c r="AB410" s="202"/>
      <c r="AC410" s="209"/>
      <c r="AD410" s="202"/>
      <c r="AE410" s="206"/>
      <c r="AF410" s="202"/>
      <c r="AG410" s="207"/>
      <c r="AH410" s="202"/>
      <c r="AI410" s="207"/>
      <c r="AJ410" s="202"/>
      <c r="AK410" s="208"/>
      <c r="AL410" s="202"/>
      <c r="AM410" s="210">
        <f t="shared" si="14"/>
        <v>0</v>
      </c>
      <c r="AN410" s="202"/>
      <c r="AO410" s="207"/>
      <c r="AP410" s="202"/>
      <c r="AQ410" s="209"/>
      <c r="AR410" s="202"/>
      <c r="AS410" s="206"/>
      <c r="AT410" s="202"/>
      <c r="AU410" s="204"/>
      <c r="AV410" s="202"/>
      <c r="AW410" s="204"/>
      <c r="AX410" s="202"/>
      <c r="AY410" s="201"/>
      <c r="AZ410" s="202"/>
      <c r="BA410" s="210">
        <f t="shared" si="15"/>
        <v>0</v>
      </c>
      <c r="BB410" s="202"/>
      <c r="BC410" s="204"/>
      <c r="BD410" s="202"/>
      <c r="BE410" s="209"/>
      <c r="BF410" s="202"/>
      <c r="BG410" s="206"/>
      <c r="BH410" s="202"/>
      <c r="BI410" s="204"/>
      <c r="BJ410" s="202"/>
      <c r="BK410" s="204"/>
      <c r="BL410" s="202"/>
      <c r="BM410" s="201"/>
      <c r="BN410" s="202"/>
      <c r="BO410" s="203">
        <f t="shared" si="16"/>
        <v>0</v>
      </c>
      <c r="BP410" s="202"/>
      <c r="BQ410" s="138"/>
      <c r="BR410" s="128"/>
      <c r="BS410" s="128"/>
      <c r="BT410" s="128"/>
      <c r="BU410" s="128"/>
      <c r="BV410" s="128"/>
      <c r="BW410" s="139"/>
      <c r="BX410" s="140"/>
      <c r="BY410" s="139"/>
      <c r="BZ410" s="139"/>
      <c r="CA410" s="134"/>
      <c r="CB410" s="134"/>
      <c r="CC410" s="134"/>
      <c r="CD410" s="134"/>
      <c r="CE410" s="134"/>
      <c r="CF410" s="134"/>
      <c r="CG410" s="92"/>
      <c r="CH410" s="92"/>
      <c r="CI410" s="92"/>
      <c r="CJ410" s="92"/>
      <c r="CK410" s="92"/>
    </row>
    <row r="411" spans="1:89" ht="17.25" customHeight="1">
      <c r="A411" s="160"/>
      <c r="B411" s="163"/>
      <c r="C411" s="30"/>
      <c r="D411" s="137">
        <f t="shared" ref="D411:D500" si="33">SUM(Q411,AE411,AS411,BG411,BO411)</f>
        <v>0</v>
      </c>
      <c r="E411" s="208"/>
      <c r="F411" s="202"/>
      <c r="G411" s="207"/>
      <c r="H411" s="202"/>
      <c r="I411" s="208"/>
      <c r="J411" s="202"/>
      <c r="K411" s="208">
        <f t="shared" si="12"/>
        <v>0</v>
      </c>
      <c r="L411" s="202"/>
      <c r="M411" s="207"/>
      <c r="N411" s="202"/>
      <c r="O411" s="209"/>
      <c r="P411" s="202"/>
      <c r="Q411" s="206"/>
      <c r="R411" s="202"/>
      <c r="S411" s="207"/>
      <c r="T411" s="202"/>
      <c r="U411" s="207"/>
      <c r="V411" s="202"/>
      <c r="W411" s="208"/>
      <c r="X411" s="202"/>
      <c r="Y411" s="210">
        <f t="shared" si="31"/>
        <v>0</v>
      </c>
      <c r="Z411" s="202"/>
      <c r="AA411" s="207"/>
      <c r="AB411" s="202"/>
      <c r="AC411" s="209"/>
      <c r="AD411" s="202"/>
      <c r="AE411" s="206"/>
      <c r="AF411" s="202"/>
      <c r="AG411" s="207"/>
      <c r="AH411" s="202"/>
      <c r="AI411" s="207"/>
      <c r="AJ411" s="202"/>
      <c r="AK411" s="208"/>
      <c r="AL411" s="202"/>
      <c r="AM411" s="210">
        <f t="shared" si="14"/>
        <v>0</v>
      </c>
      <c r="AN411" s="202"/>
      <c r="AO411" s="207"/>
      <c r="AP411" s="202"/>
      <c r="AQ411" s="209"/>
      <c r="AR411" s="202"/>
      <c r="AS411" s="206"/>
      <c r="AT411" s="202"/>
      <c r="AU411" s="204"/>
      <c r="AV411" s="202"/>
      <c r="AW411" s="204"/>
      <c r="AX411" s="202"/>
      <c r="AY411" s="201"/>
      <c r="AZ411" s="202"/>
      <c r="BA411" s="210">
        <f t="shared" si="15"/>
        <v>0</v>
      </c>
      <c r="BB411" s="202"/>
      <c r="BC411" s="204"/>
      <c r="BD411" s="202"/>
      <c r="BE411" s="209"/>
      <c r="BF411" s="202"/>
      <c r="BG411" s="206"/>
      <c r="BH411" s="202"/>
      <c r="BI411" s="204"/>
      <c r="BJ411" s="202"/>
      <c r="BK411" s="204"/>
      <c r="BL411" s="202"/>
      <c r="BM411" s="201"/>
      <c r="BN411" s="202"/>
      <c r="BO411" s="203">
        <f t="shared" si="16"/>
        <v>0</v>
      </c>
      <c r="BP411" s="202"/>
      <c r="BQ411" s="138"/>
      <c r="BR411" s="128"/>
      <c r="BS411" s="128"/>
      <c r="BT411" s="128"/>
      <c r="BU411" s="128"/>
      <c r="BV411" s="128"/>
      <c r="BW411" s="139"/>
      <c r="BX411" s="140"/>
      <c r="BY411" s="139"/>
      <c r="BZ411" s="139"/>
      <c r="CA411" s="134"/>
      <c r="CB411" s="134"/>
      <c r="CC411" s="134"/>
      <c r="CD411" s="134"/>
      <c r="CE411" s="134"/>
      <c r="CF411" s="134"/>
      <c r="CG411" s="92"/>
      <c r="CH411" s="92"/>
      <c r="CI411" s="92"/>
      <c r="CJ411" s="92"/>
      <c r="CK411" s="92"/>
    </row>
    <row r="412" spans="1:89" ht="17.25" customHeight="1">
      <c r="A412" s="160"/>
      <c r="B412" s="163"/>
      <c r="C412" s="30"/>
      <c r="D412" s="137">
        <f t="shared" si="33"/>
        <v>0</v>
      </c>
      <c r="E412" s="208"/>
      <c r="F412" s="202"/>
      <c r="G412" s="207"/>
      <c r="H412" s="202"/>
      <c r="I412" s="208"/>
      <c r="J412" s="202"/>
      <c r="K412" s="208">
        <f t="shared" si="12"/>
        <v>0</v>
      </c>
      <c r="L412" s="202"/>
      <c r="M412" s="207"/>
      <c r="N412" s="202"/>
      <c r="O412" s="209"/>
      <c r="P412" s="202"/>
      <c r="Q412" s="206"/>
      <c r="R412" s="202"/>
      <c r="S412" s="207"/>
      <c r="T412" s="202"/>
      <c r="U412" s="207"/>
      <c r="V412" s="202"/>
      <c r="W412" s="208"/>
      <c r="X412" s="202"/>
      <c r="Y412" s="210">
        <f t="shared" si="31"/>
        <v>0</v>
      </c>
      <c r="Z412" s="202"/>
      <c r="AA412" s="207"/>
      <c r="AB412" s="202"/>
      <c r="AC412" s="209"/>
      <c r="AD412" s="202"/>
      <c r="AE412" s="206"/>
      <c r="AF412" s="202"/>
      <c r="AG412" s="207"/>
      <c r="AH412" s="202"/>
      <c r="AI412" s="207"/>
      <c r="AJ412" s="202"/>
      <c r="AK412" s="208"/>
      <c r="AL412" s="202"/>
      <c r="AM412" s="210">
        <f t="shared" si="14"/>
        <v>0</v>
      </c>
      <c r="AN412" s="202"/>
      <c r="AO412" s="207"/>
      <c r="AP412" s="202"/>
      <c r="AQ412" s="209"/>
      <c r="AR412" s="202"/>
      <c r="AS412" s="206"/>
      <c r="AT412" s="202"/>
      <c r="AU412" s="204"/>
      <c r="AV412" s="202"/>
      <c r="AW412" s="204"/>
      <c r="AX412" s="202"/>
      <c r="AY412" s="201"/>
      <c r="AZ412" s="202"/>
      <c r="BA412" s="210">
        <f t="shared" si="15"/>
        <v>0</v>
      </c>
      <c r="BB412" s="202"/>
      <c r="BC412" s="204"/>
      <c r="BD412" s="202"/>
      <c r="BE412" s="209"/>
      <c r="BF412" s="202"/>
      <c r="BG412" s="206"/>
      <c r="BH412" s="202"/>
      <c r="BI412" s="204"/>
      <c r="BJ412" s="202"/>
      <c r="BK412" s="204"/>
      <c r="BL412" s="202"/>
      <c r="BM412" s="201"/>
      <c r="BN412" s="202"/>
      <c r="BO412" s="203">
        <f t="shared" si="16"/>
        <v>0</v>
      </c>
      <c r="BP412" s="202"/>
      <c r="BQ412" s="138"/>
      <c r="BR412" s="128"/>
      <c r="BS412" s="128"/>
      <c r="BT412" s="128"/>
      <c r="BU412" s="128"/>
      <c r="BV412" s="128"/>
      <c r="BW412" s="139"/>
      <c r="BX412" s="140"/>
      <c r="BY412" s="139"/>
      <c r="BZ412" s="139"/>
      <c r="CA412" s="134"/>
      <c r="CB412" s="134"/>
      <c r="CC412" s="134"/>
      <c r="CD412" s="134"/>
      <c r="CE412" s="134"/>
      <c r="CF412" s="134"/>
      <c r="CG412" s="92"/>
      <c r="CH412" s="92"/>
      <c r="CI412" s="92"/>
      <c r="CJ412" s="92"/>
      <c r="CK412" s="92"/>
    </row>
    <row r="413" spans="1:89" ht="17.25" customHeight="1">
      <c r="A413" s="160"/>
      <c r="B413" s="163"/>
      <c r="C413" s="30"/>
      <c r="D413" s="137">
        <f t="shared" si="33"/>
        <v>0</v>
      </c>
      <c r="E413" s="208"/>
      <c r="F413" s="202"/>
      <c r="G413" s="207"/>
      <c r="H413" s="202"/>
      <c r="I413" s="208"/>
      <c r="J413" s="202"/>
      <c r="K413" s="208">
        <f t="shared" si="12"/>
        <v>0</v>
      </c>
      <c r="L413" s="202"/>
      <c r="M413" s="207"/>
      <c r="N413" s="202"/>
      <c r="O413" s="209"/>
      <c r="P413" s="202"/>
      <c r="Q413" s="206"/>
      <c r="R413" s="202"/>
      <c r="S413" s="207"/>
      <c r="T413" s="202"/>
      <c r="U413" s="207"/>
      <c r="V413" s="202"/>
      <c r="W413" s="208"/>
      <c r="X413" s="202"/>
      <c r="Y413" s="210">
        <f t="shared" si="31"/>
        <v>0</v>
      </c>
      <c r="Z413" s="202"/>
      <c r="AA413" s="207"/>
      <c r="AB413" s="202"/>
      <c r="AC413" s="209"/>
      <c r="AD413" s="202"/>
      <c r="AE413" s="206"/>
      <c r="AF413" s="202"/>
      <c r="AG413" s="207"/>
      <c r="AH413" s="202"/>
      <c r="AI413" s="207"/>
      <c r="AJ413" s="202"/>
      <c r="AK413" s="208"/>
      <c r="AL413" s="202"/>
      <c r="AM413" s="210">
        <f t="shared" si="14"/>
        <v>0</v>
      </c>
      <c r="AN413" s="202"/>
      <c r="AO413" s="207"/>
      <c r="AP413" s="202"/>
      <c r="AQ413" s="209"/>
      <c r="AR413" s="202"/>
      <c r="AS413" s="206"/>
      <c r="AT413" s="202"/>
      <c r="AU413" s="204"/>
      <c r="AV413" s="202"/>
      <c r="AW413" s="204"/>
      <c r="AX413" s="202"/>
      <c r="AY413" s="201"/>
      <c r="AZ413" s="202"/>
      <c r="BA413" s="210">
        <f t="shared" si="15"/>
        <v>0</v>
      </c>
      <c r="BB413" s="202"/>
      <c r="BC413" s="204"/>
      <c r="BD413" s="202"/>
      <c r="BE413" s="209"/>
      <c r="BF413" s="202"/>
      <c r="BG413" s="206"/>
      <c r="BH413" s="202"/>
      <c r="BI413" s="204"/>
      <c r="BJ413" s="202"/>
      <c r="BK413" s="204"/>
      <c r="BL413" s="202"/>
      <c r="BM413" s="201"/>
      <c r="BN413" s="202"/>
      <c r="BO413" s="203">
        <f t="shared" si="16"/>
        <v>0</v>
      </c>
      <c r="BP413" s="202"/>
      <c r="BQ413" s="138"/>
      <c r="BR413" s="128"/>
      <c r="BS413" s="128"/>
      <c r="BT413" s="128"/>
      <c r="BU413" s="128"/>
      <c r="BV413" s="128"/>
      <c r="BW413" s="139"/>
      <c r="BX413" s="140"/>
      <c r="BY413" s="139"/>
      <c r="BZ413" s="139"/>
      <c r="CA413" s="134"/>
      <c r="CB413" s="134"/>
      <c r="CC413" s="134"/>
      <c r="CD413" s="134"/>
      <c r="CE413" s="134"/>
      <c r="CF413" s="134"/>
      <c r="CG413" s="92"/>
      <c r="CH413" s="92"/>
      <c r="CI413" s="92"/>
      <c r="CJ413" s="92"/>
      <c r="CK413" s="92"/>
    </row>
    <row r="414" spans="1:89" ht="17.25" customHeight="1">
      <c r="A414" s="160"/>
      <c r="B414" s="163"/>
      <c r="C414" s="30"/>
      <c r="D414" s="137">
        <f t="shared" si="33"/>
        <v>0</v>
      </c>
      <c r="E414" s="208"/>
      <c r="F414" s="202"/>
      <c r="G414" s="207"/>
      <c r="H414" s="202"/>
      <c r="I414" s="208"/>
      <c r="J414" s="202"/>
      <c r="K414" s="208">
        <f t="shared" si="12"/>
        <v>0</v>
      </c>
      <c r="L414" s="202"/>
      <c r="M414" s="207"/>
      <c r="N414" s="202"/>
      <c r="O414" s="209"/>
      <c r="P414" s="202"/>
      <c r="Q414" s="206"/>
      <c r="R414" s="202"/>
      <c r="S414" s="207"/>
      <c r="T414" s="202"/>
      <c r="U414" s="207"/>
      <c r="V414" s="202"/>
      <c r="W414" s="208"/>
      <c r="X414" s="202"/>
      <c r="Y414" s="210">
        <f t="shared" si="31"/>
        <v>0</v>
      </c>
      <c r="Z414" s="202"/>
      <c r="AA414" s="207"/>
      <c r="AB414" s="202"/>
      <c r="AC414" s="209"/>
      <c r="AD414" s="202"/>
      <c r="AE414" s="206"/>
      <c r="AF414" s="202"/>
      <c r="AG414" s="207"/>
      <c r="AH414" s="202"/>
      <c r="AI414" s="207"/>
      <c r="AJ414" s="202"/>
      <c r="AK414" s="208"/>
      <c r="AL414" s="202"/>
      <c r="AM414" s="210">
        <f t="shared" si="14"/>
        <v>0</v>
      </c>
      <c r="AN414" s="202"/>
      <c r="AO414" s="207"/>
      <c r="AP414" s="202"/>
      <c r="AQ414" s="209"/>
      <c r="AR414" s="202"/>
      <c r="AS414" s="206"/>
      <c r="AT414" s="202"/>
      <c r="AU414" s="204"/>
      <c r="AV414" s="202"/>
      <c r="AW414" s="204"/>
      <c r="AX414" s="202"/>
      <c r="AY414" s="201"/>
      <c r="AZ414" s="202"/>
      <c r="BA414" s="210">
        <f t="shared" si="15"/>
        <v>0</v>
      </c>
      <c r="BB414" s="202"/>
      <c r="BC414" s="204"/>
      <c r="BD414" s="202"/>
      <c r="BE414" s="209"/>
      <c r="BF414" s="202"/>
      <c r="BG414" s="206"/>
      <c r="BH414" s="202"/>
      <c r="BI414" s="204"/>
      <c r="BJ414" s="202"/>
      <c r="BK414" s="204"/>
      <c r="BL414" s="202"/>
      <c r="BM414" s="201"/>
      <c r="BN414" s="202"/>
      <c r="BO414" s="203">
        <f t="shared" si="16"/>
        <v>0</v>
      </c>
      <c r="BP414" s="202"/>
      <c r="BQ414" s="138"/>
      <c r="BR414" s="128"/>
      <c r="BS414" s="128"/>
      <c r="BT414" s="128"/>
      <c r="BU414" s="128"/>
      <c r="BV414" s="128"/>
      <c r="BW414" s="139"/>
      <c r="BX414" s="140"/>
      <c r="BY414" s="139"/>
      <c r="BZ414" s="139"/>
      <c r="CA414" s="134"/>
      <c r="CB414" s="134"/>
      <c r="CC414" s="134"/>
      <c r="CD414" s="134"/>
      <c r="CE414" s="134"/>
      <c r="CF414" s="134"/>
      <c r="CG414" s="92"/>
      <c r="CH414" s="92"/>
      <c r="CI414" s="92"/>
      <c r="CJ414" s="92"/>
      <c r="CK414" s="92"/>
    </row>
    <row r="415" spans="1:89" ht="17.25" customHeight="1">
      <c r="A415" s="160"/>
      <c r="B415" s="163"/>
      <c r="C415" s="30"/>
      <c r="D415" s="137">
        <f t="shared" si="33"/>
        <v>0</v>
      </c>
      <c r="E415" s="208"/>
      <c r="F415" s="202"/>
      <c r="G415" s="207"/>
      <c r="H415" s="202"/>
      <c r="I415" s="208"/>
      <c r="J415" s="202"/>
      <c r="K415" s="208">
        <f t="shared" si="12"/>
        <v>0</v>
      </c>
      <c r="L415" s="202"/>
      <c r="M415" s="207"/>
      <c r="N415" s="202"/>
      <c r="O415" s="209"/>
      <c r="P415" s="202"/>
      <c r="Q415" s="206"/>
      <c r="R415" s="202"/>
      <c r="S415" s="207"/>
      <c r="T415" s="202"/>
      <c r="U415" s="207"/>
      <c r="V415" s="202"/>
      <c r="W415" s="208"/>
      <c r="X415" s="202"/>
      <c r="Y415" s="210">
        <f t="shared" si="31"/>
        <v>0</v>
      </c>
      <c r="Z415" s="202"/>
      <c r="AA415" s="207"/>
      <c r="AB415" s="202"/>
      <c r="AC415" s="209"/>
      <c r="AD415" s="202"/>
      <c r="AE415" s="206"/>
      <c r="AF415" s="202"/>
      <c r="AG415" s="207"/>
      <c r="AH415" s="202"/>
      <c r="AI415" s="207"/>
      <c r="AJ415" s="202"/>
      <c r="AK415" s="208"/>
      <c r="AL415" s="202"/>
      <c r="AM415" s="210">
        <f t="shared" si="14"/>
        <v>0</v>
      </c>
      <c r="AN415" s="202"/>
      <c r="AO415" s="207"/>
      <c r="AP415" s="202"/>
      <c r="AQ415" s="209"/>
      <c r="AR415" s="202"/>
      <c r="AS415" s="206"/>
      <c r="AT415" s="202"/>
      <c r="AU415" s="204"/>
      <c r="AV415" s="202"/>
      <c r="AW415" s="204"/>
      <c r="AX415" s="202"/>
      <c r="AY415" s="201"/>
      <c r="AZ415" s="202"/>
      <c r="BA415" s="210">
        <f t="shared" si="15"/>
        <v>0</v>
      </c>
      <c r="BB415" s="202"/>
      <c r="BC415" s="204"/>
      <c r="BD415" s="202"/>
      <c r="BE415" s="209"/>
      <c r="BF415" s="202"/>
      <c r="BG415" s="206"/>
      <c r="BH415" s="202"/>
      <c r="BI415" s="204"/>
      <c r="BJ415" s="202"/>
      <c r="BK415" s="204"/>
      <c r="BL415" s="202"/>
      <c r="BM415" s="201"/>
      <c r="BN415" s="202"/>
      <c r="BO415" s="203">
        <f t="shared" si="16"/>
        <v>0</v>
      </c>
      <c r="BP415" s="202"/>
      <c r="BQ415" s="138"/>
      <c r="BR415" s="128"/>
      <c r="BS415" s="128"/>
      <c r="BT415" s="128"/>
      <c r="BU415" s="128"/>
      <c r="BV415" s="128"/>
      <c r="BW415" s="139"/>
      <c r="BX415" s="140"/>
      <c r="BY415" s="139"/>
      <c r="BZ415" s="139"/>
      <c r="CA415" s="134"/>
      <c r="CB415" s="134"/>
      <c r="CC415" s="134"/>
      <c r="CD415" s="134"/>
      <c r="CE415" s="134"/>
      <c r="CF415" s="134"/>
      <c r="CG415" s="92"/>
      <c r="CH415" s="92"/>
      <c r="CI415" s="92"/>
      <c r="CJ415" s="92"/>
      <c r="CK415" s="92"/>
    </row>
    <row r="416" spans="1:89" ht="17.25" customHeight="1">
      <c r="A416" s="160"/>
      <c r="B416" s="163"/>
      <c r="C416" s="30"/>
      <c r="D416" s="137">
        <f t="shared" si="33"/>
        <v>0</v>
      </c>
      <c r="E416" s="208"/>
      <c r="F416" s="202"/>
      <c r="G416" s="207"/>
      <c r="H416" s="202"/>
      <c r="I416" s="208"/>
      <c r="J416" s="202"/>
      <c r="K416" s="208">
        <f t="shared" si="12"/>
        <v>0</v>
      </c>
      <c r="L416" s="202"/>
      <c r="M416" s="207"/>
      <c r="N416" s="202"/>
      <c r="O416" s="209"/>
      <c r="P416" s="202"/>
      <c r="Q416" s="206"/>
      <c r="R416" s="202"/>
      <c r="S416" s="207"/>
      <c r="T416" s="202"/>
      <c r="U416" s="207"/>
      <c r="V416" s="202"/>
      <c r="W416" s="208"/>
      <c r="X416" s="202"/>
      <c r="Y416" s="210">
        <f t="shared" si="31"/>
        <v>0</v>
      </c>
      <c r="Z416" s="202"/>
      <c r="AA416" s="207"/>
      <c r="AB416" s="202"/>
      <c r="AC416" s="209"/>
      <c r="AD416" s="202"/>
      <c r="AE416" s="206"/>
      <c r="AF416" s="202"/>
      <c r="AG416" s="207"/>
      <c r="AH416" s="202"/>
      <c r="AI416" s="207"/>
      <c r="AJ416" s="202"/>
      <c r="AK416" s="208"/>
      <c r="AL416" s="202"/>
      <c r="AM416" s="210">
        <f t="shared" si="14"/>
        <v>0</v>
      </c>
      <c r="AN416" s="202"/>
      <c r="AO416" s="207"/>
      <c r="AP416" s="202"/>
      <c r="AQ416" s="209"/>
      <c r="AR416" s="202"/>
      <c r="AS416" s="206"/>
      <c r="AT416" s="202"/>
      <c r="AU416" s="204"/>
      <c r="AV416" s="202"/>
      <c r="AW416" s="204"/>
      <c r="AX416" s="202"/>
      <c r="AY416" s="201"/>
      <c r="AZ416" s="202"/>
      <c r="BA416" s="210">
        <f t="shared" si="15"/>
        <v>0</v>
      </c>
      <c r="BB416" s="202"/>
      <c r="BC416" s="204"/>
      <c r="BD416" s="202"/>
      <c r="BE416" s="209"/>
      <c r="BF416" s="202"/>
      <c r="BG416" s="206"/>
      <c r="BH416" s="202"/>
      <c r="BI416" s="204"/>
      <c r="BJ416" s="202"/>
      <c r="BK416" s="204"/>
      <c r="BL416" s="202"/>
      <c r="BM416" s="201"/>
      <c r="BN416" s="202"/>
      <c r="BO416" s="203">
        <f t="shared" si="16"/>
        <v>0</v>
      </c>
      <c r="BP416" s="202"/>
      <c r="BQ416" s="138"/>
      <c r="BR416" s="128"/>
      <c r="BS416" s="128"/>
      <c r="BT416" s="128"/>
      <c r="BU416" s="128"/>
      <c r="BV416" s="128"/>
      <c r="BW416" s="139"/>
      <c r="BX416" s="140"/>
      <c r="BY416" s="139"/>
      <c r="BZ416" s="139"/>
      <c r="CA416" s="134"/>
      <c r="CB416" s="134"/>
      <c r="CC416" s="134"/>
      <c r="CD416" s="134"/>
      <c r="CE416" s="134"/>
      <c r="CF416" s="134"/>
      <c r="CG416" s="92"/>
      <c r="CH416" s="92"/>
      <c r="CI416" s="92"/>
      <c r="CJ416" s="92"/>
      <c r="CK416" s="92"/>
    </row>
    <row r="417" spans="1:89" ht="17.25" customHeight="1">
      <c r="A417" s="160"/>
      <c r="B417" s="163"/>
      <c r="C417" s="30"/>
      <c r="D417" s="137">
        <f t="shared" si="33"/>
        <v>0</v>
      </c>
      <c r="E417" s="208"/>
      <c r="F417" s="202"/>
      <c r="G417" s="207"/>
      <c r="H417" s="202"/>
      <c r="I417" s="208"/>
      <c r="J417" s="202"/>
      <c r="K417" s="208">
        <f t="shared" si="12"/>
        <v>0</v>
      </c>
      <c r="L417" s="202"/>
      <c r="M417" s="207"/>
      <c r="N417" s="202"/>
      <c r="O417" s="209"/>
      <c r="P417" s="202"/>
      <c r="Q417" s="206"/>
      <c r="R417" s="202"/>
      <c r="S417" s="207"/>
      <c r="T417" s="202"/>
      <c r="U417" s="207"/>
      <c r="V417" s="202"/>
      <c r="W417" s="208"/>
      <c r="X417" s="202"/>
      <c r="Y417" s="210">
        <f t="shared" si="31"/>
        <v>0</v>
      </c>
      <c r="Z417" s="202"/>
      <c r="AA417" s="207"/>
      <c r="AB417" s="202"/>
      <c r="AC417" s="205"/>
      <c r="AD417" s="202"/>
      <c r="AE417" s="206"/>
      <c r="AF417" s="202"/>
      <c r="AG417" s="207"/>
      <c r="AH417" s="202"/>
      <c r="AI417" s="207"/>
      <c r="AJ417" s="202"/>
      <c r="AK417" s="208"/>
      <c r="AL417" s="202"/>
      <c r="AM417" s="210">
        <f t="shared" si="14"/>
        <v>0</v>
      </c>
      <c r="AN417" s="202"/>
      <c r="AO417" s="207"/>
      <c r="AP417" s="202"/>
      <c r="AQ417" s="205"/>
      <c r="AR417" s="202"/>
      <c r="AS417" s="206"/>
      <c r="AT417" s="202"/>
      <c r="AU417" s="204"/>
      <c r="AV417" s="202"/>
      <c r="AW417" s="204"/>
      <c r="AX417" s="202"/>
      <c r="AY417" s="201"/>
      <c r="AZ417" s="202"/>
      <c r="BA417" s="210">
        <f t="shared" si="15"/>
        <v>0</v>
      </c>
      <c r="BB417" s="202"/>
      <c r="BC417" s="204"/>
      <c r="BD417" s="202"/>
      <c r="BE417" s="205"/>
      <c r="BF417" s="202"/>
      <c r="BG417" s="206"/>
      <c r="BH417" s="202"/>
      <c r="BI417" s="204"/>
      <c r="BJ417" s="202"/>
      <c r="BK417" s="204"/>
      <c r="BL417" s="202"/>
      <c r="BM417" s="201"/>
      <c r="BN417" s="202"/>
      <c r="BO417" s="203">
        <f t="shared" si="16"/>
        <v>0</v>
      </c>
      <c r="BP417" s="202"/>
      <c r="BQ417" s="138"/>
      <c r="BR417" s="128"/>
      <c r="BS417" s="128"/>
      <c r="BT417" s="128"/>
      <c r="BU417" s="128"/>
      <c r="BV417" s="128"/>
      <c r="BW417" s="139"/>
      <c r="BX417" s="140"/>
      <c r="BY417" s="139"/>
      <c r="BZ417" s="139"/>
      <c r="CA417" s="134"/>
      <c r="CB417" s="134"/>
      <c r="CC417" s="134"/>
      <c r="CD417" s="134"/>
      <c r="CE417" s="134"/>
      <c r="CF417" s="134"/>
      <c r="CG417" s="92"/>
      <c r="CH417" s="92"/>
      <c r="CI417" s="92"/>
      <c r="CJ417" s="92"/>
      <c r="CK417" s="92"/>
    </row>
    <row r="418" spans="1:89" ht="17.25" customHeight="1">
      <c r="A418" s="160"/>
      <c r="B418" s="163"/>
      <c r="C418" s="30"/>
      <c r="D418" s="137">
        <f t="shared" si="33"/>
        <v>0</v>
      </c>
      <c r="E418" s="208"/>
      <c r="F418" s="202"/>
      <c r="G418" s="207"/>
      <c r="H418" s="202"/>
      <c r="I418" s="208"/>
      <c r="J418" s="202"/>
      <c r="K418" s="208">
        <f t="shared" si="12"/>
        <v>0</v>
      </c>
      <c r="L418" s="202"/>
      <c r="M418" s="207"/>
      <c r="N418" s="202"/>
      <c r="O418" s="209"/>
      <c r="P418" s="202"/>
      <c r="Q418" s="206"/>
      <c r="R418" s="202"/>
      <c r="S418" s="207"/>
      <c r="T418" s="202"/>
      <c r="U418" s="207"/>
      <c r="V418" s="202"/>
      <c r="W418" s="208"/>
      <c r="X418" s="202"/>
      <c r="Y418" s="210">
        <f t="shared" si="31"/>
        <v>0</v>
      </c>
      <c r="Z418" s="202"/>
      <c r="AA418" s="207"/>
      <c r="AB418" s="202"/>
      <c r="AC418" s="205"/>
      <c r="AD418" s="202"/>
      <c r="AE418" s="206"/>
      <c r="AF418" s="202"/>
      <c r="AG418" s="207"/>
      <c r="AH418" s="202"/>
      <c r="AI418" s="207"/>
      <c r="AJ418" s="202"/>
      <c r="AK418" s="208"/>
      <c r="AL418" s="202"/>
      <c r="AM418" s="210">
        <f t="shared" si="14"/>
        <v>0</v>
      </c>
      <c r="AN418" s="202"/>
      <c r="AO418" s="207"/>
      <c r="AP418" s="202"/>
      <c r="AQ418" s="205"/>
      <c r="AR418" s="202"/>
      <c r="AS418" s="206"/>
      <c r="AT418" s="202"/>
      <c r="AU418" s="204"/>
      <c r="AV418" s="202"/>
      <c r="AW418" s="204"/>
      <c r="AX418" s="202"/>
      <c r="AY418" s="201"/>
      <c r="AZ418" s="202"/>
      <c r="BA418" s="210">
        <f t="shared" si="15"/>
        <v>0</v>
      </c>
      <c r="BB418" s="202"/>
      <c r="BC418" s="204"/>
      <c r="BD418" s="202"/>
      <c r="BE418" s="205"/>
      <c r="BF418" s="202"/>
      <c r="BG418" s="206"/>
      <c r="BH418" s="202"/>
      <c r="BI418" s="204"/>
      <c r="BJ418" s="202"/>
      <c r="BK418" s="204"/>
      <c r="BL418" s="202"/>
      <c r="BM418" s="201"/>
      <c r="BN418" s="202"/>
      <c r="BO418" s="203">
        <f t="shared" si="16"/>
        <v>0</v>
      </c>
      <c r="BP418" s="202"/>
      <c r="BQ418" s="138"/>
      <c r="BR418" s="128"/>
      <c r="BS418" s="128"/>
      <c r="BT418" s="128"/>
      <c r="BU418" s="128"/>
      <c r="BV418" s="128"/>
      <c r="BW418" s="139"/>
      <c r="BX418" s="140"/>
      <c r="BY418" s="139"/>
      <c r="BZ418" s="139"/>
      <c r="CA418" s="134"/>
      <c r="CB418" s="134"/>
      <c r="CC418" s="134"/>
      <c r="CD418" s="134"/>
      <c r="CE418" s="134"/>
      <c r="CF418" s="134"/>
      <c r="CG418" s="92"/>
      <c r="CH418" s="92"/>
      <c r="CI418" s="92"/>
      <c r="CJ418" s="92"/>
      <c r="CK418" s="92"/>
    </row>
    <row r="419" spans="1:89" ht="17.25" customHeight="1">
      <c r="A419" s="160"/>
      <c r="B419" s="163"/>
      <c r="C419" s="30"/>
      <c r="D419" s="137">
        <f t="shared" si="33"/>
        <v>0</v>
      </c>
      <c r="E419" s="208"/>
      <c r="F419" s="202"/>
      <c r="G419" s="207"/>
      <c r="H419" s="202"/>
      <c r="I419" s="208"/>
      <c r="J419" s="202"/>
      <c r="K419" s="208">
        <f t="shared" si="12"/>
        <v>0</v>
      </c>
      <c r="L419" s="202"/>
      <c r="M419" s="207"/>
      <c r="N419" s="202"/>
      <c r="O419" s="209"/>
      <c r="P419" s="202"/>
      <c r="Q419" s="206"/>
      <c r="R419" s="202"/>
      <c r="S419" s="207"/>
      <c r="T419" s="202"/>
      <c r="U419" s="207"/>
      <c r="V419" s="202"/>
      <c r="W419" s="208"/>
      <c r="X419" s="202"/>
      <c r="Y419" s="210">
        <f t="shared" si="31"/>
        <v>0</v>
      </c>
      <c r="Z419" s="202"/>
      <c r="AA419" s="207"/>
      <c r="AB419" s="202"/>
      <c r="AC419" s="205"/>
      <c r="AD419" s="202"/>
      <c r="AE419" s="206"/>
      <c r="AF419" s="202"/>
      <c r="AG419" s="207"/>
      <c r="AH419" s="202"/>
      <c r="AI419" s="207"/>
      <c r="AJ419" s="202"/>
      <c r="AK419" s="208"/>
      <c r="AL419" s="202"/>
      <c r="AM419" s="210">
        <f t="shared" si="14"/>
        <v>0</v>
      </c>
      <c r="AN419" s="202"/>
      <c r="AO419" s="207"/>
      <c r="AP419" s="202"/>
      <c r="AQ419" s="205"/>
      <c r="AR419" s="202"/>
      <c r="AS419" s="206"/>
      <c r="AT419" s="202"/>
      <c r="AU419" s="204"/>
      <c r="AV419" s="202"/>
      <c r="AW419" s="204"/>
      <c r="AX419" s="202"/>
      <c r="AY419" s="201"/>
      <c r="AZ419" s="202"/>
      <c r="BA419" s="210">
        <f t="shared" si="15"/>
        <v>0</v>
      </c>
      <c r="BB419" s="202"/>
      <c r="BC419" s="204"/>
      <c r="BD419" s="202"/>
      <c r="BE419" s="205"/>
      <c r="BF419" s="202"/>
      <c r="BG419" s="206"/>
      <c r="BH419" s="202"/>
      <c r="BI419" s="204"/>
      <c r="BJ419" s="202"/>
      <c r="BK419" s="204"/>
      <c r="BL419" s="202"/>
      <c r="BM419" s="201"/>
      <c r="BN419" s="202"/>
      <c r="BO419" s="203">
        <f t="shared" si="16"/>
        <v>0</v>
      </c>
      <c r="BP419" s="202"/>
      <c r="BQ419" s="138"/>
      <c r="BR419" s="128"/>
      <c r="BS419" s="128"/>
      <c r="BT419" s="128"/>
      <c r="BU419" s="128"/>
      <c r="BV419" s="128"/>
      <c r="BW419" s="139"/>
      <c r="BX419" s="140"/>
      <c r="BY419" s="139"/>
      <c r="BZ419" s="139"/>
      <c r="CA419" s="134"/>
      <c r="CB419" s="134"/>
      <c r="CC419" s="134"/>
      <c r="CD419" s="134"/>
      <c r="CE419" s="134"/>
      <c r="CF419" s="134"/>
      <c r="CG419" s="92"/>
      <c r="CH419" s="92"/>
      <c r="CI419" s="92"/>
      <c r="CJ419" s="92"/>
      <c r="CK419" s="92"/>
    </row>
    <row r="420" spans="1:89" ht="17.25" customHeight="1">
      <c r="A420" s="160"/>
      <c r="B420" s="163"/>
      <c r="C420" s="30"/>
      <c r="D420" s="137">
        <f t="shared" si="33"/>
        <v>0</v>
      </c>
      <c r="E420" s="208"/>
      <c r="F420" s="202"/>
      <c r="G420" s="207"/>
      <c r="H420" s="202"/>
      <c r="I420" s="208"/>
      <c r="J420" s="202"/>
      <c r="K420" s="208">
        <f t="shared" si="12"/>
        <v>0</v>
      </c>
      <c r="L420" s="202"/>
      <c r="M420" s="207"/>
      <c r="N420" s="202"/>
      <c r="O420" s="209"/>
      <c r="P420" s="202"/>
      <c r="Q420" s="206"/>
      <c r="R420" s="202"/>
      <c r="S420" s="207"/>
      <c r="T420" s="202"/>
      <c r="U420" s="207"/>
      <c r="V420" s="202"/>
      <c r="W420" s="208"/>
      <c r="X420" s="202"/>
      <c r="Y420" s="210">
        <f t="shared" si="31"/>
        <v>0</v>
      </c>
      <c r="Z420" s="202"/>
      <c r="AA420" s="207"/>
      <c r="AB420" s="202"/>
      <c r="AC420" s="205"/>
      <c r="AD420" s="202"/>
      <c r="AE420" s="206"/>
      <c r="AF420" s="202"/>
      <c r="AG420" s="207"/>
      <c r="AH420" s="202"/>
      <c r="AI420" s="207"/>
      <c r="AJ420" s="202"/>
      <c r="AK420" s="208"/>
      <c r="AL420" s="202"/>
      <c r="AM420" s="210">
        <f t="shared" si="14"/>
        <v>0</v>
      </c>
      <c r="AN420" s="202"/>
      <c r="AO420" s="207"/>
      <c r="AP420" s="202"/>
      <c r="AQ420" s="205"/>
      <c r="AR420" s="202"/>
      <c r="AS420" s="206"/>
      <c r="AT420" s="202"/>
      <c r="AU420" s="204"/>
      <c r="AV420" s="202"/>
      <c r="AW420" s="204"/>
      <c r="AX420" s="202"/>
      <c r="AY420" s="201"/>
      <c r="AZ420" s="202"/>
      <c r="BA420" s="210">
        <f t="shared" si="15"/>
        <v>0</v>
      </c>
      <c r="BB420" s="202"/>
      <c r="BC420" s="204"/>
      <c r="BD420" s="202"/>
      <c r="BE420" s="205"/>
      <c r="BF420" s="202"/>
      <c r="BG420" s="206"/>
      <c r="BH420" s="202"/>
      <c r="BI420" s="204"/>
      <c r="BJ420" s="202"/>
      <c r="BK420" s="204"/>
      <c r="BL420" s="202"/>
      <c r="BM420" s="201"/>
      <c r="BN420" s="202"/>
      <c r="BO420" s="203">
        <f t="shared" si="16"/>
        <v>0</v>
      </c>
      <c r="BP420" s="202"/>
      <c r="BQ420" s="138"/>
      <c r="BR420" s="128"/>
      <c r="BS420" s="128"/>
      <c r="BT420" s="128"/>
      <c r="BU420" s="128"/>
      <c r="BV420" s="128"/>
      <c r="BW420" s="139"/>
      <c r="BX420" s="140"/>
      <c r="BY420" s="139"/>
      <c r="BZ420" s="139"/>
      <c r="CA420" s="134"/>
      <c r="CB420" s="134"/>
      <c r="CC420" s="134"/>
      <c r="CD420" s="134"/>
      <c r="CE420" s="134"/>
      <c r="CF420" s="134"/>
      <c r="CG420" s="92"/>
      <c r="CH420" s="92"/>
      <c r="CI420" s="92"/>
      <c r="CJ420" s="92"/>
      <c r="CK420" s="92"/>
    </row>
    <row r="421" spans="1:89" ht="17.25" customHeight="1">
      <c r="A421" s="160"/>
      <c r="B421" s="163"/>
      <c r="C421" s="30"/>
      <c r="D421" s="137">
        <f t="shared" si="33"/>
        <v>0</v>
      </c>
      <c r="E421" s="208"/>
      <c r="F421" s="202"/>
      <c r="G421" s="207"/>
      <c r="H421" s="202"/>
      <c r="I421" s="208"/>
      <c r="J421" s="202"/>
      <c r="K421" s="208">
        <f t="shared" si="12"/>
        <v>0</v>
      </c>
      <c r="L421" s="202"/>
      <c r="M421" s="207"/>
      <c r="N421" s="202"/>
      <c r="O421" s="209"/>
      <c r="P421" s="202"/>
      <c r="Q421" s="206"/>
      <c r="R421" s="202"/>
      <c r="S421" s="207"/>
      <c r="T421" s="202"/>
      <c r="U421" s="207"/>
      <c r="V421" s="202"/>
      <c r="W421" s="208"/>
      <c r="X421" s="202"/>
      <c r="Y421" s="210">
        <f t="shared" si="31"/>
        <v>0</v>
      </c>
      <c r="Z421" s="202"/>
      <c r="AA421" s="207"/>
      <c r="AB421" s="202"/>
      <c r="AC421" s="205"/>
      <c r="AD421" s="202"/>
      <c r="AE421" s="206"/>
      <c r="AF421" s="202"/>
      <c r="AG421" s="207"/>
      <c r="AH421" s="202"/>
      <c r="AI421" s="207"/>
      <c r="AJ421" s="202"/>
      <c r="AK421" s="208"/>
      <c r="AL421" s="202"/>
      <c r="AM421" s="210">
        <f t="shared" si="14"/>
        <v>0</v>
      </c>
      <c r="AN421" s="202"/>
      <c r="AO421" s="207"/>
      <c r="AP421" s="202"/>
      <c r="AQ421" s="205"/>
      <c r="AR421" s="202"/>
      <c r="AS421" s="206"/>
      <c r="AT421" s="202"/>
      <c r="AU421" s="204"/>
      <c r="AV421" s="202"/>
      <c r="AW421" s="204"/>
      <c r="AX421" s="202"/>
      <c r="AY421" s="201"/>
      <c r="AZ421" s="202"/>
      <c r="BA421" s="210">
        <f t="shared" si="15"/>
        <v>0</v>
      </c>
      <c r="BB421" s="202"/>
      <c r="BC421" s="204"/>
      <c r="BD421" s="202"/>
      <c r="BE421" s="205"/>
      <c r="BF421" s="202"/>
      <c r="BG421" s="206"/>
      <c r="BH421" s="202"/>
      <c r="BI421" s="204"/>
      <c r="BJ421" s="202"/>
      <c r="BK421" s="204"/>
      <c r="BL421" s="202"/>
      <c r="BM421" s="201"/>
      <c r="BN421" s="202"/>
      <c r="BO421" s="203">
        <f t="shared" si="16"/>
        <v>0</v>
      </c>
      <c r="BP421" s="202"/>
      <c r="BQ421" s="138"/>
      <c r="BR421" s="128"/>
      <c r="BS421" s="128"/>
      <c r="BT421" s="128"/>
      <c r="BU421" s="128"/>
      <c r="BV421" s="128"/>
      <c r="BW421" s="139"/>
      <c r="BX421" s="140"/>
      <c r="BY421" s="139"/>
      <c r="BZ421" s="139"/>
      <c r="CA421" s="134"/>
      <c r="CB421" s="134"/>
      <c r="CC421" s="134"/>
      <c r="CD421" s="134"/>
      <c r="CE421" s="134"/>
      <c r="CF421" s="134"/>
      <c r="CG421" s="92"/>
      <c r="CH421" s="92"/>
      <c r="CI421" s="92"/>
      <c r="CJ421" s="92"/>
      <c r="CK421" s="92"/>
    </row>
    <row r="422" spans="1:89" ht="17.25" customHeight="1">
      <c r="A422" s="160"/>
      <c r="B422" s="163"/>
      <c r="C422" s="30"/>
      <c r="D422" s="137">
        <f t="shared" si="33"/>
        <v>0</v>
      </c>
      <c r="E422" s="208"/>
      <c r="F422" s="202"/>
      <c r="G422" s="207"/>
      <c r="H422" s="202"/>
      <c r="I422" s="208"/>
      <c r="J422" s="202"/>
      <c r="K422" s="208">
        <f t="shared" si="12"/>
        <v>0</v>
      </c>
      <c r="L422" s="202"/>
      <c r="M422" s="207"/>
      <c r="N422" s="202"/>
      <c r="O422" s="209"/>
      <c r="P422" s="202"/>
      <c r="Q422" s="206"/>
      <c r="R422" s="202"/>
      <c r="S422" s="207"/>
      <c r="T422" s="202"/>
      <c r="U422" s="207"/>
      <c r="V422" s="202"/>
      <c r="W422" s="208"/>
      <c r="X422" s="202"/>
      <c r="Y422" s="210">
        <f t="shared" si="31"/>
        <v>0</v>
      </c>
      <c r="Z422" s="202"/>
      <c r="AA422" s="207"/>
      <c r="AB422" s="202"/>
      <c r="AC422" s="205"/>
      <c r="AD422" s="202"/>
      <c r="AE422" s="206"/>
      <c r="AF422" s="202"/>
      <c r="AG422" s="207"/>
      <c r="AH422" s="202"/>
      <c r="AI422" s="207"/>
      <c r="AJ422" s="202"/>
      <c r="AK422" s="208"/>
      <c r="AL422" s="202"/>
      <c r="AM422" s="210">
        <f t="shared" si="14"/>
        <v>0</v>
      </c>
      <c r="AN422" s="202"/>
      <c r="AO422" s="207"/>
      <c r="AP422" s="202"/>
      <c r="AQ422" s="205"/>
      <c r="AR422" s="202"/>
      <c r="AS422" s="206"/>
      <c r="AT422" s="202"/>
      <c r="AU422" s="204"/>
      <c r="AV422" s="202"/>
      <c r="AW422" s="204"/>
      <c r="AX422" s="202"/>
      <c r="AY422" s="201"/>
      <c r="AZ422" s="202"/>
      <c r="BA422" s="210">
        <f t="shared" si="15"/>
        <v>0</v>
      </c>
      <c r="BB422" s="202"/>
      <c r="BC422" s="204"/>
      <c r="BD422" s="202"/>
      <c r="BE422" s="205"/>
      <c r="BF422" s="202"/>
      <c r="BG422" s="206"/>
      <c r="BH422" s="202"/>
      <c r="BI422" s="204"/>
      <c r="BJ422" s="202"/>
      <c r="BK422" s="204"/>
      <c r="BL422" s="202"/>
      <c r="BM422" s="201"/>
      <c r="BN422" s="202"/>
      <c r="BO422" s="203">
        <f t="shared" si="16"/>
        <v>0</v>
      </c>
      <c r="BP422" s="202"/>
      <c r="BQ422" s="138"/>
      <c r="BR422" s="128"/>
      <c r="BS422" s="128"/>
      <c r="BT422" s="128"/>
      <c r="BU422" s="128"/>
      <c r="BV422" s="128"/>
      <c r="BW422" s="139"/>
      <c r="BX422" s="140"/>
      <c r="BY422" s="139"/>
      <c r="BZ422" s="139"/>
      <c r="CA422" s="134"/>
      <c r="CB422" s="134"/>
      <c r="CC422" s="134"/>
      <c r="CD422" s="134"/>
      <c r="CE422" s="134"/>
      <c r="CF422" s="134"/>
      <c r="CG422" s="92"/>
      <c r="CH422" s="92"/>
      <c r="CI422" s="92"/>
      <c r="CJ422" s="92"/>
      <c r="CK422" s="92"/>
    </row>
    <row r="423" spans="1:89" ht="17.25" customHeight="1">
      <c r="A423" s="160"/>
      <c r="B423" s="163"/>
      <c r="C423" s="30"/>
      <c r="D423" s="137">
        <f t="shared" si="33"/>
        <v>0</v>
      </c>
      <c r="E423" s="208"/>
      <c r="F423" s="202"/>
      <c r="G423" s="207"/>
      <c r="H423" s="202"/>
      <c r="I423" s="208"/>
      <c r="J423" s="202"/>
      <c r="K423" s="208">
        <f t="shared" si="12"/>
        <v>0</v>
      </c>
      <c r="L423" s="202"/>
      <c r="M423" s="207"/>
      <c r="N423" s="202"/>
      <c r="O423" s="209"/>
      <c r="P423" s="202"/>
      <c r="Q423" s="206"/>
      <c r="R423" s="202"/>
      <c r="S423" s="207"/>
      <c r="T423" s="202"/>
      <c r="U423" s="207"/>
      <c r="V423" s="202"/>
      <c r="W423" s="208"/>
      <c r="X423" s="202"/>
      <c r="Y423" s="210">
        <f t="shared" si="31"/>
        <v>0</v>
      </c>
      <c r="Z423" s="202"/>
      <c r="AA423" s="207"/>
      <c r="AB423" s="202"/>
      <c r="AC423" s="205"/>
      <c r="AD423" s="202"/>
      <c r="AE423" s="206"/>
      <c r="AF423" s="202"/>
      <c r="AG423" s="207"/>
      <c r="AH423" s="202"/>
      <c r="AI423" s="207"/>
      <c r="AJ423" s="202"/>
      <c r="AK423" s="208"/>
      <c r="AL423" s="202"/>
      <c r="AM423" s="210">
        <f t="shared" si="14"/>
        <v>0</v>
      </c>
      <c r="AN423" s="202"/>
      <c r="AO423" s="207"/>
      <c r="AP423" s="202"/>
      <c r="AQ423" s="205"/>
      <c r="AR423" s="202"/>
      <c r="AS423" s="206"/>
      <c r="AT423" s="202"/>
      <c r="AU423" s="204"/>
      <c r="AV423" s="202"/>
      <c r="AW423" s="204"/>
      <c r="AX423" s="202"/>
      <c r="AY423" s="201"/>
      <c r="AZ423" s="202"/>
      <c r="BA423" s="210">
        <f t="shared" si="15"/>
        <v>0</v>
      </c>
      <c r="BB423" s="202"/>
      <c r="BC423" s="204"/>
      <c r="BD423" s="202"/>
      <c r="BE423" s="205"/>
      <c r="BF423" s="202"/>
      <c r="BG423" s="206"/>
      <c r="BH423" s="202"/>
      <c r="BI423" s="204"/>
      <c r="BJ423" s="202"/>
      <c r="BK423" s="204"/>
      <c r="BL423" s="202"/>
      <c r="BM423" s="201"/>
      <c r="BN423" s="202"/>
      <c r="BO423" s="203">
        <f t="shared" si="16"/>
        <v>0</v>
      </c>
      <c r="BP423" s="202"/>
      <c r="BQ423" s="138"/>
      <c r="BR423" s="128"/>
      <c r="BS423" s="128"/>
      <c r="BT423" s="128"/>
      <c r="BU423" s="128"/>
      <c r="BV423" s="128"/>
      <c r="BW423" s="139"/>
      <c r="BX423" s="140"/>
      <c r="BY423" s="139"/>
      <c r="BZ423" s="139"/>
      <c r="CA423" s="134"/>
      <c r="CB423" s="134"/>
      <c r="CC423" s="134"/>
      <c r="CD423" s="134"/>
      <c r="CE423" s="134"/>
      <c r="CF423" s="134"/>
      <c r="CG423" s="92"/>
      <c r="CH423" s="92"/>
      <c r="CI423" s="92"/>
      <c r="CJ423" s="92"/>
      <c r="CK423" s="92"/>
    </row>
    <row r="424" spans="1:89" ht="17.25" customHeight="1">
      <c r="A424" s="160"/>
      <c r="B424" s="163"/>
      <c r="C424" s="30"/>
      <c r="D424" s="137">
        <f t="shared" si="33"/>
        <v>0</v>
      </c>
      <c r="E424" s="208"/>
      <c r="F424" s="202"/>
      <c r="G424" s="207"/>
      <c r="H424" s="202"/>
      <c r="I424" s="208"/>
      <c r="J424" s="202"/>
      <c r="K424" s="208">
        <f t="shared" si="12"/>
        <v>0</v>
      </c>
      <c r="L424" s="202"/>
      <c r="M424" s="207"/>
      <c r="N424" s="202"/>
      <c r="O424" s="209"/>
      <c r="P424" s="202"/>
      <c r="Q424" s="206"/>
      <c r="R424" s="202"/>
      <c r="S424" s="207"/>
      <c r="T424" s="202"/>
      <c r="U424" s="207"/>
      <c r="V424" s="202"/>
      <c r="W424" s="208"/>
      <c r="X424" s="202"/>
      <c r="Y424" s="210">
        <f t="shared" si="31"/>
        <v>0</v>
      </c>
      <c r="Z424" s="202"/>
      <c r="AA424" s="207"/>
      <c r="AB424" s="202"/>
      <c r="AC424" s="205"/>
      <c r="AD424" s="202"/>
      <c r="AE424" s="206"/>
      <c r="AF424" s="202"/>
      <c r="AG424" s="207"/>
      <c r="AH424" s="202"/>
      <c r="AI424" s="207"/>
      <c r="AJ424" s="202"/>
      <c r="AK424" s="208"/>
      <c r="AL424" s="202"/>
      <c r="AM424" s="210">
        <f t="shared" si="14"/>
        <v>0</v>
      </c>
      <c r="AN424" s="202"/>
      <c r="AO424" s="207"/>
      <c r="AP424" s="202"/>
      <c r="AQ424" s="205"/>
      <c r="AR424" s="202"/>
      <c r="AS424" s="206"/>
      <c r="AT424" s="202"/>
      <c r="AU424" s="204"/>
      <c r="AV424" s="202"/>
      <c r="AW424" s="204"/>
      <c r="AX424" s="202"/>
      <c r="AY424" s="201"/>
      <c r="AZ424" s="202"/>
      <c r="BA424" s="210">
        <f t="shared" si="15"/>
        <v>0</v>
      </c>
      <c r="BB424" s="202"/>
      <c r="BC424" s="204"/>
      <c r="BD424" s="202"/>
      <c r="BE424" s="205"/>
      <c r="BF424" s="202"/>
      <c r="BG424" s="206"/>
      <c r="BH424" s="202"/>
      <c r="BI424" s="204"/>
      <c r="BJ424" s="202"/>
      <c r="BK424" s="204"/>
      <c r="BL424" s="202"/>
      <c r="BM424" s="201"/>
      <c r="BN424" s="202"/>
      <c r="BO424" s="203">
        <f t="shared" si="16"/>
        <v>0</v>
      </c>
      <c r="BP424" s="202"/>
      <c r="BQ424" s="138"/>
      <c r="BR424" s="128"/>
      <c r="BS424" s="128"/>
      <c r="BT424" s="128"/>
      <c r="BU424" s="128"/>
      <c r="BV424" s="128"/>
      <c r="BW424" s="139"/>
      <c r="BX424" s="140"/>
      <c r="BY424" s="139"/>
      <c r="BZ424" s="139"/>
      <c r="CA424" s="134"/>
      <c r="CB424" s="134"/>
      <c r="CC424" s="134"/>
      <c r="CD424" s="134"/>
      <c r="CE424" s="134"/>
      <c r="CF424" s="134"/>
      <c r="CG424" s="92"/>
      <c r="CH424" s="92"/>
      <c r="CI424" s="92"/>
      <c r="CJ424" s="92"/>
      <c r="CK424" s="92"/>
    </row>
    <row r="425" spans="1:89" ht="17.25" customHeight="1">
      <c r="A425" s="160"/>
      <c r="B425" s="163"/>
      <c r="C425" s="164"/>
      <c r="D425" s="137">
        <f t="shared" si="33"/>
        <v>0</v>
      </c>
      <c r="E425" s="208"/>
      <c r="F425" s="202"/>
      <c r="G425" s="207"/>
      <c r="H425" s="202"/>
      <c r="I425" s="208"/>
      <c r="J425" s="202"/>
      <c r="K425" s="208">
        <f t="shared" si="12"/>
        <v>0</v>
      </c>
      <c r="L425" s="202"/>
      <c r="M425" s="207"/>
      <c r="N425" s="202"/>
      <c r="O425" s="209"/>
      <c r="P425" s="202"/>
      <c r="Q425" s="206"/>
      <c r="R425" s="202"/>
      <c r="S425" s="207"/>
      <c r="T425" s="202"/>
      <c r="U425" s="207"/>
      <c r="V425" s="202"/>
      <c r="W425" s="208"/>
      <c r="X425" s="202"/>
      <c r="Y425" s="210">
        <f t="shared" si="31"/>
        <v>0</v>
      </c>
      <c r="Z425" s="202"/>
      <c r="AA425" s="207"/>
      <c r="AB425" s="202"/>
      <c r="AC425" s="205"/>
      <c r="AD425" s="202"/>
      <c r="AE425" s="206"/>
      <c r="AF425" s="202"/>
      <c r="AG425" s="207"/>
      <c r="AH425" s="202"/>
      <c r="AI425" s="207"/>
      <c r="AJ425" s="202"/>
      <c r="AK425" s="208"/>
      <c r="AL425" s="202"/>
      <c r="AM425" s="210">
        <f t="shared" si="14"/>
        <v>0</v>
      </c>
      <c r="AN425" s="202"/>
      <c r="AO425" s="207"/>
      <c r="AP425" s="202"/>
      <c r="AQ425" s="205"/>
      <c r="AR425" s="202"/>
      <c r="AS425" s="206"/>
      <c r="AT425" s="202"/>
      <c r="AU425" s="204"/>
      <c r="AV425" s="202"/>
      <c r="AW425" s="204"/>
      <c r="AX425" s="202"/>
      <c r="AY425" s="201"/>
      <c r="AZ425" s="202"/>
      <c r="BA425" s="210">
        <f t="shared" si="15"/>
        <v>0</v>
      </c>
      <c r="BB425" s="202"/>
      <c r="BC425" s="204"/>
      <c r="BD425" s="202"/>
      <c r="BE425" s="205"/>
      <c r="BF425" s="202"/>
      <c r="BG425" s="206"/>
      <c r="BH425" s="202"/>
      <c r="BI425" s="204"/>
      <c r="BJ425" s="202"/>
      <c r="BK425" s="204"/>
      <c r="BL425" s="202"/>
      <c r="BM425" s="201"/>
      <c r="BN425" s="202"/>
      <c r="BO425" s="203">
        <f t="shared" si="16"/>
        <v>0</v>
      </c>
      <c r="BP425" s="202"/>
      <c r="BQ425" s="138"/>
      <c r="BR425" s="128"/>
      <c r="BS425" s="128"/>
      <c r="BT425" s="128"/>
      <c r="BU425" s="128"/>
      <c r="BV425" s="128"/>
      <c r="BW425" s="139"/>
      <c r="BX425" s="140"/>
      <c r="BY425" s="139"/>
      <c r="BZ425" s="139"/>
      <c r="CA425" s="134"/>
      <c r="CB425" s="134"/>
      <c r="CC425" s="134"/>
      <c r="CD425" s="134"/>
      <c r="CE425" s="134"/>
      <c r="CF425" s="134"/>
      <c r="CG425" s="92"/>
      <c r="CH425" s="92"/>
      <c r="CI425" s="92"/>
      <c r="CJ425" s="92"/>
      <c r="CK425" s="92"/>
    </row>
    <row r="426" spans="1:89" ht="17.25" customHeight="1">
      <c r="A426" s="160"/>
      <c r="B426" s="163"/>
      <c r="C426" s="164"/>
      <c r="D426" s="137">
        <f t="shared" si="33"/>
        <v>0</v>
      </c>
      <c r="E426" s="208"/>
      <c r="F426" s="202"/>
      <c r="G426" s="207"/>
      <c r="H426" s="202"/>
      <c r="I426" s="208"/>
      <c r="J426" s="202"/>
      <c r="K426" s="208">
        <f t="shared" si="12"/>
        <v>0</v>
      </c>
      <c r="L426" s="202"/>
      <c r="M426" s="207"/>
      <c r="N426" s="202"/>
      <c r="O426" s="209"/>
      <c r="P426" s="202"/>
      <c r="Q426" s="206"/>
      <c r="R426" s="202"/>
      <c r="S426" s="207"/>
      <c r="T426" s="202"/>
      <c r="U426" s="207"/>
      <c r="V426" s="202"/>
      <c r="W426" s="208"/>
      <c r="X426" s="202"/>
      <c r="Y426" s="210">
        <f t="shared" si="31"/>
        <v>0</v>
      </c>
      <c r="Z426" s="202"/>
      <c r="AA426" s="207"/>
      <c r="AB426" s="202"/>
      <c r="AC426" s="205"/>
      <c r="AD426" s="202"/>
      <c r="AE426" s="206"/>
      <c r="AF426" s="202"/>
      <c r="AG426" s="207"/>
      <c r="AH426" s="202"/>
      <c r="AI426" s="207"/>
      <c r="AJ426" s="202"/>
      <c r="AK426" s="208"/>
      <c r="AL426" s="202"/>
      <c r="AM426" s="210">
        <f t="shared" si="14"/>
        <v>0</v>
      </c>
      <c r="AN426" s="202"/>
      <c r="AO426" s="207"/>
      <c r="AP426" s="202"/>
      <c r="AQ426" s="205"/>
      <c r="AR426" s="202"/>
      <c r="AS426" s="206"/>
      <c r="AT426" s="202"/>
      <c r="AU426" s="204"/>
      <c r="AV426" s="202"/>
      <c r="AW426" s="204"/>
      <c r="AX426" s="202"/>
      <c r="AY426" s="201"/>
      <c r="AZ426" s="202"/>
      <c r="BA426" s="210">
        <f t="shared" si="15"/>
        <v>0</v>
      </c>
      <c r="BB426" s="202"/>
      <c r="BC426" s="204"/>
      <c r="BD426" s="202"/>
      <c r="BE426" s="205"/>
      <c r="BF426" s="202"/>
      <c r="BG426" s="206"/>
      <c r="BH426" s="202"/>
      <c r="BI426" s="204"/>
      <c r="BJ426" s="202"/>
      <c r="BK426" s="204"/>
      <c r="BL426" s="202"/>
      <c r="BM426" s="201"/>
      <c r="BN426" s="202"/>
      <c r="BO426" s="203">
        <f t="shared" si="16"/>
        <v>0</v>
      </c>
      <c r="BP426" s="202"/>
      <c r="BQ426" s="138"/>
      <c r="BR426" s="128"/>
      <c r="BS426" s="128"/>
      <c r="BT426" s="128"/>
      <c r="BU426" s="128"/>
      <c r="BV426" s="128"/>
      <c r="BW426" s="139"/>
      <c r="BX426" s="140"/>
      <c r="BY426" s="139"/>
      <c r="BZ426" s="139"/>
      <c r="CA426" s="134"/>
      <c r="CB426" s="134"/>
      <c r="CC426" s="134"/>
      <c r="CD426" s="134"/>
      <c r="CE426" s="134"/>
      <c r="CF426" s="134"/>
      <c r="CG426" s="92"/>
      <c r="CH426" s="92"/>
      <c r="CI426" s="92"/>
      <c r="CJ426" s="92"/>
      <c r="CK426" s="92"/>
    </row>
    <row r="427" spans="1:89" ht="17.25" customHeight="1">
      <c r="A427" s="160"/>
      <c r="B427" s="163"/>
      <c r="C427" s="164"/>
      <c r="D427" s="137">
        <f t="shared" si="33"/>
        <v>0</v>
      </c>
      <c r="E427" s="208"/>
      <c r="F427" s="202"/>
      <c r="G427" s="207"/>
      <c r="H427" s="202"/>
      <c r="I427" s="208"/>
      <c r="J427" s="202"/>
      <c r="K427" s="208">
        <f t="shared" si="12"/>
        <v>0</v>
      </c>
      <c r="L427" s="202"/>
      <c r="M427" s="207"/>
      <c r="N427" s="202"/>
      <c r="O427" s="209"/>
      <c r="P427" s="202"/>
      <c r="Q427" s="206"/>
      <c r="R427" s="202"/>
      <c r="S427" s="207"/>
      <c r="T427" s="202"/>
      <c r="U427" s="207"/>
      <c r="V427" s="202"/>
      <c r="W427" s="208"/>
      <c r="X427" s="202"/>
      <c r="Y427" s="210">
        <f t="shared" si="31"/>
        <v>0</v>
      </c>
      <c r="Z427" s="202"/>
      <c r="AA427" s="207"/>
      <c r="AB427" s="202"/>
      <c r="AC427" s="205"/>
      <c r="AD427" s="202"/>
      <c r="AE427" s="206"/>
      <c r="AF427" s="202"/>
      <c r="AG427" s="207"/>
      <c r="AH427" s="202"/>
      <c r="AI427" s="207"/>
      <c r="AJ427" s="202"/>
      <c r="AK427" s="208"/>
      <c r="AL427" s="202"/>
      <c r="AM427" s="210">
        <f t="shared" si="14"/>
        <v>0</v>
      </c>
      <c r="AN427" s="202"/>
      <c r="AO427" s="207"/>
      <c r="AP427" s="202"/>
      <c r="AQ427" s="205"/>
      <c r="AR427" s="202"/>
      <c r="AS427" s="206"/>
      <c r="AT427" s="202"/>
      <c r="AU427" s="204"/>
      <c r="AV427" s="202"/>
      <c r="AW427" s="204"/>
      <c r="AX427" s="202"/>
      <c r="AY427" s="201"/>
      <c r="AZ427" s="202"/>
      <c r="BA427" s="210">
        <f t="shared" si="15"/>
        <v>0</v>
      </c>
      <c r="BB427" s="202"/>
      <c r="BC427" s="204"/>
      <c r="BD427" s="202"/>
      <c r="BE427" s="205"/>
      <c r="BF427" s="202"/>
      <c r="BG427" s="206"/>
      <c r="BH427" s="202"/>
      <c r="BI427" s="204"/>
      <c r="BJ427" s="202"/>
      <c r="BK427" s="204"/>
      <c r="BL427" s="202"/>
      <c r="BM427" s="201"/>
      <c r="BN427" s="202"/>
      <c r="BO427" s="203">
        <f t="shared" si="16"/>
        <v>0</v>
      </c>
      <c r="BP427" s="202"/>
      <c r="BQ427" s="138"/>
      <c r="BR427" s="128"/>
      <c r="BS427" s="128"/>
      <c r="BT427" s="128"/>
      <c r="BU427" s="128"/>
      <c r="BV427" s="128"/>
      <c r="BW427" s="139"/>
      <c r="BX427" s="140"/>
      <c r="BY427" s="139"/>
      <c r="BZ427" s="139"/>
      <c r="CA427" s="134"/>
      <c r="CB427" s="134"/>
      <c r="CC427" s="134"/>
      <c r="CD427" s="134"/>
      <c r="CE427" s="134"/>
      <c r="CF427" s="134"/>
      <c r="CG427" s="92"/>
      <c r="CH427" s="92"/>
      <c r="CI427" s="92"/>
      <c r="CJ427" s="92"/>
      <c r="CK427" s="92"/>
    </row>
    <row r="428" spans="1:89" ht="17.25" customHeight="1">
      <c r="A428" s="160"/>
      <c r="B428" s="163"/>
      <c r="C428" s="164"/>
      <c r="D428" s="137">
        <f t="shared" si="33"/>
        <v>0</v>
      </c>
      <c r="E428" s="208"/>
      <c r="F428" s="202"/>
      <c r="G428" s="207"/>
      <c r="H428" s="202"/>
      <c r="I428" s="208"/>
      <c r="J428" s="202"/>
      <c r="K428" s="208">
        <f t="shared" si="12"/>
        <v>0</v>
      </c>
      <c r="L428" s="202"/>
      <c r="M428" s="207"/>
      <c r="N428" s="202"/>
      <c r="O428" s="209"/>
      <c r="P428" s="202"/>
      <c r="Q428" s="206"/>
      <c r="R428" s="202"/>
      <c r="S428" s="207"/>
      <c r="T428" s="202"/>
      <c r="U428" s="207"/>
      <c r="V428" s="202"/>
      <c r="W428" s="208"/>
      <c r="X428" s="202"/>
      <c r="Y428" s="210">
        <f t="shared" si="31"/>
        <v>0</v>
      </c>
      <c r="Z428" s="202"/>
      <c r="AA428" s="207"/>
      <c r="AB428" s="202"/>
      <c r="AC428" s="205"/>
      <c r="AD428" s="202"/>
      <c r="AE428" s="206"/>
      <c r="AF428" s="202"/>
      <c r="AG428" s="207"/>
      <c r="AH428" s="202"/>
      <c r="AI428" s="207"/>
      <c r="AJ428" s="202"/>
      <c r="AK428" s="208"/>
      <c r="AL428" s="202"/>
      <c r="AM428" s="210">
        <f t="shared" si="14"/>
        <v>0</v>
      </c>
      <c r="AN428" s="202"/>
      <c r="AO428" s="207"/>
      <c r="AP428" s="202"/>
      <c r="AQ428" s="205"/>
      <c r="AR428" s="202"/>
      <c r="AS428" s="206"/>
      <c r="AT428" s="202"/>
      <c r="AU428" s="204"/>
      <c r="AV428" s="202"/>
      <c r="AW428" s="204"/>
      <c r="AX428" s="202"/>
      <c r="AY428" s="201"/>
      <c r="AZ428" s="202"/>
      <c r="BA428" s="210">
        <f t="shared" si="15"/>
        <v>0</v>
      </c>
      <c r="BB428" s="202"/>
      <c r="BC428" s="204"/>
      <c r="BD428" s="202"/>
      <c r="BE428" s="205"/>
      <c r="BF428" s="202"/>
      <c r="BG428" s="206"/>
      <c r="BH428" s="202"/>
      <c r="BI428" s="204"/>
      <c r="BJ428" s="202"/>
      <c r="BK428" s="204"/>
      <c r="BL428" s="202"/>
      <c r="BM428" s="201"/>
      <c r="BN428" s="202"/>
      <c r="BO428" s="203">
        <f t="shared" si="16"/>
        <v>0</v>
      </c>
      <c r="BP428" s="202"/>
      <c r="BQ428" s="138"/>
      <c r="BR428" s="128"/>
      <c r="BS428" s="128"/>
      <c r="BT428" s="128"/>
      <c r="BU428" s="128"/>
      <c r="BV428" s="128"/>
      <c r="BW428" s="139"/>
      <c r="BX428" s="140"/>
      <c r="BY428" s="139"/>
      <c r="BZ428" s="139"/>
      <c r="CA428" s="134"/>
      <c r="CB428" s="134"/>
      <c r="CC428" s="134"/>
      <c r="CD428" s="134"/>
      <c r="CE428" s="134"/>
      <c r="CF428" s="134"/>
      <c r="CG428" s="92"/>
      <c r="CH428" s="92"/>
      <c r="CI428" s="92"/>
      <c r="CJ428" s="92"/>
      <c r="CK428" s="92"/>
    </row>
    <row r="429" spans="1:89" ht="17.25" customHeight="1">
      <c r="A429" s="160"/>
      <c r="B429" s="163"/>
      <c r="C429" s="164"/>
      <c r="D429" s="137">
        <f t="shared" si="33"/>
        <v>0</v>
      </c>
      <c r="E429" s="208"/>
      <c r="F429" s="202"/>
      <c r="G429" s="207"/>
      <c r="H429" s="202"/>
      <c r="I429" s="208"/>
      <c r="J429" s="202"/>
      <c r="K429" s="208">
        <f t="shared" si="12"/>
        <v>0</v>
      </c>
      <c r="L429" s="202"/>
      <c r="M429" s="207"/>
      <c r="N429" s="202"/>
      <c r="O429" s="209"/>
      <c r="P429" s="202"/>
      <c r="Q429" s="206"/>
      <c r="R429" s="202"/>
      <c r="S429" s="207"/>
      <c r="T429" s="202"/>
      <c r="U429" s="207"/>
      <c r="V429" s="202"/>
      <c r="W429" s="208"/>
      <c r="X429" s="202"/>
      <c r="Y429" s="210">
        <f t="shared" si="31"/>
        <v>0</v>
      </c>
      <c r="Z429" s="202"/>
      <c r="AA429" s="207"/>
      <c r="AB429" s="202"/>
      <c r="AC429" s="205"/>
      <c r="AD429" s="202"/>
      <c r="AE429" s="206"/>
      <c r="AF429" s="202"/>
      <c r="AG429" s="207"/>
      <c r="AH429" s="202"/>
      <c r="AI429" s="207"/>
      <c r="AJ429" s="202"/>
      <c r="AK429" s="208"/>
      <c r="AL429" s="202"/>
      <c r="AM429" s="210">
        <f t="shared" si="14"/>
        <v>0</v>
      </c>
      <c r="AN429" s="202"/>
      <c r="AO429" s="207"/>
      <c r="AP429" s="202"/>
      <c r="AQ429" s="205"/>
      <c r="AR429" s="202"/>
      <c r="AS429" s="206"/>
      <c r="AT429" s="202"/>
      <c r="AU429" s="204"/>
      <c r="AV429" s="202"/>
      <c r="AW429" s="204"/>
      <c r="AX429" s="202"/>
      <c r="AY429" s="201"/>
      <c r="AZ429" s="202"/>
      <c r="BA429" s="210">
        <f t="shared" si="15"/>
        <v>0</v>
      </c>
      <c r="BB429" s="202"/>
      <c r="BC429" s="204"/>
      <c r="BD429" s="202"/>
      <c r="BE429" s="205"/>
      <c r="BF429" s="202"/>
      <c r="BG429" s="206"/>
      <c r="BH429" s="202"/>
      <c r="BI429" s="204"/>
      <c r="BJ429" s="202"/>
      <c r="BK429" s="204"/>
      <c r="BL429" s="202"/>
      <c r="BM429" s="201"/>
      <c r="BN429" s="202"/>
      <c r="BO429" s="203">
        <f t="shared" si="16"/>
        <v>0</v>
      </c>
      <c r="BP429" s="202"/>
      <c r="BQ429" s="138"/>
      <c r="BR429" s="128"/>
      <c r="BS429" s="128"/>
      <c r="BT429" s="128"/>
      <c r="BU429" s="128"/>
      <c r="BV429" s="128"/>
      <c r="BW429" s="139"/>
      <c r="BX429" s="140"/>
      <c r="BY429" s="139"/>
      <c r="BZ429" s="139"/>
      <c r="CA429" s="134"/>
      <c r="CB429" s="134"/>
      <c r="CC429" s="134"/>
      <c r="CD429" s="134"/>
      <c r="CE429" s="134"/>
      <c r="CF429" s="134"/>
      <c r="CG429" s="92"/>
      <c r="CH429" s="92"/>
      <c r="CI429" s="92"/>
      <c r="CJ429" s="92"/>
      <c r="CK429" s="92"/>
    </row>
    <row r="430" spans="1:89" ht="17.25" customHeight="1">
      <c r="A430" s="160"/>
      <c r="B430" s="163"/>
      <c r="C430" s="164"/>
      <c r="D430" s="137">
        <f t="shared" si="33"/>
        <v>0</v>
      </c>
      <c r="E430" s="208"/>
      <c r="F430" s="202"/>
      <c r="G430" s="207"/>
      <c r="H430" s="202"/>
      <c r="I430" s="208"/>
      <c r="J430" s="202"/>
      <c r="K430" s="208">
        <f t="shared" si="12"/>
        <v>0</v>
      </c>
      <c r="L430" s="202"/>
      <c r="M430" s="207"/>
      <c r="N430" s="202"/>
      <c r="O430" s="209"/>
      <c r="P430" s="202"/>
      <c r="Q430" s="206"/>
      <c r="R430" s="202"/>
      <c r="S430" s="207"/>
      <c r="T430" s="202"/>
      <c r="U430" s="207"/>
      <c r="V430" s="202"/>
      <c r="W430" s="208"/>
      <c r="X430" s="202"/>
      <c r="Y430" s="203">
        <f t="shared" si="31"/>
        <v>0</v>
      </c>
      <c r="Z430" s="202"/>
      <c r="AA430" s="207"/>
      <c r="AB430" s="202"/>
      <c r="AC430" s="205"/>
      <c r="AD430" s="202"/>
      <c r="AE430" s="206"/>
      <c r="AF430" s="202"/>
      <c r="AG430" s="207"/>
      <c r="AH430" s="202"/>
      <c r="AI430" s="207"/>
      <c r="AJ430" s="202"/>
      <c r="AK430" s="208"/>
      <c r="AL430" s="202"/>
      <c r="AM430" s="203">
        <f t="shared" si="14"/>
        <v>0</v>
      </c>
      <c r="AN430" s="202"/>
      <c r="AO430" s="207"/>
      <c r="AP430" s="202"/>
      <c r="AQ430" s="205"/>
      <c r="AR430" s="202"/>
      <c r="AS430" s="206"/>
      <c r="AT430" s="202"/>
      <c r="AU430" s="204"/>
      <c r="AV430" s="202"/>
      <c r="AW430" s="204"/>
      <c r="AX430" s="202"/>
      <c r="AY430" s="201"/>
      <c r="AZ430" s="202"/>
      <c r="BA430" s="203">
        <f t="shared" si="15"/>
        <v>0</v>
      </c>
      <c r="BB430" s="202"/>
      <c r="BC430" s="204"/>
      <c r="BD430" s="202"/>
      <c r="BE430" s="205"/>
      <c r="BF430" s="202"/>
      <c r="BG430" s="206"/>
      <c r="BH430" s="202"/>
      <c r="BI430" s="204"/>
      <c r="BJ430" s="202"/>
      <c r="BK430" s="204"/>
      <c r="BL430" s="202"/>
      <c r="BM430" s="201"/>
      <c r="BN430" s="202"/>
      <c r="BO430" s="203">
        <f t="shared" si="16"/>
        <v>0</v>
      </c>
      <c r="BP430" s="202"/>
      <c r="BQ430" s="138"/>
      <c r="BR430" s="128"/>
      <c r="BS430" s="128"/>
      <c r="BT430" s="128"/>
      <c r="BU430" s="128"/>
      <c r="BV430" s="128"/>
      <c r="BW430" s="139"/>
      <c r="BX430" s="140"/>
      <c r="BY430" s="139"/>
      <c r="BZ430" s="139"/>
      <c r="CA430" s="134"/>
      <c r="CB430" s="134"/>
      <c r="CC430" s="134"/>
      <c r="CD430" s="134"/>
      <c r="CE430" s="134"/>
      <c r="CF430" s="134"/>
      <c r="CG430" s="92"/>
      <c r="CH430" s="92"/>
      <c r="CI430" s="92"/>
      <c r="CJ430" s="92"/>
      <c r="CK430" s="92"/>
    </row>
    <row r="431" spans="1:89" ht="17.25" customHeight="1">
      <c r="A431" s="160"/>
      <c r="B431" s="163"/>
      <c r="C431" s="164"/>
      <c r="D431" s="137">
        <f t="shared" si="33"/>
        <v>0</v>
      </c>
      <c r="E431" s="208"/>
      <c r="F431" s="202"/>
      <c r="G431" s="207"/>
      <c r="H431" s="202"/>
      <c r="I431" s="208"/>
      <c r="J431" s="202"/>
      <c r="K431" s="208">
        <f t="shared" si="12"/>
        <v>0</v>
      </c>
      <c r="L431" s="202"/>
      <c r="M431" s="207"/>
      <c r="N431" s="202"/>
      <c r="O431" s="209"/>
      <c r="P431" s="202"/>
      <c r="Q431" s="206"/>
      <c r="R431" s="202"/>
      <c r="S431" s="207"/>
      <c r="T431" s="202"/>
      <c r="U431" s="207"/>
      <c r="V431" s="202"/>
      <c r="W431" s="208"/>
      <c r="X431" s="202"/>
      <c r="Y431" s="203">
        <f t="shared" si="31"/>
        <v>0</v>
      </c>
      <c r="Z431" s="202"/>
      <c r="AA431" s="207"/>
      <c r="AB431" s="202"/>
      <c r="AC431" s="205"/>
      <c r="AD431" s="202"/>
      <c r="AE431" s="206"/>
      <c r="AF431" s="202"/>
      <c r="AG431" s="207"/>
      <c r="AH431" s="202"/>
      <c r="AI431" s="207"/>
      <c r="AJ431" s="202"/>
      <c r="AK431" s="208"/>
      <c r="AL431" s="202"/>
      <c r="AM431" s="203">
        <f t="shared" si="14"/>
        <v>0</v>
      </c>
      <c r="AN431" s="202"/>
      <c r="AO431" s="207"/>
      <c r="AP431" s="202"/>
      <c r="AQ431" s="205"/>
      <c r="AR431" s="202"/>
      <c r="AS431" s="206"/>
      <c r="AT431" s="202"/>
      <c r="AU431" s="204"/>
      <c r="AV431" s="202"/>
      <c r="AW431" s="204"/>
      <c r="AX431" s="202"/>
      <c r="AY431" s="201"/>
      <c r="AZ431" s="202"/>
      <c r="BA431" s="203">
        <f t="shared" si="15"/>
        <v>0</v>
      </c>
      <c r="BB431" s="202"/>
      <c r="BC431" s="204"/>
      <c r="BD431" s="202"/>
      <c r="BE431" s="205"/>
      <c r="BF431" s="202"/>
      <c r="BG431" s="206"/>
      <c r="BH431" s="202"/>
      <c r="BI431" s="204"/>
      <c r="BJ431" s="202"/>
      <c r="BK431" s="204"/>
      <c r="BL431" s="202"/>
      <c r="BM431" s="201"/>
      <c r="BN431" s="202"/>
      <c r="BO431" s="203">
        <f t="shared" si="16"/>
        <v>0</v>
      </c>
      <c r="BP431" s="202"/>
      <c r="BQ431" s="138"/>
      <c r="BR431" s="128"/>
      <c r="BS431" s="128"/>
      <c r="BT431" s="128"/>
      <c r="BU431" s="128"/>
      <c r="BV431" s="128"/>
      <c r="BW431" s="139"/>
      <c r="BX431" s="140"/>
      <c r="BY431" s="139"/>
      <c r="BZ431" s="139"/>
      <c r="CA431" s="134"/>
      <c r="CB431" s="134"/>
      <c r="CC431" s="134"/>
      <c r="CD431" s="134"/>
      <c r="CE431" s="134"/>
      <c r="CF431" s="134"/>
      <c r="CG431" s="92"/>
      <c r="CH431" s="92"/>
      <c r="CI431" s="92"/>
      <c r="CJ431" s="92"/>
      <c r="CK431" s="92"/>
    </row>
    <row r="432" spans="1:89" ht="17.25" customHeight="1">
      <c r="A432" s="160"/>
      <c r="B432" s="163"/>
      <c r="C432" s="164"/>
      <c r="D432" s="137">
        <f t="shared" si="33"/>
        <v>0</v>
      </c>
      <c r="E432" s="208"/>
      <c r="F432" s="202"/>
      <c r="G432" s="207"/>
      <c r="H432" s="202"/>
      <c r="I432" s="208"/>
      <c r="J432" s="202"/>
      <c r="K432" s="208">
        <f t="shared" si="12"/>
        <v>0</v>
      </c>
      <c r="L432" s="202"/>
      <c r="M432" s="207"/>
      <c r="N432" s="202"/>
      <c r="O432" s="209"/>
      <c r="P432" s="202"/>
      <c r="Q432" s="206"/>
      <c r="R432" s="202"/>
      <c r="S432" s="207"/>
      <c r="T432" s="202"/>
      <c r="U432" s="207"/>
      <c r="V432" s="202"/>
      <c r="W432" s="208"/>
      <c r="X432" s="202"/>
      <c r="Y432" s="203">
        <f t="shared" si="31"/>
        <v>0</v>
      </c>
      <c r="Z432" s="202"/>
      <c r="AA432" s="207"/>
      <c r="AB432" s="202"/>
      <c r="AC432" s="205"/>
      <c r="AD432" s="202"/>
      <c r="AE432" s="206"/>
      <c r="AF432" s="202"/>
      <c r="AG432" s="207"/>
      <c r="AH432" s="202"/>
      <c r="AI432" s="207"/>
      <c r="AJ432" s="202"/>
      <c r="AK432" s="208"/>
      <c r="AL432" s="202"/>
      <c r="AM432" s="203">
        <f t="shared" si="14"/>
        <v>0</v>
      </c>
      <c r="AN432" s="202"/>
      <c r="AO432" s="207"/>
      <c r="AP432" s="202"/>
      <c r="AQ432" s="205"/>
      <c r="AR432" s="202"/>
      <c r="AS432" s="206"/>
      <c r="AT432" s="202"/>
      <c r="AU432" s="204"/>
      <c r="AV432" s="202"/>
      <c r="AW432" s="204"/>
      <c r="AX432" s="202"/>
      <c r="AY432" s="201"/>
      <c r="AZ432" s="202"/>
      <c r="BA432" s="203">
        <f t="shared" si="15"/>
        <v>0</v>
      </c>
      <c r="BB432" s="202"/>
      <c r="BC432" s="204"/>
      <c r="BD432" s="202"/>
      <c r="BE432" s="205"/>
      <c r="BF432" s="202"/>
      <c r="BG432" s="206"/>
      <c r="BH432" s="202"/>
      <c r="BI432" s="204"/>
      <c r="BJ432" s="202"/>
      <c r="BK432" s="204"/>
      <c r="BL432" s="202"/>
      <c r="BM432" s="201"/>
      <c r="BN432" s="202"/>
      <c r="BO432" s="203">
        <f t="shared" si="16"/>
        <v>0</v>
      </c>
      <c r="BP432" s="202"/>
      <c r="BQ432" s="138"/>
      <c r="BR432" s="128"/>
      <c r="BS432" s="128"/>
      <c r="BT432" s="128"/>
      <c r="BU432" s="128"/>
      <c r="BV432" s="128"/>
      <c r="BW432" s="139"/>
      <c r="BX432" s="140"/>
      <c r="BY432" s="139"/>
      <c r="BZ432" s="139"/>
      <c r="CA432" s="134"/>
      <c r="CB432" s="134"/>
      <c r="CC432" s="134"/>
      <c r="CD432" s="134"/>
      <c r="CE432" s="134"/>
      <c r="CF432" s="134"/>
      <c r="CG432" s="92"/>
      <c r="CH432" s="92"/>
      <c r="CI432" s="92"/>
      <c r="CJ432" s="92"/>
      <c r="CK432" s="92"/>
    </row>
    <row r="433" spans="1:89" ht="17.25" customHeight="1">
      <c r="A433" s="160"/>
      <c r="B433" s="163"/>
      <c r="C433" s="164"/>
      <c r="D433" s="137">
        <f t="shared" si="33"/>
        <v>0</v>
      </c>
      <c r="E433" s="208"/>
      <c r="F433" s="202"/>
      <c r="G433" s="207"/>
      <c r="H433" s="202"/>
      <c r="I433" s="208"/>
      <c r="J433" s="202"/>
      <c r="K433" s="208">
        <f t="shared" si="12"/>
        <v>0</v>
      </c>
      <c r="L433" s="202"/>
      <c r="M433" s="207"/>
      <c r="N433" s="202"/>
      <c r="O433" s="209"/>
      <c r="P433" s="202"/>
      <c r="Q433" s="206"/>
      <c r="R433" s="202"/>
      <c r="S433" s="207"/>
      <c r="T433" s="202"/>
      <c r="U433" s="207"/>
      <c r="V433" s="202"/>
      <c r="W433" s="208"/>
      <c r="X433" s="202"/>
      <c r="Y433" s="203">
        <f t="shared" si="31"/>
        <v>0</v>
      </c>
      <c r="Z433" s="202"/>
      <c r="AA433" s="207"/>
      <c r="AB433" s="202"/>
      <c r="AC433" s="205"/>
      <c r="AD433" s="202"/>
      <c r="AE433" s="206"/>
      <c r="AF433" s="202"/>
      <c r="AG433" s="207"/>
      <c r="AH433" s="202"/>
      <c r="AI433" s="207"/>
      <c r="AJ433" s="202"/>
      <c r="AK433" s="208"/>
      <c r="AL433" s="202"/>
      <c r="AM433" s="203">
        <f t="shared" si="14"/>
        <v>0</v>
      </c>
      <c r="AN433" s="202"/>
      <c r="AO433" s="207"/>
      <c r="AP433" s="202"/>
      <c r="AQ433" s="205"/>
      <c r="AR433" s="202"/>
      <c r="AS433" s="206"/>
      <c r="AT433" s="202"/>
      <c r="AU433" s="204"/>
      <c r="AV433" s="202"/>
      <c r="AW433" s="204"/>
      <c r="AX433" s="202"/>
      <c r="AY433" s="201"/>
      <c r="AZ433" s="202"/>
      <c r="BA433" s="203">
        <f t="shared" si="15"/>
        <v>0</v>
      </c>
      <c r="BB433" s="202"/>
      <c r="BC433" s="204"/>
      <c r="BD433" s="202"/>
      <c r="BE433" s="205"/>
      <c r="BF433" s="202"/>
      <c r="BG433" s="206"/>
      <c r="BH433" s="202"/>
      <c r="BI433" s="204"/>
      <c r="BJ433" s="202"/>
      <c r="BK433" s="204"/>
      <c r="BL433" s="202"/>
      <c r="BM433" s="201"/>
      <c r="BN433" s="202"/>
      <c r="BO433" s="203">
        <f t="shared" si="16"/>
        <v>0</v>
      </c>
      <c r="BP433" s="202"/>
      <c r="BQ433" s="138"/>
      <c r="BR433" s="128"/>
      <c r="BS433" s="128"/>
      <c r="BT433" s="128"/>
      <c r="BU433" s="128"/>
      <c r="BV433" s="128"/>
      <c r="BW433" s="139"/>
      <c r="BX433" s="140"/>
      <c r="BY433" s="139"/>
      <c r="BZ433" s="139"/>
      <c r="CA433" s="134"/>
      <c r="CB433" s="134"/>
      <c r="CC433" s="134"/>
      <c r="CD433" s="134"/>
      <c r="CE433" s="134"/>
      <c r="CF433" s="134"/>
      <c r="CG433" s="92"/>
      <c r="CH433" s="92"/>
      <c r="CI433" s="92"/>
      <c r="CJ433" s="92"/>
      <c r="CK433" s="92"/>
    </row>
    <row r="434" spans="1:89" ht="17.25" customHeight="1">
      <c r="A434" s="160"/>
      <c r="B434" s="163"/>
      <c r="C434" s="164"/>
      <c r="D434" s="137">
        <f t="shared" si="33"/>
        <v>0</v>
      </c>
      <c r="E434" s="208"/>
      <c r="F434" s="202"/>
      <c r="G434" s="207"/>
      <c r="H434" s="202"/>
      <c r="I434" s="208"/>
      <c r="J434" s="202"/>
      <c r="K434" s="208">
        <f t="shared" si="12"/>
        <v>0</v>
      </c>
      <c r="L434" s="202"/>
      <c r="M434" s="207"/>
      <c r="N434" s="202"/>
      <c r="O434" s="209"/>
      <c r="P434" s="202"/>
      <c r="Q434" s="206"/>
      <c r="R434" s="202"/>
      <c r="S434" s="207"/>
      <c r="T434" s="202"/>
      <c r="U434" s="207"/>
      <c r="V434" s="202"/>
      <c r="W434" s="208"/>
      <c r="X434" s="202"/>
      <c r="Y434" s="203">
        <f t="shared" si="31"/>
        <v>0</v>
      </c>
      <c r="Z434" s="202"/>
      <c r="AA434" s="207"/>
      <c r="AB434" s="202"/>
      <c r="AC434" s="205"/>
      <c r="AD434" s="202"/>
      <c r="AE434" s="206"/>
      <c r="AF434" s="202"/>
      <c r="AG434" s="207"/>
      <c r="AH434" s="202"/>
      <c r="AI434" s="207"/>
      <c r="AJ434" s="202"/>
      <c r="AK434" s="208"/>
      <c r="AL434" s="202"/>
      <c r="AM434" s="203">
        <f t="shared" si="14"/>
        <v>0</v>
      </c>
      <c r="AN434" s="202"/>
      <c r="AO434" s="207"/>
      <c r="AP434" s="202"/>
      <c r="AQ434" s="205"/>
      <c r="AR434" s="202"/>
      <c r="AS434" s="206"/>
      <c r="AT434" s="202"/>
      <c r="AU434" s="204"/>
      <c r="AV434" s="202"/>
      <c r="AW434" s="204"/>
      <c r="AX434" s="202"/>
      <c r="AY434" s="201"/>
      <c r="AZ434" s="202"/>
      <c r="BA434" s="203">
        <f t="shared" si="15"/>
        <v>0</v>
      </c>
      <c r="BB434" s="202"/>
      <c r="BC434" s="204"/>
      <c r="BD434" s="202"/>
      <c r="BE434" s="205"/>
      <c r="BF434" s="202"/>
      <c r="BG434" s="206"/>
      <c r="BH434" s="202"/>
      <c r="BI434" s="204"/>
      <c r="BJ434" s="202"/>
      <c r="BK434" s="204"/>
      <c r="BL434" s="202"/>
      <c r="BM434" s="201"/>
      <c r="BN434" s="202"/>
      <c r="BO434" s="203">
        <f t="shared" si="16"/>
        <v>0</v>
      </c>
      <c r="BP434" s="202"/>
      <c r="BQ434" s="138"/>
      <c r="BR434" s="128"/>
      <c r="BS434" s="128"/>
      <c r="BT434" s="128"/>
      <c r="BU434" s="128"/>
      <c r="BV434" s="128"/>
      <c r="BW434" s="139"/>
      <c r="BX434" s="140"/>
      <c r="BY434" s="139"/>
      <c r="BZ434" s="139"/>
      <c r="CA434" s="134"/>
      <c r="CB434" s="134"/>
      <c r="CC434" s="134"/>
      <c r="CD434" s="134"/>
      <c r="CE434" s="134"/>
      <c r="CF434" s="134"/>
      <c r="CG434" s="92"/>
      <c r="CH434" s="92"/>
      <c r="CI434" s="92"/>
      <c r="CJ434" s="92"/>
      <c r="CK434" s="92"/>
    </row>
    <row r="435" spans="1:89" ht="17.25" customHeight="1">
      <c r="A435" s="160"/>
      <c r="B435" s="163"/>
      <c r="C435" s="164"/>
      <c r="D435" s="137">
        <f t="shared" si="33"/>
        <v>0</v>
      </c>
      <c r="E435" s="208"/>
      <c r="F435" s="202"/>
      <c r="G435" s="207"/>
      <c r="H435" s="202"/>
      <c r="I435" s="208"/>
      <c r="J435" s="202"/>
      <c r="K435" s="208">
        <f t="shared" si="12"/>
        <v>0</v>
      </c>
      <c r="L435" s="202"/>
      <c r="M435" s="207"/>
      <c r="N435" s="202"/>
      <c r="O435" s="209"/>
      <c r="P435" s="202"/>
      <c r="Q435" s="206"/>
      <c r="R435" s="202"/>
      <c r="S435" s="207"/>
      <c r="T435" s="202"/>
      <c r="U435" s="207"/>
      <c r="V435" s="202"/>
      <c r="W435" s="208"/>
      <c r="X435" s="202"/>
      <c r="Y435" s="203">
        <f t="shared" si="31"/>
        <v>0</v>
      </c>
      <c r="Z435" s="202"/>
      <c r="AA435" s="207"/>
      <c r="AB435" s="202"/>
      <c r="AC435" s="205"/>
      <c r="AD435" s="202"/>
      <c r="AE435" s="206"/>
      <c r="AF435" s="202"/>
      <c r="AG435" s="207"/>
      <c r="AH435" s="202"/>
      <c r="AI435" s="207"/>
      <c r="AJ435" s="202"/>
      <c r="AK435" s="208"/>
      <c r="AL435" s="202"/>
      <c r="AM435" s="203">
        <f t="shared" si="14"/>
        <v>0</v>
      </c>
      <c r="AN435" s="202"/>
      <c r="AO435" s="207"/>
      <c r="AP435" s="202"/>
      <c r="AQ435" s="205"/>
      <c r="AR435" s="202"/>
      <c r="AS435" s="206"/>
      <c r="AT435" s="202"/>
      <c r="AU435" s="204"/>
      <c r="AV435" s="202"/>
      <c r="AW435" s="204"/>
      <c r="AX435" s="202"/>
      <c r="AY435" s="201"/>
      <c r="AZ435" s="202"/>
      <c r="BA435" s="203">
        <f t="shared" si="15"/>
        <v>0</v>
      </c>
      <c r="BB435" s="202"/>
      <c r="BC435" s="204"/>
      <c r="BD435" s="202"/>
      <c r="BE435" s="205"/>
      <c r="BF435" s="202"/>
      <c r="BG435" s="206"/>
      <c r="BH435" s="202"/>
      <c r="BI435" s="204"/>
      <c r="BJ435" s="202"/>
      <c r="BK435" s="204"/>
      <c r="BL435" s="202"/>
      <c r="BM435" s="201"/>
      <c r="BN435" s="202"/>
      <c r="BO435" s="203">
        <f t="shared" si="16"/>
        <v>0</v>
      </c>
      <c r="BP435" s="202"/>
      <c r="BQ435" s="138"/>
      <c r="BR435" s="128"/>
      <c r="BS435" s="128"/>
      <c r="BT435" s="128"/>
      <c r="BU435" s="128"/>
      <c r="BV435" s="128"/>
      <c r="BW435" s="139"/>
      <c r="BX435" s="140"/>
      <c r="BY435" s="139"/>
      <c r="BZ435" s="139"/>
      <c r="CA435" s="134"/>
      <c r="CB435" s="134"/>
      <c r="CC435" s="134"/>
      <c r="CD435" s="134"/>
      <c r="CE435" s="134"/>
      <c r="CF435" s="134"/>
      <c r="CG435" s="92"/>
      <c r="CH435" s="92"/>
      <c r="CI435" s="92"/>
      <c r="CJ435" s="92"/>
      <c r="CK435" s="92"/>
    </row>
    <row r="436" spans="1:89" ht="17.25" customHeight="1">
      <c r="A436" s="160"/>
      <c r="B436" s="163"/>
      <c r="C436" s="164"/>
      <c r="D436" s="137">
        <f t="shared" si="33"/>
        <v>0</v>
      </c>
      <c r="E436" s="208"/>
      <c r="F436" s="202"/>
      <c r="G436" s="207"/>
      <c r="H436" s="202"/>
      <c r="I436" s="208"/>
      <c r="J436" s="202"/>
      <c r="K436" s="208">
        <f t="shared" si="12"/>
        <v>0</v>
      </c>
      <c r="L436" s="202"/>
      <c r="M436" s="207"/>
      <c r="N436" s="202"/>
      <c r="O436" s="209"/>
      <c r="P436" s="202"/>
      <c r="Q436" s="206"/>
      <c r="R436" s="202"/>
      <c r="S436" s="207"/>
      <c r="T436" s="202"/>
      <c r="U436" s="207"/>
      <c r="V436" s="202"/>
      <c r="W436" s="208"/>
      <c r="X436" s="202"/>
      <c r="Y436" s="203">
        <f t="shared" si="31"/>
        <v>0</v>
      </c>
      <c r="Z436" s="202"/>
      <c r="AA436" s="207"/>
      <c r="AB436" s="202"/>
      <c r="AC436" s="205"/>
      <c r="AD436" s="202"/>
      <c r="AE436" s="206"/>
      <c r="AF436" s="202"/>
      <c r="AG436" s="204"/>
      <c r="AH436" s="202"/>
      <c r="AI436" s="204"/>
      <c r="AJ436" s="202"/>
      <c r="AK436" s="201"/>
      <c r="AL436" s="202"/>
      <c r="AM436" s="203">
        <f t="shared" si="14"/>
        <v>0</v>
      </c>
      <c r="AN436" s="202"/>
      <c r="AO436" s="204"/>
      <c r="AP436" s="202"/>
      <c r="AQ436" s="205"/>
      <c r="AR436" s="202"/>
      <c r="AS436" s="206"/>
      <c r="AT436" s="202"/>
      <c r="AU436" s="204"/>
      <c r="AV436" s="202"/>
      <c r="AW436" s="204"/>
      <c r="AX436" s="202"/>
      <c r="AY436" s="201"/>
      <c r="AZ436" s="202"/>
      <c r="BA436" s="203">
        <f t="shared" si="15"/>
        <v>0</v>
      </c>
      <c r="BB436" s="202"/>
      <c r="BC436" s="204"/>
      <c r="BD436" s="202"/>
      <c r="BE436" s="205"/>
      <c r="BF436" s="202"/>
      <c r="BG436" s="206"/>
      <c r="BH436" s="202"/>
      <c r="BI436" s="204"/>
      <c r="BJ436" s="202"/>
      <c r="BK436" s="204"/>
      <c r="BL436" s="202"/>
      <c r="BM436" s="201"/>
      <c r="BN436" s="202"/>
      <c r="BO436" s="203">
        <f t="shared" si="16"/>
        <v>0</v>
      </c>
      <c r="BP436" s="202"/>
      <c r="BQ436" s="138"/>
      <c r="BR436" s="128"/>
      <c r="BS436" s="128"/>
      <c r="BT436" s="128"/>
      <c r="BU436" s="128"/>
      <c r="BV436" s="128"/>
      <c r="BW436" s="139"/>
      <c r="BX436" s="140"/>
      <c r="BY436" s="139"/>
      <c r="BZ436" s="139"/>
      <c r="CA436" s="134"/>
      <c r="CB436" s="134"/>
      <c r="CC436" s="134"/>
      <c r="CD436" s="134"/>
      <c r="CE436" s="134"/>
      <c r="CF436" s="134"/>
      <c r="CG436" s="92"/>
      <c r="CH436" s="92"/>
      <c r="CI436" s="92"/>
      <c r="CJ436" s="92"/>
      <c r="CK436" s="92"/>
    </row>
    <row r="437" spans="1:89" ht="17.25" customHeight="1">
      <c r="A437" s="160"/>
      <c r="B437" s="163"/>
      <c r="C437" s="164"/>
      <c r="D437" s="137">
        <f t="shared" si="33"/>
        <v>0</v>
      </c>
      <c r="E437" s="208"/>
      <c r="F437" s="202"/>
      <c r="G437" s="207"/>
      <c r="H437" s="202"/>
      <c r="I437" s="208"/>
      <c r="J437" s="202"/>
      <c r="K437" s="208">
        <f t="shared" si="12"/>
        <v>0</v>
      </c>
      <c r="L437" s="202"/>
      <c r="M437" s="207"/>
      <c r="N437" s="202"/>
      <c r="O437" s="209"/>
      <c r="P437" s="202"/>
      <c r="Q437" s="206"/>
      <c r="R437" s="202"/>
      <c r="S437" s="207"/>
      <c r="T437" s="202"/>
      <c r="U437" s="207"/>
      <c r="V437" s="202"/>
      <c r="W437" s="208"/>
      <c r="X437" s="202"/>
      <c r="Y437" s="203">
        <f t="shared" si="31"/>
        <v>0</v>
      </c>
      <c r="Z437" s="202"/>
      <c r="AA437" s="207"/>
      <c r="AB437" s="202"/>
      <c r="AC437" s="205"/>
      <c r="AD437" s="202"/>
      <c r="AE437" s="206"/>
      <c r="AF437" s="202"/>
      <c r="AG437" s="204"/>
      <c r="AH437" s="202"/>
      <c r="AI437" s="204"/>
      <c r="AJ437" s="202"/>
      <c r="AK437" s="201"/>
      <c r="AL437" s="202"/>
      <c r="AM437" s="203">
        <f t="shared" si="14"/>
        <v>0</v>
      </c>
      <c r="AN437" s="202"/>
      <c r="AO437" s="204"/>
      <c r="AP437" s="202"/>
      <c r="AQ437" s="205"/>
      <c r="AR437" s="202"/>
      <c r="AS437" s="206"/>
      <c r="AT437" s="202"/>
      <c r="AU437" s="204"/>
      <c r="AV437" s="202"/>
      <c r="AW437" s="204"/>
      <c r="AX437" s="202"/>
      <c r="AY437" s="201"/>
      <c r="AZ437" s="202"/>
      <c r="BA437" s="203">
        <f t="shared" si="15"/>
        <v>0</v>
      </c>
      <c r="BB437" s="202"/>
      <c r="BC437" s="204"/>
      <c r="BD437" s="202"/>
      <c r="BE437" s="205"/>
      <c r="BF437" s="202"/>
      <c r="BG437" s="206"/>
      <c r="BH437" s="202"/>
      <c r="BI437" s="204"/>
      <c r="BJ437" s="202"/>
      <c r="BK437" s="204"/>
      <c r="BL437" s="202"/>
      <c r="BM437" s="201"/>
      <c r="BN437" s="202"/>
      <c r="BO437" s="203">
        <f t="shared" si="16"/>
        <v>0</v>
      </c>
      <c r="BP437" s="202"/>
      <c r="BQ437" s="138"/>
      <c r="BR437" s="128"/>
      <c r="BS437" s="128"/>
      <c r="BT437" s="128"/>
      <c r="BU437" s="128"/>
      <c r="BV437" s="128"/>
      <c r="BW437" s="139"/>
      <c r="BX437" s="140"/>
      <c r="BY437" s="139"/>
      <c r="BZ437" s="139"/>
      <c r="CA437" s="134"/>
      <c r="CB437" s="134"/>
      <c r="CC437" s="134"/>
      <c r="CD437" s="134"/>
      <c r="CE437" s="134"/>
      <c r="CF437" s="134"/>
      <c r="CG437" s="92"/>
      <c r="CH437" s="92"/>
      <c r="CI437" s="92"/>
      <c r="CJ437" s="92"/>
      <c r="CK437" s="92"/>
    </row>
    <row r="438" spans="1:89" ht="17.25" customHeight="1">
      <c r="A438" s="160"/>
      <c r="B438" s="163"/>
      <c r="C438" s="164"/>
      <c r="D438" s="137">
        <f t="shared" si="33"/>
        <v>0</v>
      </c>
      <c r="E438" s="208"/>
      <c r="F438" s="202"/>
      <c r="G438" s="207"/>
      <c r="H438" s="202"/>
      <c r="I438" s="208"/>
      <c r="J438" s="202"/>
      <c r="K438" s="208">
        <f t="shared" si="12"/>
        <v>0</v>
      </c>
      <c r="L438" s="202"/>
      <c r="M438" s="207"/>
      <c r="N438" s="202"/>
      <c r="O438" s="209"/>
      <c r="P438" s="202"/>
      <c r="Q438" s="206"/>
      <c r="R438" s="202"/>
      <c r="S438" s="207"/>
      <c r="T438" s="202"/>
      <c r="U438" s="207"/>
      <c r="V438" s="202"/>
      <c r="W438" s="208"/>
      <c r="X438" s="202"/>
      <c r="Y438" s="203">
        <f t="shared" si="31"/>
        <v>0</v>
      </c>
      <c r="Z438" s="202"/>
      <c r="AA438" s="207"/>
      <c r="AB438" s="202"/>
      <c r="AC438" s="205"/>
      <c r="AD438" s="202"/>
      <c r="AE438" s="206"/>
      <c r="AF438" s="202"/>
      <c r="AG438" s="204"/>
      <c r="AH438" s="202"/>
      <c r="AI438" s="204"/>
      <c r="AJ438" s="202"/>
      <c r="AK438" s="201"/>
      <c r="AL438" s="202"/>
      <c r="AM438" s="203">
        <f t="shared" si="14"/>
        <v>0</v>
      </c>
      <c r="AN438" s="202"/>
      <c r="AO438" s="204"/>
      <c r="AP438" s="202"/>
      <c r="AQ438" s="205"/>
      <c r="AR438" s="202"/>
      <c r="AS438" s="206"/>
      <c r="AT438" s="202"/>
      <c r="AU438" s="204"/>
      <c r="AV438" s="202"/>
      <c r="AW438" s="204"/>
      <c r="AX438" s="202"/>
      <c r="AY438" s="201"/>
      <c r="AZ438" s="202"/>
      <c r="BA438" s="203">
        <f t="shared" si="15"/>
        <v>0</v>
      </c>
      <c r="BB438" s="202"/>
      <c r="BC438" s="204"/>
      <c r="BD438" s="202"/>
      <c r="BE438" s="205"/>
      <c r="BF438" s="202"/>
      <c r="BG438" s="206"/>
      <c r="BH438" s="202"/>
      <c r="BI438" s="204"/>
      <c r="BJ438" s="202"/>
      <c r="BK438" s="204"/>
      <c r="BL438" s="202"/>
      <c r="BM438" s="201"/>
      <c r="BN438" s="202"/>
      <c r="BO438" s="203">
        <f t="shared" si="16"/>
        <v>0</v>
      </c>
      <c r="BP438" s="202"/>
      <c r="BQ438" s="138"/>
      <c r="BR438" s="128"/>
      <c r="BS438" s="128"/>
      <c r="BT438" s="128"/>
      <c r="BU438" s="128"/>
      <c r="BV438" s="128"/>
      <c r="BW438" s="139"/>
      <c r="BX438" s="140"/>
      <c r="BY438" s="139"/>
      <c r="BZ438" s="139"/>
      <c r="CA438" s="134"/>
      <c r="CB438" s="134"/>
      <c r="CC438" s="134"/>
      <c r="CD438" s="134"/>
      <c r="CE438" s="134"/>
      <c r="CF438" s="134"/>
      <c r="CG438" s="92"/>
      <c r="CH438" s="92"/>
      <c r="CI438" s="92"/>
      <c r="CJ438" s="92"/>
      <c r="CK438" s="92"/>
    </row>
    <row r="439" spans="1:89" ht="17.25" customHeight="1">
      <c r="A439" s="160"/>
      <c r="B439" s="163"/>
      <c r="C439" s="164"/>
      <c r="D439" s="137">
        <f t="shared" si="33"/>
        <v>0</v>
      </c>
      <c r="E439" s="208"/>
      <c r="F439" s="202"/>
      <c r="G439" s="207"/>
      <c r="H439" s="202"/>
      <c r="I439" s="208"/>
      <c r="J439" s="202"/>
      <c r="K439" s="208">
        <f t="shared" si="12"/>
        <v>0</v>
      </c>
      <c r="L439" s="202"/>
      <c r="M439" s="207"/>
      <c r="N439" s="202"/>
      <c r="O439" s="209"/>
      <c r="P439" s="202"/>
      <c r="Q439" s="206"/>
      <c r="R439" s="202"/>
      <c r="S439" s="207"/>
      <c r="T439" s="202"/>
      <c r="U439" s="207"/>
      <c r="V439" s="202"/>
      <c r="W439" s="208"/>
      <c r="X439" s="202"/>
      <c r="Y439" s="203">
        <f t="shared" si="31"/>
        <v>0</v>
      </c>
      <c r="Z439" s="202"/>
      <c r="AA439" s="207"/>
      <c r="AB439" s="202"/>
      <c r="AC439" s="205"/>
      <c r="AD439" s="202"/>
      <c r="AE439" s="206"/>
      <c r="AF439" s="202"/>
      <c r="AG439" s="204"/>
      <c r="AH439" s="202"/>
      <c r="AI439" s="204"/>
      <c r="AJ439" s="202"/>
      <c r="AK439" s="201"/>
      <c r="AL439" s="202"/>
      <c r="AM439" s="203">
        <f t="shared" si="14"/>
        <v>0</v>
      </c>
      <c r="AN439" s="202"/>
      <c r="AO439" s="204"/>
      <c r="AP439" s="202"/>
      <c r="AQ439" s="205"/>
      <c r="AR439" s="202"/>
      <c r="AS439" s="206"/>
      <c r="AT439" s="202"/>
      <c r="AU439" s="204"/>
      <c r="AV439" s="202"/>
      <c r="AW439" s="204"/>
      <c r="AX439" s="202"/>
      <c r="AY439" s="201"/>
      <c r="AZ439" s="202"/>
      <c r="BA439" s="203">
        <f t="shared" si="15"/>
        <v>0</v>
      </c>
      <c r="BB439" s="202"/>
      <c r="BC439" s="204"/>
      <c r="BD439" s="202"/>
      <c r="BE439" s="205"/>
      <c r="BF439" s="202"/>
      <c r="BG439" s="206"/>
      <c r="BH439" s="202"/>
      <c r="BI439" s="204"/>
      <c r="BJ439" s="202"/>
      <c r="BK439" s="204"/>
      <c r="BL439" s="202"/>
      <c r="BM439" s="201"/>
      <c r="BN439" s="202"/>
      <c r="BO439" s="203">
        <f t="shared" si="16"/>
        <v>0</v>
      </c>
      <c r="BP439" s="202"/>
      <c r="BQ439" s="138"/>
      <c r="BR439" s="128"/>
      <c r="BS439" s="128"/>
      <c r="BT439" s="128"/>
      <c r="BU439" s="128"/>
      <c r="BV439" s="128"/>
      <c r="BW439" s="139"/>
      <c r="BX439" s="140"/>
      <c r="BY439" s="139"/>
      <c r="BZ439" s="139"/>
      <c r="CA439" s="134"/>
      <c r="CB439" s="134"/>
      <c r="CC439" s="134"/>
      <c r="CD439" s="134"/>
      <c r="CE439" s="134"/>
      <c r="CF439" s="134"/>
      <c r="CG439" s="92"/>
      <c r="CH439" s="92"/>
      <c r="CI439" s="92"/>
      <c r="CJ439" s="92"/>
      <c r="CK439" s="92"/>
    </row>
    <row r="440" spans="1:89" ht="17.25" customHeight="1">
      <c r="A440" s="160"/>
      <c r="B440" s="163"/>
      <c r="C440" s="164"/>
      <c r="D440" s="137">
        <f t="shared" si="33"/>
        <v>0</v>
      </c>
      <c r="E440" s="208"/>
      <c r="F440" s="202"/>
      <c r="G440" s="207"/>
      <c r="H440" s="202"/>
      <c r="I440" s="208"/>
      <c r="J440" s="202"/>
      <c r="K440" s="208">
        <f t="shared" si="12"/>
        <v>0</v>
      </c>
      <c r="L440" s="202"/>
      <c r="M440" s="207"/>
      <c r="N440" s="202"/>
      <c r="O440" s="209"/>
      <c r="P440" s="202"/>
      <c r="Q440" s="206"/>
      <c r="R440" s="202"/>
      <c r="S440" s="207"/>
      <c r="T440" s="202"/>
      <c r="U440" s="207"/>
      <c r="V440" s="202"/>
      <c r="W440" s="208"/>
      <c r="X440" s="202"/>
      <c r="Y440" s="203">
        <f t="shared" si="31"/>
        <v>0</v>
      </c>
      <c r="Z440" s="202"/>
      <c r="AA440" s="207"/>
      <c r="AB440" s="202"/>
      <c r="AC440" s="205"/>
      <c r="AD440" s="202"/>
      <c r="AE440" s="206"/>
      <c r="AF440" s="202"/>
      <c r="AG440" s="204"/>
      <c r="AH440" s="202"/>
      <c r="AI440" s="204"/>
      <c r="AJ440" s="202"/>
      <c r="AK440" s="201"/>
      <c r="AL440" s="202"/>
      <c r="AM440" s="203">
        <f t="shared" si="14"/>
        <v>0</v>
      </c>
      <c r="AN440" s="202"/>
      <c r="AO440" s="204"/>
      <c r="AP440" s="202"/>
      <c r="AQ440" s="205"/>
      <c r="AR440" s="202"/>
      <c r="AS440" s="206"/>
      <c r="AT440" s="202"/>
      <c r="AU440" s="204"/>
      <c r="AV440" s="202"/>
      <c r="AW440" s="204"/>
      <c r="AX440" s="202"/>
      <c r="AY440" s="201"/>
      <c r="AZ440" s="202"/>
      <c r="BA440" s="203">
        <f t="shared" si="15"/>
        <v>0</v>
      </c>
      <c r="BB440" s="202"/>
      <c r="BC440" s="204"/>
      <c r="BD440" s="202"/>
      <c r="BE440" s="205"/>
      <c r="BF440" s="202"/>
      <c r="BG440" s="206"/>
      <c r="BH440" s="202"/>
      <c r="BI440" s="204"/>
      <c r="BJ440" s="202"/>
      <c r="BK440" s="204"/>
      <c r="BL440" s="202"/>
      <c r="BM440" s="201"/>
      <c r="BN440" s="202"/>
      <c r="BO440" s="203">
        <f t="shared" si="16"/>
        <v>0</v>
      </c>
      <c r="BP440" s="202"/>
      <c r="BQ440" s="138"/>
      <c r="BR440" s="128"/>
      <c r="BS440" s="128"/>
      <c r="BT440" s="128"/>
      <c r="BU440" s="128"/>
      <c r="BV440" s="128"/>
      <c r="BW440" s="139"/>
      <c r="BX440" s="140"/>
      <c r="BY440" s="139"/>
      <c r="BZ440" s="139"/>
      <c r="CA440" s="134"/>
      <c r="CB440" s="134"/>
      <c r="CC440" s="134"/>
      <c r="CD440" s="134"/>
      <c r="CE440" s="134"/>
      <c r="CF440" s="134"/>
      <c r="CG440" s="92"/>
      <c r="CH440" s="92"/>
      <c r="CI440" s="92"/>
      <c r="CJ440" s="92"/>
      <c r="CK440" s="92"/>
    </row>
    <row r="441" spans="1:89" ht="17.25" customHeight="1">
      <c r="A441" s="160"/>
      <c r="B441" s="165"/>
      <c r="C441" s="164"/>
      <c r="D441" s="137">
        <f t="shared" si="33"/>
        <v>0</v>
      </c>
      <c r="E441" s="208"/>
      <c r="F441" s="202"/>
      <c r="G441" s="207"/>
      <c r="H441" s="202"/>
      <c r="I441" s="208"/>
      <c r="J441" s="202"/>
      <c r="K441" s="208">
        <f t="shared" si="12"/>
        <v>0</v>
      </c>
      <c r="L441" s="202"/>
      <c r="M441" s="207"/>
      <c r="N441" s="202"/>
      <c r="O441" s="209"/>
      <c r="P441" s="202"/>
      <c r="Q441" s="206"/>
      <c r="R441" s="202"/>
      <c r="S441" s="207"/>
      <c r="T441" s="202"/>
      <c r="U441" s="207"/>
      <c r="V441" s="202"/>
      <c r="W441" s="208"/>
      <c r="X441" s="202"/>
      <c r="Y441" s="203">
        <f t="shared" si="31"/>
        <v>0</v>
      </c>
      <c r="Z441" s="202"/>
      <c r="AA441" s="207"/>
      <c r="AB441" s="202"/>
      <c r="AC441" s="205"/>
      <c r="AD441" s="202"/>
      <c r="AE441" s="206"/>
      <c r="AF441" s="202"/>
      <c r="AG441" s="204"/>
      <c r="AH441" s="202"/>
      <c r="AI441" s="204"/>
      <c r="AJ441" s="202"/>
      <c r="AK441" s="201"/>
      <c r="AL441" s="202"/>
      <c r="AM441" s="203">
        <f t="shared" si="14"/>
        <v>0</v>
      </c>
      <c r="AN441" s="202"/>
      <c r="AO441" s="204"/>
      <c r="AP441" s="202"/>
      <c r="AQ441" s="205"/>
      <c r="AR441" s="202"/>
      <c r="AS441" s="206"/>
      <c r="AT441" s="202"/>
      <c r="AU441" s="204"/>
      <c r="AV441" s="202"/>
      <c r="AW441" s="204"/>
      <c r="AX441" s="202"/>
      <c r="AY441" s="201"/>
      <c r="AZ441" s="202"/>
      <c r="BA441" s="203">
        <f t="shared" si="15"/>
        <v>0</v>
      </c>
      <c r="BB441" s="202"/>
      <c r="BC441" s="204"/>
      <c r="BD441" s="202"/>
      <c r="BE441" s="205"/>
      <c r="BF441" s="202"/>
      <c r="BG441" s="206"/>
      <c r="BH441" s="202"/>
      <c r="BI441" s="204"/>
      <c r="BJ441" s="202"/>
      <c r="BK441" s="204"/>
      <c r="BL441" s="202"/>
      <c r="BM441" s="201"/>
      <c r="BN441" s="202"/>
      <c r="BO441" s="203">
        <f t="shared" si="16"/>
        <v>0</v>
      </c>
      <c r="BP441" s="202"/>
      <c r="BQ441" s="138"/>
      <c r="BR441" s="128"/>
      <c r="BS441" s="128"/>
      <c r="BT441" s="128"/>
      <c r="BU441" s="128"/>
      <c r="BV441" s="128"/>
      <c r="BW441" s="139"/>
      <c r="BX441" s="140"/>
      <c r="BY441" s="139"/>
      <c r="BZ441" s="139"/>
      <c r="CA441" s="134"/>
      <c r="CB441" s="134"/>
      <c r="CC441" s="134"/>
      <c r="CD441" s="134"/>
      <c r="CE441" s="134"/>
      <c r="CF441" s="134"/>
      <c r="CG441" s="92"/>
      <c r="CH441" s="92"/>
      <c r="CI441" s="92"/>
      <c r="CJ441" s="92"/>
      <c r="CK441" s="92"/>
    </row>
    <row r="442" spans="1:89" ht="17.25" customHeight="1">
      <c r="A442" s="160"/>
      <c r="B442" s="165"/>
      <c r="C442" s="164"/>
      <c r="D442" s="137">
        <f t="shared" si="33"/>
        <v>0</v>
      </c>
      <c r="E442" s="208"/>
      <c r="F442" s="202"/>
      <c r="G442" s="207"/>
      <c r="H442" s="202"/>
      <c r="I442" s="208"/>
      <c r="J442" s="202"/>
      <c r="K442" s="208">
        <f t="shared" si="12"/>
        <v>0</v>
      </c>
      <c r="L442" s="202"/>
      <c r="M442" s="207"/>
      <c r="N442" s="202"/>
      <c r="O442" s="209"/>
      <c r="P442" s="202"/>
      <c r="Q442" s="206"/>
      <c r="R442" s="202"/>
      <c r="S442" s="207"/>
      <c r="T442" s="202"/>
      <c r="U442" s="207"/>
      <c r="V442" s="202"/>
      <c r="W442" s="208"/>
      <c r="X442" s="202"/>
      <c r="Y442" s="203">
        <f t="shared" si="31"/>
        <v>0</v>
      </c>
      <c r="Z442" s="202"/>
      <c r="AA442" s="207"/>
      <c r="AB442" s="202"/>
      <c r="AC442" s="205"/>
      <c r="AD442" s="202"/>
      <c r="AE442" s="206"/>
      <c r="AF442" s="202"/>
      <c r="AG442" s="204"/>
      <c r="AH442" s="202"/>
      <c r="AI442" s="204"/>
      <c r="AJ442" s="202"/>
      <c r="AK442" s="201"/>
      <c r="AL442" s="202"/>
      <c r="AM442" s="203">
        <f t="shared" si="14"/>
        <v>0</v>
      </c>
      <c r="AN442" s="202"/>
      <c r="AO442" s="204"/>
      <c r="AP442" s="202"/>
      <c r="AQ442" s="205"/>
      <c r="AR442" s="202"/>
      <c r="AS442" s="206"/>
      <c r="AT442" s="202"/>
      <c r="AU442" s="204"/>
      <c r="AV442" s="202"/>
      <c r="AW442" s="204"/>
      <c r="AX442" s="202"/>
      <c r="AY442" s="201"/>
      <c r="AZ442" s="202"/>
      <c r="BA442" s="203">
        <f t="shared" si="15"/>
        <v>0</v>
      </c>
      <c r="BB442" s="202"/>
      <c r="BC442" s="204"/>
      <c r="BD442" s="202"/>
      <c r="BE442" s="205"/>
      <c r="BF442" s="202"/>
      <c r="BG442" s="206"/>
      <c r="BH442" s="202"/>
      <c r="BI442" s="204"/>
      <c r="BJ442" s="202"/>
      <c r="BK442" s="204"/>
      <c r="BL442" s="202"/>
      <c r="BM442" s="201"/>
      <c r="BN442" s="202"/>
      <c r="BO442" s="203">
        <f t="shared" si="16"/>
        <v>0</v>
      </c>
      <c r="BP442" s="202"/>
      <c r="BQ442" s="138"/>
      <c r="BR442" s="128"/>
      <c r="BS442" s="128"/>
      <c r="BT442" s="128"/>
      <c r="BU442" s="128"/>
      <c r="BV442" s="128"/>
      <c r="BW442" s="139"/>
      <c r="BX442" s="140"/>
      <c r="BY442" s="139"/>
      <c r="BZ442" s="139"/>
      <c r="CA442" s="134"/>
      <c r="CB442" s="134"/>
      <c r="CC442" s="134"/>
      <c r="CD442" s="134"/>
      <c r="CE442" s="134"/>
      <c r="CF442" s="134"/>
      <c r="CG442" s="92"/>
      <c r="CH442" s="92"/>
      <c r="CI442" s="92"/>
      <c r="CJ442" s="92"/>
      <c r="CK442" s="92"/>
    </row>
    <row r="443" spans="1:89" ht="17.25" customHeight="1">
      <c r="A443" s="160"/>
      <c r="B443" s="165"/>
      <c r="C443" s="164"/>
      <c r="D443" s="137">
        <f t="shared" si="33"/>
        <v>0</v>
      </c>
      <c r="E443" s="208"/>
      <c r="F443" s="202"/>
      <c r="G443" s="207"/>
      <c r="H443" s="202"/>
      <c r="I443" s="208"/>
      <c r="J443" s="202"/>
      <c r="K443" s="208">
        <f t="shared" si="12"/>
        <v>0</v>
      </c>
      <c r="L443" s="202"/>
      <c r="M443" s="207"/>
      <c r="N443" s="202"/>
      <c r="O443" s="209"/>
      <c r="P443" s="202"/>
      <c r="Q443" s="206"/>
      <c r="R443" s="202"/>
      <c r="S443" s="207"/>
      <c r="T443" s="202"/>
      <c r="U443" s="207"/>
      <c r="V443" s="202"/>
      <c r="W443" s="208"/>
      <c r="X443" s="202"/>
      <c r="Y443" s="203">
        <f t="shared" si="31"/>
        <v>0</v>
      </c>
      <c r="Z443" s="202"/>
      <c r="AA443" s="207"/>
      <c r="AB443" s="202"/>
      <c r="AC443" s="205"/>
      <c r="AD443" s="202"/>
      <c r="AE443" s="206"/>
      <c r="AF443" s="202"/>
      <c r="AG443" s="204"/>
      <c r="AH443" s="202"/>
      <c r="AI443" s="204"/>
      <c r="AJ443" s="202"/>
      <c r="AK443" s="201"/>
      <c r="AL443" s="202"/>
      <c r="AM443" s="203">
        <f t="shared" si="14"/>
        <v>0</v>
      </c>
      <c r="AN443" s="202"/>
      <c r="AO443" s="204"/>
      <c r="AP443" s="202"/>
      <c r="AQ443" s="205"/>
      <c r="AR443" s="202"/>
      <c r="AS443" s="206"/>
      <c r="AT443" s="202"/>
      <c r="AU443" s="204"/>
      <c r="AV443" s="202"/>
      <c r="AW443" s="204"/>
      <c r="AX443" s="202"/>
      <c r="AY443" s="201"/>
      <c r="AZ443" s="202"/>
      <c r="BA443" s="203">
        <f t="shared" si="15"/>
        <v>0</v>
      </c>
      <c r="BB443" s="202"/>
      <c r="BC443" s="204"/>
      <c r="BD443" s="202"/>
      <c r="BE443" s="205"/>
      <c r="BF443" s="202"/>
      <c r="BG443" s="206"/>
      <c r="BH443" s="202"/>
      <c r="BI443" s="204"/>
      <c r="BJ443" s="202"/>
      <c r="BK443" s="204"/>
      <c r="BL443" s="202"/>
      <c r="BM443" s="201"/>
      <c r="BN443" s="202"/>
      <c r="BO443" s="203">
        <f t="shared" si="16"/>
        <v>0</v>
      </c>
      <c r="BP443" s="202"/>
      <c r="BQ443" s="138"/>
      <c r="BR443" s="128"/>
      <c r="BS443" s="128"/>
      <c r="BT443" s="128"/>
      <c r="BU443" s="128"/>
      <c r="BV443" s="128"/>
      <c r="BW443" s="139"/>
      <c r="BX443" s="140"/>
      <c r="BY443" s="139"/>
      <c r="BZ443" s="139"/>
      <c r="CA443" s="134"/>
      <c r="CB443" s="134"/>
      <c r="CC443" s="134"/>
      <c r="CD443" s="134"/>
      <c r="CE443" s="134"/>
      <c r="CF443" s="134"/>
      <c r="CG443" s="92"/>
      <c r="CH443" s="92"/>
      <c r="CI443" s="92"/>
      <c r="CJ443" s="92"/>
      <c r="CK443" s="92"/>
    </row>
    <row r="444" spans="1:89" ht="17.25" customHeight="1">
      <c r="A444" s="160"/>
      <c r="B444" s="165"/>
      <c r="C444" s="164"/>
      <c r="D444" s="137">
        <f t="shared" si="33"/>
        <v>0</v>
      </c>
      <c r="E444" s="208"/>
      <c r="F444" s="202"/>
      <c r="G444" s="207"/>
      <c r="H444" s="202"/>
      <c r="I444" s="208"/>
      <c r="J444" s="202"/>
      <c r="K444" s="208">
        <f t="shared" si="12"/>
        <v>0</v>
      </c>
      <c r="L444" s="202"/>
      <c r="M444" s="207"/>
      <c r="N444" s="202"/>
      <c r="O444" s="209"/>
      <c r="P444" s="202"/>
      <c r="Q444" s="206"/>
      <c r="R444" s="202"/>
      <c r="S444" s="207"/>
      <c r="T444" s="202"/>
      <c r="U444" s="207"/>
      <c r="V444" s="202"/>
      <c r="W444" s="208"/>
      <c r="X444" s="202"/>
      <c r="Y444" s="203">
        <f t="shared" si="31"/>
        <v>0</v>
      </c>
      <c r="Z444" s="202"/>
      <c r="AA444" s="207"/>
      <c r="AB444" s="202"/>
      <c r="AC444" s="205"/>
      <c r="AD444" s="202"/>
      <c r="AE444" s="206"/>
      <c r="AF444" s="202"/>
      <c r="AG444" s="204"/>
      <c r="AH444" s="202"/>
      <c r="AI444" s="204"/>
      <c r="AJ444" s="202"/>
      <c r="AK444" s="201"/>
      <c r="AL444" s="202"/>
      <c r="AM444" s="203">
        <f t="shared" si="14"/>
        <v>0</v>
      </c>
      <c r="AN444" s="202"/>
      <c r="AO444" s="204"/>
      <c r="AP444" s="202"/>
      <c r="AQ444" s="205"/>
      <c r="AR444" s="202"/>
      <c r="AS444" s="206"/>
      <c r="AT444" s="202"/>
      <c r="AU444" s="204"/>
      <c r="AV444" s="202"/>
      <c r="AW444" s="204"/>
      <c r="AX444" s="202"/>
      <c r="AY444" s="201"/>
      <c r="AZ444" s="202"/>
      <c r="BA444" s="203">
        <f t="shared" si="15"/>
        <v>0</v>
      </c>
      <c r="BB444" s="202"/>
      <c r="BC444" s="204"/>
      <c r="BD444" s="202"/>
      <c r="BE444" s="205"/>
      <c r="BF444" s="202"/>
      <c r="BG444" s="206"/>
      <c r="BH444" s="202"/>
      <c r="BI444" s="204"/>
      <c r="BJ444" s="202"/>
      <c r="BK444" s="204"/>
      <c r="BL444" s="202"/>
      <c r="BM444" s="201"/>
      <c r="BN444" s="202"/>
      <c r="BO444" s="203">
        <f t="shared" si="16"/>
        <v>0</v>
      </c>
      <c r="BP444" s="202"/>
      <c r="BQ444" s="138"/>
      <c r="BR444" s="128"/>
      <c r="BS444" s="128"/>
      <c r="BT444" s="128"/>
      <c r="BU444" s="128"/>
      <c r="BV444" s="128"/>
      <c r="BW444" s="139"/>
      <c r="BX444" s="140"/>
      <c r="BY444" s="139"/>
      <c r="BZ444" s="139"/>
      <c r="CA444" s="134"/>
      <c r="CB444" s="134"/>
      <c r="CC444" s="134"/>
      <c r="CD444" s="134"/>
      <c r="CE444" s="134"/>
      <c r="CF444" s="134"/>
      <c r="CG444" s="92"/>
      <c r="CH444" s="92"/>
      <c r="CI444" s="92"/>
      <c r="CJ444" s="92"/>
      <c r="CK444" s="92"/>
    </row>
    <row r="445" spans="1:89" ht="17.25" customHeight="1">
      <c r="A445" s="160"/>
      <c r="B445" s="165"/>
      <c r="C445" s="164"/>
      <c r="D445" s="137">
        <f t="shared" si="33"/>
        <v>0</v>
      </c>
      <c r="E445" s="208"/>
      <c r="F445" s="202"/>
      <c r="G445" s="207"/>
      <c r="H445" s="202"/>
      <c r="I445" s="208"/>
      <c r="J445" s="202"/>
      <c r="K445" s="208">
        <f t="shared" si="12"/>
        <v>0</v>
      </c>
      <c r="L445" s="202"/>
      <c r="M445" s="207"/>
      <c r="N445" s="202"/>
      <c r="O445" s="209"/>
      <c r="P445" s="202"/>
      <c r="Q445" s="206"/>
      <c r="R445" s="202"/>
      <c r="S445" s="207"/>
      <c r="T445" s="202"/>
      <c r="U445" s="207"/>
      <c r="V445" s="202"/>
      <c r="W445" s="208"/>
      <c r="X445" s="202"/>
      <c r="Y445" s="203">
        <f t="shared" si="31"/>
        <v>0</v>
      </c>
      <c r="Z445" s="202"/>
      <c r="AA445" s="207"/>
      <c r="AB445" s="202"/>
      <c r="AC445" s="205"/>
      <c r="AD445" s="202"/>
      <c r="AE445" s="206"/>
      <c r="AF445" s="202"/>
      <c r="AG445" s="204"/>
      <c r="AH445" s="202"/>
      <c r="AI445" s="204"/>
      <c r="AJ445" s="202"/>
      <c r="AK445" s="201"/>
      <c r="AL445" s="202"/>
      <c r="AM445" s="203">
        <f t="shared" si="14"/>
        <v>0</v>
      </c>
      <c r="AN445" s="202"/>
      <c r="AO445" s="204"/>
      <c r="AP445" s="202"/>
      <c r="AQ445" s="205"/>
      <c r="AR445" s="202"/>
      <c r="AS445" s="206"/>
      <c r="AT445" s="202"/>
      <c r="AU445" s="204"/>
      <c r="AV445" s="202"/>
      <c r="AW445" s="204"/>
      <c r="AX445" s="202"/>
      <c r="AY445" s="201"/>
      <c r="AZ445" s="202"/>
      <c r="BA445" s="203">
        <f t="shared" si="15"/>
        <v>0</v>
      </c>
      <c r="BB445" s="202"/>
      <c r="BC445" s="204"/>
      <c r="BD445" s="202"/>
      <c r="BE445" s="205"/>
      <c r="BF445" s="202"/>
      <c r="BG445" s="206"/>
      <c r="BH445" s="202"/>
      <c r="BI445" s="204"/>
      <c r="BJ445" s="202"/>
      <c r="BK445" s="204"/>
      <c r="BL445" s="202"/>
      <c r="BM445" s="201"/>
      <c r="BN445" s="202"/>
      <c r="BO445" s="203">
        <f t="shared" si="16"/>
        <v>0</v>
      </c>
      <c r="BP445" s="202"/>
      <c r="BQ445" s="138"/>
      <c r="BR445" s="128"/>
      <c r="BS445" s="128"/>
      <c r="BT445" s="128"/>
      <c r="BU445" s="128"/>
      <c r="BV445" s="128"/>
      <c r="BW445" s="139"/>
      <c r="BX445" s="140"/>
      <c r="BY445" s="139"/>
      <c r="BZ445" s="139"/>
      <c r="CA445" s="134"/>
      <c r="CB445" s="134"/>
      <c r="CC445" s="134"/>
      <c r="CD445" s="134"/>
      <c r="CE445" s="134"/>
      <c r="CF445" s="134"/>
      <c r="CG445" s="92"/>
      <c r="CH445" s="92"/>
      <c r="CI445" s="92"/>
      <c r="CJ445" s="92"/>
      <c r="CK445" s="92"/>
    </row>
    <row r="446" spans="1:89" ht="17.25" customHeight="1">
      <c r="A446" s="160"/>
      <c r="B446" s="165"/>
      <c r="C446" s="164"/>
      <c r="D446" s="137">
        <f t="shared" si="33"/>
        <v>0</v>
      </c>
      <c r="E446" s="208"/>
      <c r="F446" s="202"/>
      <c r="G446" s="207"/>
      <c r="H446" s="202"/>
      <c r="I446" s="208"/>
      <c r="J446" s="202"/>
      <c r="K446" s="208">
        <f t="shared" si="12"/>
        <v>0</v>
      </c>
      <c r="L446" s="202"/>
      <c r="M446" s="207"/>
      <c r="N446" s="202"/>
      <c r="O446" s="209"/>
      <c r="P446" s="202"/>
      <c r="Q446" s="206"/>
      <c r="R446" s="202"/>
      <c r="S446" s="207"/>
      <c r="T446" s="202"/>
      <c r="U446" s="207"/>
      <c r="V446" s="202"/>
      <c r="W446" s="208"/>
      <c r="X446" s="202"/>
      <c r="Y446" s="203">
        <f t="shared" si="31"/>
        <v>0</v>
      </c>
      <c r="Z446" s="202"/>
      <c r="AA446" s="207"/>
      <c r="AB446" s="202"/>
      <c r="AC446" s="205"/>
      <c r="AD446" s="202"/>
      <c r="AE446" s="206"/>
      <c r="AF446" s="202"/>
      <c r="AG446" s="204"/>
      <c r="AH446" s="202"/>
      <c r="AI446" s="204"/>
      <c r="AJ446" s="202"/>
      <c r="AK446" s="201"/>
      <c r="AL446" s="202"/>
      <c r="AM446" s="203">
        <f t="shared" si="14"/>
        <v>0</v>
      </c>
      <c r="AN446" s="202"/>
      <c r="AO446" s="204"/>
      <c r="AP446" s="202"/>
      <c r="AQ446" s="205"/>
      <c r="AR446" s="202"/>
      <c r="AS446" s="206"/>
      <c r="AT446" s="202"/>
      <c r="AU446" s="204"/>
      <c r="AV446" s="202"/>
      <c r="AW446" s="204"/>
      <c r="AX446" s="202"/>
      <c r="AY446" s="201"/>
      <c r="AZ446" s="202"/>
      <c r="BA446" s="203">
        <f t="shared" si="15"/>
        <v>0</v>
      </c>
      <c r="BB446" s="202"/>
      <c r="BC446" s="204"/>
      <c r="BD446" s="202"/>
      <c r="BE446" s="205"/>
      <c r="BF446" s="202"/>
      <c r="BG446" s="206"/>
      <c r="BH446" s="202"/>
      <c r="BI446" s="204"/>
      <c r="BJ446" s="202"/>
      <c r="BK446" s="204"/>
      <c r="BL446" s="202"/>
      <c r="BM446" s="201"/>
      <c r="BN446" s="202"/>
      <c r="BO446" s="203">
        <f t="shared" si="16"/>
        <v>0</v>
      </c>
      <c r="BP446" s="202"/>
      <c r="BQ446" s="138"/>
      <c r="BR446" s="128"/>
      <c r="BS446" s="128"/>
      <c r="BT446" s="128"/>
      <c r="BU446" s="128"/>
      <c r="BV446" s="128"/>
      <c r="BW446" s="139"/>
      <c r="BX446" s="140"/>
      <c r="BY446" s="139"/>
      <c r="BZ446" s="139"/>
      <c r="CA446" s="134"/>
      <c r="CB446" s="134"/>
      <c r="CC446" s="134"/>
      <c r="CD446" s="134"/>
      <c r="CE446" s="134"/>
      <c r="CF446" s="134"/>
      <c r="CG446" s="92"/>
      <c r="CH446" s="92"/>
      <c r="CI446" s="92"/>
      <c r="CJ446" s="92"/>
      <c r="CK446" s="92"/>
    </row>
    <row r="447" spans="1:89" ht="17.25" customHeight="1">
      <c r="A447" s="160"/>
      <c r="B447" s="165"/>
      <c r="C447" s="164"/>
      <c r="D447" s="137">
        <f t="shared" si="33"/>
        <v>0</v>
      </c>
      <c r="E447" s="208"/>
      <c r="F447" s="202"/>
      <c r="G447" s="207"/>
      <c r="H447" s="202"/>
      <c r="I447" s="208"/>
      <c r="J447" s="202"/>
      <c r="K447" s="208">
        <f t="shared" si="12"/>
        <v>0</v>
      </c>
      <c r="L447" s="202"/>
      <c r="M447" s="207"/>
      <c r="N447" s="202"/>
      <c r="O447" s="209"/>
      <c r="P447" s="202"/>
      <c r="Q447" s="206"/>
      <c r="R447" s="202"/>
      <c r="S447" s="207"/>
      <c r="T447" s="202"/>
      <c r="U447" s="207"/>
      <c r="V447" s="202"/>
      <c r="W447" s="208"/>
      <c r="X447" s="202"/>
      <c r="Y447" s="203">
        <f t="shared" si="31"/>
        <v>0</v>
      </c>
      <c r="Z447" s="202"/>
      <c r="AA447" s="207"/>
      <c r="AB447" s="202"/>
      <c r="AC447" s="205"/>
      <c r="AD447" s="202"/>
      <c r="AE447" s="206"/>
      <c r="AF447" s="202"/>
      <c r="AG447" s="204"/>
      <c r="AH447" s="202"/>
      <c r="AI447" s="204"/>
      <c r="AJ447" s="202"/>
      <c r="AK447" s="201"/>
      <c r="AL447" s="202"/>
      <c r="AM447" s="203">
        <f t="shared" si="14"/>
        <v>0</v>
      </c>
      <c r="AN447" s="202"/>
      <c r="AO447" s="204"/>
      <c r="AP447" s="202"/>
      <c r="AQ447" s="205"/>
      <c r="AR447" s="202"/>
      <c r="AS447" s="206"/>
      <c r="AT447" s="202"/>
      <c r="AU447" s="204"/>
      <c r="AV447" s="202"/>
      <c r="AW447" s="204"/>
      <c r="AX447" s="202"/>
      <c r="AY447" s="201"/>
      <c r="AZ447" s="202"/>
      <c r="BA447" s="203">
        <f t="shared" si="15"/>
        <v>0</v>
      </c>
      <c r="BB447" s="202"/>
      <c r="BC447" s="204"/>
      <c r="BD447" s="202"/>
      <c r="BE447" s="205"/>
      <c r="BF447" s="202"/>
      <c r="BG447" s="206"/>
      <c r="BH447" s="202"/>
      <c r="BI447" s="204"/>
      <c r="BJ447" s="202"/>
      <c r="BK447" s="204"/>
      <c r="BL447" s="202"/>
      <c r="BM447" s="201"/>
      <c r="BN447" s="202"/>
      <c r="BO447" s="203">
        <f t="shared" si="16"/>
        <v>0</v>
      </c>
      <c r="BP447" s="202"/>
      <c r="BQ447" s="138"/>
      <c r="BR447" s="128"/>
      <c r="BS447" s="128"/>
      <c r="BT447" s="128"/>
      <c r="BU447" s="128"/>
      <c r="BV447" s="128"/>
      <c r="BW447" s="139"/>
      <c r="BX447" s="140"/>
      <c r="BY447" s="139"/>
      <c r="BZ447" s="139"/>
      <c r="CA447" s="134"/>
      <c r="CB447" s="134"/>
      <c r="CC447" s="134"/>
      <c r="CD447" s="134"/>
      <c r="CE447" s="134"/>
      <c r="CF447" s="134"/>
      <c r="CG447" s="92"/>
      <c r="CH447" s="92"/>
      <c r="CI447" s="92"/>
      <c r="CJ447" s="92"/>
      <c r="CK447" s="92"/>
    </row>
    <row r="448" spans="1:89" ht="17.25" customHeight="1">
      <c r="A448" s="160"/>
      <c r="B448" s="165"/>
      <c r="C448" s="164"/>
      <c r="D448" s="137">
        <f t="shared" si="33"/>
        <v>0</v>
      </c>
      <c r="E448" s="208"/>
      <c r="F448" s="202"/>
      <c r="G448" s="207"/>
      <c r="H448" s="202"/>
      <c r="I448" s="208"/>
      <c r="J448" s="202"/>
      <c r="K448" s="208">
        <f t="shared" si="12"/>
        <v>0</v>
      </c>
      <c r="L448" s="202"/>
      <c r="M448" s="207"/>
      <c r="N448" s="202"/>
      <c r="O448" s="209"/>
      <c r="P448" s="202"/>
      <c r="Q448" s="206"/>
      <c r="R448" s="202"/>
      <c r="S448" s="207"/>
      <c r="T448" s="202"/>
      <c r="U448" s="207"/>
      <c r="V448" s="202"/>
      <c r="W448" s="208"/>
      <c r="X448" s="202"/>
      <c r="Y448" s="203">
        <f t="shared" si="31"/>
        <v>0</v>
      </c>
      <c r="Z448" s="202"/>
      <c r="AA448" s="207"/>
      <c r="AB448" s="202"/>
      <c r="AC448" s="205"/>
      <c r="AD448" s="202"/>
      <c r="AE448" s="206"/>
      <c r="AF448" s="202"/>
      <c r="AG448" s="204"/>
      <c r="AH448" s="202"/>
      <c r="AI448" s="204"/>
      <c r="AJ448" s="202"/>
      <c r="AK448" s="201"/>
      <c r="AL448" s="202"/>
      <c r="AM448" s="203">
        <f t="shared" si="14"/>
        <v>0</v>
      </c>
      <c r="AN448" s="202"/>
      <c r="AO448" s="204"/>
      <c r="AP448" s="202"/>
      <c r="AQ448" s="205"/>
      <c r="AR448" s="202"/>
      <c r="AS448" s="206"/>
      <c r="AT448" s="202"/>
      <c r="AU448" s="204"/>
      <c r="AV448" s="202"/>
      <c r="AW448" s="204"/>
      <c r="AX448" s="202"/>
      <c r="AY448" s="201"/>
      <c r="AZ448" s="202"/>
      <c r="BA448" s="203">
        <f t="shared" si="15"/>
        <v>0</v>
      </c>
      <c r="BB448" s="202"/>
      <c r="BC448" s="204"/>
      <c r="BD448" s="202"/>
      <c r="BE448" s="205"/>
      <c r="BF448" s="202"/>
      <c r="BG448" s="206"/>
      <c r="BH448" s="202"/>
      <c r="BI448" s="204"/>
      <c r="BJ448" s="202"/>
      <c r="BK448" s="204"/>
      <c r="BL448" s="202"/>
      <c r="BM448" s="201"/>
      <c r="BN448" s="202"/>
      <c r="BO448" s="203">
        <f t="shared" si="16"/>
        <v>0</v>
      </c>
      <c r="BP448" s="202"/>
      <c r="BQ448" s="138"/>
      <c r="BR448" s="128"/>
      <c r="BS448" s="128"/>
      <c r="BT448" s="128"/>
      <c r="BU448" s="128"/>
      <c r="BV448" s="128"/>
      <c r="BW448" s="139"/>
      <c r="BX448" s="140"/>
      <c r="BY448" s="139"/>
      <c r="BZ448" s="139"/>
      <c r="CA448" s="134"/>
      <c r="CB448" s="134"/>
      <c r="CC448" s="134"/>
      <c r="CD448" s="134"/>
      <c r="CE448" s="134"/>
      <c r="CF448" s="134"/>
      <c r="CG448" s="92"/>
      <c r="CH448" s="92"/>
      <c r="CI448" s="92"/>
      <c r="CJ448" s="92"/>
      <c r="CK448" s="92"/>
    </row>
    <row r="449" spans="1:89" ht="17.25" customHeight="1">
      <c r="A449" s="160"/>
      <c r="B449" s="165"/>
      <c r="C449" s="164"/>
      <c r="D449" s="137">
        <f t="shared" si="33"/>
        <v>0</v>
      </c>
      <c r="E449" s="208"/>
      <c r="F449" s="202"/>
      <c r="G449" s="207"/>
      <c r="H449" s="202"/>
      <c r="I449" s="208"/>
      <c r="J449" s="202"/>
      <c r="K449" s="208">
        <f t="shared" si="12"/>
        <v>0</v>
      </c>
      <c r="L449" s="202"/>
      <c r="M449" s="207"/>
      <c r="N449" s="202"/>
      <c r="O449" s="209"/>
      <c r="P449" s="202"/>
      <c r="Q449" s="206"/>
      <c r="R449" s="202"/>
      <c r="S449" s="207"/>
      <c r="T449" s="202"/>
      <c r="U449" s="207"/>
      <c r="V449" s="202"/>
      <c r="W449" s="208"/>
      <c r="X449" s="202"/>
      <c r="Y449" s="203">
        <f t="shared" si="31"/>
        <v>0</v>
      </c>
      <c r="Z449" s="202"/>
      <c r="AA449" s="207"/>
      <c r="AB449" s="202"/>
      <c r="AC449" s="205"/>
      <c r="AD449" s="202"/>
      <c r="AE449" s="206"/>
      <c r="AF449" s="202"/>
      <c r="AG449" s="204"/>
      <c r="AH449" s="202"/>
      <c r="AI449" s="204"/>
      <c r="AJ449" s="202"/>
      <c r="AK449" s="201"/>
      <c r="AL449" s="202"/>
      <c r="AM449" s="203">
        <f t="shared" si="14"/>
        <v>0</v>
      </c>
      <c r="AN449" s="202"/>
      <c r="AO449" s="204"/>
      <c r="AP449" s="202"/>
      <c r="AQ449" s="205"/>
      <c r="AR449" s="202"/>
      <c r="AS449" s="206"/>
      <c r="AT449" s="202"/>
      <c r="AU449" s="204"/>
      <c r="AV449" s="202"/>
      <c r="AW449" s="204"/>
      <c r="AX449" s="202"/>
      <c r="AY449" s="201"/>
      <c r="AZ449" s="202"/>
      <c r="BA449" s="203">
        <f t="shared" si="15"/>
        <v>0</v>
      </c>
      <c r="BB449" s="202"/>
      <c r="BC449" s="204"/>
      <c r="BD449" s="202"/>
      <c r="BE449" s="205"/>
      <c r="BF449" s="202"/>
      <c r="BG449" s="206"/>
      <c r="BH449" s="202"/>
      <c r="BI449" s="204"/>
      <c r="BJ449" s="202"/>
      <c r="BK449" s="204"/>
      <c r="BL449" s="202"/>
      <c r="BM449" s="201"/>
      <c r="BN449" s="202"/>
      <c r="BO449" s="203">
        <f t="shared" si="16"/>
        <v>0</v>
      </c>
      <c r="BP449" s="202"/>
      <c r="BQ449" s="138"/>
      <c r="BR449" s="128"/>
      <c r="BS449" s="128"/>
      <c r="BT449" s="128"/>
      <c r="BU449" s="128"/>
      <c r="BV449" s="128"/>
      <c r="BW449" s="139"/>
      <c r="BX449" s="140"/>
      <c r="BY449" s="139"/>
      <c r="BZ449" s="139"/>
      <c r="CA449" s="134"/>
      <c r="CB449" s="134"/>
      <c r="CC449" s="134"/>
      <c r="CD449" s="134"/>
      <c r="CE449" s="134"/>
      <c r="CF449" s="134"/>
      <c r="CG449" s="92"/>
      <c r="CH449" s="92"/>
      <c r="CI449" s="92"/>
      <c r="CJ449" s="92"/>
      <c r="CK449" s="92"/>
    </row>
    <row r="450" spans="1:89" ht="17.25" customHeight="1">
      <c r="A450" s="160"/>
      <c r="B450" s="165"/>
      <c r="C450" s="164"/>
      <c r="D450" s="137">
        <f t="shared" si="33"/>
        <v>0</v>
      </c>
      <c r="E450" s="208"/>
      <c r="F450" s="202"/>
      <c r="G450" s="207"/>
      <c r="H450" s="202"/>
      <c r="I450" s="208"/>
      <c r="J450" s="202"/>
      <c r="K450" s="208">
        <f t="shared" si="12"/>
        <v>0</v>
      </c>
      <c r="L450" s="202"/>
      <c r="M450" s="207"/>
      <c r="N450" s="202"/>
      <c r="O450" s="209"/>
      <c r="P450" s="202"/>
      <c r="Q450" s="206"/>
      <c r="R450" s="202"/>
      <c r="S450" s="207"/>
      <c r="T450" s="202"/>
      <c r="U450" s="207"/>
      <c r="V450" s="202"/>
      <c r="W450" s="208"/>
      <c r="X450" s="202"/>
      <c r="Y450" s="203">
        <f t="shared" si="31"/>
        <v>0</v>
      </c>
      <c r="Z450" s="202"/>
      <c r="AA450" s="207"/>
      <c r="AB450" s="202"/>
      <c r="AC450" s="205"/>
      <c r="AD450" s="202"/>
      <c r="AE450" s="206"/>
      <c r="AF450" s="202"/>
      <c r="AG450" s="204"/>
      <c r="AH450" s="202"/>
      <c r="AI450" s="204"/>
      <c r="AJ450" s="202"/>
      <c r="AK450" s="201"/>
      <c r="AL450" s="202"/>
      <c r="AM450" s="203">
        <f t="shared" si="14"/>
        <v>0</v>
      </c>
      <c r="AN450" s="202"/>
      <c r="AO450" s="204"/>
      <c r="AP450" s="202"/>
      <c r="AQ450" s="205"/>
      <c r="AR450" s="202"/>
      <c r="AS450" s="206"/>
      <c r="AT450" s="202"/>
      <c r="AU450" s="204"/>
      <c r="AV450" s="202"/>
      <c r="AW450" s="204"/>
      <c r="AX450" s="202"/>
      <c r="AY450" s="201"/>
      <c r="AZ450" s="202"/>
      <c r="BA450" s="203">
        <f t="shared" si="15"/>
        <v>0</v>
      </c>
      <c r="BB450" s="202"/>
      <c r="BC450" s="204"/>
      <c r="BD450" s="202"/>
      <c r="BE450" s="205"/>
      <c r="BF450" s="202"/>
      <c r="BG450" s="206"/>
      <c r="BH450" s="202"/>
      <c r="BI450" s="204"/>
      <c r="BJ450" s="202"/>
      <c r="BK450" s="204"/>
      <c r="BL450" s="202"/>
      <c r="BM450" s="201"/>
      <c r="BN450" s="202"/>
      <c r="BO450" s="203">
        <f t="shared" si="16"/>
        <v>0</v>
      </c>
      <c r="BP450" s="202"/>
      <c r="BQ450" s="138"/>
      <c r="BR450" s="128"/>
      <c r="BS450" s="128"/>
      <c r="BT450" s="128"/>
      <c r="BU450" s="128"/>
      <c r="BV450" s="128"/>
      <c r="BW450" s="139"/>
      <c r="BX450" s="140"/>
      <c r="BY450" s="139"/>
      <c r="BZ450" s="139"/>
      <c r="CA450" s="134"/>
      <c r="CB450" s="134"/>
      <c r="CC450" s="134"/>
      <c r="CD450" s="134"/>
      <c r="CE450" s="134"/>
      <c r="CF450" s="134"/>
      <c r="CG450" s="92"/>
      <c r="CH450" s="92"/>
      <c r="CI450" s="92"/>
      <c r="CJ450" s="92"/>
      <c r="CK450" s="92"/>
    </row>
    <row r="451" spans="1:89" ht="17.25" customHeight="1">
      <c r="A451" s="160"/>
      <c r="B451" s="165"/>
      <c r="C451" s="164"/>
      <c r="D451" s="137">
        <f t="shared" si="33"/>
        <v>0</v>
      </c>
      <c r="E451" s="208"/>
      <c r="F451" s="202"/>
      <c r="G451" s="207"/>
      <c r="H451" s="202"/>
      <c r="I451" s="208"/>
      <c r="J451" s="202"/>
      <c r="K451" s="208">
        <f t="shared" si="12"/>
        <v>0</v>
      </c>
      <c r="L451" s="202"/>
      <c r="M451" s="207"/>
      <c r="N451" s="202"/>
      <c r="O451" s="209"/>
      <c r="P451" s="202"/>
      <c r="Q451" s="206"/>
      <c r="R451" s="202"/>
      <c r="S451" s="207"/>
      <c r="T451" s="202"/>
      <c r="U451" s="207"/>
      <c r="V451" s="202"/>
      <c r="W451" s="208"/>
      <c r="X451" s="202"/>
      <c r="Y451" s="203">
        <f t="shared" si="31"/>
        <v>0</v>
      </c>
      <c r="Z451" s="202"/>
      <c r="AA451" s="207"/>
      <c r="AB451" s="202"/>
      <c r="AC451" s="205"/>
      <c r="AD451" s="202"/>
      <c r="AE451" s="206"/>
      <c r="AF451" s="202"/>
      <c r="AG451" s="204"/>
      <c r="AH451" s="202"/>
      <c r="AI451" s="204"/>
      <c r="AJ451" s="202"/>
      <c r="AK451" s="201"/>
      <c r="AL451" s="202"/>
      <c r="AM451" s="203">
        <f t="shared" si="14"/>
        <v>0</v>
      </c>
      <c r="AN451" s="202"/>
      <c r="AO451" s="204"/>
      <c r="AP451" s="202"/>
      <c r="AQ451" s="205"/>
      <c r="AR451" s="202"/>
      <c r="AS451" s="206"/>
      <c r="AT451" s="202"/>
      <c r="AU451" s="204"/>
      <c r="AV451" s="202"/>
      <c r="AW451" s="204"/>
      <c r="AX451" s="202"/>
      <c r="AY451" s="201"/>
      <c r="AZ451" s="202"/>
      <c r="BA451" s="203">
        <f t="shared" si="15"/>
        <v>0</v>
      </c>
      <c r="BB451" s="202"/>
      <c r="BC451" s="204"/>
      <c r="BD451" s="202"/>
      <c r="BE451" s="205"/>
      <c r="BF451" s="202"/>
      <c r="BG451" s="206"/>
      <c r="BH451" s="202"/>
      <c r="BI451" s="204"/>
      <c r="BJ451" s="202"/>
      <c r="BK451" s="204"/>
      <c r="BL451" s="202"/>
      <c r="BM451" s="201"/>
      <c r="BN451" s="202"/>
      <c r="BO451" s="203">
        <f t="shared" si="16"/>
        <v>0</v>
      </c>
      <c r="BP451" s="202"/>
      <c r="BQ451" s="138"/>
      <c r="BR451" s="128"/>
      <c r="BS451" s="128"/>
      <c r="BT451" s="128"/>
      <c r="BU451" s="128"/>
      <c r="BV451" s="128"/>
      <c r="BW451" s="139"/>
      <c r="BX451" s="140"/>
      <c r="BY451" s="139"/>
      <c r="BZ451" s="139"/>
      <c r="CA451" s="134"/>
      <c r="CB451" s="134"/>
      <c r="CC451" s="134"/>
      <c r="CD451" s="134"/>
      <c r="CE451" s="134"/>
      <c r="CF451" s="134"/>
      <c r="CG451" s="92"/>
      <c r="CH451" s="92"/>
      <c r="CI451" s="92"/>
      <c r="CJ451" s="92"/>
      <c r="CK451" s="92"/>
    </row>
    <row r="452" spans="1:89" ht="17.25" customHeight="1">
      <c r="A452" s="160"/>
      <c r="B452" s="165"/>
      <c r="C452" s="164"/>
      <c r="D452" s="137">
        <f t="shared" si="33"/>
        <v>0</v>
      </c>
      <c r="E452" s="208"/>
      <c r="F452" s="202"/>
      <c r="G452" s="207"/>
      <c r="H452" s="202"/>
      <c r="I452" s="208"/>
      <c r="J452" s="202"/>
      <c r="K452" s="208">
        <f t="shared" si="12"/>
        <v>0</v>
      </c>
      <c r="L452" s="202"/>
      <c r="M452" s="207"/>
      <c r="N452" s="202"/>
      <c r="O452" s="209"/>
      <c r="P452" s="202"/>
      <c r="Q452" s="206"/>
      <c r="R452" s="202"/>
      <c r="S452" s="207"/>
      <c r="T452" s="202"/>
      <c r="U452" s="207"/>
      <c r="V452" s="202"/>
      <c r="W452" s="208"/>
      <c r="X452" s="202"/>
      <c r="Y452" s="203">
        <f t="shared" si="31"/>
        <v>0</v>
      </c>
      <c r="Z452" s="202"/>
      <c r="AA452" s="207"/>
      <c r="AB452" s="202"/>
      <c r="AC452" s="205"/>
      <c r="AD452" s="202"/>
      <c r="AE452" s="206"/>
      <c r="AF452" s="202"/>
      <c r="AG452" s="204"/>
      <c r="AH452" s="202"/>
      <c r="AI452" s="204"/>
      <c r="AJ452" s="202"/>
      <c r="AK452" s="201"/>
      <c r="AL452" s="202"/>
      <c r="AM452" s="203">
        <f t="shared" si="14"/>
        <v>0</v>
      </c>
      <c r="AN452" s="202"/>
      <c r="AO452" s="204"/>
      <c r="AP452" s="202"/>
      <c r="AQ452" s="205"/>
      <c r="AR452" s="202"/>
      <c r="AS452" s="206"/>
      <c r="AT452" s="202"/>
      <c r="AU452" s="204"/>
      <c r="AV452" s="202"/>
      <c r="AW452" s="204"/>
      <c r="AX452" s="202"/>
      <c r="AY452" s="201"/>
      <c r="AZ452" s="202"/>
      <c r="BA452" s="203">
        <f t="shared" si="15"/>
        <v>0</v>
      </c>
      <c r="BB452" s="202"/>
      <c r="BC452" s="204"/>
      <c r="BD452" s="202"/>
      <c r="BE452" s="205"/>
      <c r="BF452" s="202"/>
      <c r="BG452" s="206"/>
      <c r="BH452" s="202"/>
      <c r="BI452" s="204"/>
      <c r="BJ452" s="202"/>
      <c r="BK452" s="204"/>
      <c r="BL452" s="202"/>
      <c r="BM452" s="201"/>
      <c r="BN452" s="202"/>
      <c r="BO452" s="203">
        <f t="shared" si="16"/>
        <v>0</v>
      </c>
      <c r="BP452" s="202"/>
      <c r="BQ452" s="138"/>
      <c r="BR452" s="128"/>
      <c r="BS452" s="128"/>
      <c r="BT452" s="128"/>
      <c r="BU452" s="128"/>
      <c r="BV452" s="128"/>
      <c r="BW452" s="139"/>
      <c r="BX452" s="140"/>
      <c r="BY452" s="139"/>
      <c r="BZ452" s="139"/>
      <c r="CA452" s="134"/>
      <c r="CB452" s="134"/>
      <c r="CC452" s="134"/>
      <c r="CD452" s="134"/>
      <c r="CE452" s="134"/>
      <c r="CF452" s="134"/>
      <c r="CG452" s="92"/>
      <c r="CH452" s="92"/>
      <c r="CI452" s="92"/>
      <c r="CJ452" s="92"/>
      <c r="CK452" s="92"/>
    </row>
    <row r="453" spans="1:89" ht="17.25" customHeight="1">
      <c r="A453" s="160"/>
      <c r="B453" s="165"/>
      <c r="C453" s="164"/>
      <c r="D453" s="137">
        <f t="shared" si="33"/>
        <v>0</v>
      </c>
      <c r="E453" s="208"/>
      <c r="F453" s="202"/>
      <c r="G453" s="207"/>
      <c r="H453" s="202"/>
      <c r="I453" s="208"/>
      <c r="J453" s="202"/>
      <c r="K453" s="208">
        <f t="shared" si="12"/>
        <v>0</v>
      </c>
      <c r="L453" s="202"/>
      <c r="M453" s="207"/>
      <c r="N453" s="202"/>
      <c r="O453" s="209"/>
      <c r="P453" s="202"/>
      <c r="Q453" s="206"/>
      <c r="R453" s="202"/>
      <c r="S453" s="207"/>
      <c r="T453" s="202"/>
      <c r="U453" s="207"/>
      <c r="V453" s="202"/>
      <c r="W453" s="208"/>
      <c r="X453" s="202"/>
      <c r="Y453" s="203">
        <f t="shared" si="31"/>
        <v>0</v>
      </c>
      <c r="Z453" s="202"/>
      <c r="AA453" s="207"/>
      <c r="AB453" s="202"/>
      <c r="AC453" s="205"/>
      <c r="AD453" s="202"/>
      <c r="AE453" s="206"/>
      <c r="AF453" s="202"/>
      <c r="AG453" s="204"/>
      <c r="AH453" s="202"/>
      <c r="AI453" s="204"/>
      <c r="AJ453" s="202"/>
      <c r="AK453" s="201"/>
      <c r="AL453" s="202"/>
      <c r="AM453" s="203">
        <f t="shared" si="14"/>
        <v>0</v>
      </c>
      <c r="AN453" s="202"/>
      <c r="AO453" s="204"/>
      <c r="AP453" s="202"/>
      <c r="AQ453" s="205"/>
      <c r="AR453" s="202"/>
      <c r="AS453" s="206"/>
      <c r="AT453" s="202"/>
      <c r="AU453" s="204"/>
      <c r="AV453" s="202"/>
      <c r="AW453" s="204"/>
      <c r="AX453" s="202"/>
      <c r="AY453" s="201"/>
      <c r="AZ453" s="202"/>
      <c r="BA453" s="203">
        <f t="shared" si="15"/>
        <v>0</v>
      </c>
      <c r="BB453" s="202"/>
      <c r="BC453" s="204"/>
      <c r="BD453" s="202"/>
      <c r="BE453" s="205"/>
      <c r="BF453" s="202"/>
      <c r="BG453" s="206"/>
      <c r="BH453" s="202"/>
      <c r="BI453" s="204"/>
      <c r="BJ453" s="202"/>
      <c r="BK453" s="204"/>
      <c r="BL453" s="202"/>
      <c r="BM453" s="201"/>
      <c r="BN453" s="202"/>
      <c r="BO453" s="203">
        <f t="shared" si="16"/>
        <v>0</v>
      </c>
      <c r="BP453" s="202"/>
      <c r="BQ453" s="138"/>
      <c r="BR453" s="128"/>
      <c r="BS453" s="128"/>
      <c r="BT453" s="128"/>
      <c r="BU453" s="128"/>
      <c r="BV453" s="128"/>
      <c r="BW453" s="139"/>
      <c r="BX453" s="140"/>
      <c r="BY453" s="139"/>
      <c r="BZ453" s="139"/>
      <c r="CA453" s="134"/>
      <c r="CB453" s="134"/>
      <c r="CC453" s="134"/>
      <c r="CD453" s="134"/>
      <c r="CE453" s="134"/>
      <c r="CF453" s="134"/>
      <c r="CG453" s="92"/>
      <c r="CH453" s="92"/>
      <c r="CI453" s="92"/>
      <c r="CJ453" s="92"/>
      <c r="CK453" s="92"/>
    </row>
    <row r="454" spans="1:89" ht="17.25" customHeight="1">
      <c r="A454" s="160"/>
      <c r="B454" s="165"/>
      <c r="C454" s="164"/>
      <c r="D454" s="137">
        <f t="shared" si="33"/>
        <v>0</v>
      </c>
      <c r="E454" s="208"/>
      <c r="F454" s="202"/>
      <c r="G454" s="207"/>
      <c r="H454" s="202"/>
      <c r="I454" s="208"/>
      <c r="J454" s="202"/>
      <c r="K454" s="208">
        <f t="shared" si="12"/>
        <v>0</v>
      </c>
      <c r="L454" s="202"/>
      <c r="M454" s="207"/>
      <c r="N454" s="202"/>
      <c r="O454" s="209"/>
      <c r="P454" s="202"/>
      <c r="Q454" s="206"/>
      <c r="R454" s="202"/>
      <c r="S454" s="207"/>
      <c r="T454" s="202"/>
      <c r="U454" s="207"/>
      <c r="V454" s="202"/>
      <c r="W454" s="208"/>
      <c r="X454" s="202"/>
      <c r="Y454" s="203">
        <f t="shared" si="31"/>
        <v>0</v>
      </c>
      <c r="Z454" s="202"/>
      <c r="AA454" s="207"/>
      <c r="AB454" s="202"/>
      <c r="AC454" s="205"/>
      <c r="AD454" s="202"/>
      <c r="AE454" s="206"/>
      <c r="AF454" s="202"/>
      <c r="AG454" s="204"/>
      <c r="AH454" s="202"/>
      <c r="AI454" s="204"/>
      <c r="AJ454" s="202"/>
      <c r="AK454" s="201"/>
      <c r="AL454" s="202"/>
      <c r="AM454" s="203">
        <f t="shared" si="14"/>
        <v>0</v>
      </c>
      <c r="AN454" s="202"/>
      <c r="AO454" s="204"/>
      <c r="AP454" s="202"/>
      <c r="AQ454" s="205"/>
      <c r="AR454" s="202"/>
      <c r="AS454" s="206"/>
      <c r="AT454" s="202"/>
      <c r="AU454" s="204"/>
      <c r="AV454" s="202"/>
      <c r="AW454" s="204"/>
      <c r="AX454" s="202"/>
      <c r="AY454" s="201"/>
      <c r="AZ454" s="202"/>
      <c r="BA454" s="203">
        <f t="shared" si="15"/>
        <v>0</v>
      </c>
      <c r="BB454" s="202"/>
      <c r="BC454" s="204"/>
      <c r="BD454" s="202"/>
      <c r="BE454" s="205"/>
      <c r="BF454" s="202"/>
      <c r="BG454" s="206"/>
      <c r="BH454" s="202"/>
      <c r="BI454" s="204"/>
      <c r="BJ454" s="202"/>
      <c r="BK454" s="204"/>
      <c r="BL454" s="202"/>
      <c r="BM454" s="201"/>
      <c r="BN454" s="202"/>
      <c r="BO454" s="203">
        <f t="shared" si="16"/>
        <v>0</v>
      </c>
      <c r="BP454" s="202"/>
      <c r="BQ454" s="138"/>
      <c r="BR454" s="128"/>
      <c r="BS454" s="128"/>
      <c r="BT454" s="128"/>
      <c r="BU454" s="128"/>
      <c r="BV454" s="128"/>
      <c r="BW454" s="139"/>
      <c r="BX454" s="140"/>
      <c r="BY454" s="139"/>
      <c r="BZ454" s="139"/>
      <c r="CA454" s="134"/>
      <c r="CB454" s="134"/>
      <c r="CC454" s="134"/>
      <c r="CD454" s="134"/>
      <c r="CE454" s="134"/>
      <c r="CF454" s="134"/>
      <c r="CG454" s="92"/>
      <c r="CH454" s="92"/>
      <c r="CI454" s="92"/>
      <c r="CJ454" s="92"/>
      <c r="CK454" s="92"/>
    </row>
    <row r="455" spans="1:89" ht="17.25" customHeight="1">
      <c r="A455" s="160"/>
      <c r="B455" s="165"/>
      <c r="C455" s="164"/>
      <c r="D455" s="137">
        <f t="shared" si="33"/>
        <v>0</v>
      </c>
      <c r="E455" s="208"/>
      <c r="F455" s="202"/>
      <c r="G455" s="207"/>
      <c r="H455" s="202"/>
      <c r="I455" s="208"/>
      <c r="J455" s="202"/>
      <c r="K455" s="208">
        <f t="shared" si="12"/>
        <v>0</v>
      </c>
      <c r="L455" s="202"/>
      <c r="M455" s="207"/>
      <c r="N455" s="202"/>
      <c r="O455" s="209"/>
      <c r="P455" s="202"/>
      <c r="Q455" s="206"/>
      <c r="R455" s="202"/>
      <c r="S455" s="207"/>
      <c r="T455" s="202"/>
      <c r="U455" s="207"/>
      <c r="V455" s="202"/>
      <c r="W455" s="208"/>
      <c r="X455" s="202"/>
      <c r="Y455" s="203">
        <f t="shared" si="31"/>
        <v>0</v>
      </c>
      <c r="Z455" s="202"/>
      <c r="AA455" s="207"/>
      <c r="AB455" s="202"/>
      <c r="AC455" s="205"/>
      <c r="AD455" s="202"/>
      <c r="AE455" s="206"/>
      <c r="AF455" s="202"/>
      <c r="AG455" s="204"/>
      <c r="AH455" s="202"/>
      <c r="AI455" s="204"/>
      <c r="AJ455" s="202"/>
      <c r="AK455" s="201"/>
      <c r="AL455" s="202"/>
      <c r="AM455" s="203">
        <f t="shared" si="14"/>
        <v>0</v>
      </c>
      <c r="AN455" s="202"/>
      <c r="AO455" s="204"/>
      <c r="AP455" s="202"/>
      <c r="AQ455" s="205"/>
      <c r="AR455" s="202"/>
      <c r="AS455" s="206"/>
      <c r="AT455" s="202"/>
      <c r="AU455" s="204"/>
      <c r="AV455" s="202"/>
      <c r="AW455" s="204"/>
      <c r="AX455" s="202"/>
      <c r="AY455" s="201"/>
      <c r="AZ455" s="202"/>
      <c r="BA455" s="203">
        <f t="shared" si="15"/>
        <v>0</v>
      </c>
      <c r="BB455" s="202"/>
      <c r="BC455" s="204"/>
      <c r="BD455" s="202"/>
      <c r="BE455" s="205"/>
      <c r="BF455" s="202"/>
      <c r="BG455" s="206"/>
      <c r="BH455" s="202"/>
      <c r="BI455" s="204"/>
      <c r="BJ455" s="202"/>
      <c r="BK455" s="204"/>
      <c r="BL455" s="202"/>
      <c r="BM455" s="201"/>
      <c r="BN455" s="202"/>
      <c r="BO455" s="203">
        <f t="shared" si="16"/>
        <v>0</v>
      </c>
      <c r="BP455" s="202"/>
      <c r="BQ455" s="138"/>
      <c r="BR455" s="128"/>
      <c r="BS455" s="128"/>
      <c r="BT455" s="128"/>
      <c r="BU455" s="128"/>
      <c r="BV455" s="128"/>
      <c r="BW455" s="139"/>
      <c r="BX455" s="140"/>
      <c r="BY455" s="139"/>
      <c r="BZ455" s="139"/>
      <c r="CA455" s="134"/>
      <c r="CB455" s="134"/>
      <c r="CC455" s="134"/>
      <c r="CD455" s="134"/>
      <c r="CE455" s="134"/>
      <c r="CF455" s="134"/>
      <c r="CG455" s="92"/>
      <c r="CH455" s="92"/>
      <c r="CI455" s="92"/>
      <c r="CJ455" s="92"/>
      <c r="CK455" s="92"/>
    </row>
    <row r="456" spans="1:89" ht="17.25" customHeight="1">
      <c r="A456" s="160"/>
      <c r="B456" s="165"/>
      <c r="C456" s="164"/>
      <c r="D456" s="137">
        <f t="shared" si="33"/>
        <v>0</v>
      </c>
      <c r="E456" s="208"/>
      <c r="F456" s="202"/>
      <c r="G456" s="207"/>
      <c r="H456" s="202"/>
      <c r="I456" s="208"/>
      <c r="J456" s="202"/>
      <c r="K456" s="208">
        <f t="shared" si="12"/>
        <v>0</v>
      </c>
      <c r="L456" s="202"/>
      <c r="M456" s="207"/>
      <c r="N456" s="202"/>
      <c r="O456" s="209"/>
      <c r="P456" s="202"/>
      <c r="Q456" s="206"/>
      <c r="R456" s="202"/>
      <c r="S456" s="207"/>
      <c r="T456" s="202"/>
      <c r="U456" s="207"/>
      <c r="V456" s="202"/>
      <c r="W456" s="208"/>
      <c r="X456" s="202"/>
      <c r="Y456" s="203">
        <f t="shared" si="31"/>
        <v>0</v>
      </c>
      <c r="Z456" s="202"/>
      <c r="AA456" s="207"/>
      <c r="AB456" s="202"/>
      <c r="AC456" s="205"/>
      <c r="AD456" s="202"/>
      <c r="AE456" s="206"/>
      <c r="AF456" s="202"/>
      <c r="AG456" s="204"/>
      <c r="AH456" s="202"/>
      <c r="AI456" s="204"/>
      <c r="AJ456" s="202"/>
      <c r="AK456" s="201"/>
      <c r="AL456" s="202"/>
      <c r="AM456" s="203">
        <f t="shared" si="14"/>
        <v>0</v>
      </c>
      <c r="AN456" s="202"/>
      <c r="AO456" s="204"/>
      <c r="AP456" s="202"/>
      <c r="AQ456" s="205"/>
      <c r="AR456" s="202"/>
      <c r="AS456" s="206"/>
      <c r="AT456" s="202"/>
      <c r="AU456" s="204"/>
      <c r="AV456" s="202"/>
      <c r="AW456" s="204"/>
      <c r="AX456" s="202"/>
      <c r="AY456" s="201"/>
      <c r="AZ456" s="202"/>
      <c r="BA456" s="203">
        <f t="shared" si="15"/>
        <v>0</v>
      </c>
      <c r="BB456" s="202"/>
      <c r="BC456" s="204"/>
      <c r="BD456" s="202"/>
      <c r="BE456" s="205"/>
      <c r="BF456" s="202"/>
      <c r="BG456" s="206"/>
      <c r="BH456" s="202"/>
      <c r="BI456" s="204"/>
      <c r="BJ456" s="202"/>
      <c r="BK456" s="204"/>
      <c r="BL456" s="202"/>
      <c r="BM456" s="201"/>
      <c r="BN456" s="202"/>
      <c r="BO456" s="203">
        <f t="shared" si="16"/>
        <v>0</v>
      </c>
      <c r="BP456" s="202"/>
      <c r="BQ456" s="138"/>
      <c r="BR456" s="128"/>
      <c r="BS456" s="128"/>
      <c r="BT456" s="128"/>
      <c r="BU456" s="128"/>
      <c r="BV456" s="128"/>
      <c r="BW456" s="139"/>
      <c r="BX456" s="140"/>
      <c r="BY456" s="139"/>
      <c r="BZ456" s="139"/>
      <c r="CA456" s="134"/>
      <c r="CB456" s="134"/>
      <c r="CC456" s="134"/>
      <c r="CD456" s="134"/>
      <c r="CE456" s="134"/>
      <c r="CF456" s="134"/>
      <c r="CG456" s="92"/>
      <c r="CH456" s="92"/>
      <c r="CI456" s="92"/>
      <c r="CJ456" s="92"/>
      <c r="CK456" s="92"/>
    </row>
    <row r="457" spans="1:89" ht="17.25" customHeight="1">
      <c r="A457" s="160"/>
      <c r="B457" s="165"/>
      <c r="C457" s="164"/>
      <c r="D457" s="137">
        <f t="shared" si="33"/>
        <v>0</v>
      </c>
      <c r="E457" s="208"/>
      <c r="F457" s="202"/>
      <c r="G457" s="207"/>
      <c r="H457" s="202"/>
      <c r="I457" s="208"/>
      <c r="J457" s="202"/>
      <c r="K457" s="208">
        <f t="shared" si="12"/>
        <v>0</v>
      </c>
      <c r="L457" s="202"/>
      <c r="M457" s="207"/>
      <c r="N457" s="202"/>
      <c r="O457" s="209"/>
      <c r="P457" s="202"/>
      <c r="Q457" s="206"/>
      <c r="R457" s="202"/>
      <c r="S457" s="207"/>
      <c r="T457" s="202"/>
      <c r="U457" s="207"/>
      <c r="V457" s="202"/>
      <c r="W457" s="208"/>
      <c r="X457" s="202"/>
      <c r="Y457" s="203">
        <f t="shared" si="31"/>
        <v>0</v>
      </c>
      <c r="Z457" s="202"/>
      <c r="AA457" s="207"/>
      <c r="AB457" s="202"/>
      <c r="AC457" s="205"/>
      <c r="AD457" s="202"/>
      <c r="AE457" s="206"/>
      <c r="AF457" s="202"/>
      <c r="AG457" s="204"/>
      <c r="AH457" s="202"/>
      <c r="AI457" s="204"/>
      <c r="AJ457" s="202"/>
      <c r="AK457" s="201"/>
      <c r="AL457" s="202"/>
      <c r="AM457" s="203">
        <f t="shared" si="14"/>
        <v>0</v>
      </c>
      <c r="AN457" s="202"/>
      <c r="AO457" s="204"/>
      <c r="AP457" s="202"/>
      <c r="AQ457" s="205"/>
      <c r="AR457" s="202"/>
      <c r="AS457" s="206"/>
      <c r="AT457" s="202"/>
      <c r="AU457" s="204"/>
      <c r="AV457" s="202"/>
      <c r="AW457" s="204"/>
      <c r="AX457" s="202"/>
      <c r="AY457" s="201"/>
      <c r="AZ457" s="202"/>
      <c r="BA457" s="203">
        <f t="shared" si="15"/>
        <v>0</v>
      </c>
      <c r="BB457" s="202"/>
      <c r="BC457" s="204"/>
      <c r="BD457" s="202"/>
      <c r="BE457" s="205"/>
      <c r="BF457" s="202"/>
      <c r="BG457" s="206"/>
      <c r="BH457" s="202"/>
      <c r="BI457" s="204"/>
      <c r="BJ457" s="202"/>
      <c r="BK457" s="204"/>
      <c r="BL457" s="202"/>
      <c r="BM457" s="201"/>
      <c r="BN457" s="202"/>
      <c r="BO457" s="203">
        <f t="shared" si="16"/>
        <v>0</v>
      </c>
      <c r="BP457" s="202"/>
      <c r="BQ457" s="138"/>
      <c r="BR457" s="128"/>
      <c r="BS457" s="128"/>
      <c r="BT457" s="128"/>
      <c r="BU457" s="128"/>
      <c r="BV457" s="128"/>
      <c r="BW457" s="139"/>
      <c r="BX457" s="140"/>
      <c r="BY457" s="139"/>
      <c r="BZ457" s="139"/>
      <c r="CA457" s="134"/>
      <c r="CB457" s="134"/>
      <c r="CC457" s="134"/>
      <c r="CD457" s="134"/>
      <c r="CE457" s="134"/>
      <c r="CF457" s="134"/>
      <c r="CG457" s="92"/>
      <c r="CH457" s="92"/>
      <c r="CI457" s="92"/>
      <c r="CJ457" s="92"/>
      <c r="CK457" s="92"/>
    </row>
    <row r="458" spans="1:89" ht="17.25" customHeight="1">
      <c r="A458" s="160"/>
      <c r="B458" s="165"/>
      <c r="C458" s="164"/>
      <c r="D458" s="137">
        <f t="shared" si="33"/>
        <v>0</v>
      </c>
      <c r="E458" s="208"/>
      <c r="F458" s="202"/>
      <c r="G458" s="207"/>
      <c r="H458" s="202"/>
      <c r="I458" s="208"/>
      <c r="J458" s="202"/>
      <c r="K458" s="208">
        <f t="shared" si="12"/>
        <v>0</v>
      </c>
      <c r="L458" s="202"/>
      <c r="M458" s="207"/>
      <c r="N458" s="202"/>
      <c r="O458" s="209"/>
      <c r="P458" s="202"/>
      <c r="Q458" s="206"/>
      <c r="R458" s="202"/>
      <c r="S458" s="207"/>
      <c r="T458" s="202"/>
      <c r="U458" s="207"/>
      <c r="V458" s="202"/>
      <c r="W458" s="208"/>
      <c r="X458" s="202"/>
      <c r="Y458" s="203">
        <f t="shared" si="31"/>
        <v>0</v>
      </c>
      <c r="Z458" s="202"/>
      <c r="AA458" s="207"/>
      <c r="AB458" s="202"/>
      <c r="AC458" s="205"/>
      <c r="AD458" s="202"/>
      <c r="AE458" s="206"/>
      <c r="AF458" s="202"/>
      <c r="AG458" s="204"/>
      <c r="AH458" s="202"/>
      <c r="AI458" s="204"/>
      <c r="AJ458" s="202"/>
      <c r="AK458" s="201"/>
      <c r="AL458" s="202"/>
      <c r="AM458" s="203">
        <f t="shared" si="14"/>
        <v>0</v>
      </c>
      <c r="AN458" s="202"/>
      <c r="AO458" s="204"/>
      <c r="AP458" s="202"/>
      <c r="AQ458" s="205"/>
      <c r="AR458" s="202"/>
      <c r="AS458" s="206"/>
      <c r="AT458" s="202"/>
      <c r="AU458" s="204"/>
      <c r="AV458" s="202"/>
      <c r="AW458" s="204"/>
      <c r="AX458" s="202"/>
      <c r="AY458" s="201"/>
      <c r="AZ458" s="202"/>
      <c r="BA458" s="203">
        <f t="shared" si="15"/>
        <v>0</v>
      </c>
      <c r="BB458" s="202"/>
      <c r="BC458" s="204"/>
      <c r="BD458" s="202"/>
      <c r="BE458" s="205"/>
      <c r="BF458" s="202"/>
      <c r="BG458" s="206"/>
      <c r="BH458" s="202"/>
      <c r="BI458" s="204"/>
      <c r="BJ458" s="202"/>
      <c r="BK458" s="204"/>
      <c r="BL458" s="202"/>
      <c r="BM458" s="201"/>
      <c r="BN458" s="202"/>
      <c r="BO458" s="203">
        <f t="shared" si="16"/>
        <v>0</v>
      </c>
      <c r="BP458" s="202"/>
      <c r="BQ458" s="138"/>
      <c r="BR458" s="128"/>
      <c r="BS458" s="128"/>
      <c r="BT458" s="128"/>
      <c r="BU458" s="128"/>
      <c r="BV458" s="128"/>
      <c r="BW458" s="139"/>
      <c r="BX458" s="140"/>
      <c r="BY458" s="139"/>
      <c r="BZ458" s="139"/>
      <c r="CA458" s="134"/>
      <c r="CB458" s="134"/>
      <c r="CC458" s="134"/>
      <c r="CD458" s="134"/>
      <c r="CE458" s="134"/>
      <c r="CF458" s="134"/>
      <c r="CG458" s="92"/>
      <c r="CH458" s="92"/>
      <c r="CI458" s="92"/>
      <c r="CJ458" s="92"/>
      <c r="CK458" s="92"/>
    </row>
    <row r="459" spans="1:89" ht="17.25" customHeight="1">
      <c r="A459" s="160"/>
      <c r="B459" s="165"/>
      <c r="C459" s="164"/>
      <c r="D459" s="137">
        <f t="shared" si="33"/>
        <v>0</v>
      </c>
      <c r="E459" s="208"/>
      <c r="F459" s="202"/>
      <c r="G459" s="207"/>
      <c r="H459" s="202"/>
      <c r="I459" s="208"/>
      <c r="J459" s="202"/>
      <c r="K459" s="208">
        <f t="shared" si="12"/>
        <v>0</v>
      </c>
      <c r="L459" s="202"/>
      <c r="M459" s="207"/>
      <c r="N459" s="202"/>
      <c r="O459" s="209"/>
      <c r="P459" s="202"/>
      <c r="Q459" s="206"/>
      <c r="R459" s="202"/>
      <c r="S459" s="207"/>
      <c r="T459" s="202"/>
      <c r="U459" s="207"/>
      <c r="V459" s="202"/>
      <c r="W459" s="208"/>
      <c r="X459" s="202"/>
      <c r="Y459" s="203">
        <f t="shared" si="31"/>
        <v>0</v>
      </c>
      <c r="Z459" s="202"/>
      <c r="AA459" s="207"/>
      <c r="AB459" s="202"/>
      <c r="AC459" s="205"/>
      <c r="AD459" s="202"/>
      <c r="AE459" s="206"/>
      <c r="AF459" s="202"/>
      <c r="AG459" s="204"/>
      <c r="AH459" s="202"/>
      <c r="AI459" s="204"/>
      <c r="AJ459" s="202"/>
      <c r="AK459" s="201"/>
      <c r="AL459" s="202"/>
      <c r="AM459" s="203">
        <f t="shared" si="14"/>
        <v>0</v>
      </c>
      <c r="AN459" s="202"/>
      <c r="AO459" s="204"/>
      <c r="AP459" s="202"/>
      <c r="AQ459" s="205"/>
      <c r="AR459" s="202"/>
      <c r="AS459" s="206"/>
      <c r="AT459" s="202"/>
      <c r="AU459" s="204"/>
      <c r="AV459" s="202"/>
      <c r="AW459" s="204"/>
      <c r="AX459" s="202"/>
      <c r="AY459" s="201"/>
      <c r="AZ459" s="202"/>
      <c r="BA459" s="203">
        <f t="shared" si="15"/>
        <v>0</v>
      </c>
      <c r="BB459" s="202"/>
      <c r="BC459" s="204"/>
      <c r="BD459" s="202"/>
      <c r="BE459" s="205"/>
      <c r="BF459" s="202"/>
      <c r="BG459" s="206"/>
      <c r="BH459" s="202"/>
      <c r="BI459" s="204"/>
      <c r="BJ459" s="202"/>
      <c r="BK459" s="204"/>
      <c r="BL459" s="202"/>
      <c r="BM459" s="201"/>
      <c r="BN459" s="202"/>
      <c r="BO459" s="203">
        <f t="shared" si="16"/>
        <v>0</v>
      </c>
      <c r="BP459" s="202"/>
      <c r="BQ459" s="138"/>
      <c r="BR459" s="128"/>
      <c r="BS459" s="128"/>
      <c r="BT459" s="128"/>
      <c r="BU459" s="128"/>
      <c r="BV459" s="128"/>
      <c r="BW459" s="139"/>
      <c r="BX459" s="140"/>
      <c r="BY459" s="139"/>
      <c r="BZ459" s="139"/>
      <c r="CA459" s="134"/>
      <c r="CB459" s="134"/>
      <c r="CC459" s="134"/>
      <c r="CD459" s="134"/>
      <c r="CE459" s="134"/>
      <c r="CF459" s="134"/>
      <c r="CG459" s="92"/>
      <c r="CH459" s="92"/>
      <c r="CI459" s="92"/>
      <c r="CJ459" s="92"/>
      <c r="CK459" s="92"/>
    </row>
    <row r="460" spans="1:89" ht="17.25" customHeight="1">
      <c r="A460" s="160"/>
      <c r="B460" s="165"/>
      <c r="C460" s="164"/>
      <c r="D460" s="137">
        <f t="shared" si="33"/>
        <v>0</v>
      </c>
      <c r="E460" s="208"/>
      <c r="F460" s="202"/>
      <c r="G460" s="207"/>
      <c r="H460" s="202"/>
      <c r="I460" s="208"/>
      <c r="J460" s="202"/>
      <c r="K460" s="208">
        <f t="shared" si="12"/>
        <v>0</v>
      </c>
      <c r="L460" s="202"/>
      <c r="M460" s="207"/>
      <c r="N460" s="202"/>
      <c r="O460" s="209"/>
      <c r="P460" s="202"/>
      <c r="Q460" s="206"/>
      <c r="R460" s="202"/>
      <c r="S460" s="207"/>
      <c r="T460" s="202"/>
      <c r="U460" s="207"/>
      <c r="V460" s="202"/>
      <c r="W460" s="208"/>
      <c r="X460" s="202"/>
      <c r="Y460" s="203">
        <f t="shared" si="31"/>
        <v>0</v>
      </c>
      <c r="Z460" s="202"/>
      <c r="AA460" s="207"/>
      <c r="AB460" s="202"/>
      <c r="AC460" s="205"/>
      <c r="AD460" s="202"/>
      <c r="AE460" s="206"/>
      <c r="AF460" s="202"/>
      <c r="AG460" s="204"/>
      <c r="AH460" s="202"/>
      <c r="AI460" s="204"/>
      <c r="AJ460" s="202"/>
      <c r="AK460" s="201"/>
      <c r="AL460" s="202"/>
      <c r="AM460" s="203">
        <f t="shared" si="14"/>
        <v>0</v>
      </c>
      <c r="AN460" s="202"/>
      <c r="AO460" s="204"/>
      <c r="AP460" s="202"/>
      <c r="AQ460" s="205"/>
      <c r="AR460" s="202"/>
      <c r="AS460" s="206"/>
      <c r="AT460" s="202"/>
      <c r="AU460" s="204"/>
      <c r="AV460" s="202"/>
      <c r="AW460" s="204"/>
      <c r="AX460" s="202"/>
      <c r="AY460" s="201"/>
      <c r="AZ460" s="202"/>
      <c r="BA460" s="203">
        <f t="shared" si="15"/>
        <v>0</v>
      </c>
      <c r="BB460" s="202"/>
      <c r="BC460" s="204"/>
      <c r="BD460" s="202"/>
      <c r="BE460" s="205"/>
      <c r="BF460" s="202"/>
      <c r="BG460" s="206"/>
      <c r="BH460" s="202"/>
      <c r="BI460" s="204"/>
      <c r="BJ460" s="202"/>
      <c r="BK460" s="204"/>
      <c r="BL460" s="202"/>
      <c r="BM460" s="201"/>
      <c r="BN460" s="202"/>
      <c r="BO460" s="203">
        <f t="shared" si="16"/>
        <v>0</v>
      </c>
      <c r="BP460" s="202"/>
      <c r="BQ460" s="138"/>
      <c r="BR460" s="128"/>
      <c r="BS460" s="128"/>
      <c r="BT460" s="128"/>
      <c r="BU460" s="128"/>
      <c r="BV460" s="128"/>
      <c r="BW460" s="139"/>
      <c r="BX460" s="140"/>
      <c r="BY460" s="139"/>
      <c r="BZ460" s="139"/>
      <c r="CA460" s="134"/>
      <c r="CB460" s="134"/>
      <c r="CC460" s="134"/>
      <c r="CD460" s="134"/>
      <c r="CE460" s="134"/>
      <c r="CF460" s="134"/>
      <c r="CG460" s="92"/>
      <c r="CH460" s="92"/>
      <c r="CI460" s="92"/>
      <c r="CJ460" s="92"/>
      <c r="CK460" s="92"/>
    </row>
    <row r="461" spans="1:89" ht="17.25" customHeight="1">
      <c r="A461" s="160"/>
      <c r="B461" s="165"/>
      <c r="C461" s="164"/>
      <c r="D461" s="137">
        <f t="shared" si="33"/>
        <v>0</v>
      </c>
      <c r="E461" s="208"/>
      <c r="F461" s="202"/>
      <c r="G461" s="207"/>
      <c r="H461" s="202"/>
      <c r="I461" s="208"/>
      <c r="J461" s="202"/>
      <c r="K461" s="208">
        <f t="shared" si="12"/>
        <v>0</v>
      </c>
      <c r="L461" s="202"/>
      <c r="M461" s="207"/>
      <c r="N461" s="202"/>
      <c r="O461" s="209"/>
      <c r="P461" s="202"/>
      <c r="Q461" s="206"/>
      <c r="R461" s="202"/>
      <c r="S461" s="207"/>
      <c r="T461" s="202"/>
      <c r="U461" s="207"/>
      <c r="V461" s="202"/>
      <c r="W461" s="208"/>
      <c r="X461" s="202"/>
      <c r="Y461" s="203">
        <f t="shared" si="31"/>
        <v>0</v>
      </c>
      <c r="Z461" s="202"/>
      <c r="AA461" s="207"/>
      <c r="AB461" s="202"/>
      <c r="AC461" s="205"/>
      <c r="AD461" s="202"/>
      <c r="AE461" s="206"/>
      <c r="AF461" s="202"/>
      <c r="AG461" s="204"/>
      <c r="AH461" s="202"/>
      <c r="AI461" s="204"/>
      <c r="AJ461" s="202"/>
      <c r="AK461" s="201"/>
      <c r="AL461" s="202"/>
      <c r="AM461" s="203">
        <f t="shared" si="14"/>
        <v>0</v>
      </c>
      <c r="AN461" s="202"/>
      <c r="AO461" s="204"/>
      <c r="AP461" s="202"/>
      <c r="AQ461" s="205"/>
      <c r="AR461" s="202"/>
      <c r="AS461" s="206"/>
      <c r="AT461" s="202"/>
      <c r="AU461" s="204"/>
      <c r="AV461" s="202"/>
      <c r="AW461" s="204"/>
      <c r="AX461" s="202"/>
      <c r="AY461" s="201"/>
      <c r="AZ461" s="202"/>
      <c r="BA461" s="203">
        <f t="shared" si="15"/>
        <v>0</v>
      </c>
      <c r="BB461" s="202"/>
      <c r="BC461" s="204"/>
      <c r="BD461" s="202"/>
      <c r="BE461" s="205"/>
      <c r="BF461" s="202"/>
      <c r="BG461" s="206"/>
      <c r="BH461" s="202"/>
      <c r="BI461" s="204"/>
      <c r="BJ461" s="202"/>
      <c r="BK461" s="204"/>
      <c r="BL461" s="202"/>
      <c r="BM461" s="201"/>
      <c r="BN461" s="202"/>
      <c r="BO461" s="203">
        <f t="shared" si="16"/>
        <v>0</v>
      </c>
      <c r="BP461" s="202"/>
      <c r="BQ461" s="138"/>
      <c r="BR461" s="128"/>
      <c r="BS461" s="128"/>
      <c r="BT461" s="128"/>
      <c r="BU461" s="128"/>
      <c r="BV461" s="128"/>
      <c r="BW461" s="139"/>
      <c r="BX461" s="140"/>
      <c r="BY461" s="139"/>
      <c r="BZ461" s="139"/>
      <c r="CA461" s="134"/>
      <c r="CB461" s="134"/>
      <c r="CC461" s="134"/>
      <c r="CD461" s="134"/>
      <c r="CE461" s="134"/>
      <c r="CF461" s="134"/>
      <c r="CG461" s="92"/>
      <c r="CH461" s="92"/>
      <c r="CI461" s="92"/>
      <c r="CJ461" s="92"/>
      <c r="CK461" s="92"/>
    </row>
    <row r="462" spans="1:89" ht="17.25" customHeight="1">
      <c r="A462" s="160"/>
      <c r="B462" s="165"/>
      <c r="C462" s="164"/>
      <c r="D462" s="137">
        <f t="shared" si="33"/>
        <v>0</v>
      </c>
      <c r="E462" s="208"/>
      <c r="F462" s="202"/>
      <c r="G462" s="207"/>
      <c r="H462" s="202"/>
      <c r="I462" s="208"/>
      <c r="J462" s="202"/>
      <c r="K462" s="208">
        <f t="shared" si="12"/>
        <v>0</v>
      </c>
      <c r="L462" s="202"/>
      <c r="M462" s="207"/>
      <c r="N462" s="202"/>
      <c r="O462" s="209"/>
      <c r="P462" s="202"/>
      <c r="Q462" s="206"/>
      <c r="R462" s="202"/>
      <c r="S462" s="207"/>
      <c r="T462" s="202"/>
      <c r="U462" s="207"/>
      <c r="V462" s="202"/>
      <c r="W462" s="208"/>
      <c r="X462" s="202"/>
      <c r="Y462" s="203">
        <f t="shared" si="31"/>
        <v>0</v>
      </c>
      <c r="Z462" s="202"/>
      <c r="AA462" s="207"/>
      <c r="AB462" s="202"/>
      <c r="AC462" s="205"/>
      <c r="AD462" s="202"/>
      <c r="AE462" s="206"/>
      <c r="AF462" s="202"/>
      <c r="AG462" s="204"/>
      <c r="AH462" s="202"/>
      <c r="AI462" s="204"/>
      <c r="AJ462" s="202"/>
      <c r="AK462" s="201"/>
      <c r="AL462" s="202"/>
      <c r="AM462" s="203">
        <f t="shared" si="14"/>
        <v>0</v>
      </c>
      <c r="AN462" s="202"/>
      <c r="AO462" s="204"/>
      <c r="AP462" s="202"/>
      <c r="AQ462" s="205"/>
      <c r="AR462" s="202"/>
      <c r="AS462" s="206"/>
      <c r="AT462" s="202"/>
      <c r="AU462" s="204"/>
      <c r="AV462" s="202"/>
      <c r="AW462" s="204"/>
      <c r="AX462" s="202"/>
      <c r="AY462" s="201"/>
      <c r="AZ462" s="202"/>
      <c r="BA462" s="203">
        <f t="shared" si="15"/>
        <v>0</v>
      </c>
      <c r="BB462" s="202"/>
      <c r="BC462" s="204"/>
      <c r="BD462" s="202"/>
      <c r="BE462" s="205"/>
      <c r="BF462" s="202"/>
      <c r="BG462" s="206"/>
      <c r="BH462" s="202"/>
      <c r="BI462" s="204"/>
      <c r="BJ462" s="202"/>
      <c r="BK462" s="204"/>
      <c r="BL462" s="202"/>
      <c r="BM462" s="201"/>
      <c r="BN462" s="202"/>
      <c r="BO462" s="203">
        <f t="shared" si="16"/>
        <v>0</v>
      </c>
      <c r="BP462" s="202"/>
      <c r="BQ462" s="138"/>
      <c r="BR462" s="128"/>
      <c r="BS462" s="128"/>
      <c r="BT462" s="128"/>
      <c r="BU462" s="128"/>
      <c r="BV462" s="128"/>
      <c r="BW462" s="139"/>
      <c r="BX462" s="140"/>
      <c r="BY462" s="139"/>
      <c r="BZ462" s="139"/>
      <c r="CA462" s="134"/>
      <c r="CB462" s="134"/>
      <c r="CC462" s="134"/>
      <c r="CD462" s="134"/>
      <c r="CE462" s="134"/>
      <c r="CF462" s="134"/>
      <c r="CG462" s="92"/>
      <c r="CH462" s="92"/>
      <c r="CI462" s="92"/>
      <c r="CJ462" s="92"/>
      <c r="CK462" s="92"/>
    </row>
    <row r="463" spans="1:89" ht="17.25" customHeight="1">
      <c r="A463" s="160"/>
      <c r="B463" s="165"/>
      <c r="C463" s="164"/>
      <c r="D463" s="137">
        <f t="shared" si="33"/>
        <v>0</v>
      </c>
      <c r="E463" s="208"/>
      <c r="F463" s="202"/>
      <c r="G463" s="207"/>
      <c r="H463" s="202"/>
      <c r="I463" s="208"/>
      <c r="J463" s="202"/>
      <c r="K463" s="208">
        <f t="shared" si="12"/>
        <v>0</v>
      </c>
      <c r="L463" s="202"/>
      <c r="M463" s="207"/>
      <c r="N463" s="202"/>
      <c r="O463" s="209"/>
      <c r="P463" s="202"/>
      <c r="Q463" s="206"/>
      <c r="R463" s="202"/>
      <c r="S463" s="207"/>
      <c r="T463" s="202"/>
      <c r="U463" s="207"/>
      <c r="V463" s="202"/>
      <c r="W463" s="208"/>
      <c r="X463" s="202"/>
      <c r="Y463" s="203">
        <f t="shared" si="31"/>
        <v>0</v>
      </c>
      <c r="Z463" s="202"/>
      <c r="AA463" s="207"/>
      <c r="AB463" s="202"/>
      <c r="AC463" s="205"/>
      <c r="AD463" s="202"/>
      <c r="AE463" s="206"/>
      <c r="AF463" s="202"/>
      <c r="AG463" s="204"/>
      <c r="AH463" s="202"/>
      <c r="AI463" s="204"/>
      <c r="AJ463" s="202"/>
      <c r="AK463" s="201"/>
      <c r="AL463" s="202"/>
      <c r="AM463" s="203">
        <f t="shared" si="14"/>
        <v>0</v>
      </c>
      <c r="AN463" s="202"/>
      <c r="AO463" s="204"/>
      <c r="AP463" s="202"/>
      <c r="AQ463" s="205"/>
      <c r="AR463" s="202"/>
      <c r="AS463" s="206"/>
      <c r="AT463" s="202"/>
      <c r="AU463" s="204"/>
      <c r="AV463" s="202"/>
      <c r="AW463" s="204"/>
      <c r="AX463" s="202"/>
      <c r="AY463" s="201"/>
      <c r="AZ463" s="202"/>
      <c r="BA463" s="203">
        <f t="shared" si="15"/>
        <v>0</v>
      </c>
      <c r="BB463" s="202"/>
      <c r="BC463" s="204"/>
      <c r="BD463" s="202"/>
      <c r="BE463" s="205"/>
      <c r="BF463" s="202"/>
      <c r="BG463" s="206"/>
      <c r="BH463" s="202"/>
      <c r="BI463" s="204"/>
      <c r="BJ463" s="202"/>
      <c r="BK463" s="204"/>
      <c r="BL463" s="202"/>
      <c r="BM463" s="201"/>
      <c r="BN463" s="202"/>
      <c r="BO463" s="203">
        <f t="shared" si="16"/>
        <v>0</v>
      </c>
      <c r="BP463" s="202"/>
      <c r="BQ463" s="138"/>
      <c r="BR463" s="128"/>
      <c r="BS463" s="128"/>
      <c r="BT463" s="128"/>
      <c r="BU463" s="128"/>
      <c r="BV463" s="128"/>
      <c r="BW463" s="139"/>
      <c r="BX463" s="140"/>
      <c r="BY463" s="139"/>
      <c r="BZ463" s="139"/>
      <c r="CA463" s="134"/>
      <c r="CB463" s="134"/>
      <c r="CC463" s="134"/>
      <c r="CD463" s="134"/>
      <c r="CE463" s="134"/>
      <c r="CF463" s="134"/>
      <c r="CG463" s="92"/>
      <c r="CH463" s="92"/>
      <c r="CI463" s="92"/>
      <c r="CJ463" s="92"/>
      <c r="CK463" s="92"/>
    </row>
    <row r="464" spans="1:89" ht="17.25" customHeight="1">
      <c r="A464" s="160"/>
      <c r="B464" s="165"/>
      <c r="C464" s="164"/>
      <c r="D464" s="137">
        <f t="shared" si="33"/>
        <v>0</v>
      </c>
      <c r="E464" s="208"/>
      <c r="F464" s="202"/>
      <c r="G464" s="207"/>
      <c r="H464" s="202"/>
      <c r="I464" s="208"/>
      <c r="J464" s="202"/>
      <c r="K464" s="208">
        <f t="shared" si="12"/>
        <v>0</v>
      </c>
      <c r="L464" s="202"/>
      <c r="M464" s="207"/>
      <c r="N464" s="202"/>
      <c r="O464" s="209"/>
      <c r="P464" s="202"/>
      <c r="Q464" s="206"/>
      <c r="R464" s="202"/>
      <c r="S464" s="207"/>
      <c r="T464" s="202"/>
      <c r="U464" s="207"/>
      <c r="V464" s="202"/>
      <c r="W464" s="208"/>
      <c r="X464" s="202"/>
      <c r="Y464" s="203">
        <f t="shared" si="31"/>
        <v>0</v>
      </c>
      <c r="Z464" s="202"/>
      <c r="AA464" s="207"/>
      <c r="AB464" s="202"/>
      <c r="AC464" s="205"/>
      <c r="AD464" s="202"/>
      <c r="AE464" s="206"/>
      <c r="AF464" s="202"/>
      <c r="AG464" s="204"/>
      <c r="AH464" s="202"/>
      <c r="AI464" s="204"/>
      <c r="AJ464" s="202"/>
      <c r="AK464" s="201"/>
      <c r="AL464" s="202"/>
      <c r="AM464" s="203">
        <f t="shared" si="14"/>
        <v>0</v>
      </c>
      <c r="AN464" s="202"/>
      <c r="AO464" s="204"/>
      <c r="AP464" s="202"/>
      <c r="AQ464" s="205"/>
      <c r="AR464" s="202"/>
      <c r="AS464" s="206"/>
      <c r="AT464" s="202"/>
      <c r="AU464" s="204"/>
      <c r="AV464" s="202"/>
      <c r="AW464" s="204"/>
      <c r="AX464" s="202"/>
      <c r="AY464" s="201"/>
      <c r="AZ464" s="202"/>
      <c r="BA464" s="203">
        <f t="shared" si="15"/>
        <v>0</v>
      </c>
      <c r="BB464" s="202"/>
      <c r="BC464" s="204"/>
      <c r="BD464" s="202"/>
      <c r="BE464" s="205"/>
      <c r="BF464" s="202"/>
      <c r="BG464" s="206"/>
      <c r="BH464" s="202"/>
      <c r="BI464" s="204"/>
      <c r="BJ464" s="202"/>
      <c r="BK464" s="204"/>
      <c r="BL464" s="202"/>
      <c r="BM464" s="201"/>
      <c r="BN464" s="202"/>
      <c r="BO464" s="203">
        <f t="shared" si="16"/>
        <v>0</v>
      </c>
      <c r="BP464" s="202"/>
      <c r="BQ464" s="138"/>
      <c r="BR464" s="128"/>
      <c r="BS464" s="128"/>
      <c r="BT464" s="128"/>
      <c r="BU464" s="128"/>
      <c r="BV464" s="128"/>
      <c r="BW464" s="139"/>
      <c r="BX464" s="140"/>
      <c r="BY464" s="139"/>
      <c r="BZ464" s="139"/>
      <c r="CA464" s="134"/>
      <c r="CB464" s="134"/>
      <c r="CC464" s="134"/>
      <c r="CD464" s="134"/>
      <c r="CE464" s="134"/>
      <c r="CF464" s="134"/>
      <c r="CG464" s="92"/>
      <c r="CH464" s="92"/>
      <c r="CI464" s="92"/>
      <c r="CJ464" s="92"/>
      <c r="CK464" s="92"/>
    </row>
    <row r="465" spans="1:89" ht="17.25" customHeight="1">
      <c r="A465" s="160"/>
      <c r="B465" s="165"/>
      <c r="C465" s="164"/>
      <c r="D465" s="137">
        <f t="shared" si="33"/>
        <v>0</v>
      </c>
      <c r="E465" s="208"/>
      <c r="F465" s="202"/>
      <c r="G465" s="207"/>
      <c r="H465" s="202"/>
      <c r="I465" s="208"/>
      <c r="J465" s="202"/>
      <c r="K465" s="208">
        <f t="shared" si="12"/>
        <v>0</v>
      </c>
      <c r="L465" s="202"/>
      <c r="M465" s="207"/>
      <c r="N465" s="202"/>
      <c r="O465" s="209"/>
      <c r="P465" s="202"/>
      <c r="Q465" s="206"/>
      <c r="R465" s="202"/>
      <c r="S465" s="207"/>
      <c r="T465" s="202"/>
      <c r="U465" s="207"/>
      <c r="V465" s="202"/>
      <c r="W465" s="208"/>
      <c r="X465" s="202"/>
      <c r="Y465" s="203">
        <f t="shared" si="31"/>
        <v>0</v>
      </c>
      <c r="Z465" s="202"/>
      <c r="AA465" s="207"/>
      <c r="AB465" s="202"/>
      <c r="AC465" s="205"/>
      <c r="AD465" s="202"/>
      <c r="AE465" s="206"/>
      <c r="AF465" s="202"/>
      <c r="AG465" s="204"/>
      <c r="AH465" s="202"/>
      <c r="AI465" s="204"/>
      <c r="AJ465" s="202"/>
      <c r="AK465" s="201"/>
      <c r="AL465" s="202"/>
      <c r="AM465" s="203">
        <f t="shared" si="14"/>
        <v>0</v>
      </c>
      <c r="AN465" s="202"/>
      <c r="AO465" s="204"/>
      <c r="AP465" s="202"/>
      <c r="AQ465" s="205"/>
      <c r="AR465" s="202"/>
      <c r="AS465" s="206"/>
      <c r="AT465" s="202"/>
      <c r="AU465" s="204"/>
      <c r="AV465" s="202"/>
      <c r="AW465" s="204"/>
      <c r="AX465" s="202"/>
      <c r="AY465" s="201"/>
      <c r="AZ465" s="202"/>
      <c r="BA465" s="203">
        <f t="shared" si="15"/>
        <v>0</v>
      </c>
      <c r="BB465" s="202"/>
      <c r="BC465" s="204"/>
      <c r="BD465" s="202"/>
      <c r="BE465" s="205"/>
      <c r="BF465" s="202"/>
      <c r="BG465" s="206"/>
      <c r="BH465" s="202"/>
      <c r="BI465" s="204"/>
      <c r="BJ465" s="202"/>
      <c r="BK465" s="204"/>
      <c r="BL465" s="202"/>
      <c r="BM465" s="201"/>
      <c r="BN465" s="202"/>
      <c r="BO465" s="203">
        <f t="shared" si="16"/>
        <v>0</v>
      </c>
      <c r="BP465" s="202"/>
      <c r="BQ465" s="138"/>
      <c r="BR465" s="128"/>
      <c r="BS465" s="128"/>
      <c r="BT465" s="128"/>
      <c r="BU465" s="128"/>
      <c r="BV465" s="128"/>
      <c r="BW465" s="139"/>
      <c r="BX465" s="140"/>
      <c r="BY465" s="139"/>
      <c r="BZ465" s="139"/>
      <c r="CA465" s="134"/>
      <c r="CB465" s="134"/>
      <c r="CC465" s="134"/>
      <c r="CD465" s="134"/>
      <c r="CE465" s="134"/>
      <c r="CF465" s="134"/>
      <c r="CG465" s="92"/>
      <c r="CH465" s="92"/>
      <c r="CI465" s="92"/>
      <c r="CJ465" s="92"/>
      <c r="CK465" s="92"/>
    </row>
    <row r="466" spans="1:89" ht="17.25" customHeight="1">
      <c r="A466" s="160"/>
      <c r="B466" s="165"/>
      <c r="C466" s="164"/>
      <c r="D466" s="137">
        <f t="shared" si="33"/>
        <v>0</v>
      </c>
      <c r="E466" s="208"/>
      <c r="F466" s="202"/>
      <c r="G466" s="207"/>
      <c r="H466" s="202"/>
      <c r="I466" s="208"/>
      <c r="J466" s="202"/>
      <c r="K466" s="208">
        <f t="shared" si="12"/>
        <v>0</v>
      </c>
      <c r="L466" s="202"/>
      <c r="M466" s="207"/>
      <c r="N466" s="202"/>
      <c r="O466" s="209"/>
      <c r="P466" s="202"/>
      <c r="Q466" s="206"/>
      <c r="R466" s="202"/>
      <c r="S466" s="207"/>
      <c r="T466" s="202"/>
      <c r="U466" s="207"/>
      <c r="V466" s="202"/>
      <c r="W466" s="208"/>
      <c r="X466" s="202"/>
      <c r="Y466" s="203">
        <f t="shared" si="31"/>
        <v>0</v>
      </c>
      <c r="Z466" s="202"/>
      <c r="AA466" s="207"/>
      <c r="AB466" s="202"/>
      <c r="AC466" s="205"/>
      <c r="AD466" s="202"/>
      <c r="AE466" s="206"/>
      <c r="AF466" s="202"/>
      <c r="AG466" s="204"/>
      <c r="AH466" s="202"/>
      <c r="AI466" s="204"/>
      <c r="AJ466" s="202"/>
      <c r="AK466" s="201"/>
      <c r="AL466" s="202"/>
      <c r="AM466" s="203">
        <f t="shared" si="14"/>
        <v>0</v>
      </c>
      <c r="AN466" s="202"/>
      <c r="AO466" s="204"/>
      <c r="AP466" s="202"/>
      <c r="AQ466" s="205"/>
      <c r="AR466" s="202"/>
      <c r="AS466" s="206"/>
      <c r="AT466" s="202"/>
      <c r="AU466" s="204"/>
      <c r="AV466" s="202"/>
      <c r="AW466" s="204"/>
      <c r="AX466" s="202"/>
      <c r="AY466" s="201"/>
      <c r="AZ466" s="202"/>
      <c r="BA466" s="203">
        <f t="shared" si="15"/>
        <v>0</v>
      </c>
      <c r="BB466" s="202"/>
      <c r="BC466" s="204"/>
      <c r="BD466" s="202"/>
      <c r="BE466" s="205"/>
      <c r="BF466" s="202"/>
      <c r="BG466" s="206"/>
      <c r="BH466" s="202"/>
      <c r="BI466" s="204"/>
      <c r="BJ466" s="202"/>
      <c r="BK466" s="204"/>
      <c r="BL466" s="202"/>
      <c r="BM466" s="201"/>
      <c r="BN466" s="202"/>
      <c r="BO466" s="203">
        <f t="shared" si="16"/>
        <v>0</v>
      </c>
      <c r="BP466" s="202"/>
      <c r="BQ466" s="138"/>
      <c r="BR466" s="128"/>
      <c r="BS466" s="128"/>
      <c r="BT466" s="128"/>
      <c r="BU466" s="128"/>
      <c r="BV466" s="128"/>
      <c r="BW466" s="139"/>
      <c r="BX466" s="140"/>
      <c r="BY466" s="139"/>
      <c r="BZ466" s="139"/>
      <c r="CA466" s="134"/>
      <c r="CB466" s="134"/>
      <c r="CC466" s="134"/>
      <c r="CD466" s="134"/>
      <c r="CE466" s="134"/>
      <c r="CF466" s="134"/>
      <c r="CG466" s="92"/>
      <c r="CH466" s="92"/>
      <c r="CI466" s="92"/>
      <c r="CJ466" s="92"/>
      <c r="CK466" s="92"/>
    </row>
    <row r="467" spans="1:89" ht="17.25" customHeight="1">
      <c r="A467" s="160"/>
      <c r="B467" s="165"/>
      <c r="C467" s="164"/>
      <c r="D467" s="137">
        <f t="shared" si="33"/>
        <v>0</v>
      </c>
      <c r="E467" s="208"/>
      <c r="F467" s="202"/>
      <c r="G467" s="207"/>
      <c r="H467" s="202"/>
      <c r="I467" s="208"/>
      <c r="J467" s="202"/>
      <c r="K467" s="208">
        <f t="shared" si="12"/>
        <v>0</v>
      </c>
      <c r="L467" s="202"/>
      <c r="M467" s="207"/>
      <c r="N467" s="202"/>
      <c r="O467" s="209"/>
      <c r="P467" s="202"/>
      <c r="Q467" s="206"/>
      <c r="R467" s="202"/>
      <c r="S467" s="207"/>
      <c r="T467" s="202"/>
      <c r="U467" s="207"/>
      <c r="V467" s="202"/>
      <c r="W467" s="208"/>
      <c r="X467" s="202"/>
      <c r="Y467" s="203">
        <f t="shared" si="31"/>
        <v>0</v>
      </c>
      <c r="Z467" s="202"/>
      <c r="AA467" s="207"/>
      <c r="AB467" s="202"/>
      <c r="AC467" s="205"/>
      <c r="AD467" s="202"/>
      <c r="AE467" s="206"/>
      <c r="AF467" s="202"/>
      <c r="AG467" s="204"/>
      <c r="AH467" s="202"/>
      <c r="AI467" s="204"/>
      <c r="AJ467" s="202"/>
      <c r="AK467" s="201"/>
      <c r="AL467" s="202"/>
      <c r="AM467" s="203">
        <f t="shared" si="14"/>
        <v>0</v>
      </c>
      <c r="AN467" s="202"/>
      <c r="AO467" s="204"/>
      <c r="AP467" s="202"/>
      <c r="AQ467" s="205"/>
      <c r="AR467" s="202"/>
      <c r="AS467" s="206"/>
      <c r="AT467" s="202"/>
      <c r="AU467" s="204"/>
      <c r="AV467" s="202"/>
      <c r="AW467" s="204"/>
      <c r="AX467" s="202"/>
      <c r="AY467" s="201"/>
      <c r="AZ467" s="202"/>
      <c r="BA467" s="203">
        <f t="shared" si="15"/>
        <v>0</v>
      </c>
      <c r="BB467" s="202"/>
      <c r="BC467" s="204"/>
      <c r="BD467" s="202"/>
      <c r="BE467" s="205"/>
      <c r="BF467" s="202"/>
      <c r="BG467" s="206"/>
      <c r="BH467" s="202"/>
      <c r="BI467" s="204"/>
      <c r="BJ467" s="202"/>
      <c r="BK467" s="204"/>
      <c r="BL467" s="202"/>
      <c r="BM467" s="201"/>
      <c r="BN467" s="202"/>
      <c r="BO467" s="203">
        <f t="shared" si="16"/>
        <v>0</v>
      </c>
      <c r="BP467" s="202"/>
      <c r="BQ467" s="138"/>
      <c r="BR467" s="128"/>
      <c r="BS467" s="128"/>
      <c r="BT467" s="128"/>
      <c r="BU467" s="128"/>
      <c r="BV467" s="128"/>
      <c r="BW467" s="139"/>
      <c r="BX467" s="140"/>
      <c r="BY467" s="139"/>
      <c r="BZ467" s="139"/>
      <c r="CA467" s="134"/>
      <c r="CB467" s="134"/>
      <c r="CC467" s="134"/>
      <c r="CD467" s="134"/>
      <c r="CE467" s="134"/>
      <c r="CF467" s="134"/>
      <c r="CG467" s="92"/>
      <c r="CH467" s="92"/>
      <c r="CI467" s="92"/>
      <c r="CJ467" s="92"/>
      <c r="CK467" s="92"/>
    </row>
    <row r="468" spans="1:89" ht="17.25" customHeight="1">
      <c r="A468" s="160"/>
      <c r="B468" s="165"/>
      <c r="C468" s="164"/>
      <c r="D468" s="137">
        <f t="shared" si="33"/>
        <v>0</v>
      </c>
      <c r="E468" s="208"/>
      <c r="F468" s="202"/>
      <c r="G468" s="207"/>
      <c r="H468" s="202"/>
      <c r="I468" s="208"/>
      <c r="J468" s="202"/>
      <c r="K468" s="208">
        <f t="shared" si="12"/>
        <v>0</v>
      </c>
      <c r="L468" s="202"/>
      <c r="M468" s="207"/>
      <c r="N468" s="202"/>
      <c r="O468" s="209"/>
      <c r="P468" s="202"/>
      <c r="Q468" s="206"/>
      <c r="R468" s="202"/>
      <c r="S468" s="207"/>
      <c r="T468" s="202"/>
      <c r="U468" s="207"/>
      <c r="V468" s="202"/>
      <c r="W468" s="208"/>
      <c r="X468" s="202"/>
      <c r="Y468" s="203">
        <f t="shared" si="31"/>
        <v>0</v>
      </c>
      <c r="Z468" s="202"/>
      <c r="AA468" s="207"/>
      <c r="AB468" s="202"/>
      <c r="AC468" s="205"/>
      <c r="AD468" s="202"/>
      <c r="AE468" s="206"/>
      <c r="AF468" s="202"/>
      <c r="AG468" s="204"/>
      <c r="AH468" s="202"/>
      <c r="AI468" s="204"/>
      <c r="AJ468" s="202"/>
      <c r="AK468" s="201"/>
      <c r="AL468" s="202"/>
      <c r="AM468" s="203">
        <f t="shared" si="14"/>
        <v>0</v>
      </c>
      <c r="AN468" s="202"/>
      <c r="AO468" s="204"/>
      <c r="AP468" s="202"/>
      <c r="AQ468" s="205"/>
      <c r="AR468" s="202"/>
      <c r="AS468" s="206"/>
      <c r="AT468" s="202"/>
      <c r="AU468" s="204"/>
      <c r="AV468" s="202"/>
      <c r="AW468" s="204"/>
      <c r="AX468" s="202"/>
      <c r="AY468" s="201"/>
      <c r="AZ468" s="202"/>
      <c r="BA468" s="203">
        <f t="shared" si="15"/>
        <v>0</v>
      </c>
      <c r="BB468" s="202"/>
      <c r="BC468" s="204"/>
      <c r="BD468" s="202"/>
      <c r="BE468" s="205"/>
      <c r="BF468" s="202"/>
      <c r="BG468" s="206"/>
      <c r="BH468" s="202"/>
      <c r="BI468" s="204"/>
      <c r="BJ468" s="202"/>
      <c r="BK468" s="204"/>
      <c r="BL468" s="202"/>
      <c r="BM468" s="201"/>
      <c r="BN468" s="202"/>
      <c r="BO468" s="203">
        <f t="shared" si="16"/>
        <v>0</v>
      </c>
      <c r="BP468" s="202"/>
      <c r="BQ468" s="138"/>
      <c r="BR468" s="128"/>
      <c r="BS468" s="128"/>
      <c r="BT468" s="128"/>
      <c r="BU468" s="128"/>
      <c r="BV468" s="128"/>
      <c r="BW468" s="139"/>
      <c r="BX468" s="140"/>
      <c r="BY468" s="139"/>
      <c r="BZ468" s="139"/>
      <c r="CA468" s="134"/>
      <c r="CB468" s="134"/>
      <c r="CC468" s="134"/>
      <c r="CD468" s="134"/>
      <c r="CE468" s="134"/>
      <c r="CF468" s="134"/>
      <c r="CG468" s="92"/>
      <c r="CH468" s="92"/>
      <c r="CI468" s="92"/>
      <c r="CJ468" s="92"/>
      <c r="CK468" s="92"/>
    </row>
    <row r="469" spans="1:89" ht="17.25" customHeight="1">
      <c r="A469" s="160"/>
      <c r="B469" s="165"/>
      <c r="C469" s="164"/>
      <c r="D469" s="137">
        <f t="shared" si="33"/>
        <v>0</v>
      </c>
      <c r="E469" s="208"/>
      <c r="F469" s="202"/>
      <c r="G469" s="207"/>
      <c r="H469" s="202"/>
      <c r="I469" s="208"/>
      <c r="J469" s="202"/>
      <c r="K469" s="208">
        <f t="shared" si="12"/>
        <v>0</v>
      </c>
      <c r="L469" s="202"/>
      <c r="M469" s="207"/>
      <c r="N469" s="202"/>
      <c r="O469" s="209"/>
      <c r="P469" s="202"/>
      <c r="Q469" s="206"/>
      <c r="R469" s="202"/>
      <c r="S469" s="207"/>
      <c r="T469" s="202"/>
      <c r="U469" s="207"/>
      <c r="V469" s="202"/>
      <c r="W469" s="208"/>
      <c r="X469" s="202"/>
      <c r="Y469" s="203">
        <f t="shared" si="31"/>
        <v>0</v>
      </c>
      <c r="Z469" s="202"/>
      <c r="AA469" s="207"/>
      <c r="AB469" s="202"/>
      <c r="AC469" s="205"/>
      <c r="AD469" s="202"/>
      <c r="AE469" s="206"/>
      <c r="AF469" s="202"/>
      <c r="AG469" s="204"/>
      <c r="AH469" s="202"/>
      <c r="AI469" s="204"/>
      <c r="AJ469" s="202"/>
      <c r="AK469" s="201"/>
      <c r="AL469" s="202"/>
      <c r="AM469" s="203">
        <f t="shared" si="14"/>
        <v>0</v>
      </c>
      <c r="AN469" s="202"/>
      <c r="AO469" s="204"/>
      <c r="AP469" s="202"/>
      <c r="AQ469" s="205"/>
      <c r="AR469" s="202"/>
      <c r="AS469" s="206"/>
      <c r="AT469" s="202"/>
      <c r="AU469" s="204"/>
      <c r="AV469" s="202"/>
      <c r="AW469" s="204"/>
      <c r="AX469" s="202"/>
      <c r="AY469" s="201"/>
      <c r="AZ469" s="202"/>
      <c r="BA469" s="203">
        <f t="shared" si="15"/>
        <v>0</v>
      </c>
      <c r="BB469" s="202"/>
      <c r="BC469" s="204"/>
      <c r="BD469" s="202"/>
      <c r="BE469" s="205"/>
      <c r="BF469" s="202"/>
      <c r="BG469" s="206"/>
      <c r="BH469" s="202"/>
      <c r="BI469" s="204"/>
      <c r="BJ469" s="202"/>
      <c r="BK469" s="204"/>
      <c r="BL469" s="202"/>
      <c r="BM469" s="201"/>
      <c r="BN469" s="202"/>
      <c r="BO469" s="203">
        <f t="shared" si="16"/>
        <v>0</v>
      </c>
      <c r="BP469" s="202"/>
      <c r="BQ469" s="138"/>
      <c r="BR469" s="128"/>
      <c r="BS469" s="128"/>
      <c r="BT469" s="128"/>
      <c r="BU469" s="128"/>
      <c r="BV469" s="128"/>
      <c r="BW469" s="139"/>
      <c r="BX469" s="140"/>
      <c r="BY469" s="139"/>
      <c r="BZ469" s="139"/>
      <c r="CA469" s="134"/>
      <c r="CB469" s="134"/>
      <c r="CC469" s="134"/>
      <c r="CD469" s="134"/>
      <c r="CE469" s="134"/>
      <c r="CF469" s="134"/>
      <c r="CG469" s="92"/>
      <c r="CH469" s="92"/>
      <c r="CI469" s="92"/>
      <c r="CJ469" s="92"/>
      <c r="CK469" s="92"/>
    </row>
    <row r="470" spans="1:89" ht="17.25" customHeight="1">
      <c r="A470" s="160"/>
      <c r="B470" s="165"/>
      <c r="C470" s="164"/>
      <c r="D470" s="137">
        <f t="shared" si="33"/>
        <v>0</v>
      </c>
      <c r="E470" s="208"/>
      <c r="F470" s="202"/>
      <c r="G470" s="207"/>
      <c r="H470" s="202"/>
      <c r="I470" s="208"/>
      <c r="J470" s="202"/>
      <c r="K470" s="208">
        <f t="shared" si="12"/>
        <v>0</v>
      </c>
      <c r="L470" s="202"/>
      <c r="M470" s="207"/>
      <c r="N470" s="202"/>
      <c r="O470" s="209"/>
      <c r="P470" s="202"/>
      <c r="Q470" s="206"/>
      <c r="R470" s="202"/>
      <c r="S470" s="207"/>
      <c r="T470" s="202"/>
      <c r="U470" s="207"/>
      <c r="V470" s="202"/>
      <c r="W470" s="208"/>
      <c r="X470" s="202"/>
      <c r="Y470" s="203">
        <f t="shared" si="31"/>
        <v>0</v>
      </c>
      <c r="Z470" s="202"/>
      <c r="AA470" s="207"/>
      <c r="AB470" s="202"/>
      <c r="AC470" s="205"/>
      <c r="AD470" s="202"/>
      <c r="AE470" s="206"/>
      <c r="AF470" s="202"/>
      <c r="AG470" s="204"/>
      <c r="AH470" s="202"/>
      <c r="AI470" s="204"/>
      <c r="AJ470" s="202"/>
      <c r="AK470" s="201"/>
      <c r="AL470" s="202"/>
      <c r="AM470" s="203">
        <f t="shared" si="14"/>
        <v>0</v>
      </c>
      <c r="AN470" s="202"/>
      <c r="AO470" s="204"/>
      <c r="AP470" s="202"/>
      <c r="AQ470" s="205"/>
      <c r="AR470" s="202"/>
      <c r="AS470" s="206"/>
      <c r="AT470" s="202"/>
      <c r="AU470" s="204"/>
      <c r="AV470" s="202"/>
      <c r="AW470" s="204"/>
      <c r="AX470" s="202"/>
      <c r="AY470" s="201"/>
      <c r="AZ470" s="202"/>
      <c r="BA470" s="203">
        <f t="shared" si="15"/>
        <v>0</v>
      </c>
      <c r="BB470" s="202"/>
      <c r="BC470" s="204"/>
      <c r="BD470" s="202"/>
      <c r="BE470" s="205"/>
      <c r="BF470" s="202"/>
      <c r="BG470" s="206"/>
      <c r="BH470" s="202"/>
      <c r="BI470" s="204"/>
      <c r="BJ470" s="202"/>
      <c r="BK470" s="204"/>
      <c r="BL470" s="202"/>
      <c r="BM470" s="201"/>
      <c r="BN470" s="202"/>
      <c r="BO470" s="203">
        <f t="shared" si="16"/>
        <v>0</v>
      </c>
      <c r="BP470" s="202"/>
      <c r="BQ470" s="138"/>
      <c r="BR470" s="128"/>
      <c r="BS470" s="128"/>
      <c r="BT470" s="128"/>
      <c r="BU470" s="128"/>
      <c r="BV470" s="128"/>
      <c r="BW470" s="139"/>
      <c r="BX470" s="140"/>
      <c r="BY470" s="139"/>
      <c r="BZ470" s="139"/>
      <c r="CA470" s="134"/>
      <c r="CB470" s="134"/>
      <c r="CC470" s="134"/>
      <c r="CD470" s="134"/>
      <c r="CE470" s="134"/>
      <c r="CF470" s="134"/>
      <c r="CG470" s="92"/>
      <c r="CH470" s="92"/>
      <c r="CI470" s="92"/>
      <c r="CJ470" s="92"/>
      <c r="CK470" s="92"/>
    </row>
    <row r="471" spans="1:89" ht="17.25" customHeight="1">
      <c r="A471" s="160"/>
      <c r="B471" s="165"/>
      <c r="C471" s="164"/>
      <c r="D471" s="137">
        <f t="shared" si="33"/>
        <v>0</v>
      </c>
      <c r="E471" s="208"/>
      <c r="F471" s="202"/>
      <c r="G471" s="207"/>
      <c r="H471" s="202"/>
      <c r="I471" s="208"/>
      <c r="J471" s="202"/>
      <c r="K471" s="208">
        <f t="shared" si="12"/>
        <v>0</v>
      </c>
      <c r="L471" s="202"/>
      <c r="M471" s="207"/>
      <c r="N471" s="202"/>
      <c r="O471" s="209"/>
      <c r="P471" s="202"/>
      <c r="Q471" s="206"/>
      <c r="R471" s="202"/>
      <c r="S471" s="207"/>
      <c r="T471" s="202"/>
      <c r="U471" s="207"/>
      <c r="V471" s="202"/>
      <c r="W471" s="208"/>
      <c r="X471" s="202"/>
      <c r="Y471" s="203">
        <f t="shared" si="31"/>
        <v>0</v>
      </c>
      <c r="Z471" s="202"/>
      <c r="AA471" s="207"/>
      <c r="AB471" s="202"/>
      <c r="AC471" s="205"/>
      <c r="AD471" s="202"/>
      <c r="AE471" s="206"/>
      <c r="AF471" s="202"/>
      <c r="AG471" s="204"/>
      <c r="AH471" s="202"/>
      <c r="AI471" s="204"/>
      <c r="AJ471" s="202"/>
      <c r="AK471" s="201"/>
      <c r="AL471" s="202"/>
      <c r="AM471" s="203">
        <f t="shared" si="14"/>
        <v>0</v>
      </c>
      <c r="AN471" s="202"/>
      <c r="AO471" s="204"/>
      <c r="AP471" s="202"/>
      <c r="AQ471" s="205"/>
      <c r="AR471" s="202"/>
      <c r="AS471" s="206"/>
      <c r="AT471" s="202"/>
      <c r="AU471" s="204"/>
      <c r="AV471" s="202"/>
      <c r="AW471" s="204"/>
      <c r="AX471" s="202"/>
      <c r="AY471" s="201"/>
      <c r="AZ471" s="202"/>
      <c r="BA471" s="203">
        <f t="shared" si="15"/>
        <v>0</v>
      </c>
      <c r="BB471" s="202"/>
      <c r="BC471" s="204"/>
      <c r="BD471" s="202"/>
      <c r="BE471" s="205"/>
      <c r="BF471" s="202"/>
      <c r="BG471" s="206"/>
      <c r="BH471" s="202"/>
      <c r="BI471" s="204"/>
      <c r="BJ471" s="202"/>
      <c r="BK471" s="204"/>
      <c r="BL471" s="202"/>
      <c r="BM471" s="201"/>
      <c r="BN471" s="202"/>
      <c r="BO471" s="203">
        <f t="shared" si="16"/>
        <v>0</v>
      </c>
      <c r="BP471" s="202"/>
      <c r="BQ471" s="138"/>
      <c r="BR471" s="128"/>
      <c r="BS471" s="128"/>
      <c r="BT471" s="128"/>
      <c r="BU471" s="128"/>
      <c r="BV471" s="128"/>
      <c r="BW471" s="139"/>
      <c r="BX471" s="140"/>
      <c r="BY471" s="139"/>
      <c r="BZ471" s="139"/>
      <c r="CA471" s="134"/>
      <c r="CB471" s="134"/>
      <c r="CC471" s="134"/>
      <c r="CD471" s="134"/>
      <c r="CE471" s="134"/>
      <c r="CF471" s="134"/>
      <c r="CG471" s="92"/>
      <c r="CH471" s="92"/>
      <c r="CI471" s="92"/>
      <c r="CJ471" s="92"/>
      <c r="CK471" s="92"/>
    </row>
    <row r="472" spans="1:89" ht="17.25" customHeight="1">
      <c r="A472" s="160"/>
      <c r="B472" s="165"/>
      <c r="C472" s="164"/>
      <c r="D472" s="137">
        <f t="shared" si="33"/>
        <v>0</v>
      </c>
      <c r="E472" s="208"/>
      <c r="F472" s="202"/>
      <c r="G472" s="207"/>
      <c r="H472" s="202"/>
      <c r="I472" s="208"/>
      <c r="J472" s="202"/>
      <c r="K472" s="208">
        <f t="shared" si="12"/>
        <v>0</v>
      </c>
      <c r="L472" s="202"/>
      <c r="M472" s="207"/>
      <c r="N472" s="202"/>
      <c r="O472" s="209"/>
      <c r="P472" s="202"/>
      <c r="Q472" s="206"/>
      <c r="R472" s="202"/>
      <c r="S472" s="207"/>
      <c r="T472" s="202"/>
      <c r="U472" s="207"/>
      <c r="V472" s="202"/>
      <c r="W472" s="208"/>
      <c r="X472" s="202"/>
      <c r="Y472" s="203">
        <f t="shared" si="31"/>
        <v>0</v>
      </c>
      <c r="Z472" s="202"/>
      <c r="AA472" s="207"/>
      <c r="AB472" s="202"/>
      <c r="AC472" s="205"/>
      <c r="AD472" s="202"/>
      <c r="AE472" s="206"/>
      <c r="AF472" s="202"/>
      <c r="AG472" s="204"/>
      <c r="AH472" s="202"/>
      <c r="AI472" s="204"/>
      <c r="AJ472" s="202"/>
      <c r="AK472" s="201"/>
      <c r="AL472" s="202"/>
      <c r="AM472" s="203">
        <f t="shared" si="14"/>
        <v>0</v>
      </c>
      <c r="AN472" s="202"/>
      <c r="AO472" s="204"/>
      <c r="AP472" s="202"/>
      <c r="AQ472" s="205"/>
      <c r="AR472" s="202"/>
      <c r="AS472" s="206"/>
      <c r="AT472" s="202"/>
      <c r="AU472" s="204"/>
      <c r="AV472" s="202"/>
      <c r="AW472" s="204"/>
      <c r="AX472" s="202"/>
      <c r="AY472" s="201"/>
      <c r="AZ472" s="202"/>
      <c r="BA472" s="203">
        <f t="shared" si="15"/>
        <v>0</v>
      </c>
      <c r="BB472" s="202"/>
      <c r="BC472" s="204"/>
      <c r="BD472" s="202"/>
      <c r="BE472" s="205"/>
      <c r="BF472" s="202"/>
      <c r="BG472" s="206"/>
      <c r="BH472" s="202"/>
      <c r="BI472" s="204"/>
      <c r="BJ472" s="202"/>
      <c r="BK472" s="204"/>
      <c r="BL472" s="202"/>
      <c r="BM472" s="201"/>
      <c r="BN472" s="202"/>
      <c r="BO472" s="203">
        <f t="shared" si="16"/>
        <v>0</v>
      </c>
      <c r="BP472" s="202"/>
      <c r="BQ472" s="138"/>
      <c r="BR472" s="128"/>
      <c r="BS472" s="128"/>
      <c r="BT472" s="128"/>
      <c r="BU472" s="128"/>
      <c r="BV472" s="128"/>
      <c r="BW472" s="139"/>
      <c r="BX472" s="140"/>
      <c r="BY472" s="139"/>
      <c r="BZ472" s="139"/>
      <c r="CA472" s="134"/>
      <c r="CB472" s="134"/>
      <c r="CC472" s="134"/>
      <c r="CD472" s="134"/>
      <c r="CE472" s="134"/>
      <c r="CF472" s="134"/>
      <c r="CG472" s="92"/>
      <c r="CH472" s="92"/>
      <c r="CI472" s="92"/>
      <c r="CJ472" s="92"/>
      <c r="CK472" s="92"/>
    </row>
    <row r="473" spans="1:89" ht="17.25" customHeight="1">
      <c r="A473" s="160"/>
      <c r="B473" s="165"/>
      <c r="C473" s="164"/>
      <c r="D473" s="137">
        <f t="shared" si="33"/>
        <v>0</v>
      </c>
      <c r="E473" s="208"/>
      <c r="F473" s="202"/>
      <c r="G473" s="207"/>
      <c r="H473" s="202"/>
      <c r="I473" s="208"/>
      <c r="J473" s="202"/>
      <c r="K473" s="208">
        <f t="shared" si="12"/>
        <v>0</v>
      </c>
      <c r="L473" s="202"/>
      <c r="M473" s="207"/>
      <c r="N473" s="202"/>
      <c r="O473" s="209"/>
      <c r="P473" s="202"/>
      <c r="Q473" s="206"/>
      <c r="R473" s="202"/>
      <c r="S473" s="207"/>
      <c r="T473" s="202"/>
      <c r="U473" s="207"/>
      <c r="V473" s="202"/>
      <c r="W473" s="208"/>
      <c r="X473" s="202"/>
      <c r="Y473" s="203">
        <f t="shared" si="31"/>
        <v>0</v>
      </c>
      <c r="Z473" s="202"/>
      <c r="AA473" s="207"/>
      <c r="AB473" s="202"/>
      <c r="AC473" s="205"/>
      <c r="AD473" s="202"/>
      <c r="AE473" s="206"/>
      <c r="AF473" s="202"/>
      <c r="AG473" s="204"/>
      <c r="AH473" s="202"/>
      <c r="AI473" s="204"/>
      <c r="AJ473" s="202"/>
      <c r="AK473" s="201"/>
      <c r="AL473" s="202"/>
      <c r="AM473" s="203">
        <f t="shared" si="14"/>
        <v>0</v>
      </c>
      <c r="AN473" s="202"/>
      <c r="AO473" s="204"/>
      <c r="AP473" s="202"/>
      <c r="AQ473" s="205"/>
      <c r="AR473" s="202"/>
      <c r="AS473" s="206"/>
      <c r="AT473" s="202"/>
      <c r="AU473" s="204"/>
      <c r="AV473" s="202"/>
      <c r="AW473" s="204"/>
      <c r="AX473" s="202"/>
      <c r="AY473" s="201"/>
      <c r="AZ473" s="202"/>
      <c r="BA473" s="203">
        <f t="shared" si="15"/>
        <v>0</v>
      </c>
      <c r="BB473" s="202"/>
      <c r="BC473" s="204"/>
      <c r="BD473" s="202"/>
      <c r="BE473" s="205"/>
      <c r="BF473" s="202"/>
      <c r="BG473" s="206"/>
      <c r="BH473" s="202"/>
      <c r="BI473" s="204"/>
      <c r="BJ473" s="202"/>
      <c r="BK473" s="204"/>
      <c r="BL473" s="202"/>
      <c r="BM473" s="201"/>
      <c r="BN473" s="202"/>
      <c r="BO473" s="203">
        <f t="shared" si="16"/>
        <v>0</v>
      </c>
      <c r="BP473" s="202"/>
      <c r="BQ473" s="138"/>
      <c r="BR473" s="128"/>
      <c r="BS473" s="128"/>
      <c r="BT473" s="128"/>
      <c r="BU473" s="128"/>
      <c r="BV473" s="128"/>
      <c r="BW473" s="139"/>
      <c r="BX473" s="140"/>
      <c r="BY473" s="139"/>
      <c r="BZ473" s="139"/>
      <c r="CA473" s="134"/>
      <c r="CB473" s="134"/>
      <c r="CC473" s="134"/>
      <c r="CD473" s="134"/>
      <c r="CE473" s="134"/>
      <c r="CF473" s="134"/>
      <c r="CG473" s="92"/>
      <c r="CH473" s="92"/>
      <c r="CI473" s="92"/>
      <c r="CJ473" s="92"/>
      <c r="CK473" s="92"/>
    </row>
    <row r="474" spans="1:89" ht="17.25" customHeight="1">
      <c r="A474" s="160"/>
      <c r="B474" s="165"/>
      <c r="C474" s="164"/>
      <c r="D474" s="137">
        <f t="shared" si="33"/>
        <v>0</v>
      </c>
      <c r="E474" s="208"/>
      <c r="F474" s="202"/>
      <c r="G474" s="207"/>
      <c r="H474" s="202"/>
      <c r="I474" s="208"/>
      <c r="J474" s="202"/>
      <c r="K474" s="208">
        <f t="shared" si="12"/>
        <v>0</v>
      </c>
      <c r="L474" s="202"/>
      <c r="M474" s="207"/>
      <c r="N474" s="202"/>
      <c r="O474" s="209"/>
      <c r="P474" s="202"/>
      <c r="Q474" s="206"/>
      <c r="R474" s="202"/>
      <c r="S474" s="207"/>
      <c r="T474" s="202"/>
      <c r="U474" s="207"/>
      <c r="V474" s="202"/>
      <c r="W474" s="208"/>
      <c r="X474" s="202"/>
      <c r="Y474" s="203">
        <f t="shared" si="31"/>
        <v>0</v>
      </c>
      <c r="Z474" s="202"/>
      <c r="AA474" s="207"/>
      <c r="AB474" s="202"/>
      <c r="AC474" s="205"/>
      <c r="AD474" s="202"/>
      <c r="AE474" s="206"/>
      <c r="AF474" s="202"/>
      <c r="AG474" s="204"/>
      <c r="AH474" s="202"/>
      <c r="AI474" s="204"/>
      <c r="AJ474" s="202"/>
      <c r="AK474" s="201"/>
      <c r="AL474" s="202"/>
      <c r="AM474" s="203">
        <f t="shared" si="14"/>
        <v>0</v>
      </c>
      <c r="AN474" s="202"/>
      <c r="AO474" s="204"/>
      <c r="AP474" s="202"/>
      <c r="AQ474" s="205"/>
      <c r="AR474" s="202"/>
      <c r="AS474" s="206"/>
      <c r="AT474" s="202"/>
      <c r="AU474" s="204"/>
      <c r="AV474" s="202"/>
      <c r="AW474" s="204"/>
      <c r="AX474" s="202"/>
      <c r="AY474" s="201"/>
      <c r="AZ474" s="202"/>
      <c r="BA474" s="203">
        <f t="shared" si="15"/>
        <v>0</v>
      </c>
      <c r="BB474" s="202"/>
      <c r="BC474" s="204"/>
      <c r="BD474" s="202"/>
      <c r="BE474" s="205"/>
      <c r="BF474" s="202"/>
      <c r="BG474" s="206"/>
      <c r="BH474" s="202"/>
      <c r="BI474" s="204"/>
      <c r="BJ474" s="202"/>
      <c r="BK474" s="204"/>
      <c r="BL474" s="202"/>
      <c r="BM474" s="201"/>
      <c r="BN474" s="202"/>
      <c r="BO474" s="203">
        <f t="shared" si="16"/>
        <v>0</v>
      </c>
      <c r="BP474" s="202"/>
      <c r="BQ474" s="138"/>
      <c r="BR474" s="128"/>
      <c r="BS474" s="128"/>
      <c r="BT474" s="128"/>
      <c r="BU474" s="128"/>
      <c r="BV474" s="128"/>
      <c r="BW474" s="139"/>
      <c r="BX474" s="140"/>
      <c r="BY474" s="139"/>
      <c r="BZ474" s="139"/>
      <c r="CA474" s="134"/>
      <c r="CB474" s="134"/>
      <c r="CC474" s="134"/>
      <c r="CD474" s="134"/>
      <c r="CE474" s="134"/>
      <c r="CF474" s="134"/>
      <c r="CG474" s="92"/>
      <c r="CH474" s="92"/>
      <c r="CI474" s="92"/>
      <c r="CJ474" s="92"/>
      <c r="CK474" s="92"/>
    </row>
    <row r="475" spans="1:89" ht="17.25" customHeight="1">
      <c r="A475" s="160"/>
      <c r="B475" s="165"/>
      <c r="C475" s="164"/>
      <c r="D475" s="137">
        <f t="shared" si="33"/>
        <v>0</v>
      </c>
      <c r="E475" s="208"/>
      <c r="F475" s="202"/>
      <c r="G475" s="207"/>
      <c r="H475" s="202"/>
      <c r="I475" s="208"/>
      <c r="J475" s="202"/>
      <c r="K475" s="208">
        <f t="shared" si="12"/>
        <v>0</v>
      </c>
      <c r="L475" s="202"/>
      <c r="M475" s="207"/>
      <c r="N475" s="202"/>
      <c r="O475" s="209"/>
      <c r="P475" s="202"/>
      <c r="Q475" s="206"/>
      <c r="R475" s="202"/>
      <c r="S475" s="207"/>
      <c r="T475" s="202"/>
      <c r="U475" s="207"/>
      <c r="V475" s="202"/>
      <c r="W475" s="208"/>
      <c r="X475" s="202"/>
      <c r="Y475" s="203">
        <f t="shared" si="31"/>
        <v>0</v>
      </c>
      <c r="Z475" s="202"/>
      <c r="AA475" s="207"/>
      <c r="AB475" s="202"/>
      <c r="AC475" s="205"/>
      <c r="AD475" s="202"/>
      <c r="AE475" s="206"/>
      <c r="AF475" s="202"/>
      <c r="AG475" s="204"/>
      <c r="AH475" s="202"/>
      <c r="AI475" s="204"/>
      <c r="AJ475" s="202"/>
      <c r="AK475" s="201"/>
      <c r="AL475" s="202"/>
      <c r="AM475" s="203">
        <f t="shared" si="14"/>
        <v>0</v>
      </c>
      <c r="AN475" s="202"/>
      <c r="AO475" s="204"/>
      <c r="AP475" s="202"/>
      <c r="AQ475" s="205"/>
      <c r="AR475" s="202"/>
      <c r="AS475" s="206"/>
      <c r="AT475" s="202"/>
      <c r="AU475" s="204"/>
      <c r="AV475" s="202"/>
      <c r="AW475" s="204"/>
      <c r="AX475" s="202"/>
      <c r="AY475" s="201"/>
      <c r="AZ475" s="202"/>
      <c r="BA475" s="203">
        <f t="shared" si="15"/>
        <v>0</v>
      </c>
      <c r="BB475" s="202"/>
      <c r="BC475" s="204"/>
      <c r="BD475" s="202"/>
      <c r="BE475" s="205"/>
      <c r="BF475" s="202"/>
      <c r="BG475" s="206"/>
      <c r="BH475" s="202"/>
      <c r="BI475" s="204"/>
      <c r="BJ475" s="202"/>
      <c r="BK475" s="204"/>
      <c r="BL475" s="202"/>
      <c r="BM475" s="201"/>
      <c r="BN475" s="202"/>
      <c r="BO475" s="203">
        <f t="shared" si="16"/>
        <v>0</v>
      </c>
      <c r="BP475" s="202"/>
      <c r="BQ475" s="138"/>
      <c r="BR475" s="128"/>
      <c r="BS475" s="128"/>
      <c r="BT475" s="128"/>
      <c r="BU475" s="128"/>
      <c r="BV475" s="128"/>
      <c r="BW475" s="139"/>
      <c r="BX475" s="140"/>
      <c r="BY475" s="139"/>
      <c r="BZ475" s="139"/>
      <c r="CA475" s="134"/>
      <c r="CB475" s="134"/>
      <c r="CC475" s="134"/>
      <c r="CD475" s="134"/>
      <c r="CE475" s="134"/>
      <c r="CF475" s="134"/>
      <c r="CG475" s="92"/>
      <c r="CH475" s="92"/>
      <c r="CI475" s="92"/>
      <c r="CJ475" s="92"/>
      <c r="CK475" s="92"/>
    </row>
    <row r="476" spans="1:89" ht="17.25" customHeight="1">
      <c r="A476" s="160"/>
      <c r="B476" s="165"/>
      <c r="C476" s="164"/>
      <c r="D476" s="137">
        <f t="shared" si="33"/>
        <v>0</v>
      </c>
      <c r="E476" s="208"/>
      <c r="F476" s="202"/>
      <c r="G476" s="207"/>
      <c r="H476" s="202"/>
      <c r="I476" s="208"/>
      <c r="J476" s="202"/>
      <c r="K476" s="208">
        <f t="shared" si="12"/>
        <v>0</v>
      </c>
      <c r="L476" s="202"/>
      <c r="M476" s="207"/>
      <c r="N476" s="202"/>
      <c r="O476" s="209"/>
      <c r="P476" s="202"/>
      <c r="Q476" s="206"/>
      <c r="R476" s="202"/>
      <c r="S476" s="207"/>
      <c r="T476" s="202"/>
      <c r="U476" s="207"/>
      <c r="V476" s="202"/>
      <c r="W476" s="208"/>
      <c r="X476" s="202"/>
      <c r="Y476" s="203">
        <f t="shared" si="31"/>
        <v>0</v>
      </c>
      <c r="Z476" s="202"/>
      <c r="AA476" s="207"/>
      <c r="AB476" s="202"/>
      <c r="AC476" s="205"/>
      <c r="AD476" s="202"/>
      <c r="AE476" s="206"/>
      <c r="AF476" s="202"/>
      <c r="AG476" s="204"/>
      <c r="AH476" s="202"/>
      <c r="AI476" s="204"/>
      <c r="AJ476" s="202"/>
      <c r="AK476" s="201"/>
      <c r="AL476" s="202"/>
      <c r="AM476" s="203">
        <f t="shared" si="14"/>
        <v>0</v>
      </c>
      <c r="AN476" s="202"/>
      <c r="AO476" s="204"/>
      <c r="AP476" s="202"/>
      <c r="AQ476" s="205"/>
      <c r="AR476" s="202"/>
      <c r="AS476" s="206"/>
      <c r="AT476" s="202"/>
      <c r="AU476" s="204"/>
      <c r="AV476" s="202"/>
      <c r="AW476" s="204"/>
      <c r="AX476" s="202"/>
      <c r="AY476" s="201"/>
      <c r="AZ476" s="202"/>
      <c r="BA476" s="203">
        <f t="shared" si="15"/>
        <v>0</v>
      </c>
      <c r="BB476" s="202"/>
      <c r="BC476" s="204"/>
      <c r="BD476" s="202"/>
      <c r="BE476" s="205"/>
      <c r="BF476" s="202"/>
      <c r="BG476" s="206"/>
      <c r="BH476" s="202"/>
      <c r="BI476" s="204"/>
      <c r="BJ476" s="202"/>
      <c r="BK476" s="204"/>
      <c r="BL476" s="202"/>
      <c r="BM476" s="201"/>
      <c r="BN476" s="202"/>
      <c r="BO476" s="203">
        <f t="shared" si="16"/>
        <v>0</v>
      </c>
      <c r="BP476" s="202"/>
      <c r="BQ476" s="138"/>
      <c r="BR476" s="128"/>
      <c r="BS476" s="128"/>
      <c r="BT476" s="128"/>
      <c r="BU476" s="128"/>
      <c r="BV476" s="128"/>
      <c r="BW476" s="139"/>
      <c r="BX476" s="140"/>
      <c r="BY476" s="139"/>
      <c r="BZ476" s="139"/>
      <c r="CA476" s="134"/>
      <c r="CB476" s="134"/>
      <c r="CC476" s="134"/>
      <c r="CD476" s="134"/>
      <c r="CE476" s="134"/>
      <c r="CF476" s="134"/>
      <c r="CG476" s="92"/>
      <c r="CH476" s="92"/>
      <c r="CI476" s="92"/>
      <c r="CJ476" s="92"/>
      <c r="CK476" s="92"/>
    </row>
    <row r="477" spans="1:89" ht="17.25" customHeight="1">
      <c r="A477" s="160"/>
      <c r="B477" s="165"/>
      <c r="C477" s="164"/>
      <c r="D477" s="137">
        <f t="shared" si="33"/>
        <v>0</v>
      </c>
      <c r="E477" s="208"/>
      <c r="F477" s="202"/>
      <c r="G477" s="207"/>
      <c r="H477" s="202"/>
      <c r="I477" s="208"/>
      <c r="J477" s="202"/>
      <c r="K477" s="208">
        <f t="shared" si="12"/>
        <v>0</v>
      </c>
      <c r="L477" s="202"/>
      <c r="M477" s="207"/>
      <c r="N477" s="202"/>
      <c r="O477" s="209"/>
      <c r="P477" s="202"/>
      <c r="Q477" s="206"/>
      <c r="R477" s="202"/>
      <c r="S477" s="207"/>
      <c r="T477" s="202"/>
      <c r="U477" s="207"/>
      <c r="V477" s="202"/>
      <c r="W477" s="208"/>
      <c r="X477" s="202"/>
      <c r="Y477" s="203">
        <f t="shared" si="31"/>
        <v>0</v>
      </c>
      <c r="Z477" s="202"/>
      <c r="AA477" s="207"/>
      <c r="AB477" s="202"/>
      <c r="AC477" s="205"/>
      <c r="AD477" s="202"/>
      <c r="AE477" s="206"/>
      <c r="AF477" s="202"/>
      <c r="AG477" s="204"/>
      <c r="AH477" s="202"/>
      <c r="AI477" s="204"/>
      <c r="AJ477" s="202"/>
      <c r="AK477" s="201"/>
      <c r="AL477" s="202"/>
      <c r="AM477" s="203">
        <f t="shared" si="14"/>
        <v>0</v>
      </c>
      <c r="AN477" s="202"/>
      <c r="AO477" s="204"/>
      <c r="AP477" s="202"/>
      <c r="AQ477" s="205"/>
      <c r="AR477" s="202"/>
      <c r="AS477" s="206"/>
      <c r="AT477" s="202"/>
      <c r="AU477" s="204"/>
      <c r="AV477" s="202"/>
      <c r="AW477" s="204"/>
      <c r="AX477" s="202"/>
      <c r="AY477" s="201"/>
      <c r="AZ477" s="202"/>
      <c r="BA477" s="203">
        <f t="shared" si="15"/>
        <v>0</v>
      </c>
      <c r="BB477" s="202"/>
      <c r="BC477" s="204"/>
      <c r="BD477" s="202"/>
      <c r="BE477" s="205"/>
      <c r="BF477" s="202"/>
      <c r="BG477" s="206"/>
      <c r="BH477" s="202"/>
      <c r="BI477" s="204"/>
      <c r="BJ477" s="202"/>
      <c r="BK477" s="204"/>
      <c r="BL477" s="202"/>
      <c r="BM477" s="201"/>
      <c r="BN477" s="202"/>
      <c r="BO477" s="203">
        <f t="shared" si="16"/>
        <v>0</v>
      </c>
      <c r="BP477" s="202"/>
      <c r="BQ477" s="138"/>
      <c r="BR477" s="128"/>
      <c r="BS477" s="128"/>
      <c r="BT477" s="128"/>
      <c r="BU477" s="128"/>
      <c r="BV477" s="128"/>
      <c r="BW477" s="139"/>
      <c r="BX477" s="140"/>
      <c r="BY477" s="139"/>
      <c r="BZ477" s="139"/>
      <c r="CA477" s="134"/>
      <c r="CB477" s="134"/>
      <c r="CC477" s="134"/>
      <c r="CD477" s="134"/>
      <c r="CE477" s="134"/>
      <c r="CF477" s="134"/>
      <c r="CG477" s="92"/>
      <c r="CH477" s="92"/>
      <c r="CI477" s="92"/>
      <c r="CJ477" s="92"/>
      <c r="CK477" s="92"/>
    </row>
    <row r="478" spans="1:89" ht="17.25" customHeight="1">
      <c r="A478" s="160"/>
      <c r="B478" s="165"/>
      <c r="C478" s="164"/>
      <c r="D478" s="137">
        <f t="shared" si="33"/>
        <v>0</v>
      </c>
      <c r="E478" s="208"/>
      <c r="F478" s="202"/>
      <c r="G478" s="207"/>
      <c r="H478" s="202"/>
      <c r="I478" s="208"/>
      <c r="J478" s="202"/>
      <c r="K478" s="208">
        <f t="shared" si="12"/>
        <v>0</v>
      </c>
      <c r="L478" s="202"/>
      <c r="M478" s="207"/>
      <c r="N478" s="202"/>
      <c r="O478" s="209"/>
      <c r="P478" s="202"/>
      <c r="Q478" s="206"/>
      <c r="R478" s="202"/>
      <c r="S478" s="207"/>
      <c r="T478" s="202"/>
      <c r="U478" s="207"/>
      <c r="V478" s="202"/>
      <c r="W478" s="208"/>
      <c r="X478" s="202"/>
      <c r="Y478" s="203">
        <f t="shared" si="31"/>
        <v>0</v>
      </c>
      <c r="Z478" s="202"/>
      <c r="AA478" s="207"/>
      <c r="AB478" s="202"/>
      <c r="AC478" s="205"/>
      <c r="AD478" s="202"/>
      <c r="AE478" s="206"/>
      <c r="AF478" s="202"/>
      <c r="AG478" s="204"/>
      <c r="AH478" s="202"/>
      <c r="AI478" s="204"/>
      <c r="AJ478" s="202"/>
      <c r="AK478" s="201"/>
      <c r="AL478" s="202"/>
      <c r="AM478" s="203">
        <f t="shared" si="14"/>
        <v>0</v>
      </c>
      <c r="AN478" s="202"/>
      <c r="AO478" s="204"/>
      <c r="AP478" s="202"/>
      <c r="AQ478" s="205"/>
      <c r="AR478" s="202"/>
      <c r="AS478" s="206"/>
      <c r="AT478" s="202"/>
      <c r="AU478" s="204"/>
      <c r="AV478" s="202"/>
      <c r="AW478" s="204"/>
      <c r="AX478" s="202"/>
      <c r="AY478" s="201"/>
      <c r="AZ478" s="202"/>
      <c r="BA478" s="203">
        <f t="shared" si="15"/>
        <v>0</v>
      </c>
      <c r="BB478" s="202"/>
      <c r="BC478" s="204"/>
      <c r="BD478" s="202"/>
      <c r="BE478" s="205"/>
      <c r="BF478" s="202"/>
      <c r="BG478" s="206"/>
      <c r="BH478" s="202"/>
      <c r="BI478" s="204"/>
      <c r="BJ478" s="202"/>
      <c r="BK478" s="204"/>
      <c r="BL478" s="202"/>
      <c r="BM478" s="201"/>
      <c r="BN478" s="202"/>
      <c r="BO478" s="203">
        <f t="shared" si="16"/>
        <v>0</v>
      </c>
      <c r="BP478" s="202"/>
      <c r="BQ478" s="138"/>
      <c r="BR478" s="128"/>
      <c r="BS478" s="128"/>
      <c r="BT478" s="128"/>
      <c r="BU478" s="128"/>
      <c r="BV478" s="128"/>
      <c r="BW478" s="139"/>
      <c r="BX478" s="140"/>
      <c r="BY478" s="139"/>
      <c r="BZ478" s="139"/>
      <c r="CA478" s="134"/>
      <c r="CB478" s="134"/>
      <c r="CC478" s="134"/>
      <c r="CD478" s="134"/>
      <c r="CE478" s="134"/>
      <c r="CF478" s="134"/>
      <c r="CG478" s="92"/>
      <c r="CH478" s="92"/>
      <c r="CI478" s="92"/>
      <c r="CJ478" s="92"/>
      <c r="CK478" s="92"/>
    </row>
    <row r="479" spans="1:89" ht="17.25" customHeight="1">
      <c r="A479" s="160"/>
      <c r="B479" s="165"/>
      <c r="C479" s="164"/>
      <c r="D479" s="137">
        <f t="shared" si="33"/>
        <v>0</v>
      </c>
      <c r="E479" s="208"/>
      <c r="F479" s="202"/>
      <c r="G479" s="207"/>
      <c r="H479" s="202"/>
      <c r="I479" s="208"/>
      <c r="J479" s="202"/>
      <c r="K479" s="208">
        <f t="shared" si="12"/>
        <v>0</v>
      </c>
      <c r="L479" s="202"/>
      <c r="M479" s="207"/>
      <c r="N479" s="202"/>
      <c r="O479" s="209"/>
      <c r="P479" s="202"/>
      <c r="Q479" s="206"/>
      <c r="R479" s="202"/>
      <c r="S479" s="207"/>
      <c r="T479" s="202"/>
      <c r="U479" s="207"/>
      <c r="V479" s="202"/>
      <c r="W479" s="208"/>
      <c r="X479" s="202"/>
      <c r="Y479" s="203">
        <f t="shared" si="31"/>
        <v>0</v>
      </c>
      <c r="Z479" s="202"/>
      <c r="AA479" s="207"/>
      <c r="AB479" s="202"/>
      <c r="AC479" s="205"/>
      <c r="AD479" s="202"/>
      <c r="AE479" s="206"/>
      <c r="AF479" s="202"/>
      <c r="AG479" s="204"/>
      <c r="AH479" s="202"/>
      <c r="AI479" s="204"/>
      <c r="AJ479" s="202"/>
      <c r="AK479" s="201"/>
      <c r="AL479" s="202"/>
      <c r="AM479" s="203">
        <f t="shared" si="14"/>
        <v>0</v>
      </c>
      <c r="AN479" s="202"/>
      <c r="AO479" s="204"/>
      <c r="AP479" s="202"/>
      <c r="AQ479" s="205"/>
      <c r="AR479" s="202"/>
      <c r="AS479" s="206"/>
      <c r="AT479" s="202"/>
      <c r="AU479" s="204"/>
      <c r="AV479" s="202"/>
      <c r="AW479" s="204"/>
      <c r="AX479" s="202"/>
      <c r="AY479" s="201"/>
      <c r="AZ479" s="202"/>
      <c r="BA479" s="203">
        <f t="shared" si="15"/>
        <v>0</v>
      </c>
      <c r="BB479" s="202"/>
      <c r="BC479" s="204"/>
      <c r="BD479" s="202"/>
      <c r="BE479" s="205"/>
      <c r="BF479" s="202"/>
      <c r="BG479" s="206"/>
      <c r="BH479" s="202"/>
      <c r="BI479" s="204"/>
      <c r="BJ479" s="202"/>
      <c r="BK479" s="204"/>
      <c r="BL479" s="202"/>
      <c r="BM479" s="201"/>
      <c r="BN479" s="202"/>
      <c r="BO479" s="203">
        <f t="shared" si="16"/>
        <v>0</v>
      </c>
      <c r="BP479" s="202"/>
      <c r="BQ479" s="138"/>
      <c r="BR479" s="128"/>
      <c r="BS479" s="128"/>
      <c r="BT479" s="128"/>
      <c r="BU479" s="128"/>
      <c r="BV479" s="128"/>
      <c r="BW479" s="139"/>
      <c r="BX479" s="140"/>
      <c r="BY479" s="139"/>
      <c r="BZ479" s="139"/>
      <c r="CA479" s="134"/>
      <c r="CB479" s="134"/>
      <c r="CC479" s="134"/>
      <c r="CD479" s="134"/>
      <c r="CE479" s="134"/>
      <c r="CF479" s="134"/>
      <c r="CG479" s="92"/>
      <c r="CH479" s="92"/>
      <c r="CI479" s="92"/>
      <c r="CJ479" s="92"/>
      <c r="CK479" s="92"/>
    </row>
    <row r="480" spans="1:89" ht="17.25" customHeight="1">
      <c r="A480" s="160"/>
      <c r="B480" s="165"/>
      <c r="C480" s="164"/>
      <c r="D480" s="137">
        <f t="shared" si="33"/>
        <v>0</v>
      </c>
      <c r="E480" s="208"/>
      <c r="F480" s="202"/>
      <c r="G480" s="207"/>
      <c r="H480" s="202"/>
      <c r="I480" s="208"/>
      <c r="J480" s="202"/>
      <c r="K480" s="208">
        <f t="shared" si="12"/>
        <v>0</v>
      </c>
      <c r="L480" s="202"/>
      <c r="M480" s="207"/>
      <c r="N480" s="202"/>
      <c r="O480" s="209"/>
      <c r="P480" s="202"/>
      <c r="Q480" s="206"/>
      <c r="R480" s="202"/>
      <c r="S480" s="207"/>
      <c r="T480" s="202"/>
      <c r="U480" s="207"/>
      <c r="V480" s="202"/>
      <c r="W480" s="208"/>
      <c r="X480" s="202"/>
      <c r="Y480" s="203">
        <f t="shared" si="31"/>
        <v>0</v>
      </c>
      <c r="Z480" s="202"/>
      <c r="AA480" s="207"/>
      <c r="AB480" s="202"/>
      <c r="AC480" s="205"/>
      <c r="AD480" s="202"/>
      <c r="AE480" s="206"/>
      <c r="AF480" s="202"/>
      <c r="AG480" s="204"/>
      <c r="AH480" s="202"/>
      <c r="AI480" s="204"/>
      <c r="AJ480" s="202"/>
      <c r="AK480" s="201"/>
      <c r="AL480" s="202"/>
      <c r="AM480" s="203">
        <f t="shared" si="14"/>
        <v>0</v>
      </c>
      <c r="AN480" s="202"/>
      <c r="AO480" s="204"/>
      <c r="AP480" s="202"/>
      <c r="AQ480" s="205"/>
      <c r="AR480" s="202"/>
      <c r="AS480" s="206"/>
      <c r="AT480" s="202"/>
      <c r="AU480" s="204"/>
      <c r="AV480" s="202"/>
      <c r="AW480" s="204"/>
      <c r="AX480" s="202"/>
      <c r="AY480" s="201"/>
      <c r="AZ480" s="202"/>
      <c r="BA480" s="203">
        <f t="shared" si="15"/>
        <v>0</v>
      </c>
      <c r="BB480" s="202"/>
      <c r="BC480" s="204"/>
      <c r="BD480" s="202"/>
      <c r="BE480" s="205"/>
      <c r="BF480" s="202"/>
      <c r="BG480" s="206"/>
      <c r="BH480" s="202"/>
      <c r="BI480" s="204"/>
      <c r="BJ480" s="202"/>
      <c r="BK480" s="204"/>
      <c r="BL480" s="202"/>
      <c r="BM480" s="201"/>
      <c r="BN480" s="202"/>
      <c r="BO480" s="203">
        <f t="shared" si="16"/>
        <v>0</v>
      </c>
      <c r="BP480" s="202"/>
      <c r="BQ480" s="138"/>
      <c r="BR480" s="128"/>
      <c r="BS480" s="128"/>
      <c r="BT480" s="128"/>
      <c r="BU480" s="128"/>
      <c r="BV480" s="128"/>
      <c r="BW480" s="139"/>
      <c r="BX480" s="140"/>
      <c r="BY480" s="139"/>
      <c r="BZ480" s="139"/>
      <c r="CA480" s="134"/>
      <c r="CB480" s="134"/>
      <c r="CC480" s="134"/>
      <c r="CD480" s="134"/>
      <c r="CE480" s="134"/>
      <c r="CF480" s="134"/>
      <c r="CG480" s="92"/>
      <c r="CH480" s="92"/>
      <c r="CI480" s="92"/>
      <c r="CJ480" s="92"/>
      <c r="CK480" s="92"/>
    </row>
    <row r="481" spans="1:89" ht="17.25" customHeight="1">
      <c r="A481" s="160"/>
      <c r="B481" s="165"/>
      <c r="C481" s="164"/>
      <c r="D481" s="137">
        <f t="shared" si="33"/>
        <v>0</v>
      </c>
      <c r="E481" s="208"/>
      <c r="F481" s="202"/>
      <c r="G481" s="207"/>
      <c r="H481" s="202"/>
      <c r="I481" s="208"/>
      <c r="J481" s="202"/>
      <c r="K481" s="208">
        <f t="shared" si="12"/>
        <v>0</v>
      </c>
      <c r="L481" s="202"/>
      <c r="M481" s="207"/>
      <c r="N481" s="202"/>
      <c r="O481" s="209"/>
      <c r="P481" s="202"/>
      <c r="Q481" s="206"/>
      <c r="R481" s="202"/>
      <c r="S481" s="207"/>
      <c r="T481" s="202"/>
      <c r="U481" s="207"/>
      <c r="V481" s="202"/>
      <c r="W481" s="208"/>
      <c r="X481" s="202"/>
      <c r="Y481" s="203">
        <f t="shared" si="31"/>
        <v>0</v>
      </c>
      <c r="Z481" s="202"/>
      <c r="AA481" s="207"/>
      <c r="AB481" s="202"/>
      <c r="AC481" s="205"/>
      <c r="AD481" s="202"/>
      <c r="AE481" s="206"/>
      <c r="AF481" s="202"/>
      <c r="AG481" s="204"/>
      <c r="AH481" s="202"/>
      <c r="AI481" s="204"/>
      <c r="AJ481" s="202"/>
      <c r="AK481" s="201"/>
      <c r="AL481" s="202"/>
      <c r="AM481" s="203">
        <f t="shared" si="14"/>
        <v>0</v>
      </c>
      <c r="AN481" s="202"/>
      <c r="AO481" s="204"/>
      <c r="AP481" s="202"/>
      <c r="AQ481" s="205"/>
      <c r="AR481" s="202"/>
      <c r="AS481" s="206"/>
      <c r="AT481" s="202"/>
      <c r="AU481" s="204"/>
      <c r="AV481" s="202"/>
      <c r="AW481" s="204"/>
      <c r="AX481" s="202"/>
      <c r="AY481" s="201"/>
      <c r="AZ481" s="202"/>
      <c r="BA481" s="203">
        <f t="shared" si="15"/>
        <v>0</v>
      </c>
      <c r="BB481" s="202"/>
      <c r="BC481" s="204"/>
      <c r="BD481" s="202"/>
      <c r="BE481" s="205"/>
      <c r="BF481" s="202"/>
      <c r="BG481" s="206"/>
      <c r="BH481" s="202"/>
      <c r="BI481" s="204"/>
      <c r="BJ481" s="202"/>
      <c r="BK481" s="204"/>
      <c r="BL481" s="202"/>
      <c r="BM481" s="201"/>
      <c r="BN481" s="202"/>
      <c r="BO481" s="203">
        <f t="shared" si="16"/>
        <v>0</v>
      </c>
      <c r="BP481" s="202"/>
      <c r="BQ481" s="138"/>
      <c r="BR481" s="128"/>
      <c r="BS481" s="128"/>
      <c r="BT481" s="128"/>
      <c r="BU481" s="128"/>
      <c r="BV481" s="128"/>
      <c r="BW481" s="139"/>
      <c r="BX481" s="140"/>
      <c r="BY481" s="139"/>
      <c r="BZ481" s="139"/>
      <c r="CA481" s="134"/>
      <c r="CB481" s="134"/>
      <c r="CC481" s="134"/>
      <c r="CD481" s="134"/>
      <c r="CE481" s="134"/>
      <c r="CF481" s="134"/>
      <c r="CG481" s="92"/>
      <c r="CH481" s="92"/>
      <c r="CI481" s="92"/>
      <c r="CJ481" s="92"/>
      <c r="CK481" s="92"/>
    </row>
    <row r="482" spans="1:89" ht="17.25" customHeight="1">
      <c r="A482" s="160"/>
      <c r="B482" s="165"/>
      <c r="C482" s="164"/>
      <c r="D482" s="137">
        <f t="shared" si="33"/>
        <v>0</v>
      </c>
      <c r="E482" s="208"/>
      <c r="F482" s="202"/>
      <c r="G482" s="207"/>
      <c r="H482" s="202"/>
      <c r="I482" s="208"/>
      <c r="J482" s="202"/>
      <c r="K482" s="208">
        <f t="shared" si="12"/>
        <v>0</v>
      </c>
      <c r="L482" s="202"/>
      <c r="M482" s="207"/>
      <c r="N482" s="202"/>
      <c r="O482" s="209"/>
      <c r="P482" s="202"/>
      <c r="Q482" s="206"/>
      <c r="R482" s="202"/>
      <c r="S482" s="207"/>
      <c r="T482" s="202"/>
      <c r="U482" s="207"/>
      <c r="V482" s="202"/>
      <c r="W482" s="208"/>
      <c r="X482" s="202"/>
      <c r="Y482" s="203">
        <f t="shared" si="31"/>
        <v>0</v>
      </c>
      <c r="Z482" s="202"/>
      <c r="AA482" s="207"/>
      <c r="AB482" s="202"/>
      <c r="AC482" s="205"/>
      <c r="AD482" s="202"/>
      <c r="AE482" s="206"/>
      <c r="AF482" s="202"/>
      <c r="AG482" s="204"/>
      <c r="AH482" s="202"/>
      <c r="AI482" s="204"/>
      <c r="AJ482" s="202"/>
      <c r="AK482" s="201"/>
      <c r="AL482" s="202"/>
      <c r="AM482" s="203">
        <f t="shared" si="14"/>
        <v>0</v>
      </c>
      <c r="AN482" s="202"/>
      <c r="AO482" s="204"/>
      <c r="AP482" s="202"/>
      <c r="AQ482" s="205"/>
      <c r="AR482" s="202"/>
      <c r="AS482" s="206"/>
      <c r="AT482" s="202"/>
      <c r="AU482" s="204"/>
      <c r="AV482" s="202"/>
      <c r="AW482" s="204"/>
      <c r="AX482" s="202"/>
      <c r="AY482" s="201"/>
      <c r="AZ482" s="202"/>
      <c r="BA482" s="203">
        <f t="shared" si="15"/>
        <v>0</v>
      </c>
      <c r="BB482" s="202"/>
      <c r="BC482" s="204"/>
      <c r="BD482" s="202"/>
      <c r="BE482" s="205"/>
      <c r="BF482" s="202"/>
      <c r="BG482" s="206"/>
      <c r="BH482" s="202"/>
      <c r="BI482" s="204"/>
      <c r="BJ482" s="202"/>
      <c r="BK482" s="204"/>
      <c r="BL482" s="202"/>
      <c r="BM482" s="201"/>
      <c r="BN482" s="202"/>
      <c r="BO482" s="203">
        <f t="shared" si="16"/>
        <v>0</v>
      </c>
      <c r="BP482" s="202"/>
      <c r="BQ482" s="138"/>
      <c r="BR482" s="128"/>
      <c r="BS482" s="128"/>
      <c r="BT482" s="128"/>
      <c r="BU482" s="128"/>
      <c r="BV482" s="128"/>
      <c r="BW482" s="139"/>
      <c r="BX482" s="140"/>
      <c r="BY482" s="139"/>
      <c r="BZ482" s="139"/>
      <c r="CA482" s="134"/>
      <c r="CB482" s="134"/>
      <c r="CC482" s="134"/>
      <c r="CD482" s="134"/>
      <c r="CE482" s="134"/>
      <c r="CF482" s="134"/>
      <c r="CG482" s="92"/>
      <c r="CH482" s="92"/>
      <c r="CI482" s="92"/>
      <c r="CJ482" s="92"/>
      <c r="CK482" s="92"/>
    </row>
    <row r="483" spans="1:89" ht="17.25" customHeight="1">
      <c r="A483" s="160"/>
      <c r="B483" s="165"/>
      <c r="C483" s="164"/>
      <c r="D483" s="137">
        <f t="shared" si="33"/>
        <v>0</v>
      </c>
      <c r="E483" s="208"/>
      <c r="F483" s="202"/>
      <c r="G483" s="207"/>
      <c r="H483" s="202"/>
      <c r="I483" s="208"/>
      <c r="J483" s="202"/>
      <c r="K483" s="208">
        <f t="shared" si="12"/>
        <v>0</v>
      </c>
      <c r="L483" s="202"/>
      <c r="M483" s="207"/>
      <c r="N483" s="202"/>
      <c r="O483" s="209"/>
      <c r="P483" s="202"/>
      <c r="Q483" s="206"/>
      <c r="R483" s="202"/>
      <c r="S483" s="207"/>
      <c r="T483" s="202"/>
      <c r="U483" s="207"/>
      <c r="V483" s="202"/>
      <c r="W483" s="208"/>
      <c r="X483" s="202"/>
      <c r="Y483" s="203">
        <f t="shared" si="31"/>
        <v>0</v>
      </c>
      <c r="Z483" s="202"/>
      <c r="AA483" s="207"/>
      <c r="AB483" s="202"/>
      <c r="AC483" s="205"/>
      <c r="AD483" s="202"/>
      <c r="AE483" s="206"/>
      <c r="AF483" s="202"/>
      <c r="AG483" s="204"/>
      <c r="AH483" s="202"/>
      <c r="AI483" s="204"/>
      <c r="AJ483" s="202"/>
      <c r="AK483" s="201"/>
      <c r="AL483" s="202"/>
      <c r="AM483" s="203">
        <f t="shared" si="14"/>
        <v>0</v>
      </c>
      <c r="AN483" s="202"/>
      <c r="AO483" s="204"/>
      <c r="AP483" s="202"/>
      <c r="AQ483" s="205"/>
      <c r="AR483" s="202"/>
      <c r="AS483" s="206"/>
      <c r="AT483" s="202"/>
      <c r="AU483" s="204"/>
      <c r="AV483" s="202"/>
      <c r="AW483" s="204"/>
      <c r="AX483" s="202"/>
      <c r="AY483" s="201"/>
      <c r="AZ483" s="202"/>
      <c r="BA483" s="203">
        <f t="shared" si="15"/>
        <v>0</v>
      </c>
      <c r="BB483" s="202"/>
      <c r="BC483" s="204"/>
      <c r="BD483" s="202"/>
      <c r="BE483" s="205"/>
      <c r="BF483" s="202"/>
      <c r="BG483" s="206"/>
      <c r="BH483" s="202"/>
      <c r="BI483" s="204"/>
      <c r="BJ483" s="202"/>
      <c r="BK483" s="204"/>
      <c r="BL483" s="202"/>
      <c r="BM483" s="201"/>
      <c r="BN483" s="202"/>
      <c r="BO483" s="203">
        <f t="shared" si="16"/>
        <v>0</v>
      </c>
      <c r="BP483" s="202"/>
      <c r="BQ483" s="138"/>
      <c r="BR483" s="128"/>
      <c r="BS483" s="128"/>
      <c r="BT483" s="128"/>
      <c r="BU483" s="128"/>
      <c r="BV483" s="128"/>
      <c r="BW483" s="139"/>
      <c r="BX483" s="140"/>
      <c r="BY483" s="139"/>
      <c r="BZ483" s="139"/>
      <c r="CA483" s="134"/>
      <c r="CB483" s="134"/>
      <c r="CC483" s="134"/>
      <c r="CD483" s="134"/>
      <c r="CE483" s="134"/>
      <c r="CF483" s="134"/>
      <c r="CG483" s="92"/>
      <c r="CH483" s="92"/>
      <c r="CI483" s="92"/>
      <c r="CJ483" s="92"/>
      <c r="CK483" s="92"/>
    </row>
    <row r="484" spans="1:89" ht="17.25" customHeight="1">
      <c r="A484" s="160"/>
      <c r="B484" s="165"/>
      <c r="C484" s="164"/>
      <c r="D484" s="137">
        <f t="shared" si="33"/>
        <v>0</v>
      </c>
      <c r="E484" s="208"/>
      <c r="F484" s="202"/>
      <c r="G484" s="207"/>
      <c r="H484" s="202"/>
      <c r="I484" s="208"/>
      <c r="J484" s="202"/>
      <c r="K484" s="208">
        <f t="shared" si="12"/>
        <v>0</v>
      </c>
      <c r="L484" s="202"/>
      <c r="M484" s="207"/>
      <c r="N484" s="202"/>
      <c r="O484" s="209"/>
      <c r="P484" s="202"/>
      <c r="Q484" s="206"/>
      <c r="R484" s="202"/>
      <c r="S484" s="207"/>
      <c r="T484" s="202"/>
      <c r="U484" s="207"/>
      <c r="V484" s="202"/>
      <c r="W484" s="208"/>
      <c r="X484" s="202"/>
      <c r="Y484" s="203">
        <f t="shared" si="31"/>
        <v>0</v>
      </c>
      <c r="Z484" s="202"/>
      <c r="AA484" s="207"/>
      <c r="AB484" s="202"/>
      <c r="AC484" s="205"/>
      <c r="AD484" s="202"/>
      <c r="AE484" s="206"/>
      <c r="AF484" s="202"/>
      <c r="AG484" s="204"/>
      <c r="AH484" s="202"/>
      <c r="AI484" s="204"/>
      <c r="AJ484" s="202"/>
      <c r="AK484" s="201"/>
      <c r="AL484" s="202"/>
      <c r="AM484" s="203">
        <f t="shared" si="14"/>
        <v>0</v>
      </c>
      <c r="AN484" s="202"/>
      <c r="AO484" s="204"/>
      <c r="AP484" s="202"/>
      <c r="AQ484" s="205"/>
      <c r="AR484" s="202"/>
      <c r="AS484" s="206"/>
      <c r="AT484" s="202"/>
      <c r="AU484" s="204"/>
      <c r="AV484" s="202"/>
      <c r="AW484" s="204"/>
      <c r="AX484" s="202"/>
      <c r="AY484" s="201"/>
      <c r="AZ484" s="202"/>
      <c r="BA484" s="203">
        <f t="shared" si="15"/>
        <v>0</v>
      </c>
      <c r="BB484" s="202"/>
      <c r="BC484" s="204"/>
      <c r="BD484" s="202"/>
      <c r="BE484" s="205"/>
      <c r="BF484" s="202"/>
      <c r="BG484" s="206"/>
      <c r="BH484" s="202"/>
      <c r="BI484" s="204"/>
      <c r="BJ484" s="202"/>
      <c r="BK484" s="204"/>
      <c r="BL484" s="202"/>
      <c r="BM484" s="201"/>
      <c r="BN484" s="202"/>
      <c r="BO484" s="203">
        <f t="shared" si="16"/>
        <v>0</v>
      </c>
      <c r="BP484" s="202"/>
      <c r="BQ484" s="138"/>
      <c r="BR484" s="128"/>
      <c r="BS484" s="128"/>
      <c r="BT484" s="128"/>
      <c r="BU484" s="128"/>
      <c r="BV484" s="128"/>
      <c r="BW484" s="139"/>
      <c r="BX484" s="140"/>
      <c r="BY484" s="139"/>
      <c r="BZ484" s="139"/>
      <c r="CA484" s="134"/>
      <c r="CB484" s="134"/>
      <c r="CC484" s="134"/>
      <c r="CD484" s="134"/>
      <c r="CE484" s="134"/>
      <c r="CF484" s="134"/>
      <c r="CG484" s="92"/>
      <c r="CH484" s="92"/>
      <c r="CI484" s="92"/>
      <c r="CJ484" s="92"/>
      <c r="CK484" s="92"/>
    </row>
    <row r="485" spans="1:89" ht="17.25" customHeight="1">
      <c r="A485" s="160"/>
      <c r="B485" s="165"/>
      <c r="C485" s="164"/>
      <c r="D485" s="137">
        <f t="shared" si="33"/>
        <v>0</v>
      </c>
      <c r="E485" s="208"/>
      <c r="F485" s="202"/>
      <c r="G485" s="207"/>
      <c r="H485" s="202"/>
      <c r="I485" s="208"/>
      <c r="J485" s="202"/>
      <c r="K485" s="208">
        <f t="shared" si="12"/>
        <v>0</v>
      </c>
      <c r="L485" s="202"/>
      <c r="M485" s="207"/>
      <c r="N485" s="202"/>
      <c r="O485" s="209"/>
      <c r="P485" s="202"/>
      <c r="Q485" s="206"/>
      <c r="R485" s="202"/>
      <c r="S485" s="207"/>
      <c r="T485" s="202"/>
      <c r="U485" s="207"/>
      <c r="V485" s="202"/>
      <c r="W485" s="208"/>
      <c r="X485" s="202"/>
      <c r="Y485" s="203">
        <f t="shared" si="31"/>
        <v>0</v>
      </c>
      <c r="Z485" s="202"/>
      <c r="AA485" s="207"/>
      <c r="AB485" s="202"/>
      <c r="AC485" s="205"/>
      <c r="AD485" s="202"/>
      <c r="AE485" s="206"/>
      <c r="AF485" s="202"/>
      <c r="AG485" s="204"/>
      <c r="AH485" s="202"/>
      <c r="AI485" s="204"/>
      <c r="AJ485" s="202"/>
      <c r="AK485" s="201"/>
      <c r="AL485" s="202"/>
      <c r="AM485" s="203">
        <f t="shared" si="14"/>
        <v>0</v>
      </c>
      <c r="AN485" s="202"/>
      <c r="AO485" s="204"/>
      <c r="AP485" s="202"/>
      <c r="AQ485" s="205"/>
      <c r="AR485" s="202"/>
      <c r="AS485" s="206"/>
      <c r="AT485" s="202"/>
      <c r="AU485" s="204"/>
      <c r="AV485" s="202"/>
      <c r="AW485" s="204"/>
      <c r="AX485" s="202"/>
      <c r="AY485" s="201"/>
      <c r="AZ485" s="202"/>
      <c r="BA485" s="203">
        <f t="shared" si="15"/>
        <v>0</v>
      </c>
      <c r="BB485" s="202"/>
      <c r="BC485" s="204"/>
      <c r="BD485" s="202"/>
      <c r="BE485" s="205"/>
      <c r="BF485" s="202"/>
      <c r="BG485" s="206"/>
      <c r="BH485" s="202"/>
      <c r="BI485" s="204"/>
      <c r="BJ485" s="202"/>
      <c r="BK485" s="204"/>
      <c r="BL485" s="202"/>
      <c r="BM485" s="201"/>
      <c r="BN485" s="202"/>
      <c r="BO485" s="203">
        <f t="shared" si="16"/>
        <v>0</v>
      </c>
      <c r="BP485" s="202"/>
      <c r="BQ485" s="138"/>
      <c r="BR485" s="128"/>
      <c r="BS485" s="128"/>
      <c r="BT485" s="128"/>
      <c r="BU485" s="128"/>
      <c r="BV485" s="128"/>
      <c r="BW485" s="139"/>
      <c r="BX485" s="140"/>
      <c r="BY485" s="139"/>
      <c r="BZ485" s="139"/>
      <c r="CA485" s="134"/>
      <c r="CB485" s="134"/>
      <c r="CC485" s="134"/>
      <c r="CD485" s="134"/>
      <c r="CE485" s="134"/>
      <c r="CF485" s="134"/>
      <c r="CG485" s="92"/>
      <c r="CH485" s="92"/>
      <c r="CI485" s="92"/>
      <c r="CJ485" s="92"/>
      <c r="CK485" s="92"/>
    </row>
    <row r="486" spans="1:89" ht="17.25" customHeight="1">
      <c r="A486" s="160"/>
      <c r="B486" s="165"/>
      <c r="C486" s="164"/>
      <c r="D486" s="137">
        <f t="shared" si="33"/>
        <v>0</v>
      </c>
      <c r="E486" s="208"/>
      <c r="F486" s="202"/>
      <c r="G486" s="207"/>
      <c r="H486" s="202"/>
      <c r="I486" s="208"/>
      <c r="J486" s="202"/>
      <c r="K486" s="208">
        <f t="shared" si="12"/>
        <v>0</v>
      </c>
      <c r="L486" s="202"/>
      <c r="M486" s="207"/>
      <c r="N486" s="202"/>
      <c r="O486" s="209"/>
      <c r="P486" s="202"/>
      <c r="Q486" s="206"/>
      <c r="R486" s="202"/>
      <c r="S486" s="207"/>
      <c r="T486" s="202"/>
      <c r="U486" s="207"/>
      <c r="V486" s="202"/>
      <c r="W486" s="208"/>
      <c r="X486" s="202"/>
      <c r="Y486" s="203">
        <f t="shared" si="31"/>
        <v>0</v>
      </c>
      <c r="Z486" s="202"/>
      <c r="AA486" s="207"/>
      <c r="AB486" s="202"/>
      <c r="AC486" s="205"/>
      <c r="AD486" s="202"/>
      <c r="AE486" s="206"/>
      <c r="AF486" s="202"/>
      <c r="AG486" s="204"/>
      <c r="AH486" s="202"/>
      <c r="AI486" s="204"/>
      <c r="AJ486" s="202"/>
      <c r="AK486" s="201"/>
      <c r="AL486" s="202"/>
      <c r="AM486" s="203">
        <f t="shared" si="14"/>
        <v>0</v>
      </c>
      <c r="AN486" s="202"/>
      <c r="AO486" s="204"/>
      <c r="AP486" s="202"/>
      <c r="AQ486" s="205"/>
      <c r="AR486" s="202"/>
      <c r="AS486" s="206"/>
      <c r="AT486" s="202"/>
      <c r="AU486" s="204"/>
      <c r="AV486" s="202"/>
      <c r="AW486" s="204"/>
      <c r="AX486" s="202"/>
      <c r="AY486" s="201"/>
      <c r="AZ486" s="202"/>
      <c r="BA486" s="203">
        <f t="shared" si="15"/>
        <v>0</v>
      </c>
      <c r="BB486" s="202"/>
      <c r="BC486" s="204"/>
      <c r="BD486" s="202"/>
      <c r="BE486" s="205"/>
      <c r="BF486" s="202"/>
      <c r="BG486" s="206"/>
      <c r="BH486" s="202"/>
      <c r="BI486" s="204"/>
      <c r="BJ486" s="202"/>
      <c r="BK486" s="204"/>
      <c r="BL486" s="202"/>
      <c r="BM486" s="201"/>
      <c r="BN486" s="202"/>
      <c r="BO486" s="203">
        <f t="shared" si="16"/>
        <v>0</v>
      </c>
      <c r="BP486" s="202"/>
      <c r="BQ486" s="138"/>
      <c r="BR486" s="128"/>
      <c r="BS486" s="128"/>
      <c r="BT486" s="128"/>
      <c r="BU486" s="128"/>
      <c r="BV486" s="128"/>
      <c r="BW486" s="139"/>
      <c r="BX486" s="140"/>
      <c r="BY486" s="139"/>
      <c r="BZ486" s="139"/>
      <c r="CA486" s="134"/>
      <c r="CB486" s="134"/>
      <c r="CC486" s="134"/>
      <c r="CD486" s="134"/>
      <c r="CE486" s="134"/>
      <c r="CF486" s="134"/>
      <c r="CG486" s="92"/>
      <c r="CH486" s="92"/>
      <c r="CI486" s="92"/>
      <c r="CJ486" s="92"/>
      <c r="CK486" s="92"/>
    </row>
    <row r="487" spans="1:89" ht="17.25" customHeight="1">
      <c r="A487" s="160"/>
      <c r="B487" s="165"/>
      <c r="C487" s="164"/>
      <c r="D487" s="137">
        <f t="shared" si="33"/>
        <v>0</v>
      </c>
      <c r="E487" s="208"/>
      <c r="F487" s="202"/>
      <c r="G487" s="207"/>
      <c r="H487" s="202"/>
      <c r="I487" s="208"/>
      <c r="J487" s="202"/>
      <c r="K487" s="208">
        <f t="shared" si="12"/>
        <v>0</v>
      </c>
      <c r="L487" s="202"/>
      <c r="M487" s="207"/>
      <c r="N487" s="202"/>
      <c r="O487" s="209"/>
      <c r="P487" s="202"/>
      <c r="Q487" s="206"/>
      <c r="R487" s="202"/>
      <c r="S487" s="207"/>
      <c r="T487" s="202"/>
      <c r="U487" s="207"/>
      <c r="V487" s="202"/>
      <c r="W487" s="208"/>
      <c r="X487" s="202"/>
      <c r="Y487" s="203">
        <f t="shared" si="31"/>
        <v>0</v>
      </c>
      <c r="Z487" s="202"/>
      <c r="AA487" s="207"/>
      <c r="AB487" s="202"/>
      <c r="AC487" s="205"/>
      <c r="AD487" s="202"/>
      <c r="AE487" s="206"/>
      <c r="AF487" s="202"/>
      <c r="AG487" s="204"/>
      <c r="AH487" s="202"/>
      <c r="AI487" s="204"/>
      <c r="AJ487" s="202"/>
      <c r="AK487" s="201"/>
      <c r="AL487" s="202"/>
      <c r="AM487" s="203">
        <f t="shared" si="14"/>
        <v>0</v>
      </c>
      <c r="AN487" s="202"/>
      <c r="AO487" s="204"/>
      <c r="AP487" s="202"/>
      <c r="AQ487" s="205"/>
      <c r="AR487" s="202"/>
      <c r="AS487" s="206"/>
      <c r="AT487" s="202"/>
      <c r="AU487" s="204"/>
      <c r="AV487" s="202"/>
      <c r="AW487" s="204"/>
      <c r="AX487" s="202"/>
      <c r="AY487" s="201"/>
      <c r="AZ487" s="202"/>
      <c r="BA487" s="203">
        <f t="shared" si="15"/>
        <v>0</v>
      </c>
      <c r="BB487" s="202"/>
      <c r="BC487" s="204"/>
      <c r="BD487" s="202"/>
      <c r="BE487" s="205"/>
      <c r="BF487" s="202"/>
      <c r="BG487" s="206"/>
      <c r="BH487" s="202"/>
      <c r="BI487" s="204"/>
      <c r="BJ487" s="202"/>
      <c r="BK487" s="204"/>
      <c r="BL487" s="202"/>
      <c r="BM487" s="201"/>
      <c r="BN487" s="202"/>
      <c r="BO487" s="203">
        <f t="shared" si="16"/>
        <v>0</v>
      </c>
      <c r="BP487" s="202"/>
      <c r="BQ487" s="138"/>
      <c r="BR487" s="128"/>
      <c r="BS487" s="128"/>
      <c r="BT487" s="128"/>
      <c r="BU487" s="128"/>
      <c r="BV487" s="128"/>
      <c r="BW487" s="139"/>
      <c r="BX487" s="140"/>
      <c r="BY487" s="139"/>
      <c r="BZ487" s="139"/>
      <c r="CA487" s="134"/>
      <c r="CB487" s="134"/>
      <c r="CC487" s="134"/>
      <c r="CD487" s="134"/>
      <c r="CE487" s="134"/>
      <c r="CF487" s="134"/>
      <c r="CG487" s="92"/>
      <c r="CH487" s="92"/>
      <c r="CI487" s="92"/>
      <c r="CJ487" s="92"/>
      <c r="CK487" s="92"/>
    </row>
    <row r="488" spans="1:89" ht="17.25" customHeight="1">
      <c r="A488" s="160"/>
      <c r="B488" s="165"/>
      <c r="C488" s="164"/>
      <c r="D488" s="137">
        <f t="shared" si="33"/>
        <v>0</v>
      </c>
      <c r="E488" s="208"/>
      <c r="F488" s="202"/>
      <c r="G488" s="207"/>
      <c r="H488" s="202"/>
      <c r="I488" s="208"/>
      <c r="J488" s="202"/>
      <c r="K488" s="208">
        <f t="shared" si="12"/>
        <v>0</v>
      </c>
      <c r="L488" s="202"/>
      <c r="M488" s="207"/>
      <c r="N488" s="202"/>
      <c r="O488" s="209"/>
      <c r="P488" s="202"/>
      <c r="Q488" s="206"/>
      <c r="R488" s="202"/>
      <c r="S488" s="207"/>
      <c r="T488" s="202"/>
      <c r="U488" s="207"/>
      <c r="V488" s="202"/>
      <c r="W488" s="208"/>
      <c r="X488" s="202"/>
      <c r="Y488" s="203">
        <f t="shared" si="31"/>
        <v>0</v>
      </c>
      <c r="Z488" s="202"/>
      <c r="AA488" s="207"/>
      <c r="AB488" s="202"/>
      <c r="AC488" s="205"/>
      <c r="AD488" s="202"/>
      <c r="AE488" s="206"/>
      <c r="AF488" s="202"/>
      <c r="AG488" s="204"/>
      <c r="AH488" s="202"/>
      <c r="AI488" s="204"/>
      <c r="AJ488" s="202"/>
      <c r="AK488" s="201"/>
      <c r="AL488" s="202"/>
      <c r="AM488" s="203">
        <f t="shared" si="14"/>
        <v>0</v>
      </c>
      <c r="AN488" s="202"/>
      <c r="AO488" s="204"/>
      <c r="AP488" s="202"/>
      <c r="AQ488" s="205"/>
      <c r="AR488" s="202"/>
      <c r="AS488" s="206"/>
      <c r="AT488" s="202"/>
      <c r="AU488" s="204"/>
      <c r="AV488" s="202"/>
      <c r="AW488" s="204"/>
      <c r="AX488" s="202"/>
      <c r="AY488" s="201"/>
      <c r="AZ488" s="202"/>
      <c r="BA488" s="203">
        <f t="shared" si="15"/>
        <v>0</v>
      </c>
      <c r="BB488" s="202"/>
      <c r="BC488" s="204"/>
      <c r="BD488" s="202"/>
      <c r="BE488" s="205"/>
      <c r="BF488" s="202"/>
      <c r="BG488" s="206"/>
      <c r="BH488" s="202"/>
      <c r="BI488" s="204"/>
      <c r="BJ488" s="202"/>
      <c r="BK488" s="204"/>
      <c r="BL488" s="202"/>
      <c r="BM488" s="201"/>
      <c r="BN488" s="202"/>
      <c r="BO488" s="203">
        <f t="shared" si="16"/>
        <v>0</v>
      </c>
      <c r="BP488" s="202"/>
      <c r="BQ488" s="138"/>
      <c r="BR488" s="128"/>
      <c r="BS488" s="128"/>
      <c r="BT488" s="128"/>
      <c r="BU488" s="128"/>
      <c r="BV488" s="128"/>
      <c r="BW488" s="139"/>
      <c r="BX488" s="140"/>
      <c r="BY488" s="139"/>
      <c r="BZ488" s="139"/>
      <c r="CA488" s="134"/>
      <c r="CB488" s="134"/>
      <c r="CC488" s="134"/>
      <c r="CD488" s="134"/>
      <c r="CE488" s="134"/>
      <c r="CF488" s="134"/>
      <c r="CG488" s="92"/>
      <c r="CH488" s="92"/>
      <c r="CI488" s="92"/>
      <c r="CJ488" s="92"/>
      <c r="CK488" s="92"/>
    </row>
    <row r="489" spans="1:89" ht="17.25" customHeight="1">
      <c r="A489" s="160"/>
      <c r="B489" s="165"/>
      <c r="C489" s="164"/>
      <c r="D489" s="137">
        <f t="shared" si="33"/>
        <v>0</v>
      </c>
      <c r="E489" s="208"/>
      <c r="F489" s="202"/>
      <c r="G489" s="207"/>
      <c r="H489" s="202"/>
      <c r="I489" s="208"/>
      <c r="J489" s="202"/>
      <c r="K489" s="208">
        <f t="shared" si="12"/>
        <v>0</v>
      </c>
      <c r="L489" s="202"/>
      <c r="M489" s="207"/>
      <c r="N489" s="202"/>
      <c r="O489" s="209"/>
      <c r="P489" s="202"/>
      <c r="Q489" s="206"/>
      <c r="R489" s="202"/>
      <c r="S489" s="207"/>
      <c r="T489" s="202"/>
      <c r="U489" s="207"/>
      <c r="V489" s="202"/>
      <c r="W489" s="208"/>
      <c r="X489" s="202"/>
      <c r="Y489" s="203">
        <f t="shared" si="31"/>
        <v>0</v>
      </c>
      <c r="Z489" s="202"/>
      <c r="AA489" s="207"/>
      <c r="AB489" s="202"/>
      <c r="AC489" s="205"/>
      <c r="AD489" s="202"/>
      <c r="AE489" s="206"/>
      <c r="AF489" s="202"/>
      <c r="AG489" s="204"/>
      <c r="AH489" s="202"/>
      <c r="AI489" s="204"/>
      <c r="AJ489" s="202"/>
      <c r="AK489" s="201"/>
      <c r="AL489" s="202"/>
      <c r="AM489" s="203">
        <f t="shared" si="14"/>
        <v>0</v>
      </c>
      <c r="AN489" s="202"/>
      <c r="AO489" s="204"/>
      <c r="AP489" s="202"/>
      <c r="AQ489" s="205"/>
      <c r="AR489" s="202"/>
      <c r="AS489" s="206"/>
      <c r="AT489" s="202"/>
      <c r="AU489" s="204"/>
      <c r="AV489" s="202"/>
      <c r="AW489" s="204"/>
      <c r="AX489" s="202"/>
      <c r="AY489" s="201"/>
      <c r="AZ489" s="202"/>
      <c r="BA489" s="203">
        <f t="shared" si="15"/>
        <v>0</v>
      </c>
      <c r="BB489" s="202"/>
      <c r="BC489" s="204"/>
      <c r="BD489" s="202"/>
      <c r="BE489" s="205"/>
      <c r="BF489" s="202"/>
      <c r="BG489" s="206"/>
      <c r="BH489" s="202"/>
      <c r="BI489" s="204"/>
      <c r="BJ489" s="202"/>
      <c r="BK489" s="204"/>
      <c r="BL489" s="202"/>
      <c r="BM489" s="201"/>
      <c r="BN489" s="202"/>
      <c r="BO489" s="203">
        <f t="shared" si="16"/>
        <v>0</v>
      </c>
      <c r="BP489" s="202"/>
      <c r="BQ489" s="138"/>
      <c r="BR489" s="128"/>
      <c r="BS489" s="128"/>
      <c r="BT489" s="128"/>
      <c r="BU489" s="128"/>
      <c r="BV489" s="128"/>
      <c r="BW489" s="139"/>
      <c r="BX489" s="140"/>
      <c r="BY489" s="139"/>
      <c r="BZ489" s="139"/>
      <c r="CA489" s="134"/>
      <c r="CB489" s="134"/>
      <c r="CC489" s="134"/>
      <c r="CD489" s="134"/>
      <c r="CE489" s="134"/>
      <c r="CF489" s="134"/>
      <c r="CG489" s="92"/>
      <c r="CH489" s="92"/>
      <c r="CI489" s="92"/>
      <c r="CJ489" s="92"/>
      <c r="CK489" s="92"/>
    </row>
    <row r="490" spans="1:89" ht="17.25" customHeight="1">
      <c r="A490" s="160"/>
      <c r="B490" s="165"/>
      <c r="C490" s="164"/>
      <c r="D490" s="137">
        <f t="shared" si="33"/>
        <v>0</v>
      </c>
      <c r="E490" s="208"/>
      <c r="F490" s="202"/>
      <c r="G490" s="207"/>
      <c r="H490" s="202"/>
      <c r="I490" s="208"/>
      <c r="J490" s="202"/>
      <c r="K490" s="208">
        <f t="shared" si="12"/>
        <v>0</v>
      </c>
      <c r="L490" s="202"/>
      <c r="M490" s="207"/>
      <c r="N490" s="202"/>
      <c r="O490" s="209"/>
      <c r="P490" s="202"/>
      <c r="Q490" s="206"/>
      <c r="R490" s="202"/>
      <c r="S490" s="207"/>
      <c r="T490" s="202"/>
      <c r="U490" s="207"/>
      <c r="V490" s="202"/>
      <c r="W490" s="208"/>
      <c r="X490" s="202"/>
      <c r="Y490" s="203">
        <f t="shared" si="31"/>
        <v>0</v>
      </c>
      <c r="Z490" s="202"/>
      <c r="AA490" s="207"/>
      <c r="AB490" s="202"/>
      <c r="AC490" s="205"/>
      <c r="AD490" s="202"/>
      <c r="AE490" s="206"/>
      <c r="AF490" s="202"/>
      <c r="AG490" s="204"/>
      <c r="AH490" s="202"/>
      <c r="AI490" s="204"/>
      <c r="AJ490" s="202"/>
      <c r="AK490" s="201"/>
      <c r="AL490" s="202"/>
      <c r="AM490" s="203">
        <f t="shared" si="14"/>
        <v>0</v>
      </c>
      <c r="AN490" s="202"/>
      <c r="AO490" s="204"/>
      <c r="AP490" s="202"/>
      <c r="AQ490" s="205"/>
      <c r="AR490" s="202"/>
      <c r="AS490" s="206"/>
      <c r="AT490" s="202"/>
      <c r="AU490" s="204"/>
      <c r="AV490" s="202"/>
      <c r="AW490" s="204"/>
      <c r="AX490" s="202"/>
      <c r="AY490" s="201"/>
      <c r="AZ490" s="202"/>
      <c r="BA490" s="203">
        <f t="shared" si="15"/>
        <v>0</v>
      </c>
      <c r="BB490" s="202"/>
      <c r="BC490" s="204"/>
      <c r="BD490" s="202"/>
      <c r="BE490" s="205"/>
      <c r="BF490" s="202"/>
      <c r="BG490" s="206"/>
      <c r="BH490" s="202"/>
      <c r="BI490" s="204"/>
      <c r="BJ490" s="202"/>
      <c r="BK490" s="204"/>
      <c r="BL490" s="202"/>
      <c r="BM490" s="201"/>
      <c r="BN490" s="202"/>
      <c r="BO490" s="203">
        <f t="shared" si="16"/>
        <v>0</v>
      </c>
      <c r="BP490" s="202"/>
      <c r="BQ490" s="138"/>
      <c r="BR490" s="128"/>
      <c r="BS490" s="128"/>
      <c r="BT490" s="128"/>
      <c r="BU490" s="128"/>
      <c r="BV490" s="128"/>
      <c r="BW490" s="139"/>
      <c r="BX490" s="140"/>
      <c r="BY490" s="139"/>
      <c r="BZ490" s="139"/>
      <c r="CA490" s="134"/>
      <c r="CB490" s="134"/>
      <c r="CC490" s="134"/>
      <c r="CD490" s="134"/>
      <c r="CE490" s="134"/>
      <c r="CF490" s="134"/>
      <c r="CG490" s="92"/>
      <c r="CH490" s="92"/>
      <c r="CI490" s="92"/>
      <c r="CJ490" s="92"/>
      <c r="CK490" s="92"/>
    </row>
    <row r="491" spans="1:89" ht="17.25" customHeight="1">
      <c r="A491" s="160"/>
      <c r="B491" s="165"/>
      <c r="C491" s="164"/>
      <c r="D491" s="137">
        <f t="shared" si="33"/>
        <v>0</v>
      </c>
      <c r="E491" s="208"/>
      <c r="F491" s="202"/>
      <c r="G491" s="207"/>
      <c r="H491" s="202"/>
      <c r="I491" s="208"/>
      <c r="J491" s="202"/>
      <c r="K491" s="208">
        <f t="shared" si="12"/>
        <v>0</v>
      </c>
      <c r="L491" s="202"/>
      <c r="M491" s="207"/>
      <c r="N491" s="202"/>
      <c r="O491" s="209"/>
      <c r="P491" s="202"/>
      <c r="Q491" s="206"/>
      <c r="R491" s="202"/>
      <c r="S491" s="207"/>
      <c r="T491" s="202"/>
      <c r="U491" s="207"/>
      <c r="V491" s="202"/>
      <c r="W491" s="208"/>
      <c r="X491" s="202"/>
      <c r="Y491" s="203">
        <f t="shared" si="31"/>
        <v>0</v>
      </c>
      <c r="Z491" s="202"/>
      <c r="AA491" s="207"/>
      <c r="AB491" s="202"/>
      <c r="AC491" s="205"/>
      <c r="AD491" s="202"/>
      <c r="AE491" s="206"/>
      <c r="AF491" s="202"/>
      <c r="AG491" s="204"/>
      <c r="AH491" s="202"/>
      <c r="AI491" s="204"/>
      <c r="AJ491" s="202"/>
      <c r="AK491" s="201"/>
      <c r="AL491" s="202"/>
      <c r="AM491" s="203">
        <f t="shared" si="14"/>
        <v>0</v>
      </c>
      <c r="AN491" s="202"/>
      <c r="AO491" s="204"/>
      <c r="AP491" s="202"/>
      <c r="AQ491" s="205"/>
      <c r="AR491" s="202"/>
      <c r="AS491" s="206"/>
      <c r="AT491" s="202"/>
      <c r="AU491" s="204"/>
      <c r="AV491" s="202"/>
      <c r="AW491" s="204"/>
      <c r="AX491" s="202"/>
      <c r="AY491" s="201"/>
      <c r="AZ491" s="202"/>
      <c r="BA491" s="203">
        <f t="shared" si="15"/>
        <v>0</v>
      </c>
      <c r="BB491" s="202"/>
      <c r="BC491" s="204"/>
      <c r="BD491" s="202"/>
      <c r="BE491" s="205"/>
      <c r="BF491" s="202"/>
      <c r="BG491" s="206"/>
      <c r="BH491" s="202"/>
      <c r="BI491" s="204"/>
      <c r="BJ491" s="202"/>
      <c r="BK491" s="204"/>
      <c r="BL491" s="202"/>
      <c r="BM491" s="201"/>
      <c r="BN491" s="202"/>
      <c r="BO491" s="203">
        <f t="shared" si="16"/>
        <v>0</v>
      </c>
      <c r="BP491" s="202"/>
      <c r="BQ491" s="138"/>
      <c r="BR491" s="128"/>
      <c r="BS491" s="128"/>
      <c r="BT491" s="128"/>
      <c r="BU491" s="128"/>
      <c r="BV491" s="128"/>
      <c r="BW491" s="139"/>
      <c r="BX491" s="140"/>
      <c r="BY491" s="139"/>
      <c r="BZ491" s="139"/>
      <c r="CA491" s="134"/>
      <c r="CB491" s="134"/>
      <c r="CC491" s="134"/>
      <c r="CD491" s="134"/>
      <c r="CE491" s="134"/>
      <c r="CF491" s="134"/>
      <c r="CG491" s="92"/>
      <c r="CH491" s="92"/>
      <c r="CI491" s="92"/>
      <c r="CJ491" s="92"/>
      <c r="CK491" s="92"/>
    </row>
    <row r="492" spans="1:89" ht="17.25" customHeight="1">
      <c r="A492" s="160"/>
      <c r="B492" s="165"/>
      <c r="C492" s="164"/>
      <c r="D492" s="137">
        <f t="shared" si="33"/>
        <v>0</v>
      </c>
      <c r="E492" s="208"/>
      <c r="F492" s="202"/>
      <c r="G492" s="207"/>
      <c r="H492" s="202"/>
      <c r="I492" s="208"/>
      <c r="J492" s="202"/>
      <c r="K492" s="208">
        <f t="shared" si="12"/>
        <v>0</v>
      </c>
      <c r="L492" s="202"/>
      <c r="M492" s="207"/>
      <c r="N492" s="202"/>
      <c r="O492" s="209"/>
      <c r="P492" s="202"/>
      <c r="Q492" s="206"/>
      <c r="R492" s="202"/>
      <c r="S492" s="207"/>
      <c r="T492" s="202"/>
      <c r="U492" s="207"/>
      <c r="V492" s="202"/>
      <c r="W492" s="208"/>
      <c r="X492" s="202"/>
      <c r="Y492" s="203">
        <f t="shared" si="31"/>
        <v>0</v>
      </c>
      <c r="Z492" s="202"/>
      <c r="AA492" s="207"/>
      <c r="AB492" s="202"/>
      <c r="AC492" s="205"/>
      <c r="AD492" s="202"/>
      <c r="AE492" s="206"/>
      <c r="AF492" s="202"/>
      <c r="AG492" s="204"/>
      <c r="AH492" s="202"/>
      <c r="AI492" s="204"/>
      <c r="AJ492" s="202"/>
      <c r="AK492" s="201"/>
      <c r="AL492" s="202"/>
      <c r="AM492" s="203">
        <f t="shared" si="14"/>
        <v>0</v>
      </c>
      <c r="AN492" s="202"/>
      <c r="AO492" s="204"/>
      <c r="AP492" s="202"/>
      <c r="AQ492" s="205"/>
      <c r="AR492" s="202"/>
      <c r="AS492" s="206"/>
      <c r="AT492" s="202"/>
      <c r="AU492" s="204"/>
      <c r="AV492" s="202"/>
      <c r="AW492" s="204"/>
      <c r="AX492" s="202"/>
      <c r="AY492" s="201"/>
      <c r="AZ492" s="202"/>
      <c r="BA492" s="203">
        <f t="shared" si="15"/>
        <v>0</v>
      </c>
      <c r="BB492" s="202"/>
      <c r="BC492" s="204"/>
      <c r="BD492" s="202"/>
      <c r="BE492" s="205"/>
      <c r="BF492" s="202"/>
      <c r="BG492" s="206"/>
      <c r="BH492" s="202"/>
      <c r="BI492" s="204"/>
      <c r="BJ492" s="202"/>
      <c r="BK492" s="204"/>
      <c r="BL492" s="202"/>
      <c r="BM492" s="201"/>
      <c r="BN492" s="202"/>
      <c r="BO492" s="203">
        <f t="shared" si="16"/>
        <v>0</v>
      </c>
      <c r="BP492" s="202"/>
      <c r="BQ492" s="138"/>
      <c r="BR492" s="128"/>
      <c r="BS492" s="128"/>
      <c r="BT492" s="128"/>
      <c r="BU492" s="128"/>
      <c r="BV492" s="128"/>
      <c r="BW492" s="139"/>
      <c r="BX492" s="140"/>
      <c r="BY492" s="139"/>
      <c r="BZ492" s="139"/>
      <c r="CA492" s="134"/>
      <c r="CB492" s="134"/>
      <c r="CC492" s="134"/>
      <c r="CD492" s="134"/>
      <c r="CE492" s="134"/>
      <c r="CF492" s="134"/>
      <c r="CG492" s="92"/>
      <c r="CH492" s="92"/>
      <c r="CI492" s="92"/>
      <c r="CJ492" s="92"/>
      <c r="CK492" s="92"/>
    </row>
    <row r="493" spans="1:89" ht="17.25" customHeight="1">
      <c r="A493" s="160"/>
      <c r="B493" s="165"/>
      <c r="C493" s="164"/>
      <c r="D493" s="137">
        <f t="shared" si="33"/>
        <v>0</v>
      </c>
      <c r="E493" s="208"/>
      <c r="F493" s="202"/>
      <c r="G493" s="207"/>
      <c r="H493" s="202"/>
      <c r="I493" s="208"/>
      <c r="J493" s="202"/>
      <c r="K493" s="208">
        <f t="shared" si="12"/>
        <v>0</v>
      </c>
      <c r="L493" s="202"/>
      <c r="M493" s="207"/>
      <c r="N493" s="202"/>
      <c r="O493" s="209"/>
      <c r="P493" s="202"/>
      <c r="Q493" s="206"/>
      <c r="R493" s="202"/>
      <c r="S493" s="207"/>
      <c r="T493" s="202"/>
      <c r="U493" s="207"/>
      <c r="V493" s="202"/>
      <c r="W493" s="208"/>
      <c r="X493" s="202"/>
      <c r="Y493" s="203">
        <f t="shared" si="31"/>
        <v>0</v>
      </c>
      <c r="Z493" s="202"/>
      <c r="AA493" s="207"/>
      <c r="AB493" s="202"/>
      <c r="AC493" s="205"/>
      <c r="AD493" s="202"/>
      <c r="AE493" s="206"/>
      <c r="AF493" s="202"/>
      <c r="AG493" s="204"/>
      <c r="AH493" s="202"/>
      <c r="AI493" s="204"/>
      <c r="AJ493" s="202"/>
      <c r="AK493" s="201"/>
      <c r="AL493" s="202"/>
      <c r="AM493" s="203">
        <f t="shared" si="14"/>
        <v>0</v>
      </c>
      <c r="AN493" s="202"/>
      <c r="AO493" s="204"/>
      <c r="AP493" s="202"/>
      <c r="AQ493" s="205"/>
      <c r="AR493" s="202"/>
      <c r="AS493" s="206"/>
      <c r="AT493" s="202"/>
      <c r="AU493" s="204"/>
      <c r="AV493" s="202"/>
      <c r="AW493" s="204"/>
      <c r="AX493" s="202"/>
      <c r="AY493" s="201"/>
      <c r="AZ493" s="202"/>
      <c r="BA493" s="203">
        <f t="shared" si="15"/>
        <v>0</v>
      </c>
      <c r="BB493" s="202"/>
      <c r="BC493" s="204"/>
      <c r="BD493" s="202"/>
      <c r="BE493" s="205"/>
      <c r="BF493" s="202"/>
      <c r="BG493" s="206"/>
      <c r="BH493" s="202"/>
      <c r="BI493" s="204"/>
      <c r="BJ493" s="202"/>
      <c r="BK493" s="204"/>
      <c r="BL493" s="202"/>
      <c r="BM493" s="201"/>
      <c r="BN493" s="202"/>
      <c r="BO493" s="203">
        <f t="shared" si="16"/>
        <v>0</v>
      </c>
      <c r="BP493" s="202"/>
      <c r="BQ493" s="138"/>
      <c r="BR493" s="128"/>
      <c r="BS493" s="128"/>
      <c r="BT493" s="128"/>
      <c r="BU493" s="128"/>
      <c r="BV493" s="128"/>
      <c r="BW493" s="139"/>
      <c r="BX493" s="140"/>
      <c r="BY493" s="139"/>
      <c r="BZ493" s="139"/>
      <c r="CA493" s="134"/>
      <c r="CB493" s="134"/>
      <c r="CC493" s="134"/>
      <c r="CD493" s="134"/>
      <c r="CE493" s="134"/>
      <c r="CF493" s="134"/>
      <c r="CG493" s="92"/>
      <c r="CH493" s="92"/>
      <c r="CI493" s="92"/>
      <c r="CJ493" s="92"/>
      <c r="CK493" s="92"/>
    </row>
    <row r="494" spans="1:89" ht="17.25" customHeight="1">
      <c r="A494" s="160"/>
      <c r="B494" s="165"/>
      <c r="C494" s="164"/>
      <c r="D494" s="137">
        <f t="shared" si="33"/>
        <v>0</v>
      </c>
      <c r="E494" s="208"/>
      <c r="F494" s="202"/>
      <c r="G494" s="207"/>
      <c r="H494" s="202"/>
      <c r="I494" s="208"/>
      <c r="J494" s="202"/>
      <c r="K494" s="208">
        <f t="shared" si="12"/>
        <v>0</v>
      </c>
      <c r="L494" s="202"/>
      <c r="M494" s="207"/>
      <c r="N494" s="202"/>
      <c r="O494" s="209"/>
      <c r="P494" s="202"/>
      <c r="Q494" s="206"/>
      <c r="R494" s="202"/>
      <c r="S494" s="207"/>
      <c r="T494" s="202"/>
      <c r="U494" s="207"/>
      <c r="V494" s="202"/>
      <c r="W494" s="208"/>
      <c r="X494" s="202"/>
      <c r="Y494" s="203">
        <f t="shared" si="31"/>
        <v>0</v>
      </c>
      <c r="Z494" s="202"/>
      <c r="AA494" s="207"/>
      <c r="AB494" s="202"/>
      <c r="AC494" s="205"/>
      <c r="AD494" s="202"/>
      <c r="AE494" s="206"/>
      <c r="AF494" s="202"/>
      <c r="AG494" s="204"/>
      <c r="AH494" s="202"/>
      <c r="AI494" s="204"/>
      <c r="AJ494" s="202"/>
      <c r="AK494" s="201"/>
      <c r="AL494" s="202"/>
      <c r="AM494" s="203">
        <f t="shared" si="14"/>
        <v>0</v>
      </c>
      <c r="AN494" s="202"/>
      <c r="AO494" s="204"/>
      <c r="AP494" s="202"/>
      <c r="AQ494" s="205"/>
      <c r="AR494" s="202"/>
      <c r="AS494" s="206"/>
      <c r="AT494" s="202"/>
      <c r="AU494" s="204"/>
      <c r="AV494" s="202"/>
      <c r="AW494" s="204"/>
      <c r="AX494" s="202"/>
      <c r="AY494" s="201"/>
      <c r="AZ494" s="202"/>
      <c r="BA494" s="203">
        <f t="shared" si="15"/>
        <v>0</v>
      </c>
      <c r="BB494" s="202"/>
      <c r="BC494" s="204"/>
      <c r="BD494" s="202"/>
      <c r="BE494" s="205"/>
      <c r="BF494" s="202"/>
      <c r="BG494" s="206"/>
      <c r="BH494" s="202"/>
      <c r="BI494" s="204"/>
      <c r="BJ494" s="202"/>
      <c r="BK494" s="204"/>
      <c r="BL494" s="202"/>
      <c r="BM494" s="201"/>
      <c r="BN494" s="202"/>
      <c r="BO494" s="203">
        <f t="shared" si="16"/>
        <v>0</v>
      </c>
      <c r="BP494" s="202"/>
      <c r="BQ494" s="138"/>
      <c r="BR494" s="128"/>
      <c r="BS494" s="128"/>
      <c r="BT494" s="128"/>
      <c r="BU494" s="128"/>
      <c r="BV494" s="128"/>
      <c r="BW494" s="139"/>
      <c r="BX494" s="140"/>
      <c r="BY494" s="139"/>
      <c r="BZ494" s="139"/>
      <c r="CA494" s="134"/>
      <c r="CB494" s="134"/>
      <c r="CC494" s="134"/>
      <c r="CD494" s="134"/>
      <c r="CE494" s="134"/>
      <c r="CF494" s="134"/>
      <c r="CG494" s="92"/>
      <c r="CH494" s="92"/>
      <c r="CI494" s="92"/>
      <c r="CJ494" s="92"/>
      <c r="CK494" s="92"/>
    </row>
    <row r="495" spans="1:89" ht="17.25" customHeight="1">
      <c r="A495" s="160"/>
      <c r="B495" s="165"/>
      <c r="C495" s="164"/>
      <c r="D495" s="137">
        <f t="shared" si="33"/>
        <v>0</v>
      </c>
      <c r="E495" s="208"/>
      <c r="F495" s="202"/>
      <c r="G495" s="207"/>
      <c r="H495" s="202"/>
      <c r="I495" s="208"/>
      <c r="J495" s="202"/>
      <c r="K495" s="208">
        <f t="shared" si="12"/>
        <v>0</v>
      </c>
      <c r="L495" s="202"/>
      <c r="M495" s="207"/>
      <c r="N495" s="202"/>
      <c r="O495" s="209"/>
      <c r="P495" s="202"/>
      <c r="Q495" s="206"/>
      <c r="R495" s="202"/>
      <c r="S495" s="207"/>
      <c r="T495" s="202"/>
      <c r="U495" s="207"/>
      <c r="V495" s="202"/>
      <c r="W495" s="208"/>
      <c r="X495" s="202"/>
      <c r="Y495" s="203">
        <f t="shared" si="31"/>
        <v>0</v>
      </c>
      <c r="Z495" s="202"/>
      <c r="AA495" s="207"/>
      <c r="AB495" s="202"/>
      <c r="AC495" s="205"/>
      <c r="AD495" s="202"/>
      <c r="AE495" s="206"/>
      <c r="AF495" s="202"/>
      <c r="AG495" s="204"/>
      <c r="AH495" s="202"/>
      <c r="AI495" s="204"/>
      <c r="AJ495" s="202"/>
      <c r="AK495" s="201"/>
      <c r="AL495" s="202"/>
      <c r="AM495" s="203">
        <f t="shared" si="14"/>
        <v>0</v>
      </c>
      <c r="AN495" s="202"/>
      <c r="AO495" s="204"/>
      <c r="AP495" s="202"/>
      <c r="AQ495" s="205"/>
      <c r="AR495" s="202"/>
      <c r="AS495" s="206"/>
      <c r="AT495" s="202"/>
      <c r="AU495" s="204"/>
      <c r="AV495" s="202"/>
      <c r="AW495" s="204"/>
      <c r="AX495" s="202"/>
      <c r="AY495" s="201"/>
      <c r="AZ495" s="202"/>
      <c r="BA495" s="203">
        <f t="shared" si="15"/>
        <v>0</v>
      </c>
      <c r="BB495" s="202"/>
      <c r="BC495" s="204"/>
      <c r="BD495" s="202"/>
      <c r="BE495" s="205"/>
      <c r="BF495" s="202"/>
      <c r="BG495" s="206"/>
      <c r="BH495" s="202"/>
      <c r="BI495" s="204"/>
      <c r="BJ495" s="202"/>
      <c r="BK495" s="204"/>
      <c r="BL495" s="202"/>
      <c r="BM495" s="201"/>
      <c r="BN495" s="202"/>
      <c r="BO495" s="203">
        <f t="shared" si="16"/>
        <v>0</v>
      </c>
      <c r="BP495" s="202"/>
      <c r="BQ495" s="138"/>
      <c r="BR495" s="128"/>
      <c r="BS495" s="128"/>
      <c r="BT495" s="128"/>
      <c r="BU495" s="128"/>
      <c r="BV495" s="128"/>
      <c r="BW495" s="139"/>
      <c r="BX495" s="140"/>
      <c r="BY495" s="139"/>
      <c r="BZ495" s="139"/>
      <c r="CA495" s="134"/>
      <c r="CB495" s="134"/>
      <c r="CC495" s="134"/>
      <c r="CD495" s="134"/>
      <c r="CE495" s="134"/>
      <c r="CF495" s="134"/>
      <c r="CG495" s="92"/>
      <c r="CH495" s="92"/>
      <c r="CI495" s="92"/>
      <c r="CJ495" s="92"/>
      <c r="CK495" s="92"/>
    </row>
    <row r="496" spans="1:89" ht="17.25" customHeight="1">
      <c r="A496" s="160"/>
      <c r="B496" s="165"/>
      <c r="C496" s="164"/>
      <c r="D496" s="137">
        <f t="shared" si="33"/>
        <v>0</v>
      </c>
      <c r="E496" s="208"/>
      <c r="F496" s="202"/>
      <c r="G496" s="207"/>
      <c r="H496" s="202"/>
      <c r="I496" s="208"/>
      <c r="J496" s="202"/>
      <c r="K496" s="208">
        <f t="shared" si="12"/>
        <v>0</v>
      </c>
      <c r="L496" s="202"/>
      <c r="M496" s="207"/>
      <c r="N496" s="202"/>
      <c r="O496" s="209"/>
      <c r="P496" s="202"/>
      <c r="Q496" s="206"/>
      <c r="R496" s="202"/>
      <c r="S496" s="207"/>
      <c r="T496" s="202"/>
      <c r="U496" s="207"/>
      <c r="V496" s="202"/>
      <c r="W496" s="208"/>
      <c r="X496" s="202"/>
      <c r="Y496" s="203">
        <f t="shared" si="31"/>
        <v>0</v>
      </c>
      <c r="Z496" s="202"/>
      <c r="AA496" s="207"/>
      <c r="AB496" s="202"/>
      <c r="AC496" s="205"/>
      <c r="AD496" s="202"/>
      <c r="AE496" s="206"/>
      <c r="AF496" s="202"/>
      <c r="AG496" s="204"/>
      <c r="AH496" s="202"/>
      <c r="AI496" s="204"/>
      <c r="AJ496" s="202"/>
      <c r="AK496" s="201"/>
      <c r="AL496" s="202"/>
      <c r="AM496" s="203">
        <f t="shared" si="14"/>
        <v>0</v>
      </c>
      <c r="AN496" s="202"/>
      <c r="AO496" s="204"/>
      <c r="AP496" s="202"/>
      <c r="AQ496" s="205"/>
      <c r="AR496" s="202"/>
      <c r="AS496" s="206"/>
      <c r="AT496" s="202"/>
      <c r="AU496" s="204"/>
      <c r="AV496" s="202"/>
      <c r="AW496" s="204"/>
      <c r="AX496" s="202"/>
      <c r="AY496" s="201"/>
      <c r="AZ496" s="202"/>
      <c r="BA496" s="203">
        <f t="shared" si="15"/>
        <v>0</v>
      </c>
      <c r="BB496" s="202"/>
      <c r="BC496" s="204"/>
      <c r="BD496" s="202"/>
      <c r="BE496" s="205"/>
      <c r="BF496" s="202"/>
      <c r="BG496" s="206"/>
      <c r="BH496" s="202"/>
      <c r="BI496" s="204"/>
      <c r="BJ496" s="202"/>
      <c r="BK496" s="204"/>
      <c r="BL496" s="202"/>
      <c r="BM496" s="201"/>
      <c r="BN496" s="202"/>
      <c r="BO496" s="203">
        <f t="shared" si="16"/>
        <v>0</v>
      </c>
      <c r="BP496" s="202"/>
      <c r="BQ496" s="138"/>
      <c r="BR496" s="128"/>
      <c r="BS496" s="128"/>
      <c r="BT496" s="128"/>
      <c r="BU496" s="128"/>
      <c r="BV496" s="128"/>
      <c r="BW496" s="139"/>
      <c r="BX496" s="140"/>
      <c r="BY496" s="139"/>
      <c r="BZ496" s="139"/>
      <c r="CA496" s="134"/>
      <c r="CB496" s="134"/>
      <c r="CC496" s="134"/>
      <c r="CD496" s="134"/>
      <c r="CE496" s="134"/>
      <c r="CF496" s="134"/>
      <c r="CG496" s="92"/>
      <c r="CH496" s="92"/>
      <c r="CI496" s="92"/>
      <c r="CJ496" s="92"/>
      <c r="CK496" s="92"/>
    </row>
    <row r="497" spans="1:89" ht="17.25" customHeight="1">
      <c r="A497" s="160"/>
      <c r="B497" s="165"/>
      <c r="C497" s="164"/>
      <c r="D497" s="137">
        <f t="shared" si="33"/>
        <v>0</v>
      </c>
      <c r="E497" s="208"/>
      <c r="F497" s="202"/>
      <c r="G497" s="207"/>
      <c r="H497" s="202"/>
      <c r="I497" s="208"/>
      <c r="J497" s="202"/>
      <c r="K497" s="208">
        <f t="shared" si="12"/>
        <v>0</v>
      </c>
      <c r="L497" s="202"/>
      <c r="M497" s="207"/>
      <c r="N497" s="202"/>
      <c r="O497" s="209"/>
      <c r="P497" s="202"/>
      <c r="Q497" s="206"/>
      <c r="R497" s="202"/>
      <c r="S497" s="207"/>
      <c r="T497" s="202"/>
      <c r="U497" s="207"/>
      <c r="V497" s="202"/>
      <c r="W497" s="208"/>
      <c r="X497" s="202"/>
      <c r="Y497" s="203">
        <f t="shared" si="31"/>
        <v>0</v>
      </c>
      <c r="Z497" s="202"/>
      <c r="AA497" s="207"/>
      <c r="AB497" s="202"/>
      <c r="AC497" s="205"/>
      <c r="AD497" s="202"/>
      <c r="AE497" s="206"/>
      <c r="AF497" s="202"/>
      <c r="AG497" s="204"/>
      <c r="AH497" s="202"/>
      <c r="AI497" s="204"/>
      <c r="AJ497" s="202"/>
      <c r="AK497" s="201"/>
      <c r="AL497" s="202"/>
      <c r="AM497" s="203">
        <f t="shared" si="14"/>
        <v>0</v>
      </c>
      <c r="AN497" s="202"/>
      <c r="AO497" s="204"/>
      <c r="AP497" s="202"/>
      <c r="AQ497" s="205"/>
      <c r="AR497" s="202"/>
      <c r="AS497" s="206"/>
      <c r="AT497" s="202"/>
      <c r="AU497" s="204"/>
      <c r="AV497" s="202"/>
      <c r="AW497" s="204"/>
      <c r="AX497" s="202"/>
      <c r="AY497" s="201"/>
      <c r="AZ497" s="202"/>
      <c r="BA497" s="203">
        <f t="shared" si="15"/>
        <v>0</v>
      </c>
      <c r="BB497" s="202"/>
      <c r="BC497" s="204"/>
      <c r="BD497" s="202"/>
      <c r="BE497" s="205"/>
      <c r="BF497" s="202"/>
      <c r="BG497" s="206"/>
      <c r="BH497" s="202"/>
      <c r="BI497" s="204"/>
      <c r="BJ497" s="202"/>
      <c r="BK497" s="204"/>
      <c r="BL497" s="202"/>
      <c r="BM497" s="201"/>
      <c r="BN497" s="202"/>
      <c r="BO497" s="203">
        <f t="shared" si="16"/>
        <v>0</v>
      </c>
      <c r="BP497" s="202"/>
      <c r="BQ497" s="138"/>
      <c r="BR497" s="128"/>
      <c r="BS497" s="128"/>
      <c r="BT497" s="128"/>
      <c r="BU497" s="128"/>
      <c r="BV497" s="128"/>
      <c r="BW497" s="139"/>
      <c r="BX497" s="140"/>
      <c r="BY497" s="139"/>
      <c r="BZ497" s="139"/>
      <c r="CA497" s="134"/>
      <c r="CB497" s="134"/>
      <c r="CC497" s="134"/>
      <c r="CD497" s="134"/>
      <c r="CE497" s="134"/>
      <c r="CF497" s="134"/>
      <c r="CG497" s="92"/>
      <c r="CH497" s="92"/>
      <c r="CI497" s="92"/>
      <c r="CJ497" s="92"/>
      <c r="CK497" s="92"/>
    </row>
    <row r="498" spans="1:89" ht="17.25" customHeight="1">
      <c r="A498" s="160"/>
      <c r="B498" s="165"/>
      <c r="C498" s="164"/>
      <c r="D498" s="137">
        <f t="shared" si="33"/>
        <v>0</v>
      </c>
      <c r="E498" s="208"/>
      <c r="F498" s="202"/>
      <c r="G498" s="207"/>
      <c r="H498" s="202"/>
      <c r="I498" s="208"/>
      <c r="J498" s="202"/>
      <c r="K498" s="208">
        <f t="shared" si="12"/>
        <v>0</v>
      </c>
      <c r="L498" s="202"/>
      <c r="M498" s="207"/>
      <c r="N498" s="202"/>
      <c r="O498" s="209"/>
      <c r="P498" s="202"/>
      <c r="Q498" s="206"/>
      <c r="R498" s="202"/>
      <c r="S498" s="207"/>
      <c r="T498" s="202"/>
      <c r="U498" s="207"/>
      <c r="V498" s="202"/>
      <c r="W498" s="208"/>
      <c r="X498" s="202"/>
      <c r="Y498" s="203">
        <f t="shared" si="31"/>
        <v>0</v>
      </c>
      <c r="Z498" s="202"/>
      <c r="AA498" s="207"/>
      <c r="AB498" s="202"/>
      <c r="AC498" s="205"/>
      <c r="AD498" s="202"/>
      <c r="AE498" s="206"/>
      <c r="AF498" s="202"/>
      <c r="AG498" s="204"/>
      <c r="AH498" s="202"/>
      <c r="AI498" s="204"/>
      <c r="AJ498" s="202"/>
      <c r="AK498" s="201"/>
      <c r="AL498" s="202"/>
      <c r="AM498" s="203">
        <f t="shared" si="14"/>
        <v>0</v>
      </c>
      <c r="AN498" s="202"/>
      <c r="AO498" s="204"/>
      <c r="AP498" s="202"/>
      <c r="AQ498" s="205"/>
      <c r="AR498" s="202"/>
      <c r="AS498" s="206"/>
      <c r="AT498" s="202"/>
      <c r="AU498" s="204"/>
      <c r="AV498" s="202"/>
      <c r="AW498" s="204"/>
      <c r="AX498" s="202"/>
      <c r="AY498" s="201"/>
      <c r="AZ498" s="202"/>
      <c r="BA498" s="203">
        <f t="shared" si="15"/>
        <v>0</v>
      </c>
      <c r="BB498" s="202"/>
      <c r="BC498" s="204"/>
      <c r="BD498" s="202"/>
      <c r="BE498" s="205"/>
      <c r="BF498" s="202"/>
      <c r="BG498" s="206"/>
      <c r="BH498" s="202"/>
      <c r="BI498" s="204"/>
      <c r="BJ498" s="202"/>
      <c r="BK498" s="204"/>
      <c r="BL498" s="202"/>
      <c r="BM498" s="201"/>
      <c r="BN498" s="202"/>
      <c r="BO498" s="203">
        <f t="shared" si="16"/>
        <v>0</v>
      </c>
      <c r="BP498" s="202"/>
      <c r="BQ498" s="138"/>
      <c r="BR498" s="128"/>
      <c r="BS498" s="128"/>
      <c r="BT498" s="128"/>
      <c r="BU498" s="128"/>
      <c r="BV498" s="128"/>
      <c r="BW498" s="139"/>
      <c r="BX498" s="140"/>
      <c r="BY498" s="139"/>
      <c r="BZ498" s="139"/>
      <c r="CA498" s="134"/>
      <c r="CB498" s="134"/>
      <c r="CC498" s="134"/>
      <c r="CD498" s="134"/>
      <c r="CE498" s="134"/>
      <c r="CF498" s="134"/>
      <c r="CG498" s="92"/>
      <c r="CH498" s="92"/>
      <c r="CI498" s="92"/>
      <c r="CJ498" s="92"/>
      <c r="CK498" s="92"/>
    </row>
    <row r="499" spans="1:89" ht="17.25" customHeight="1">
      <c r="A499" s="160"/>
      <c r="B499" s="165"/>
      <c r="C499" s="164"/>
      <c r="D499" s="137">
        <f t="shared" si="33"/>
        <v>0</v>
      </c>
      <c r="E499" s="208"/>
      <c r="F499" s="202"/>
      <c r="G499" s="207"/>
      <c r="H499" s="202"/>
      <c r="I499" s="208"/>
      <c r="J499" s="202"/>
      <c r="K499" s="208">
        <f t="shared" si="12"/>
        <v>0</v>
      </c>
      <c r="L499" s="202"/>
      <c r="M499" s="207"/>
      <c r="N499" s="202"/>
      <c r="O499" s="209"/>
      <c r="P499" s="202"/>
      <c r="Q499" s="206"/>
      <c r="R499" s="202"/>
      <c r="S499" s="207"/>
      <c r="T499" s="202"/>
      <c r="U499" s="207"/>
      <c r="V499" s="202"/>
      <c r="W499" s="208"/>
      <c r="X499" s="202"/>
      <c r="Y499" s="203">
        <f t="shared" si="31"/>
        <v>0</v>
      </c>
      <c r="Z499" s="202"/>
      <c r="AA499" s="207"/>
      <c r="AB499" s="202"/>
      <c r="AC499" s="205"/>
      <c r="AD499" s="202"/>
      <c r="AE499" s="206"/>
      <c r="AF499" s="202"/>
      <c r="AG499" s="204"/>
      <c r="AH499" s="202"/>
      <c r="AI499" s="204"/>
      <c r="AJ499" s="202"/>
      <c r="AK499" s="201"/>
      <c r="AL499" s="202"/>
      <c r="AM499" s="203">
        <f t="shared" si="14"/>
        <v>0</v>
      </c>
      <c r="AN499" s="202"/>
      <c r="AO499" s="204"/>
      <c r="AP499" s="202"/>
      <c r="AQ499" s="205"/>
      <c r="AR499" s="202"/>
      <c r="AS499" s="206"/>
      <c r="AT499" s="202"/>
      <c r="AU499" s="204"/>
      <c r="AV499" s="202"/>
      <c r="AW499" s="204"/>
      <c r="AX499" s="202"/>
      <c r="AY499" s="201"/>
      <c r="AZ499" s="202"/>
      <c r="BA499" s="203">
        <f t="shared" si="15"/>
        <v>0</v>
      </c>
      <c r="BB499" s="202"/>
      <c r="BC499" s="204"/>
      <c r="BD499" s="202"/>
      <c r="BE499" s="205"/>
      <c r="BF499" s="202"/>
      <c r="BG499" s="206"/>
      <c r="BH499" s="202"/>
      <c r="BI499" s="204"/>
      <c r="BJ499" s="202"/>
      <c r="BK499" s="204"/>
      <c r="BL499" s="202"/>
      <c r="BM499" s="201"/>
      <c r="BN499" s="202"/>
      <c r="BO499" s="203">
        <f t="shared" si="16"/>
        <v>0</v>
      </c>
      <c r="BP499" s="202"/>
      <c r="BQ499" s="138"/>
      <c r="BR499" s="128"/>
      <c r="BS499" s="128"/>
      <c r="BT499" s="128"/>
      <c r="BU499" s="128"/>
      <c r="BV499" s="128"/>
      <c r="BW499" s="139"/>
      <c r="BX499" s="140"/>
      <c r="BY499" s="139"/>
      <c r="BZ499" s="139"/>
      <c r="CA499" s="134"/>
      <c r="CB499" s="134"/>
      <c r="CC499" s="134"/>
      <c r="CD499" s="134"/>
      <c r="CE499" s="134"/>
      <c r="CF499" s="134"/>
      <c r="CG499" s="92"/>
      <c r="CH499" s="92"/>
      <c r="CI499" s="92"/>
      <c r="CJ499" s="92"/>
      <c r="CK499" s="92"/>
    </row>
    <row r="500" spans="1:89" ht="17.25" customHeight="1">
      <c r="A500" s="160"/>
      <c r="B500" s="165"/>
      <c r="C500" s="164"/>
      <c r="D500" s="137">
        <f t="shared" si="33"/>
        <v>0</v>
      </c>
      <c r="E500" s="208"/>
      <c r="F500" s="202"/>
      <c r="G500" s="207"/>
      <c r="H500" s="202"/>
      <c r="I500" s="208"/>
      <c r="J500" s="202"/>
      <c r="K500" s="208">
        <f t="shared" si="12"/>
        <v>0</v>
      </c>
      <c r="L500" s="202"/>
      <c r="M500" s="207"/>
      <c r="N500" s="202"/>
      <c r="O500" s="209"/>
      <c r="P500" s="202"/>
      <c r="Q500" s="206"/>
      <c r="R500" s="202"/>
      <c r="S500" s="207"/>
      <c r="T500" s="202"/>
      <c r="U500" s="207"/>
      <c r="V500" s="202"/>
      <c r="W500" s="208"/>
      <c r="X500" s="202"/>
      <c r="Y500" s="203">
        <f t="shared" si="31"/>
        <v>0</v>
      </c>
      <c r="Z500" s="202"/>
      <c r="AA500" s="207"/>
      <c r="AB500" s="202"/>
      <c r="AC500" s="205"/>
      <c r="AD500" s="202"/>
      <c r="AE500" s="206"/>
      <c r="AF500" s="202"/>
      <c r="AG500" s="204"/>
      <c r="AH500" s="202"/>
      <c r="AI500" s="204"/>
      <c r="AJ500" s="202"/>
      <c r="AK500" s="201"/>
      <c r="AL500" s="202"/>
      <c r="AM500" s="203">
        <f t="shared" si="14"/>
        <v>0</v>
      </c>
      <c r="AN500" s="202"/>
      <c r="AO500" s="204"/>
      <c r="AP500" s="202"/>
      <c r="AQ500" s="205"/>
      <c r="AR500" s="202"/>
      <c r="AS500" s="206"/>
      <c r="AT500" s="202"/>
      <c r="AU500" s="204"/>
      <c r="AV500" s="202"/>
      <c r="AW500" s="204"/>
      <c r="AX500" s="202"/>
      <c r="AY500" s="201"/>
      <c r="AZ500" s="202"/>
      <c r="BA500" s="203">
        <f t="shared" si="15"/>
        <v>0</v>
      </c>
      <c r="BB500" s="202"/>
      <c r="BC500" s="204"/>
      <c r="BD500" s="202"/>
      <c r="BE500" s="205"/>
      <c r="BF500" s="202"/>
      <c r="BG500" s="206"/>
      <c r="BH500" s="202"/>
      <c r="BI500" s="204"/>
      <c r="BJ500" s="202"/>
      <c r="BK500" s="204"/>
      <c r="BL500" s="202"/>
      <c r="BM500" s="201"/>
      <c r="BN500" s="202"/>
      <c r="BO500" s="203">
        <f t="shared" si="16"/>
        <v>0</v>
      </c>
      <c r="BP500" s="202"/>
      <c r="BQ500" s="138"/>
      <c r="BR500" s="128"/>
      <c r="BS500" s="128"/>
      <c r="BT500" s="128"/>
      <c r="BU500" s="128"/>
      <c r="BV500" s="128"/>
      <c r="BW500" s="139"/>
      <c r="BX500" s="140"/>
      <c r="BY500" s="139"/>
      <c r="BZ500" s="139"/>
      <c r="CA500" s="134"/>
      <c r="CB500" s="134"/>
      <c r="CC500" s="134"/>
      <c r="CD500" s="134"/>
      <c r="CE500" s="134"/>
      <c r="CF500" s="134"/>
      <c r="CG500" s="92"/>
      <c r="CH500" s="92"/>
      <c r="CI500" s="92"/>
      <c r="CJ500" s="92"/>
      <c r="CK500" s="92"/>
    </row>
  </sheetData>
  <mergeCells count="15944">
    <mergeCell ref="E421:F421"/>
    <mergeCell ref="G421:H421"/>
    <mergeCell ref="I421:J421"/>
    <mergeCell ref="K421:L421"/>
    <mergeCell ref="M421:N421"/>
    <mergeCell ref="O421:P421"/>
    <mergeCell ref="Q421:R421"/>
    <mergeCell ref="AU420:AV420"/>
    <mergeCell ref="AW420:AX420"/>
    <mergeCell ref="AG420:AH420"/>
    <mergeCell ref="AI420:AJ420"/>
    <mergeCell ref="AK420:AL420"/>
    <mergeCell ref="AM420:AN420"/>
    <mergeCell ref="AO420:AP420"/>
    <mergeCell ref="AQ420:AR420"/>
    <mergeCell ref="AS420:AT420"/>
    <mergeCell ref="S421:T421"/>
    <mergeCell ref="U421:V421"/>
    <mergeCell ref="W421:X421"/>
    <mergeCell ref="Y421:Z421"/>
    <mergeCell ref="AA421:AB421"/>
    <mergeCell ref="AC421:AD421"/>
    <mergeCell ref="AE421:AF421"/>
    <mergeCell ref="AG421:AH421"/>
    <mergeCell ref="AI421:AJ421"/>
    <mergeCell ref="AK421:AL421"/>
    <mergeCell ref="AM421:AN421"/>
    <mergeCell ref="AO421:AP421"/>
    <mergeCell ref="AQ421:AR421"/>
    <mergeCell ref="AS421:AT421"/>
    <mergeCell ref="BI421:BJ421"/>
    <mergeCell ref="BK421:BL421"/>
    <mergeCell ref="BM421:BN421"/>
    <mergeCell ref="BO421:BP421"/>
    <mergeCell ref="AU421:AV421"/>
    <mergeCell ref="AW421:AX421"/>
    <mergeCell ref="AY421:AZ421"/>
    <mergeCell ref="BA421:BB421"/>
    <mergeCell ref="BC421:BD421"/>
    <mergeCell ref="BE421:BF421"/>
    <mergeCell ref="BG421:BH421"/>
    <mergeCell ref="BM418:BN418"/>
    <mergeCell ref="BO418:BP418"/>
    <mergeCell ref="AY418:AZ418"/>
    <mergeCell ref="BA418:BB418"/>
    <mergeCell ref="BC418:BD418"/>
    <mergeCell ref="BE418:BF418"/>
    <mergeCell ref="BG418:BH418"/>
    <mergeCell ref="BI418:BJ418"/>
    <mergeCell ref="BK418:BL418"/>
    <mergeCell ref="S417:T417"/>
    <mergeCell ref="U417:V417"/>
    <mergeCell ref="W417:X417"/>
    <mergeCell ref="Y417:Z417"/>
    <mergeCell ref="AA417:AB417"/>
    <mergeCell ref="AC417:AD417"/>
    <mergeCell ref="AE417:AF417"/>
    <mergeCell ref="AG417:AH417"/>
    <mergeCell ref="AI417:AJ417"/>
    <mergeCell ref="AK417:AL417"/>
    <mergeCell ref="AM417:AN417"/>
    <mergeCell ref="AO417:AP417"/>
    <mergeCell ref="AQ417:AR417"/>
    <mergeCell ref="AS417:AT417"/>
    <mergeCell ref="BI417:BJ417"/>
    <mergeCell ref="BK417:BL417"/>
    <mergeCell ref="BM417:BN417"/>
    <mergeCell ref="BO417:BP417"/>
    <mergeCell ref="E417:F417"/>
    <mergeCell ref="G417:H417"/>
    <mergeCell ref="I417:J417"/>
    <mergeCell ref="K417:L417"/>
    <mergeCell ref="M417:N417"/>
    <mergeCell ref="O417:P417"/>
    <mergeCell ref="Q417:R417"/>
    <mergeCell ref="S418:T418"/>
    <mergeCell ref="U418:V418"/>
    <mergeCell ref="W418:X418"/>
    <mergeCell ref="Y418:Z418"/>
    <mergeCell ref="AA418:AB418"/>
    <mergeCell ref="AC418:AD418"/>
    <mergeCell ref="AE418:AF418"/>
    <mergeCell ref="AU417:AV417"/>
    <mergeCell ref="AW417:AX417"/>
    <mergeCell ref="AY417:AZ417"/>
    <mergeCell ref="BA417:BB417"/>
    <mergeCell ref="BC417:BD417"/>
    <mergeCell ref="BE417:BF417"/>
    <mergeCell ref="BG417:BH417"/>
    <mergeCell ref="E418:F418"/>
    <mergeCell ref="G418:H418"/>
    <mergeCell ref="I418:J418"/>
    <mergeCell ref="K418:L418"/>
    <mergeCell ref="M418:N418"/>
    <mergeCell ref="O418:P418"/>
    <mergeCell ref="Q418:R418"/>
    <mergeCell ref="E415:F415"/>
    <mergeCell ref="G415:H415"/>
    <mergeCell ref="I415:J415"/>
    <mergeCell ref="K415:L415"/>
    <mergeCell ref="M415:N415"/>
    <mergeCell ref="O415:P415"/>
    <mergeCell ref="Q415:R415"/>
    <mergeCell ref="S416:T416"/>
    <mergeCell ref="U416:V416"/>
    <mergeCell ref="W416:X416"/>
    <mergeCell ref="Y416:Z416"/>
    <mergeCell ref="AA416:AB416"/>
    <mergeCell ref="AC416:AD416"/>
    <mergeCell ref="AE416:AF416"/>
    <mergeCell ref="AU415:AV415"/>
    <mergeCell ref="AW415:AX415"/>
    <mergeCell ref="AY415:AZ415"/>
    <mergeCell ref="BA415:BB415"/>
    <mergeCell ref="BC415:BD415"/>
    <mergeCell ref="BE415:BF415"/>
    <mergeCell ref="BG415:BH415"/>
    <mergeCell ref="E416:F416"/>
    <mergeCell ref="G416:H416"/>
    <mergeCell ref="I416:J416"/>
    <mergeCell ref="K416:L416"/>
    <mergeCell ref="M416:N416"/>
    <mergeCell ref="O416:P416"/>
    <mergeCell ref="Q416:R416"/>
    <mergeCell ref="AU418:AV418"/>
    <mergeCell ref="AW418:AX418"/>
    <mergeCell ref="AG418:AH418"/>
    <mergeCell ref="AI418:AJ418"/>
    <mergeCell ref="AK418:AL418"/>
    <mergeCell ref="AM418:AN418"/>
    <mergeCell ref="AO418:AP418"/>
    <mergeCell ref="AQ418:AR418"/>
    <mergeCell ref="AS418:AT418"/>
    <mergeCell ref="AG416:AH416"/>
    <mergeCell ref="AI416:AJ416"/>
    <mergeCell ref="AK416:AL416"/>
    <mergeCell ref="AM416:AN416"/>
    <mergeCell ref="AO416:AP416"/>
    <mergeCell ref="AQ416:AR416"/>
    <mergeCell ref="AS416:AT416"/>
    <mergeCell ref="BM416:BN416"/>
    <mergeCell ref="BO416:BP416"/>
    <mergeCell ref="AY416:AZ416"/>
    <mergeCell ref="BA416:BB416"/>
    <mergeCell ref="BC416:BD416"/>
    <mergeCell ref="BE416:BF416"/>
    <mergeCell ref="BG416:BH416"/>
    <mergeCell ref="BI416:BJ416"/>
    <mergeCell ref="BK416:BL416"/>
    <mergeCell ref="S415:T415"/>
    <mergeCell ref="U415:V415"/>
    <mergeCell ref="W415:X415"/>
    <mergeCell ref="Y415:Z415"/>
    <mergeCell ref="AA415:AB415"/>
    <mergeCell ref="AC415:AD415"/>
    <mergeCell ref="AE415:AF415"/>
    <mergeCell ref="AG415:AH415"/>
    <mergeCell ref="AI415:AJ415"/>
    <mergeCell ref="AK415:AL415"/>
    <mergeCell ref="AM415:AN415"/>
    <mergeCell ref="AO415:AP415"/>
    <mergeCell ref="AQ415:AR415"/>
    <mergeCell ref="AS415:AT415"/>
    <mergeCell ref="BI415:BJ415"/>
    <mergeCell ref="BK415:BL415"/>
    <mergeCell ref="BM415:BN415"/>
    <mergeCell ref="BO415:BP415"/>
    <mergeCell ref="E414:F414"/>
    <mergeCell ref="G414:H414"/>
    <mergeCell ref="I414:J414"/>
    <mergeCell ref="K414:L414"/>
    <mergeCell ref="M414:N414"/>
    <mergeCell ref="O414:P414"/>
    <mergeCell ref="Q414:R414"/>
    <mergeCell ref="BM420:BN420"/>
    <mergeCell ref="BO420:BP420"/>
    <mergeCell ref="AY420:AZ420"/>
    <mergeCell ref="BA420:BB420"/>
    <mergeCell ref="BC420:BD420"/>
    <mergeCell ref="BE420:BF420"/>
    <mergeCell ref="BG420:BH420"/>
    <mergeCell ref="BI420:BJ420"/>
    <mergeCell ref="BK420:BL420"/>
    <mergeCell ref="S419:T419"/>
    <mergeCell ref="U419:V419"/>
    <mergeCell ref="W419:X419"/>
    <mergeCell ref="Y419:Z419"/>
    <mergeCell ref="AA419:AB419"/>
    <mergeCell ref="AC419:AD419"/>
    <mergeCell ref="AE419:AF419"/>
    <mergeCell ref="AG419:AH419"/>
    <mergeCell ref="AI419:AJ419"/>
    <mergeCell ref="AK419:AL419"/>
    <mergeCell ref="AM419:AN419"/>
    <mergeCell ref="AO419:AP419"/>
    <mergeCell ref="AQ419:AR419"/>
    <mergeCell ref="AS419:AT419"/>
    <mergeCell ref="BI419:BJ419"/>
    <mergeCell ref="BK419:BL419"/>
    <mergeCell ref="BM419:BN419"/>
    <mergeCell ref="BO419:BP419"/>
    <mergeCell ref="E419:F419"/>
    <mergeCell ref="G419:H419"/>
    <mergeCell ref="I419:J419"/>
    <mergeCell ref="K419:L419"/>
    <mergeCell ref="M419:N419"/>
    <mergeCell ref="O419:P419"/>
    <mergeCell ref="Q419:R419"/>
    <mergeCell ref="E420:F420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AA420:AB420"/>
    <mergeCell ref="AC420:AD420"/>
    <mergeCell ref="AE420:AF420"/>
    <mergeCell ref="AU419:AV419"/>
    <mergeCell ref="AW419:AX419"/>
    <mergeCell ref="AY419:AZ419"/>
    <mergeCell ref="BA419:BB419"/>
    <mergeCell ref="BC419:BD419"/>
    <mergeCell ref="BE419:BF419"/>
    <mergeCell ref="BG419:BH419"/>
    <mergeCell ref="AU416:AV416"/>
    <mergeCell ref="AW416:AX416"/>
    <mergeCell ref="AU413:AV413"/>
    <mergeCell ref="AW413:AX413"/>
    <mergeCell ref="AG413:AH413"/>
    <mergeCell ref="AI413:AJ413"/>
    <mergeCell ref="AK413:AL413"/>
    <mergeCell ref="AM413:AN413"/>
    <mergeCell ref="AO413:AP413"/>
    <mergeCell ref="AQ413:AR413"/>
    <mergeCell ref="AS413:AT413"/>
    <mergeCell ref="S414:T414"/>
    <mergeCell ref="U414:V414"/>
    <mergeCell ref="W414:X414"/>
    <mergeCell ref="Y414:Z414"/>
    <mergeCell ref="AA414:AB414"/>
    <mergeCell ref="AC414:AD414"/>
    <mergeCell ref="AE414:AF414"/>
    <mergeCell ref="AG414:AH414"/>
    <mergeCell ref="AI414:AJ414"/>
    <mergeCell ref="AK414:AL414"/>
    <mergeCell ref="AM414:AN414"/>
    <mergeCell ref="AO414:AP414"/>
    <mergeCell ref="AQ414:AR414"/>
    <mergeCell ref="AS414:AT414"/>
    <mergeCell ref="BI414:BJ414"/>
    <mergeCell ref="BK414:BL414"/>
    <mergeCell ref="BM414:BN414"/>
    <mergeCell ref="BO414:BP414"/>
    <mergeCell ref="AU414:AV414"/>
    <mergeCell ref="AW414:AX414"/>
    <mergeCell ref="AY414:AZ414"/>
    <mergeCell ref="BA414:BB414"/>
    <mergeCell ref="BC414:BD414"/>
    <mergeCell ref="BE414:BF414"/>
    <mergeCell ref="BG414:BH414"/>
    <mergeCell ref="BM411:BN411"/>
    <mergeCell ref="BO411:BP411"/>
    <mergeCell ref="AY411:AZ411"/>
    <mergeCell ref="BA411:BB411"/>
    <mergeCell ref="BC411:BD411"/>
    <mergeCell ref="BE411:BF411"/>
    <mergeCell ref="BG411:BH411"/>
    <mergeCell ref="BI411:BJ411"/>
    <mergeCell ref="BK411:BL411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I410:AJ410"/>
    <mergeCell ref="AK410:AL410"/>
    <mergeCell ref="AM410:AN410"/>
    <mergeCell ref="AO410:AP410"/>
    <mergeCell ref="AQ410:AR410"/>
    <mergeCell ref="AS410:AT410"/>
    <mergeCell ref="BI410:BJ410"/>
    <mergeCell ref="BK410:BL410"/>
    <mergeCell ref="BM410:BN410"/>
    <mergeCell ref="BO410:BP410"/>
    <mergeCell ref="E410:F410"/>
    <mergeCell ref="G410:H410"/>
    <mergeCell ref="I410:J410"/>
    <mergeCell ref="K410:L410"/>
    <mergeCell ref="M410:N410"/>
    <mergeCell ref="O410:P410"/>
    <mergeCell ref="Q410:R410"/>
    <mergeCell ref="S411:T411"/>
    <mergeCell ref="U411:V411"/>
    <mergeCell ref="W411:X411"/>
    <mergeCell ref="Y411:Z411"/>
    <mergeCell ref="AA411:AB411"/>
    <mergeCell ref="AC411:AD411"/>
    <mergeCell ref="AE411:AF411"/>
    <mergeCell ref="AU410:AV410"/>
    <mergeCell ref="AW410:AX410"/>
    <mergeCell ref="AY410:AZ410"/>
    <mergeCell ref="BA410:BB410"/>
    <mergeCell ref="BC410:BD410"/>
    <mergeCell ref="BE410:BF410"/>
    <mergeCell ref="BG410:BH410"/>
    <mergeCell ref="E411:F411"/>
    <mergeCell ref="G411:H411"/>
    <mergeCell ref="I411:J411"/>
    <mergeCell ref="K411:L411"/>
    <mergeCell ref="M411:N411"/>
    <mergeCell ref="O411:P411"/>
    <mergeCell ref="Q411:R411"/>
    <mergeCell ref="E408:F408"/>
    <mergeCell ref="G408:H408"/>
    <mergeCell ref="I408:J408"/>
    <mergeCell ref="K408:L408"/>
    <mergeCell ref="M408:N408"/>
    <mergeCell ref="O408:P408"/>
    <mergeCell ref="Q408:R408"/>
    <mergeCell ref="S409:T409"/>
    <mergeCell ref="U409:V409"/>
    <mergeCell ref="W409:X409"/>
    <mergeCell ref="Y409:Z409"/>
    <mergeCell ref="AA409:AB409"/>
    <mergeCell ref="AC409:AD409"/>
    <mergeCell ref="AE409:AF409"/>
    <mergeCell ref="AU408:AV408"/>
    <mergeCell ref="AW408:AX408"/>
    <mergeCell ref="AY408:AZ408"/>
    <mergeCell ref="BA408:BB408"/>
    <mergeCell ref="BC408:BD408"/>
    <mergeCell ref="BE408:BF408"/>
    <mergeCell ref="BG408:BH408"/>
    <mergeCell ref="E409:F409"/>
    <mergeCell ref="G409:H409"/>
    <mergeCell ref="I409:J409"/>
    <mergeCell ref="K409:L409"/>
    <mergeCell ref="M409:N409"/>
    <mergeCell ref="O409:P409"/>
    <mergeCell ref="Q409:R409"/>
    <mergeCell ref="AU411:AV411"/>
    <mergeCell ref="AW411:AX411"/>
    <mergeCell ref="AG411:AH411"/>
    <mergeCell ref="AI411:AJ411"/>
    <mergeCell ref="AK411:AL411"/>
    <mergeCell ref="AM411:AN411"/>
    <mergeCell ref="AO411:AP411"/>
    <mergeCell ref="AQ411:AR411"/>
    <mergeCell ref="AS411:AT411"/>
    <mergeCell ref="AG409:AH409"/>
    <mergeCell ref="AI409:AJ409"/>
    <mergeCell ref="AK409:AL409"/>
    <mergeCell ref="AM409:AN409"/>
    <mergeCell ref="AO409:AP409"/>
    <mergeCell ref="AQ409:AR409"/>
    <mergeCell ref="AS409:AT409"/>
    <mergeCell ref="BM409:BN409"/>
    <mergeCell ref="BO409:BP409"/>
    <mergeCell ref="AY409:AZ409"/>
    <mergeCell ref="BA409:BB409"/>
    <mergeCell ref="BC409:BD409"/>
    <mergeCell ref="BE409:BF409"/>
    <mergeCell ref="BG409:BH409"/>
    <mergeCell ref="BI409:BJ409"/>
    <mergeCell ref="BK409:BL409"/>
    <mergeCell ref="S408:T408"/>
    <mergeCell ref="U408:V408"/>
    <mergeCell ref="W408:X408"/>
    <mergeCell ref="Y408:Z408"/>
    <mergeCell ref="AA408:AB408"/>
    <mergeCell ref="AC408:AD408"/>
    <mergeCell ref="AE408:AF408"/>
    <mergeCell ref="AG408:AH408"/>
    <mergeCell ref="AI408:AJ408"/>
    <mergeCell ref="AK408:AL408"/>
    <mergeCell ref="AM408:AN408"/>
    <mergeCell ref="AO408:AP408"/>
    <mergeCell ref="AQ408:AR408"/>
    <mergeCell ref="AS408:AT408"/>
    <mergeCell ref="BI408:BJ408"/>
    <mergeCell ref="BK408:BL408"/>
    <mergeCell ref="BM408:BN408"/>
    <mergeCell ref="BO408:BP408"/>
    <mergeCell ref="E407:F407"/>
    <mergeCell ref="G407:H407"/>
    <mergeCell ref="I407:J407"/>
    <mergeCell ref="K407:L407"/>
    <mergeCell ref="M407:N407"/>
    <mergeCell ref="O407:P407"/>
    <mergeCell ref="Q407:R407"/>
    <mergeCell ref="BM413:BN413"/>
    <mergeCell ref="BO413:BP413"/>
    <mergeCell ref="AY413:AZ413"/>
    <mergeCell ref="BA413:BB413"/>
    <mergeCell ref="BC413:BD413"/>
    <mergeCell ref="BE413:BF413"/>
    <mergeCell ref="BG413:BH413"/>
    <mergeCell ref="BI413:BJ413"/>
    <mergeCell ref="BK413:BL413"/>
    <mergeCell ref="S412:T412"/>
    <mergeCell ref="U412:V412"/>
    <mergeCell ref="W412:X412"/>
    <mergeCell ref="Y412:Z412"/>
    <mergeCell ref="AA412:AB412"/>
    <mergeCell ref="AC412:AD412"/>
    <mergeCell ref="AE412:AF412"/>
    <mergeCell ref="AG412:AH412"/>
    <mergeCell ref="AI412:AJ412"/>
    <mergeCell ref="AK412:AL412"/>
    <mergeCell ref="AM412:AN412"/>
    <mergeCell ref="AO412:AP412"/>
    <mergeCell ref="AQ412:AR412"/>
    <mergeCell ref="AS412:AT412"/>
    <mergeCell ref="BI412:BJ412"/>
    <mergeCell ref="BK412:BL412"/>
    <mergeCell ref="BM412:BN412"/>
    <mergeCell ref="BO412:BP412"/>
    <mergeCell ref="E412:F412"/>
    <mergeCell ref="G412:H412"/>
    <mergeCell ref="I412:J412"/>
    <mergeCell ref="K412:L412"/>
    <mergeCell ref="M412:N412"/>
    <mergeCell ref="O412:P412"/>
    <mergeCell ref="Q412:R412"/>
    <mergeCell ref="E413:F413"/>
    <mergeCell ref="G413:H413"/>
    <mergeCell ref="I413:J413"/>
    <mergeCell ref="K413:L413"/>
    <mergeCell ref="M413:N413"/>
    <mergeCell ref="O413:P413"/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U412:AV412"/>
    <mergeCell ref="AW412:AX412"/>
    <mergeCell ref="AY412:AZ412"/>
    <mergeCell ref="BA412:BB412"/>
    <mergeCell ref="BC412:BD412"/>
    <mergeCell ref="BE412:BF412"/>
    <mergeCell ref="BG412:BH412"/>
    <mergeCell ref="AU409:AV409"/>
    <mergeCell ref="AW409:AX409"/>
    <mergeCell ref="AU406:AV406"/>
    <mergeCell ref="AW406:AX406"/>
    <mergeCell ref="AG406:AH406"/>
    <mergeCell ref="AI406:AJ406"/>
    <mergeCell ref="AK406:AL406"/>
    <mergeCell ref="AM406:AN406"/>
    <mergeCell ref="AO406:AP406"/>
    <mergeCell ref="AQ406:AR406"/>
    <mergeCell ref="AS406:AT406"/>
    <mergeCell ref="S407:T407"/>
    <mergeCell ref="U407:V407"/>
    <mergeCell ref="W407:X407"/>
    <mergeCell ref="Y407:Z407"/>
    <mergeCell ref="AA407:AB407"/>
    <mergeCell ref="AC407:AD407"/>
    <mergeCell ref="AE407:AF407"/>
    <mergeCell ref="AG407:AH407"/>
    <mergeCell ref="AI407:AJ407"/>
    <mergeCell ref="AK407:AL407"/>
    <mergeCell ref="AM407:AN407"/>
    <mergeCell ref="AO407:AP407"/>
    <mergeCell ref="AQ407:AR407"/>
    <mergeCell ref="AS407:AT407"/>
    <mergeCell ref="BI407:BJ407"/>
    <mergeCell ref="BK407:BL407"/>
    <mergeCell ref="BM407:BN407"/>
    <mergeCell ref="BO407:BP407"/>
    <mergeCell ref="AU407:AV407"/>
    <mergeCell ref="AW407:AX407"/>
    <mergeCell ref="AY407:AZ407"/>
    <mergeCell ref="BA407:BB407"/>
    <mergeCell ref="BC407:BD407"/>
    <mergeCell ref="BE407:BF407"/>
    <mergeCell ref="BG407:BH407"/>
    <mergeCell ref="BM404:BN404"/>
    <mergeCell ref="BO404:BP404"/>
    <mergeCell ref="AY404:AZ404"/>
    <mergeCell ref="BA404:BB404"/>
    <mergeCell ref="BC404:BD404"/>
    <mergeCell ref="BE404:BF404"/>
    <mergeCell ref="BG404:BH404"/>
    <mergeCell ref="BI404:BJ404"/>
    <mergeCell ref="BK404:BL404"/>
    <mergeCell ref="S403:T403"/>
    <mergeCell ref="U403:V403"/>
    <mergeCell ref="W403:X403"/>
    <mergeCell ref="Y403:Z403"/>
    <mergeCell ref="AA403:AB403"/>
    <mergeCell ref="AC403:AD403"/>
    <mergeCell ref="AE403:AF403"/>
    <mergeCell ref="AG403:AH403"/>
    <mergeCell ref="AI403:AJ403"/>
    <mergeCell ref="AK403:AL403"/>
    <mergeCell ref="AM403:AN403"/>
    <mergeCell ref="AO403:AP403"/>
    <mergeCell ref="AQ403:AR403"/>
    <mergeCell ref="AS403:AT403"/>
    <mergeCell ref="BI403:BJ403"/>
    <mergeCell ref="BK403:BL403"/>
    <mergeCell ref="BM403:BN403"/>
    <mergeCell ref="BO403:BP403"/>
    <mergeCell ref="E403:F403"/>
    <mergeCell ref="G403:H403"/>
    <mergeCell ref="I403:J403"/>
    <mergeCell ref="K403:L403"/>
    <mergeCell ref="M403:N403"/>
    <mergeCell ref="O403:P403"/>
    <mergeCell ref="Q403:R403"/>
    <mergeCell ref="S404:T404"/>
    <mergeCell ref="U404:V404"/>
    <mergeCell ref="W404:X404"/>
    <mergeCell ref="Y404:Z404"/>
    <mergeCell ref="AA404:AB404"/>
    <mergeCell ref="AC404:AD404"/>
    <mergeCell ref="AE404:AF404"/>
    <mergeCell ref="AU403:AV403"/>
    <mergeCell ref="AW403:AX403"/>
    <mergeCell ref="AY403:AZ403"/>
    <mergeCell ref="BA403:BB403"/>
    <mergeCell ref="BC403:BD403"/>
    <mergeCell ref="BE403:BF403"/>
    <mergeCell ref="BG403:BH403"/>
    <mergeCell ref="E404:F404"/>
    <mergeCell ref="G404:H404"/>
    <mergeCell ref="I404:J404"/>
    <mergeCell ref="K404:L404"/>
    <mergeCell ref="M404:N404"/>
    <mergeCell ref="O404:P404"/>
    <mergeCell ref="Q404:R404"/>
    <mergeCell ref="E401:F401"/>
    <mergeCell ref="G401:H401"/>
    <mergeCell ref="I401:J401"/>
    <mergeCell ref="K401:L401"/>
    <mergeCell ref="M401:N401"/>
    <mergeCell ref="O401:P401"/>
    <mergeCell ref="Q401:R401"/>
    <mergeCell ref="S402:T402"/>
    <mergeCell ref="U402:V402"/>
    <mergeCell ref="W402:X402"/>
    <mergeCell ref="Y402:Z402"/>
    <mergeCell ref="AA402:AB402"/>
    <mergeCell ref="AC402:AD402"/>
    <mergeCell ref="AE402:AF402"/>
    <mergeCell ref="AU401:AV401"/>
    <mergeCell ref="AW401:AX401"/>
    <mergeCell ref="AY401:AZ401"/>
    <mergeCell ref="BA401:BB401"/>
    <mergeCell ref="BC401:BD401"/>
    <mergeCell ref="BE401:BF401"/>
    <mergeCell ref="BG401:BH401"/>
    <mergeCell ref="E402:F402"/>
    <mergeCell ref="G402:H402"/>
    <mergeCell ref="I402:J402"/>
    <mergeCell ref="K402:L402"/>
    <mergeCell ref="M402:N402"/>
    <mergeCell ref="O402:P402"/>
    <mergeCell ref="Q402:R402"/>
    <mergeCell ref="AU404:AV404"/>
    <mergeCell ref="AW404:AX404"/>
    <mergeCell ref="AG404:AH404"/>
    <mergeCell ref="AI404:AJ404"/>
    <mergeCell ref="AK404:AL404"/>
    <mergeCell ref="AM404:AN404"/>
    <mergeCell ref="AO404:AP404"/>
    <mergeCell ref="AQ404:AR404"/>
    <mergeCell ref="AS404:AT404"/>
    <mergeCell ref="AG402:AH402"/>
    <mergeCell ref="AI402:AJ402"/>
    <mergeCell ref="AK402:AL402"/>
    <mergeCell ref="AM402:AN402"/>
    <mergeCell ref="AO402:AP402"/>
    <mergeCell ref="AQ402:AR402"/>
    <mergeCell ref="AS402:AT402"/>
    <mergeCell ref="BM402:BN402"/>
    <mergeCell ref="BO402:BP402"/>
    <mergeCell ref="AY402:AZ402"/>
    <mergeCell ref="BA402:BB402"/>
    <mergeCell ref="BC402:BD402"/>
    <mergeCell ref="BE402:BF402"/>
    <mergeCell ref="BG402:BH402"/>
    <mergeCell ref="BI402:BJ402"/>
    <mergeCell ref="BK402:BL402"/>
    <mergeCell ref="S401:T401"/>
    <mergeCell ref="U401:V401"/>
    <mergeCell ref="W401:X401"/>
    <mergeCell ref="Y401:Z401"/>
    <mergeCell ref="AA401:AB401"/>
    <mergeCell ref="AC401:AD401"/>
    <mergeCell ref="AE401:AF401"/>
    <mergeCell ref="AG401:AH401"/>
    <mergeCell ref="AI401:AJ401"/>
    <mergeCell ref="AK401:AL401"/>
    <mergeCell ref="AM401:AN401"/>
    <mergeCell ref="AO401:AP401"/>
    <mergeCell ref="AQ401:AR401"/>
    <mergeCell ref="AS401:AT401"/>
    <mergeCell ref="BI401:BJ401"/>
    <mergeCell ref="BK401:BL401"/>
    <mergeCell ref="BM401:BN401"/>
    <mergeCell ref="BO401:BP401"/>
    <mergeCell ref="E400:F400"/>
    <mergeCell ref="G400:H400"/>
    <mergeCell ref="I400:J400"/>
    <mergeCell ref="K400:L400"/>
    <mergeCell ref="M400:N400"/>
    <mergeCell ref="O400:P400"/>
    <mergeCell ref="Q400:R400"/>
    <mergeCell ref="BM406:BN406"/>
    <mergeCell ref="BO406:BP406"/>
    <mergeCell ref="AY406:AZ406"/>
    <mergeCell ref="BA406:BB406"/>
    <mergeCell ref="BC406:BD406"/>
    <mergeCell ref="BE406:BF406"/>
    <mergeCell ref="BG406:BH406"/>
    <mergeCell ref="BI406:BJ406"/>
    <mergeCell ref="BK406:BL406"/>
    <mergeCell ref="S405:T405"/>
    <mergeCell ref="U405:V405"/>
    <mergeCell ref="W405:X405"/>
    <mergeCell ref="Y405:Z405"/>
    <mergeCell ref="AA405:AB405"/>
    <mergeCell ref="AC405:AD405"/>
    <mergeCell ref="AE405:AF405"/>
    <mergeCell ref="AG405:AH405"/>
    <mergeCell ref="AI405:AJ405"/>
    <mergeCell ref="AK405:AL405"/>
    <mergeCell ref="AM405:AN405"/>
    <mergeCell ref="AO405:AP405"/>
    <mergeCell ref="AQ405:AR405"/>
    <mergeCell ref="AS405:AT405"/>
    <mergeCell ref="BI405:BJ405"/>
    <mergeCell ref="BK405:BL405"/>
    <mergeCell ref="BM405:BN405"/>
    <mergeCell ref="BO405:BP405"/>
    <mergeCell ref="E405:F405"/>
    <mergeCell ref="G405:H405"/>
    <mergeCell ref="I405:J405"/>
    <mergeCell ref="K405:L405"/>
    <mergeCell ref="M405:N405"/>
    <mergeCell ref="O405:P405"/>
    <mergeCell ref="Q405:R405"/>
    <mergeCell ref="E406:F406"/>
    <mergeCell ref="G406:H406"/>
    <mergeCell ref="I406:J406"/>
    <mergeCell ref="K406:L406"/>
    <mergeCell ref="M406:N406"/>
    <mergeCell ref="O406:P406"/>
    <mergeCell ref="Q406:R406"/>
    <mergeCell ref="S406:T406"/>
    <mergeCell ref="U406:V406"/>
    <mergeCell ref="W406:X406"/>
    <mergeCell ref="Y406:Z406"/>
    <mergeCell ref="AA406:AB406"/>
    <mergeCell ref="AC406:AD406"/>
    <mergeCell ref="AE406:AF406"/>
    <mergeCell ref="AU405:AV405"/>
    <mergeCell ref="AW405:AX405"/>
    <mergeCell ref="AY405:AZ405"/>
    <mergeCell ref="BA405:BB405"/>
    <mergeCell ref="BC405:BD405"/>
    <mergeCell ref="BE405:BF405"/>
    <mergeCell ref="BG405:BH405"/>
    <mergeCell ref="AU402:AV402"/>
    <mergeCell ref="AW402:AX402"/>
    <mergeCell ref="AU399:AV399"/>
    <mergeCell ref="AW399:AX399"/>
    <mergeCell ref="AG399:AH399"/>
    <mergeCell ref="AI399:AJ399"/>
    <mergeCell ref="AK399:AL399"/>
    <mergeCell ref="AM399:AN399"/>
    <mergeCell ref="AO399:AP399"/>
    <mergeCell ref="AQ399:AR399"/>
    <mergeCell ref="AS399:AT399"/>
    <mergeCell ref="S400:T400"/>
    <mergeCell ref="U400:V400"/>
    <mergeCell ref="W400:X400"/>
    <mergeCell ref="Y400:Z400"/>
    <mergeCell ref="AA400:AB400"/>
    <mergeCell ref="AC400:AD400"/>
    <mergeCell ref="AE400:AF400"/>
    <mergeCell ref="AG400:AH400"/>
    <mergeCell ref="AI400:AJ400"/>
    <mergeCell ref="AK400:AL400"/>
    <mergeCell ref="AM400:AN400"/>
    <mergeCell ref="AO400:AP400"/>
    <mergeCell ref="AQ400:AR400"/>
    <mergeCell ref="AS400:AT400"/>
    <mergeCell ref="BI400:BJ400"/>
    <mergeCell ref="BK400:BL400"/>
    <mergeCell ref="BM400:BN400"/>
    <mergeCell ref="BO400:BP400"/>
    <mergeCell ref="AU400:AV400"/>
    <mergeCell ref="AW400:AX400"/>
    <mergeCell ref="AY400:AZ400"/>
    <mergeCell ref="BA400:BB400"/>
    <mergeCell ref="BC400:BD400"/>
    <mergeCell ref="BE400:BF400"/>
    <mergeCell ref="BG400:BH400"/>
    <mergeCell ref="BM397:BN397"/>
    <mergeCell ref="BO397:BP397"/>
    <mergeCell ref="AY397:AZ397"/>
    <mergeCell ref="BA397:BB397"/>
    <mergeCell ref="BC397:BD397"/>
    <mergeCell ref="BE397:BF397"/>
    <mergeCell ref="BG397:BH397"/>
    <mergeCell ref="BI397:BJ397"/>
    <mergeCell ref="BK397:BL397"/>
    <mergeCell ref="S396:T396"/>
    <mergeCell ref="U396:V396"/>
    <mergeCell ref="W396:X396"/>
    <mergeCell ref="Y396:Z396"/>
    <mergeCell ref="AA396:AB396"/>
    <mergeCell ref="AC396:AD396"/>
    <mergeCell ref="AE396:AF396"/>
    <mergeCell ref="AG396:AH396"/>
    <mergeCell ref="AI396:AJ396"/>
    <mergeCell ref="AK396:AL396"/>
    <mergeCell ref="AM396:AN396"/>
    <mergeCell ref="AO396:AP396"/>
    <mergeCell ref="AQ396:AR396"/>
    <mergeCell ref="AS396:AT396"/>
    <mergeCell ref="BI396:BJ396"/>
    <mergeCell ref="BK396:BL396"/>
    <mergeCell ref="BM396:BN396"/>
    <mergeCell ref="BO396:BP396"/>
    <mergeCell ref="E396:F396"/>
    <mergeCell ref="G396:H396"/>
    <mergeCell ref="I396:J396"/>
    <mergeCell ref="K396:L396"/>
    <mergeCell ref="M396:N396"/>
    <mergeCell ref="O396:P396"/>
    <mergeCell ref="Q396:R396"/>
    <mergeCell ref="S397:T397"/>
    <mergeCell ref="U397:V397"/>
    <mergeCell ref="W397:X397"/>
    <mergeCell ref="Y397:Z397"/>
    <mergeCell ref="AA397:AB397"/>
    <mergeCell ref="AC397:AD397"/>
    <mergeCell ref="AE397:AF397"/>
    <mergeCell ref="AU396:AV396"/>
    <mergeCell ref="AW396:AX396"/>
    <mergeCell ref="AY396:AZ396"/>
    <mergeCell ref="BA396:BB396"/>
    <mergeCell ref="BC396:BD396"/>
    <mergeCell ref="BE396:BF396"/>
    <mergeCell ref="BG396:BH396"/>
    <mergeCell ref="E397:F397"/>
    <mergeCell ref="G397:H397"/>
    <mergeCell ref="I397:J397"/>
    <mergeCell ref="K397:L397"/>
    <mergeCell ref="M397:N397"/>
    <mergeCell ref="O397:P397"/>
    <mergeCell ref="Q397:R397"/>
    <mergeCell ref="E394:F394"/>
    <mergeCell ref="G394:H394"/>
    <mergeCell ref="I394:J394"/>
    <mergeCell ref="K394:L394"/>
    <mergeCell ref="M394:N394"/>
    <mergeCell ref="O394:P394"/>
    <mergeCell ref="Q394:R394"/>
    <mergeCell ref="S395:T395"/>
    <mergeCell ref="U395:V395"/>
    <mergeCell ref="W395:X395"/>
    <mergeCell ref="Y395:Z395"/>
    <mergeCell ref="AA395:AB395"/>
    <mergeCell ref="AC395:AD395"/>
    <mergeCell ref="AE395:AF395"/>
    <mergeCell ref="AU394:AV394"/>
    <mergeCell ref="AW394:AX394"/>
    <mergeCell ref="AY394:AZ394"/>
    <mergeCell ref="BA394:BB394"/>
    <mergeCell ref="BC394:BD394"/>
    <mergeCell ref="BE394:BF394"/>
    <mergeCell ref="BG394:BH394"/>
    <mergeCell ref="E395:F395"/>
    <mergeCell ref="G395:H395"/>
    <mergeCell ref="I395:J395"/>
    <mergeCell ref="K395:L395"/>
    <mergeCell ref="M395:N395"/>
    <mergeCell ref="O395:P395"/>
    <mergeCell ref="Q395:R395"/>
    <mergeCell ref="AU397:AV397"/>
    <mergeCell ref="AW397:AX397"/>
    <mergeCell ref="AG397:AH397"/>
    <mergeCell ref="AI397:AJ397"/>
    <mergeCell ref="AK397:AL397"/>
    <mergeCell ref="AM397:AN397"/>
    <mergeCell ref="AO397:AP397"/>
    <mergeCell ref="AQ397:AR397"/>
    <mergeCell ref="AS397:AT397"/>
    <mergeCell ref="AG395:AH395"/>
    <mergeCell ref="AI395:AJ395"/>
    <mergeCell ref="AK395:AL395"/>
    <mergeCell ref="AM395:AN395"/>
    <mergeCell ref="AO395:AP395"/>
    <mergeCell ref="AQ395:AR395"/>
    <mergeCell ref="AS395:AT395"/>
    <mergeCell ref="BM395:BN395"/>
    <mergeCell ref="BO395:BP395"/>
    <mergeCell ref="AY395:AZ395"/>
    <mergeCell ref="BA395:BB395"/>
    <mergeCell ref="BC395:BD395"/>
    <mergeCell ref="BE395:BF395"/>
    <mergeCell ref="BG395:BH395"/>
    <mergeCell ref="BI395:BJ395"/>
    <mergeCell ref="BK395:BL395"/>
    <mergeCell ref="S394:T394"/>
    <mergeCell ref="U394:V394"/>
    <mergeCell ref="W394:X394"/>
    <mergeCell ref="Y394:Z394"/>
    <mergeCell ref="AA394:AB394"/>
    <mergeCell ref="AC394:AD394"/>
    <mergeCell ref="AE394:AF394"/>
    <mergeCell ref="AG394:AH394"/>
    <mergeCell ref="AI394:AJ394"/>
    <mergeCell ref="AK394:AL394"/>
    <mergeCell ref="AM394:AN394"/>
    <mergeCell ref="AO394:AP394"/>
    <mergeCell ref="AQ394:AR394"/>
    <mergeCell ref="AS394:AT394"/>
    <mergeCell ref="BI394:BJ394"/>
    <mergeCell ref="BK394:BL394"/>
    <mergeCell ref="BM394:BN394"/>
    <mergeCell ref="BO394:BP394"/>
    <mergeCell ref="E393:F393"/>
    <mergeCell ref="G393:H393"/>
    <mergeCell ref="I393:J393"/>
    <mergeCell ref="K393:L393"/>
    <mergeCell ref="M393:N393"/>
    <mergeCell ref="O393:P393"/>
    <mergeCell ref="Q393:R393"/>
    <mergeCell ref="BM399:BN399"/>
    <mergeCell ref="BO399:BP399"/>
    <mergeCell ref="AY399:AZ399"/>
    <mergeCell ref="BA399:BB399"/>
    <mergeCell ref="BC399:BD399"/>
    <mergeCell ref="BE399:BF399"/>
    <mergeCell ref="BG399:BH399"/>
    <mergeCell ref="BI399:BJ399"/>
    <mergeCell ref="BK399:BL399"/>
    <mergeCell ref="S398:T398"/>
    <mergeCell ref="U398:V398"/>
    <mergeCell ref="W398:X398"/>
    <mergeCell ref="Y398:Z398"/>
    <mergeCell ref="AA398:AB398"/>
    <mergeCell ref="AC398:AD398"/>
    <mergeCell ref="AE398:AF398"/>
    <mergeCell ref="AG398:AH398"/>
    <mergeCell ref="AI398:AJ398"/>
    <mergeCell ref="AK398:AL398"/>
    <mergeCell ref="AM398:AN398"/>
    <mergeCell ref="AO398:AP398"/>
    <mergeCell ref="AQ398:AR398"/>
    <mergeCell ref="AS398:AT398"/>
    <mergeCell ref="BI398:BJ398"/>
    <mergeCell ref="BK398:BL398"/>
    <mergeCell ref="BM398:BN398"/>
    <mergeCell ref="BO398:BP398"/>
    <mergeCell ref="E398:F398"/>
    <mergeCell ref="G398:H398"/>
    <mergeCell ref="I398:J398"/>
    <mergeCell ref="K398:L398"/>
    <mergeCell ref="M398:N398"/>
    <mergeCell ref="O398:P398"/>
    <mergeCell ref="Q398:R398"/>
    <mergeCell ref="E399:F399"/>
    <mergeCell ref="G399:H399"/>
    <mergeCell ref="I399:J399"/>
    <mergeCell ref="K399:L399"/>
    <mergeCell ref="M399:N399"/>
    <mergeCell ref="O399:P399"/>
    <mergeCell ref="Q399:R399"/>
    <mergeCell ref="S399:T399"/>
    <mergeCell ref="U399:V399"/>
    <mergeCell ref="W399:X399"/>
    <mergeCell ref="Y399:Z399"/>
    <mergeCell ref="AA399:AB399"/>
    <mergeCell ref="AC399:AD399"/>
    <mergeCell ref="AE399:AF399"/>
    <mergeCell ref="AU398:AV398"/>
    <mergeCell ref="AW398:AX398"/>
    <mergeCell ref="AY398:AZ398"/>
    <mergeCell ref="BA398:BB398"/>
    <mergeCell ref="BC398:BD398"/>
    <mergeCell ref="BE398:BF398"/>
    <mergeCell ref="BG398:BH398"/>
    <mergeCell ref="AU395:AV395"/>
    <mergeCell ref="AW395:AX395"/>
    <mergeCell ref="AU392:AV392"/>
    <mergeCell ref="AW392:AX392"/>
    <mergeCell ref="AG392:AH392"/>
    <mergeCell ref="AI392:AJ392"/>
    <mergeCell ref="AK392:AL392"/>
    <mergeCell ref="AM392:AN392"/>
    <mergeCell ref="AO392:AP392"/>
    <mergeCell ref="AQ392:AR392"/>
    <mergeCell ref="AS392:AT392"/>
    <mergeCell ref="S393:T393"/>
    <mergeCell ref="U393:V393"/>
    <mergeCell ref="W393:X393"/>
    <mergeCell ref="Y393:Z393"/>
    <mergeCell ref="AA393:AB393"/>
    <mergeCell ref="AC393:AD393"/>
    <mergeCell ref="AE393:AF393"/>
    <mergeCell ref="AG393:AH393"/>
    <mergeCell ref="AI393:AJ393"/>
    <mergeCell ref="AK393:AL393"/>
    <mergeCell ref="AM393:AN393"/>
    <mergeCell ref="AO393:AP393"/>
    <mergeCell ref="AQ393:AR393"/>
    <mergeCell ref="AS393:AT393"/>
    <mergeCell ref="BI393:BJ393"/>
    <mergeCell ref="BK393:BL393"/>
    <mergeCell ref="BM393:BN393"/>
    <mergeCell ref="BO393:BP393"/>
    <mergeCell ref="AU393:AV393"/>
    <mergeCell ref="AW393:AX393"/>
    <mergeCell ref="AY393:AZ393"/>
    <mergeCell ref="BA393:BB393"/>
    <mergeCell ref="BC393:BD393"/>
    <mergeCell ref="BE393:BF393"/>
    <mergeCell ref="BG393:BH393"/>
    <mergeCell ref="BM390:BN390"/>
    <mergeCell ref="BO390:BP390"/>
    <mergeCell ref="AY390:AZ390"/>
    <mergeCell ref="BA390:BB390"/>
    <mergeCell ref="BC390:BD390"/>
    <mergeCell ref="BE390:BF390"/>
    <mergeCell ref="BG390:BH390"/>
    <mergeCell ref="BI390:BJ390"/>
    <mergeCell ref="BK390:BL390"/>
    <mergeCell ref="S389:T389"/>
    <mergeCell ref="U389:V389"/>
    <mergeCell ref="W389:X389"/>
    <mergeCell ref="Y389:Z389"/>
    <mergeCell ref="AA389:AB389"/>
    <mergeCell ref="AC389:AD389"/>
    <mergeCell ref="AE389:AF389"/>
    <mergeCell ref="AG389:AH389"/>
    <mergeCell ref="AI389:AJ389"/>
    <mergeCell ref="AK389:AL389"/>
    <mergeCell ref="AM389:AN389"/>
    <mergeCell ref="AO389:AP389"/>
    <mergeCell ref="AQ389:AR389"/>
    <mergeCell ref="AS389:AT389"/>
    <mergeCell ref="BI389:BJ389"/>
    <mergeCell ref="BK389:BL389"/>
    <mergeCell ref="BM389:BN389"/>
    <mergeCell ref="BO389:BP389"/>
    <mergeCell ref="E389:F389"/>
    <mergeCell ref="G389:H389"/>
    <mergeCell ref="I389:J389"/>
    <mergeCell ref="K389:L389"/>
    <mergeCell ref="M389:N389"/>
    <mergeCell ref="O389:P389"/>
    <mergeCell ref="Q389:R389"/>
    <mergeCell ref="S390:T390"/>
    <mergeCell ref="U390:V390"/>
    <mergeCell ref="W390:X390"/>
    <mergeCell ref="Y390:Z390"/>
    <mergeCell ref="AA390:AB390"/>
    <mergeCell ref="AC390:AD390"/>
    <mergeCell ref="AE390:AF390"/>
    <mergeCell ref="AU389:AV389"/>
    <mergeCell ref="AW389:AX389"/>
    <mergeCell ref="AY389:AZ389"/>
    <mergeCell ref="BA389:BB389"/>
    <mergeCell ref="BC389:BD389"/>
    <mergeCell ref="BE389:BF389"/>
    <mergeCell ref="BG389:BH389"/>
    <mergeCell ref="E390:F390"/>
    <mergeCell ref="G390:H390"/>
    <mergeCell ref="I390:J390"/>
    <mergeCell ref="K390:L390"/>
    <mergeCell ref="M390:N390"/>
    <mergeCell ref="O390:P390"/>
    <mergeCell ref="Q390:R390"/>
    <mergeCell ref="E387:F387"/>
    <mergeCell ref="G387:H387"/>
    <mergeCell ref="I387:J387"/>
    <mergeCell ref="K387:L387"/>
    <mergeCell ref="M387:N387"/>
    <mergeCell ref="O387:P387"/>
    <mergeCell ref="Q387:R387"/>
    <mergeCell ref="S388:T388"/>
    <mergeCell ref="U388:V388"/>
    <mergeCell ref="W388:X388"/>
    <mergeCell ref="Y388:Z388"/>
    <mergeCell ref="AA388:AB388"/>
    <mergeCell ref="AC388:AD388"/>
    <mergeCell ref="AE388:AF388"/>
    <mergeCell ref="AU387:AV387"/>
    <mergeCell ref="AW387:AX387"/>
    <mergeCell ref="AY387:AZ387"/>
    <mergeCell ref="BA387:BB387"/>
    <mergeCell ref="BC387:BD387"/>
    <mergeCell ref="BE387:BF387"/>
    <mergeCell ref="BG387:BH387"/>
    <mergeCell ref="E388:F388"/>
    <mergeCell ref="G388:H388"/>
    <mergeCell ref="I388:J388"/>
    <mergeCell ref="K388:L388"/>
    <mergeCell ref="M388:N388"/>
    <mergeCell ref="O388:P388"/>
    <mergeCell ref="Q388:R388"/>
    <mergeCell ref="AU390:AV390"/>
    <mergeCell ref="AW390:AX390"/>
    <mergeCell ref="AG390:AH390"/>
    <mergeCell ref="AI390:AJ390"/>
    <mergeCell ref="AK390:AL390"/>
    <mergeCell ref="AM390:AN390"/>
    <mergeCell ref="AO390:AP390"/>
    <mergeCell ref="AQ390:AR390"/>
    <mergeCell ref="AS390:AT390"/>
    <mergeCell ref="AG388:AH388"/>
    <mergeCell ref="AI388:AJ388"/>
    <mergeCell ref="AK388:AL388"/>
    <mergeCell ref="AM388:AN388"/>
    <mergeCell ref="AO388:AP388"/>
    <mergeCell ref="AQ388:AR388"/>
    <mergeCell ref="AS388:AT388"/>
    <mergeCell ref="BM388:BN388"/>
    <mergeCell ref="BO388:BP388"/>
    <mergeCell ref="AY388:AZ388"/>
    <mergeCell ref="BA388:BB388"/>
    <mergeCell ref="BC388:BD388"/>
    <mergeCell ref="BE388:BF388"/>
    <mergeCell ref="BG388:BH388"/>
    <mergeCell ref="BI388:BJ388"/>
    <mergeCell ref="BK388:BL388"/>
    <mergeCell ref="S387:T387"/>
    <mergeCell ref="U387:V387"/>
    <mergeCell ref="W387:X387"/>
    <mergeCell ref="Y387:Z387"/>
    <mergeCell ref="AA387:AB387"/>
    <mergeCell ref="AC387:AD387"/>
    <mergeCell ref="AE387:AF387"/>
    <mergeCell ref="AG387:AH387"/>
    <mergeCell ref="AI387:AJ387"/>
    <mergeCell ref="AK387:AL387"/>
    <mergeCell ref="AM387:AN387"/>
    <mergeCell ref="AO387:AP387"/>
    <mergeCell ref="AQ387:AR387"/>
    <mergeCell ref="AS387:AT387"/>
    <mergeCell ref="BI387:BJ387"/>
    <mergeCell ref="BK387:BL387"/>
    <mergeCell ref="BM387:BN387"/>
    <mergeCell ref="BO387:BP387"/>
    <mergeCell ref="E386:F386"/>
    <mergeCell ref="G386:H386"/>
    <mergeCell ref="I386:J386"/>
    <mergeCell ref="K386:L386"/>
    <mergeCell ref="M386:N386"/>
    <mergeCell ref="O386:P386"/>
    <mergeCell ref="Q386:R386"/>
    <mergeCell ref="BM392:BN392"/>
    <mergeCell ref="BO392:BP392"/>
    <mergeCell ref="AY392:AZ392"/>
    <mergeCell ref="BA392:BB392"/>
    <mergeCell ref="BC392:BD392"/>
    <mergeCell ref="BE392:BF392"/>
    <mergeCell ref="BG392:BH392"/>
    <mergeCell ref="BI392:BJ392"/>
    <mergeCell ref="BK392:BL392"/>
    <mergeCell ref="S391:T391"/>
    <mergeCell ref="U391:V391"/>
    <mergeCell ref="W391:X391"/>
    <mergeCell ref="Y391:Z391"/>
    <mergeCell ref="AA391:AB391"/>
    <mergeCell ref="AC391:AD391"/>
    <mergeCell ref="AE391:AF391"/>
    <mergeCell ref="AG391:AH391"/>
    <mergeCell ref="AI391:AJ391"/>
    <mergeCell ref="AK391:AL391"/>
    <mergeCell ref="AM391:AN391"/>
    <mergeCell ref="AO391:AP391"/>
    <mergeCell ref="AQ391:AR391"/>
    <mergeCell ref="AS391:AT391"/>
    <mergeCell ref="BI391:BJ391"/>
    <mergeCell ref="BK391:BL391"/>
    <mergeCell ref="BM391:BN391"/>
    <mergeCell ref="BO391:BP391"/>
    <mergeCell ref="E391:F391"/>
    <mergeCell ref="G391:H391"/>
    <mergeCell ref="I391:J391"/>
    <mergeCell ref="K391:L391"/>
    <mergeCell ref="M391:N391"/>
    <mergeCell ref="O391:P391"/>
    <mergeCell ref="Q391:R391"/>
    <mergeCell ref="E392:F392"/>
    <mergeCell ref="G392:H392"/>
    <mergeCell ref="I392:J392"/>
    <mergeCell ref="K392:L392"/>
    <mergeCell ref="M392:N392"/>
    <mergeCell ref="O392:P392"/>
    <mergeCell ref="Q392:R392"/>
    <mergeCell ref="S392:T392"/>
    <mergeCell ref="U392:V392"/>
    <mergeCell ref="W392:X392"/>
    <mergeCell ref="Y392:Z392"/>
    <mergeCell ref="AA392:AB392"/>
    <mergeCell ref="AC392:AD392"/>
    <mergeCell ref="AE392:AF392"/>
    <mergeCell ref="AU391:AV391"/>
    <mergeCell ref="AW391:AX391"/>
    <mergeCell ref="AY391:AZ391"/>
    <mergeCell ref="BA391:BB391"/>
    <mergeCell ref="BC391:BD391"/>
    <mergeCell ref="BE391:BF391"/>
    <mergeCell ref="BG391:BH391"/>
    <mergeCell ref="AU388:AV388"/>
    <mergeCell ref="AW388:AX388"/>
    <mergeCell ref="AU385:AV385"/>
    <mergeCell ref="AW385:AX385"/>
    <mergeCell ref="AG385:AH385"/>
    <mergeCell ref="AI385:AJ385"/>
    <mergeCell ref="AK385:AL385"/>
    <mergeCell ref="AM385:AN385"/>
    <mergeCell ref="AO385:AP385"/>
    <mergeCell ref="AQ385:AR385"/>
    <mergeCell ref="AS385:AT385"/>
    <mergeCell ref="S386:T386"/>
    <mergeCell ref="U386:V386"/>
    <mergeCell ref="W386:X386"/>
    <mergeCell ref="Y386:Z386"/>
    <mergeCell ref="AA386:AB386"/>
    <mergeCell ref="AC386:AD386"/>
    <mergeCell ref="AE386:AF386"/>
    <mergeCell ref="AG386:AH386"/>
    <mergeCell ref="AI386:AJ386"/>
    <mergeCell ref="AK386:AL386"/>
    <mergeCell ref="AM386:AN386"/>
    <mergeCell ref="AO386:AP386"/>
    <mergeCell ref="AQ386:AR386"/>
    <mergeCell ref="AS386:AT386"/>
    <mergeCell ref="BI386:BJ386"/>
    <mergeCell ref="BK386:BL386"/>
    <mergeCell ref="BM386:BN386"/>
    <mergeCell ref="BO386:BP386"/>
    <mergeCell ref="AU386:AV386"/>
    <mergeCell ref="AW386:AX386"/>
    <mergeCell ref="AY386:AZ386"/>
    <mergeCell ref="BA386:BB386"/>
    <mergeCell ref="BC386:BD386"/>
    <mergeCell ref="BE386:BF386"/>
    <mergeCell ref="BG386:BH386"/>
    <mergeCell ref="BM383:BN383"/>
    <mergeCell ref="BO383:BP383"/>
    <mergeCell ref="AY383:AZ383"/>
    <mergeCell ref="BA383:BB383"/>
    <mergeCell ref="BC383:BD383"/>
    <mergeCell ref="BE383:BF383"/>
    <mergeCell ref="BG383:BH383"/>
    <mergeCell ref="BI383:BJ383"/>
    <mergeCell ref="BK383:BL383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I382:AJ382"/>
    <mergeCell ref="AK382:AL382"/>
    <mergeCell ref="AM382:AN382"/>
    <mergeCell ref="AO382:AP382"/>
    <mergeCell ref="AQ382:AR382"/>
    <mergeCell ref="AS382:AT382"/>
    <mergeCell ref="BI382:BJ382"/>
    <mergeCell ref="BK382:BL382"/>
    <mergeCell ref="BM382:BN382"/>
    <mergeCell ref="BO382:BP382"/>
    <mergeCell ref="E382:F382"/>
    <mergeCell ref="G382:H382"/>
    <mergeCell ref="I382:J382"/>
    <mergeCell ref="K382:L382"/>
    <mergeCell ref="M382:N382"/>
    <mergeCell ref="O382:P382"/>
    <mergeCell ref="Q382:R382"/>
    <mergeCell ref="S383:T383"/>
    <mergeCell ref="U383:V383"/>
    <mergeCell ref="W383:X383"/>
    <mergeCell ref="Y383:Z383"/>
    <mergeCell ref="AA383:AB383"/>
    <mergeCell ref="AC383:AD383"/>
    <mergeCell ref="AE383:AF383"/>
    <mergeCell ref="AU382:AV382"/>
    <mergeCell ref="AW382:AX382"/>
    <mergeCell ref="AY382:AZ382"/>
    <mergeCell ref="BA382:BB382"/>
    <mergeCell ref="BC382:BD382"/>
    <mergeCell ref="BE382:BF382"/>
    <mergeCell ref="BG382:BH382"/>
    <mergeCell ref="E383:F383"/>
    <mergeCell ref="G383:H383"/>
    <mergeCell ref="I383:J383"/>
    <mergeCell ref="K383:L383"/>
    <mergeCell ref="M383:N383"/>
    <mergeCell ref="O383:P383"/>
    <mergeCell ref="Q383:R383"/>
    <mergeCell ref="E380:F380"/>
    <mergeCell ref="G380:H380"/>
    <mergeCell ref="I380:J380"/>
    <mergeCell ref="K380:L380"/>
    <mergeCell ref="M380:N380"/>
    <mergeCell ref="O380:P380"/>
    <mergeCell ref="Q380:R380"/>
    <mergeCell ref="S381:T381"/>
    <mergeCell ref="U381:V381"/>
    <mergeCell ref="W381:X381"/>
    <mergeCell ref="Y381:Z381"/>
    <mergeCell ref="AA381:AB381"/>
    <mergeCell ref="AC381:AD381"/>
    <mergeCell ref="AE381:AF381"/>
    <mergeCell ref="AU380:AV380"/>
    <mergeCell ref="AW380:AX380"/>
    <mergeCell ref="AY380:AZ380"/>
    <mergeCell ref="BA380:BB380"/>
    <mergeCell ref="BC380:BD380"/>
    <mergeCell ref="BE380:BF380"/>
    <mergeCell ref="BG380:BH380"/>
    <mergeCell ref="E381:F381"/>
    <mergeCell ref="G381:H381"/>
    <mergeCell ref="I381:J381"/>
    <mergeCell ref="K381:L381"/>
    <mergeCell ref="M381:N381"/>
    <mergeCell ref="O381:P381"/>
    <mergeCell ref="Q381:R381"/>
    <mergeCell ref="AU383:AV383"/>
    <mergeCell ref="AW383:AX383"/>
    <mergeCell ref="AG383:AH383"/>
    <mergeCell ref="AI383:AJ383"/>
    <mergeCell ref="AK383:AL383"/>
    <mergeCell ref="AM383:AN383"/>
    <mergeCell ref="AO383:AP383"/>
    <mergeCell ref="AQ383:AR383"/>
    <mergeCell ref="AS383:AT383"/>
    <mergeCell ref="AG381:AH381"/>
    <mergeCell ref="AI381:AJ381"/>
    <mergeCell ref="AK381:AL381"/>
    <mergeCell ref="AM381:AN381"/>
    <mergeCell ref="AO381:AP381"/>
    <mergeCell ref="AQ381:AR381"/>
    <mergeCell ref="AS381:AT381"/>
    <mergeCell ref="BM381:BN381"/>
    <mergeCell ref="BO381:BP381"/>
    <mergeCell ref="AY381:AZ381"/>
    <mergeCell ref="BA381:BB381"/>
    <mergeCell ref="BC381:BD381"/>
    <mergeCell ref="BE381:BF381"/>
    <mergeCell ref="BG381:BH381"/>
    <mergeCell ref="BI381:BJ381"/>
    <mergeCell ref="BK381:BL381"/>
    <mergeCell ref="S380:T380"/>
    <mergeCell ref="U380:V380"/>
    <mergeCell ref="W380:X380"/>
    <mergeCell ref="Y380:Z380"/>
    <mergeCell ref="AA380:AB380"/>
    <mergeCell ref="AC380:AD380"/>
    <mergeCell ref="AE380:AF380"/>
    <mergeCell ref="AG380:AH380"/>
    <mergeCell ref="AI380:AJ380"/>
    <mergeCell ref="AK380:AL380"/>
    <mergeCell ref="AM380:AN380"/>
    <mergeCell ref="AO380:AP380"/>
    <mergeCell ref="AQ380:AR380"/>
    <mergeCell ref="AS380:AT380"/>
    <mergeCell ref="BI380:BJ380"/>
    <mergeCell ref="BK380:BL380"/>
    <mergeCell ref="BM380:BN380"/>
    <mergeCell ref="BO380:BP380"/>
    <mergeCell ref="E379:F379"/>
    <mergeCell ref="G379:H379"/>
    <mergeCell ref="I379:J379"/>
    <mergeCell ref="K379:L379"/>
    <mergeCell ref="M379:N379"/>
    <mergeCell ref="O379:P379"/>
    <mergeCell ref="Q379:R379"/>
    <mergeCell ref="BM385:BN385"/>
    <mergeCell ref="BO385:BP385"/>
    <mergeCell ref="AY385:AZ385"/>
    <mergeCell ref="BA385:BB385"/>
    <mergeCell ref="BC385:BD385"/>
    <mergeCell ref="BE385:BF385"/>
    <mergeCell ref="BG385:BH385"/>
    <mergeCell ref="BI385:BJ385"/>
    <mergeCell ref="BK385:BL385"/>
    <mergeCell ref="S384:T384"/>
    <mergeCell ref="U384:V384"/>
    <mergeCell ref="W384:X384"/>
    <mergeCell ref="Y384:Z384"/>
    <mergeCell ref="AA384:AB384"/>
    <mergeCell ref="AC384:AD384"/>
    <mergeCell ref="AE384:AF384"/>
    <mergeCell ref="AG384:AH384"/>
    <mergeCell ref="AI384:AJ384"/>
    <mergeCell ref="AK384:AL384"/>
    <mergeCell ref="AM384:AN384"/>
    <mergeCell ref="AO384:AP384"/>
    <mergeCell ref="AQ384:AR384"/>
    <mergeCell ref="AS384:AT384"/>
    <mergeCell ref="BI384:BJ384"/>
    <mergeCell ref="BK384:BL384"/>
    <mergeCell ref="BM384:BN384"/>
    <mergeCell ref="BO384:BP384"/>
    <mergeCell ref="E384:F384"/>
    <mergeCell ref="G384:H384"/>
    <mergeCell ref="I384:J384"/>
    <mergeCell ref="K384:L384"/>
    <mergeCell ref="M384:N384"/>
    <mergeCell ref="O384:P384"/>
    <mergeCell ref="Q384:R384"/>
    <mergeCell ref="E385:F385"/>
    <mergeCell ref="G385:H385"/>
    <mergeCell ref="I385:J385"/>
    <mergeCell ref="K385:L385"/>
    <mergeCell ref="M385:N385"/>
    <mergeCell ref="O385:P385"/>
    <mergeCell ref="Q385:R385"/>
    <mergeCell ref="S385:T385"/>
    <mergeCell ref="U385:V385"/>
    <mergeCell ref="W385:X385"/>
    <mergeCell ref="Y385:Z385"/>
    <mergeCell ref="AA385:AB385"/>
    <mergeCell ref="AC385:AD385"/>
    <mergeCell ref="AE385:AF385"/>
    <mergeCell ref="AU384:AV384"/>
    <mergeCell ref="AW384:AX384"/>
    <mergeCell ref="AY384:AZ384"/>
    <mergeCell ref="BA384:BB384"/>
    <mergeCell ref="BC384:BD384"/>
    <mergeCell ref="BE384:BF384"/>
    <mergeCell ref="BG384:BH384"/>
    <mergeCell ref="AU381:AV381"/>
    <mergeCell ref="AW381:AX381"/>
    <mergeCell ref="AU378:AV378"/>
    <mergeCell ref="AW378:AX378"/>
    <mergeCell ref="AG378:AH378"/>
    <mergeCell ref="AI378:AJ378"/>
    <mergeCell ref="AK378:AL378"/>
    <mergeCell ref="AM378:AN378"/>
    <mergeCell ref="AO378:AP378"/>
    <mergeCell ref="AQ378:AR378"/>
    <mergeCell ref="AS378:AT378"/>
    <mergeCell ref="S379:T379"/>
    <mergeCell ref="U379:V379"/>
    <mergeCell ref="W379:X379"/>
    <mergeCell ref="Y379:Z379"/>
    <mergeCell ref="AA379:AB379"/>
    <mergeCell ref="AC379:AD379"/>
    <mergeCell ref="AE379:AF379"/>
    <mergeCell ref="AG379:AH379"/>
    <mergeCell ref="AI379:AJ379"/>
    <mergeCell ref="AK379:AL379"/>
    <mergeCell ref="AM379:AN379"/>
    <mergeCell ref="AO379:AP379"/>
    <mergeCell ref="AQ379:AR379"/>
    <mergeCell ref="AS379:AT379"/>
    <mergeCell ref="BI379:BJ379"/>
    <mergeCell ref="BK379:BL379"/>
    <mergeCell ref="BM379:BN379"/>
    <mergeCell ref="BO379:BP379"/>
    <mergeCell ref="AU379:AV379"/>
    <mergeCell ref="AW379:AX379"/>
    <mergeCell ref="AY379:AZ379"/>
    <mergeCell ref="BA379:BB379"/>
    <mergeCell ref="BC379:BD379"/>
    <mergeCell ref="BE379:BF379"/>
    <mergeCell ref="BG379:BH379"/>
    <mergeCell ref="BM376:BN376"/>
    <mergeCell ref="BO376:BP376"/>
    <mergeCell ref="AY376:AZ376"/>
    <mergeCell ref="BA376:BB376"/>
    <mergeCell ref="BC376:BD376"/>
    <mergeCell ref="BE376:BF376"/>
    <mergeCell ref="BG376:BH376"/>
    <mergeCell ref="BI376:BJ376"/>
    <mergeCell ref="BK376:BL376"/>
    <mergeCell ref="S375:T375"/>
    <mergeCell ref="U375:V375"/>
    <mergeCell ref="W375:X375"/>
    <mergeCell ref="Y375:Z375"/>
    <mergeCell ref="AA375:AB375"/>
    <mergeCell ref="AC375:AD375"/>
    <mergeCell ref="AE375:AF375"/>
    <mergeCell ref="AG375:AH375"/>
    <mergeCell ref="AI375:AJ375"/>
    <mergeCell ref="AK375:AL375"/>
    <mergeCell ref="AM375:AN375"/>
    <mergeCell ref="AO375:AP375"/>
    <mergeCell ref="AQ375:AR375"/>
    <mergeCell ref="AS375:AT375"/>
    <mergeCell ref="BI375:BJ375"/>
    <mergeCell ref="BK375:BL375"/>
    <mergeCell ref="BM375:BN375"/>
    <mergeCell ref="BO375:BP375"/>
    <mergeCell ref="E375:F375"/>
    <mergeCell ref="G375:H375"/>
    <mergeCell ref="I375:J375"/>
    <mergeCell ref="K375:L375"/>
    <mergeCell ref="M375:N375"/>
    <mergeCell ref="O375:P375"/>
    <mergeCell ref="Q375:R375"/>
    <mergeCell ref="S376:T376"/>
    <mergeCell ref="U376:V376"/>
    <mergeCell ref="W376:X376"/>
    <mergeCell ref="Y376:Z376"/>
    <mergeCell ref="AA376:AB376"/>
    <mergeCell ref="AC376:AD376"/>
    <mergeCell ref="AE376:AF376"/>
    <mergeCell ref="AU375:AV375"/>
    <mergeCell ref="AW375:AX375"/>
    <mergeCell ref="AY375:AZ375"/>
    <mergeCell ref="BA375:BB375"/>
    <mergeCell ref="BC375:BD375"/>
    <mergeCell ref="BE375:BF375"/>
    <mergeCell ref="BG375:BH375"/>
    <mergeCell ref="E376:F376"/>
    <mergeCell ref="G376:H376"/>
    <mergeCell ref="I376:J376"/>
    <mergeCell ref="K376:L376"/>
    <mergeCell ref="M376:N376"/>
    <mergeCell ref="O376:P376"/>
    <mergeCell ref="Q376:R376"/>
    <mergeCell ref="E373:F373"/>
    <mergeCell ref="G373:H373"/>
    <mergeCell ref="I373:J373"/>
    <mergeCell ref="K373:L373"/>
    <mergeCell ref="M373:N373"/>
    <mergeCell ref="O373:P373"/>
    <mergeCell ref="Q373:R373"/>
    <mergeCell ref="S374:T374"/>
    <mergeCell ref="U374:V374"/>
    <mergeCell ref="W374:X374"/>
    <mergeCell ref="Y374:Z374"/>
    <mergeCell ref="AA374:AB374"/>
    <mergeCell ref="AC374:AD374"/>
    <mergeCell ref="AE374:AF374"/>
    <mergeCell ref="AU373:AV373"/>
    <mergeCell ref="AW373:AX373"/>
    <mergeCell ref="AY373:AZ373"/>
    <mergeCell ref="BA373:BB373"/>
    <mergeCell ref="BC373:BD373"/>
    <mergeCell ref="BE373:BF373"/>
    <mergeCell ref="BG373:BH373"/>
    <mergeCell ref="E374:F374"/>
    <mergeCell ref="G374:H374"/>
    <mergeCell ref="I374:J374"/>
    <mergeCell ref="K374:L374"/>
    <mergeCell ref="M374:N374"/>
    <mergeCell ref="O374:P374"/>
    <mergeCell ref="Q374:R374"/>
    <mergeCell ref="AU376:AV376"/>
    <mergeCell ref="AW376:AX376"/>
    <mergeCell ref="AG376:AH376"/>
    <mergeCell ref="AI376:AJ376"/>
    <mergeCell ref="AK376:AL376"/>
    <mergeCell ref="AM376:AN376"/>
    <mergeCell ref="AO376:AP376"/>
    <mergeCell ref="AQ376:AR376"/>
    <mergeCell ref="AS376:AT376"/>
    <mergeCell ref="AG374:AH374"/>
    <mergeCell ref="AI374:AJ374"/>
    <mergeCell ref="AK374:AL374"/>
    <mergeCell ref="AM374:AN374"/>
    <mergeCell ref="AO374:AP374"/>
    <mergeCell ref="AQ374:AR374"/>
    <mergeCell ref="AS374:AT374"/>
    <mergeCell ref="BM374:BN374"/>
    <mergeCell ref="BO374:BP374"/>
    <mergeCell ref="AY374:AZ374"/>
    <mergeCell ref="BA374:BB374"/>
    <mergeCell ref="BC374:BD374"/>
    <mergeCell ref="BE374:BF374"/>
    <mergeCell ref="BG374:BH374"/>
    <mergeCell ref="BI374:BJ374"/>
    <mergeCell ref="BK374:BL374"/>
    <mergeCell ref="S373:T373"/>
    <mergeCell ref="U373:V373"/>
    <mergeCell ref="W373:X373"/>
    <mergeCell ref="Y373:Z373"/>
    <mergeCell ref="AA373:AB373"/>
    <mergeCell ref="AC373:AD373"/>
    <mergeCell ref="AE373:AF373"/>
    <mergeCell ref="AG373:AH373"/>
    <mergeCell ref="AI373:AJ373"/>
    <mergeCell ref="AK373:AL373"/>
    <mergeCell ref="AM373:AN373"/>
    <mergeCell ref="AO373:AP373"/>
    <mergeCell ref="AQ373:AR373"/>
    <mergeCell ref="AS373:AT373"/>
    <mergeCell ref="BI373:BJ373"/>
    <mergeCell ref="BK373:BL373"/>
    <mergeCell ref="BM373:BN373"/>
    <mergeCell ref="BO373:BP373"/>
    <mergeCell ref="E372:F372"/>
    <mergeCell ref="G372:H372"/>
    <mergeCell ref="I372:J372"/>
    <mergeCell ref="K372:L372"/>
    <mergeCell ref="M372:N372"/>
    <mergeCell ref="O372:P372"/>
    <mergeCell ref="Q372:R372"/>
    <mergeCell ref="BM378:BN378"/>
    <mergeCell ref="BO378:BP378"/>
    <mergeCell ref="AY378:AZ378"/>
    <mergeCell ref="BA378:BB378"/>
    <mergeCell ref="BC378:BD378"/>
    <mergeCell ref="BE378:BF378"/>
    <mergeCell ref="BG378:BH378"/>
    <mergeCell ref="BI378:BJ378"/>
    <mergeCell ref="BK378:BL378"/>
    <mergeCell ref="S377:T377"/>
    <mergeCell ref="U377:V377"/>
    <mergeCell ref="W377:X377"/>
    <mergeCell ref="Y377:Z377"/>
    <mergeCell ref="AA377:AB377"/>
    <mergeCell ref="AC377:AD377"/>
    <mergeCell ref="AE377:AF377"/>
    <mergeCell ref="AG377:AH377"/>
    <mergeCell ref="AI377:AJ377"/>
    <mergeCell ref="AK377:AL377"/>
    <mergeCell ref="AM377:AN377"/>
    <mergeCell ref="AO377:AP377"/>
    <mergeCell ref="AQ377:AR377"/>
    <mergeCell ref="AS377:AT377"/>
    <mergeCell ref="BI377:BJ377"/>
    <mergeCell ref="BK377:BL377"/>
    <mergeCell ref="BM377:BN377"/>
    <mergeCell ref="BO377:BP377"/>
    <mergeCell ref="E377:F377"/>
    <mergeCell ref="G377:H377"/>
    <mergeCell ref="I377:J377"/>
    <mergeCell ref="K377:L377"/>
    <mergeCell ref="M377:N377"/>
    <mergeCell ref="O377:P377"/>
    <mergeCell ref="Q377:R377"/>
    <mergeCell ref="E378:F378"/>
    <mergeCell ref="G378:H378"/>
    <mergeCell ref="I378:J378"/>
    <mergeCell ref="K378:L378"/>
    <mergeCell ref="M378:N378"/>
    <mergeCell ref="O378:P378"/>
    <mergeCell ref="Q378:R378"/>
    <mergeCell ref="S378:T378"/>
    <mergeCell ref="U378:V378"/>
    <mergeCell ref="W378:X378"/>
    <mergeCell ref="Y378:Z378"/>
    <mergeCell ref="AA378:AB378"/>
    <mergeCell ref="AC378:AD378"/>
    <mergeCell ref="AE378:AF378"/>
    <mergeCell ref="AU377:AV377"/>
    <mergeCell ref="AW377:AX377"/>
    <mergeCell ref="AY377:AZ377"/>
    <mergeCell ref="BA377:BB377"/>
    <mergeCell ref="BC377:BD377"/>
    <mergeCell ref="BE377:BF377"/>
    <mergeCell ref="BG377:BH377"/>
    <mergeCell ref="AU374:AV374"/>
    <mergeCell ref="AW374:AX374"/>
    <mergeCell ref="AU371:AV371"/>
    <mergeCell ref="AW371:AX371"/>
    <mergeCell ref="AG371:AH371"/>
    <mergeCell ref="AI371:AJ371"/>
    <mergeCell ref="AK371:AL371"/>
    <mergeCell ref="AM371:AN371"/>
    <mergeCell ref="AO371:AP371"/>
    <mergeCell ref="AQ371:AR371"/>
    <mergeCell ref="AS371:AT371"/>
    <mergeCell ref="S372:T372"/>
    <mergeCell ref="U372:V372"/>
    <mergeCell ref="W372:X372"/>
    <mergeCell ref="Y372:Z372"/>
    <mergeCell ref="AA372:AB372"/>
    <mergeCell ref="AC372:AD372"/>
    <mergeCell ref="AE372:AF372"/>
    <mergeCell ref="AG372:AH372"/>
    <mergeCell ref="AI372:AJ372"/>
    <mergeCell ref="AK372:AL372"/>
    <mergeCell ref="AM372:AN372"/>
    <mergeCell ref="AO372:AP372"/>
    <mergeCell ref="AQ372:AR372"/>
    <mergeCell ref="AS372:AT372"/>
    <mergeCell ref="BI372:BJ372"/>
    <mergeCell ref="BK372:BL372"/>
    <mergeCell ref="BM372:BN372"/>
    <mergeCell ref="BO372:BP372"/>
    <mergeCell ref="AU372:AV372"/>
    <mergeCell ref="AW372:AX372"/>
    <mergeCell ref="AY372:AZ372"/>
    <mergeCell ref="BA372:BB372"/>
    <mergeCell ref="BC372:BD372"/>
    <mergeCell ref="BE372:BF372"/>
    <mergeCell ref="BG372:BH372"/>
    <mergeCell ref="BM369:BN369"/>
    <mergeCell ref="BO369:BP369"/>
    <mergeCell ref="AY369:AZ369"/>
    <mergeCell ref="BA369:BB369"/>
    <mergeCell ref="BC369:BD369"/>
    <mergeCell ref="BE369:BF369"/>
    <mergeCell ref="BG369:BH369"/>
    <mergeCell ref="BI369:BJ369"/>
    <mergeCell ref="BK369:BL369"/>
    <mergeCell ref="S368:T368"/>
    <mergeCell ref="U368:V368"/>
    <mergeCell ref="W368:X368"/>
    <mergeCell ref="Y368:Z368"/>
    <mergeCell ref="AA368:AB368"/>
    <mergeCell ref="AC368:AD368"/>
    <mergeCell ref="AE368:AF368"/>
    <mergeCell ref="AG368:AH368"/>
    <mergeCell ref="AI368:AJ368"/>
    <mergeCell ref="AK368:AL368"/>
    <mergeCell ref="AM368:AN368"/>
    <mergeCell ref="AO368:AP368"/>
    <mergeCell ref="AQ368:AR368"/>
    <mergeCell ref="AS368:AT368"/>
    <mergeCell ref="BI368:BJ368"/>
    <mergeCell ref="BK368:BL368"/>
    <mergeCell ref="BM368:BN368"/>
    <mergeCell ref="BO368:BP368"/>
    <mergeCell ref="E368:F368"/>
    <mergeCell ref="G368:H368"/>
    <mergeCell ref="I368:J368"/>
    <mergeCell ref="K368:L368"/>
    <mergeCell ref="M368:N368"/>
    <mergeCell ref="O368:P368"/>
    <mergeCell ref="Q368:R368"/>
    <mergeCell ref="S369:T369"/>
    <mergeCell ref="U369:V369"/>
    <mergeCell ref="W369:X369"/>
    <mergeCell ref="Y369:Z369"/>
    <mergeCell ref="AA369:AB369"/>
    <mergeCell ref="AC369:AD369"/>
    <mergeCell ref="AE369:AF369"/>
    <mergeCell ref="AU368:AV368"/>
    <mergeCell ref="AW368:AX368"/>
    <mergeCell ref="AY368:AZ368"/>
    <mergeCell ref="BA368:BB368"/>
    <mergeCell ref="BC368:BD368"/>
    <mergeCell ref="BE368:BF368"/>
    <mergeCell ref="BG368:BH368"/>
    <mergeCell ref="E369:F369"/>
    <mergeCell ref="G369:H369"/>
    <mergeCell ref="I369:J369"/>
    <mergeCell ref="K369:L369"/>
    <mergeCell ref="M369:N369"/>
    <mergeCell ref="O369:P369"/>
    <mergeCell ref="Q369:R369"/>
    <mergeCell ref="E366:F366"/>
    <mergeCell ref="G366:H366"/>
    <mergeCell ref="I366:J366"/>
    <mergeCell ref="K366:L366"/>
    <mergeCell ref="M366:N366"/>
    <mergeCell ref="O366:P366"/>
    <mergeCell ref="Q366:R366"/>
    <mergeCell ref="S367:T367"/>
    <mergeCell ref="U367:V367"/>
    <mergeCell ref="W367:X367"/>
    <mergeCell ref="Y367:Z367"/>
    <mergeCell ref="AA367:AB367"/>
    <mergeCell ref="AC367:AD367"/>
    <mergeCell ref="AE367:AF367"/>
    <mergeCell ref="AU366:AV366"/>
    <mergeCell ref="AW366:AX366"/>
    <mergeCell ref="AY366:AZ366"/>
    <mergeCell ref="BA366:BB366"/>
    <mergeCell ref="BC366:BD366"/>
    <mergeCell ref="BE366:BF366"/>
    <mergeCell ref="BG366:BH366"/>
    <mergeCell ref="E367:F367"/>
    <mergeCell ref="G367:H367"/>
    <mergeCell ref="I367:J367"/>
    <mergeCell ref="K367:L367"/>
    <mergeCell ref="M367:N367"/>
    <mergeCell ref="O367:P367"/>
    <mergeCell ref="Q367:R367"/>
    <mergeCell ref="AU369:AV369"/>
    <mergeCell ref="AW369:AX369"/>
    <mergeCell ref="AG369:AH369"/>
    <mergeCell ref="AI369:AJ369"/>
    <mergeCell ref="AK369:AL369"/>
    <mergeCell ref="AM369:AN369"/>
    <mergeCell ref="AO369:AP369"/>
    <mergeCell ref="AQ369:AR369"/>
    <mergeCell ref="AS369:AT369"/>
    <mergeCell ref="AG367:AH367"/>
    <mergeCell ref="AI367:AJ367"/>
    <mergeCell ref="AK367:AL367"/>
    <mergeCell ref="AM367:AN367"/>
    <mergeCell ref="AO367:AP367"/>
    <mergeCell ref="AQ367:AR367"/>
    <mergeCell ref="AS367:AT367"/>
    <mergeCell ref="BM367:BN367"/>
    <mergeCell ref="BO367:BP367"/>
    <mergeCell ref="AY367:AZ367"/>
    <mergeCell ref="BA367:BB367"/>
    <mergeCell ref="BC367:BD367"/>
    <mergeCell ref="BE367:BF367"/>
    <mergeCell ref="BG367:BH367"/>
    <mergeCell ref="BI367:BJ367"/>
    <mergeCell ref="BK367:BL367"/>
    <mergeCell ref="S366:T366"/>
    <mergeCell ref="U366:V366"/>
    <mergeCell ref="W366:X366"/>
    <mergeCell ref="Y366:Z366"/>
    <mergeCell ref="AA366:AB366"/>
    <mergeCell ref="AC366:AD366"/>
    <mergeCell ref="AE366:AF366"/>
    <mergeCell ref="AG366:AH366"/>
    <mergeCell ref="AI366:AJ366"/>
    <mergeCell ref="AK366:AL366"/>
    <mergeCell ref="AM366:AN366"/>
    <mergeCell ref="AO366:AP366"/>
    <mergeCell ref="AQ366:AR366"/>
    <mergeCell ref="AS366:AT366"/>
    <mergeCell ref="BI366:BJ366"/>
    <mergeCell ref="BK366:BL366"/>
    <mergeCell ref="BM366:BN366"/>
    <mergeCell ref="BO366:BP366"/>
    <mergeCell ref="E365:F365"/>
    <mergeCell ref="G365:H365"/>
    <mergeCell ref="I365:J365"/>
    <mergeCell ref="K365:L365"/>
    <mergeCell ref="M365:N365"/>
    <mergeCell ref="O365:P365"/>
    <mergeCell ref="Q365:R365"/>
    <mergeCell ref="BM371:BN371"/>
    <mergeCell ref="BO371:BP371"/>
    <mergeCell ref="AY371:AZ371"/>
    <mergeCell ref="BA371:BB371"/>
    <mergeCell ref="BC371:BD371"/>
    <mergeCell ref="BE371:BF371"/>
    <mergeCell ref="BG371:BH371"/>
    <mergeCell ref="BI371:BJ371"/>
    <mergeCell ref="BK371:BL371"/>
    <mergeCell ref="S370:T370"/>
    <mergeCell ref="U370:V370"/>
    <mergeCell ref="W370:X370"/>
    <mergeCell ref="Y370:Z370"/>
    <mergeCell ref="AA370:AB370"/>
    <mergeCell ref="AC370:AD370"/>
    <mergeCell ref="AE370:AF370"/>
    <mergeCell ref="AG370:AH370"/>
    <mergeCell ref="AI370:AJ370"/>
    <mergeCell ref="AK370:AL370"/>
    <mergeCell ref="AM370:AN370"/>
    <mergeCell ref="AO370:AP370"/>
    <mergeCell ref="AQ370:AR370"/>
    <mergeCell ref="AS370:AT370"/>
    <mergeCell ref="BI370:BJ370"/>
    <mergeCell ref="BK370:BL370"/>
    <mergeCell ref="BM370:BN370"/>
    <mergeCell ref="BO370:BP370"/>
    <mergeCell ref="E370:F370"/>
    <mergeCell ref="G370:H370"/>
    <mergeCell ref="I370:J370"/>
    <mergeCell ref="K370:L370"/>
    <mergeCell ref="M370:N370"/>
    <mergeCell ref="O370:P370"/>
    <mergeCell ref="Q370:R370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Z371"/>
    <mergeCell ref="AA371:AB371"/>
    <mergeCell ref="AC371:AD371"/>
    <mergeCell ref="AE371:AF371"/>
    <mergeCell ref="AU370:AV370"/>
    <mergeCell ref="AW370:AX370"/>
    <mergeCell ref="AY370:AZ370"/>
    <mergeCell ref="BA370:BB370"/>
    <mergeCell ref="BC370:BD370"/>
    <mergeCell ref="BE370:BF370"/>
    <mergeCell ref="BG370:BH370"/>
    <mergeCell ref="AU367:AV367"/>
    <mergeCell ref="AW367:AX367"/>
    <mergeCell ref="AU364:AV364"/>
    <mergeCell ref="AW364:AX364"/>
    <mergeCell ref="AG364:AH364"/>
    <mergeCell ref="AI364:AJ364"/>
    <mergeCell ref="AK364:AL364"/>
    <mergeCell ref="AM364:AN364"/>
    <mergeCell ref="AO364:AP364"/>
    <mergeCell ref="AQ364:AR364"/>
    <mergeCell ref="AS364:AT364"/>
    <mergeCell ref="S365:T365"/>
    <mergeCell ref="U365:V365"/>
    <mergeCell ref="W365:X365"/>
    <mergeCell ref="Y365:Z365"/>
    <mergeCell ref="AA365:AB365"/>
    <mergeCell ref="AC365:AD365"/>
    <mergeCell ref="AE365:AF365"/>
    <mergeCell ref="AG365:AH365"/>
    <mergeCell ref="AI365:AJ365"/>
    <mergeCell ref="AK365:AL365"/>
    <mergeCell ref="AM365:AN365"/>
    <mergeCell ref="AO365:AP365"/>
    <mergeCell ref="AQ365:AR365"/>
    <mergeCell ref="AS365:AT365"/>
    <mergeCell ref="BI365:BJ365"/>
    <mergeCell ref="BK365:BL365"/>
    <mergeCell ref="BM365:BN365"/>
    <mergeCell ref="BO365:BP365"/>
    <mergeCell ref="AU365:AV365"/>
    <mergeCell ref="AW365:AX365"/>
    <mergeCell ref="AY365:AZ365"/>
    <mergeCell ref="BA365:BB365"/>
    <mergeCell ref="BC365:BD365"/>
    <mergeCell ref="BE365:BF365"/>
    <mergeCell ref="BG365:BH365"/>
    <mergeCell ref="BM362:BN362"/>
    <mergeCell ref="BO362:BP362"/>
    <mergeCell ref="AY362:AZ362"/>
    <mergeCell ref="BA362:BB362"/>
    <mergeCell ref="BC362:BD362"/>
    <mergeCell ref="BE362:BF362"/>
    <mergeCell ref="BG362:BH362"/>
    <mergeCell ref="BI362:BJ362"/>
    <mergeCell ref="BK362:BL362"/>
    <mergeCell ref="S361:T361"/>
    <mergeCell ref="U361:V361"/>
    <mergeCell ref="W361:X361"/>
    <mergeCell ref="Y361:Z361"/>
    <mergeCell ref="AA361:AB361"/>
    <mergeCell ref="AC361:AD361"/>
    <mergeCell ref="AE361:AF361"/>
    <mergeCell ref="AG361:AH361"/>
    <mergeCell ref="AI361:AJ361"/>
    <mergeCell ref="AK361:AL361"/>
    <mergeCell ref="AM361:AN361"/>
    <mergeCell ref="AO361:AP361"/>
    <mergeCell ref="AQ361:AR361"/>
    <mergeCell ref="AS361:AT361"/>
    <mergeCell ref="BI361:BJ361"/>
    <mergeCell ref="BK361:BL361"/>
    <mergeCell ref="BM361:BN361"/>
    <mergeCell ref="BO361:BP361"/>
    <mergeCell ref="E361:F361"/>
    <mergeCell ref="G361:H361"/>
    <mergeCell ref="I361:J361"/>
    <mergeCell ref="K361:L361"/>
    <mergeCell ref="M361:N361"/>
    <mergeCell ref="O361:P361"/>
    <mergeCell ref="Q361:R361"/>
    <mergeCell ref="S362:T362"/>
    <mergeCell ref="U362:V362"/>
    <mergeCell ref="W362:X362"/>
    <mergeCell ref="Y362:Z362"/>
    <mergeCell ref="AA362:AB362"/>
    <mergeCell ref="AC362:AD362"/>
    <mergeCell ref="AE362:AF362"/>
    <mergeCell ref="AU361:AV361"/>
    <mergeCell ref="AW361:AX361"/>
    <mergeCell ref="AY361:AZ361"/>
    <mergeCell ref="BA361:BB361"/>
    <mergeCell ref="BC361:BD361"/>
    <mergeCell ref="BE361:BF361"/>
    <mergeCell ref="BG361:BH361"/>
    <mergeCell ref="E362:F362"/>
    <mergeCell ref="G362:H362"/>
    <mergeCell ref="I362:J362"/>
    <mergeCell ref="K362:L362"/>
    <mergeCell ref="M362:N362"/>
    <mergeCell ref="O362:P362"/>
    <mergeCell ref="Q362:R362"/>
    <mergeCell ref="E359:F359"/>
    <mergeCell ref="G359:H359"/>
    <mergeCell ref="I359:J359"/>
    <mergeCell ref="K359:L359"/>
    <mergeCell ref="M359:N359"/>
    <mergeCell ref="O359:P359"/>
    <mergeCell ref="Q359:R359"/>
    <mergeCell ref="S360:T360"/>
    <mergeCell ref="U360:V360"/>
    <mergeCell ref="W360:X360"/>
    <mergeCell ref="Y360:Z360"/>
    <mergeCell ref="AA360:AB360"/>
    <mergeCell ref="AC360:AD360"/>
    <mergeCell ref="AE360:AF360"/>
    <mergeCell ref="AU359:AV359"/>
    <mergeCell ref="AW359:AX359"/>
    <mergeCell ref="AY359:AZ359"/>
    <mergeCell ref="BA359:BB359"/>
    <mergeCell ref="BC359:BD359"/>
    <mergeCell ref="BE359:BF359"/>
    <mergeCell ref="BG359:BH359"/>
    <mergeCell ref="E360:F360"/>
    <mergeCell ref="G360:H360"/>
    <mergeCell ref="I360:J360"/>
    <mergeCell ref="K360:L360"/>
    <mergeCell ref="M360:N360"/>
    <mergeCell ref="O360:P360"/>
    <mergeCell ref="Q360:R360"/>
    <mergeCell ref="AU362:AV362"/>
    <mergeCell ref="AW362:AX362"/>
    <mergeCell ref="AG362:AH362"/>
    <mergeCell ref="AI362:AJ362"/>
    <mergeCell ref="AK362:AL362"/>
    <mergeCell ref="AM362:AN362"/>
    <mergeCell ref="AO362:AP362"/>
    <mergeCell ref="AQ362:AR362"/>
    <mergeCell ref="AS362:AT362"/>
    <mergeCell ref="AG360:AH360"/>
    <mergeCell ref="AI360:AJ360"/>
    <mergeCell ref="AK360:AL360"/>
    <mergeCell ref="AM360:AN360"/>
    <mergeCell ref="AO360:AP360"/>
    <mergeCell ref="AQ360:AR360"/>
    <mergeCell ref="AS360:AT360"/>
    <mergeCell ref="BM360:BN360"/>
    <mergeCell ref="BO360:BP360"/>
    <mergeCell ref="AY360:AZ360"/>
    <mergeCell ref="BA360:BB360"/>
    <mergeCell ref="BC360:BD360"/>
    <mergeCell ref="BE360:BF360"/>
    <mergeCell ref="BG360:BH360"/>
    <mergeCell ref="BI360:BJ360"/>
    <mergeCell ref="BK360:BL360"/>
    <mergeCell ref="S359:T359"/>
    <mergeCell ref="U359:V359"/>
    <mergeCell ref="W359:X359"/>
    <mergeCell ref="Y359:Z359"/>
    <mergeCell ref="AA359:AB359"/>
    <mergeCell ref="AC359:AD359"/>
    <mergeCell ref="AE359:AF359"/>
    <mergeCell ref="AG359:AH359"/>
    <mergeCell ref="AI359:AJ359"/>
    <mergeCell ref="AK359:AL359"/>
    <mergeCell ref="AM359:AN359"/>
    <mergeCell ref="AO359:AP359"/>
    <mergeCell ref="AQ359:AR359"/>
    <mergeCell ref="AS359:AT359"/>
    <mergeCell ref="BI359:BJ359"/>
    <mergeCell ref="BK359:BL359"/>
    <mergeCell ref="BM359:BN359"/>
    <mergeCell ref="BO359:BP359"/>
    <mergeCell ref="E358:F358"/>
    <mergeCell ref="G358:H358"/>
    <mergeCell ref="I358:J358"/>
    <mergeCell ref="K358:L358"/>
    <mergeCell ref="M358:N358"/>
    <mergeCell ref="O358:P358"/>
    <mergeCell ref="Q358:R358"/>
    <mergeCell ref="BM364:BN364"/>
    <mergeCell ref="BO364:BP364"/>
    <mergeCell ref="AY364:AZ364"/>
    <mergeCell ref="BA364:BB364"/>
    <mergeCell ref="BC364:BD364"/>
    <mergeCell ref="BE364:BF364"/>
    <mergeCell ref="BG364:BH364"/>
    <mergeCell ref="BI364:BJ364"/>
    <mergeCell ref="BK364:BL364"/>
    <mergeCell ref="S363:T363"/>
    <mergeCell ref="U363:V363"/>
    <mergeCell ref="W363:X363"/>
    <mergeCell ref="Y363:Z363"/>
    <mergeCell ref="AA363:AB363"/>
    <mergeCell ref="AC363:AD363"/>
    <mergeCell ref="AE363:AF363"/>
    <mergeCell ref="AG363:AH363"/>
    <mergeCell ref="AI363:AJ363"/>
    <mergeCell ref="AK363:AL363"/>
    <mergeCell ref="AM363:AN363"/>
    <mergeCell ref="AO363:AP363"/>
    <mergeCell ref="AQ363:AR363"/>
    <mergeCell ref="AS363:AT363"/>
    <mergeCell ref="BI363:BJ363"/>
    <mergeCell ref="BK363:BL363"/>
    <mergeCell ref="BM363:BN363"/>
    <mergeCell ref="BO363:BP363"/>
    <mergeCell ref="E363:F363"/>
    <mergeCell ref="G363:H363"/>
    <mergeCell ref="I363:J363"/>
    <mergeCell ref="K363:L363"/>
    <mergeCell ref="M363:N363"/>
    <mergeCell ref="O363:P363"/>
    <mergeCell ref="Q363:R363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Z364"/>
    <mergeCell ref="AA364:AB364"/>
    <mergeCell ref="AC364:AD364"/>
    <mergeCell ref="AE364:AF364"/>
    <mergeCell ref="AU363:AV363"/>
    <mergeCell ref="AW363:AX363"/>
    <mergeCell ref="AY363:AZ363"/>
    <mergeCell ref="BA363:BB363"/>
    <mergeCell ref="BC363:BD363"/>
    <mergeCell ref="BE363:BF363"/>
    <mergeCell ref="BG363:BH363"/>
    <mergeCell ref="AU360:AV360"/>
    <mergeCell ref="AW360:AX360"/>
    <mergeCell ref="AU357:AV357"/>
    <mergeCell ref="AW357:AX357"/>
    <mergeCell ref="AG357:AH357"/>
    <mergeCell ref="AI357:AJ357"/>
    <mergeCell ref="AK357:AL357"/>
    <mergeCell ref="AM357:AN357"/>
    <mergeCell ref="AO357:AP357"/>
    <mergeCell ref="AQ357:AR357"/>
    <mergeCell ref="AS357:AT357"/>
    <mergeCell ref="S358:T358"/>
    <mergeCell ref="U358:V358"/>
    <mergeCell ref="W358:X358"/>
    <mergeCell ref="Y358:Z358"/>
    <mergeCell ref="AA358:AB358"/>
    <mergeCell ref="AC358:AD358"/>
    <mergeCell ref="AE358:AF358"/>
    <mergeCell ref="AG358:AH358"/>
    <mergeCell ref="AI358:AJ358"/>
    <mergeCell ref="AK358:AL358"/>
    <mergeCell ref="AM358:AN358"/>
    <mergeCell ref="AO358:AP358"/>
    <mergeCell ref="AQ358:AR358"/>
    <mergeCell ref="AS358:AT358"/>
    <mergeCell ref="BI358:BJ358"/>
    <mergeCell ref="BK358:BL358"/>
    <mergeCell ref="BM358:BN358"/>
    <mergeCell ref="BO358:BP358"/>
    <mergeCell ref="AU358:AV358"/>
    <mergeCell ref="AW358:AX358"/>
    <mergeCell ref="AY358:AZ358"/>
    <mergeCell ref="BA358:BB358"/>
    <mergeCell ref="BC358:BD358"/>
    <mergeCell ref="BE358:BF358"/>
    <mergeCell ref="BG358:BH358"/>
    <mergeCell ref="BM355:BN355"/>
    <mergeCell ref="BO355:BP355"/>
    <mergeCell ref="AY355:AZ355"/>
    <mergeCell ref="BA355:BB355"/>
    <mergeCell ref="BC355:BD355"/>
    <mergeCell ref="BE355:BF355"/>
    <mergeCell ref="BG355:BH355"/>
    <mergeCell ref="BI355:BJ355"/>
    <mergeCell ref="BK355:BL355"/>
    <mergeCell ref="S354:T354"/>
    <mergeCell ref="U354:V354"/>
    <mergeCell ref="W354:X354"/>
    <mergeCell ref="Y354:Z354"/>
    <mergeCell ref="AA354:AB354"/>
    <mergeCell ref="AC354:AD354"/>
    <mergeCell ref="AE354:AF354"/>
    <mergeCell ref="AG354:AH354"/>
    <mergeCell ref="AI354:AJ354"/>
    <mergeCell ref="AK354:AL354"/>
    <mergeCell ref="AM354:AN354"/>
    <mergeCell ref="AO354:AP354"/>
    <mergeCell ref="AQ354:AR354"/>
    <mergeCell ref="AS354:AT354"/>
    <mergeCell ref="BI354:BJ354"/>
    <mergeCell ref="BK354:BL354"/>
    <mergeCell ref="BM354:BN354"/>
    <mergeCell ref="BO354:BP354"/>
    <mergeCell ref="E354:F354"/>
    <mergeCell ref="G354:H354"/>
    <mergeCell ref="I354:J354"/>
    <mergeCell ref="K354:L354"/>
    <mergeCell ref="M354:N354"/>
    <mergeCell ref="O354:P354"/>
    <mergeCell ref="Q354:R354"/>
    <mergeCell ref="S355:T355"/>
    <mergeCell ref="U355:V355"/>
    <mergeCell ref="W355:X355"/>
    <mergeCell ref="Y355:Z355"/>
    <mergeCell ref="AA355:AB355"/>
    <mergeCell ref="AC355:AD355"/>
    <mergeCell ref="AE355:AF355"/>
    <mergeCell ref="AU354:AV354"/>
    <mergeCell ref="AW354:AX354"/>
    <mergeCell ref="AY354:AZ354"/>
    <mergeCell ref="BA354:BB354"/>
    <mergeCell ref="BC354:BD354"/>
    <mergeCell ref="BE354:BF354"/>
    <mergeCell ref="BG354:BH354"/>
    <mergeCell ref="E355:F355"/>
    <mergeCell ref="G355:H355"/>
    <mergeCell ref="I355:J355"/>
    <mergeCell ref="K355:L355"/>
    <mergeCell ref="M355:N355"/>
    <mergeCell ref="O355:P355"/>
    <mergeCell ref="Q355:R355"/>
    <mergeCell ref="E352:F352"/>
    <mergeCell ref="G352:H352"/>
    <mergeCell ref="I352:J352"/>
    <mergeCell ref="K352:L352"/>
    <mergeCell ref="M352:N352"/>
    <mergeCell ref="O352:P352"/>
    <mergeCell ref="Q352:R352"/>
    <mergeCell ref="S353:T353"/>
    <mergeCell ref="U353:V353"/>
    <mergeCell ref="W353:X353"/>
    <mergeCell ref="Y353:Z353"/>
    <mergeCell ref="AA353:AB353"/>
    <mergeCell ref="AC353:AD353"/>
    <mergeCell ref="AE353:AF353"/>
    <mergeCell ref="AU352:AV352"/>
    <mergeCell ref="AW352:AX352"/>
    <mergeCell ref="AY352:AZ352"/>
    <mergeCell ref="BA352:BB352"/>
    <mergeCell ref="BC352:BD352"/>
    <mergeCell ref="BE352:BF352"/>
    <mergeCell ref="BG352:BH352"/>
    <mergeCell ref="E353:F353"/>
    <mergeCell ref="G353:H353"/>
    <mergeCell ref="I353:J353"/>
    <mergeCell ref="K353:L353"/>
    <mergeCell ref="M353:N353"/>
    <mergeCell ref="O353:P353"/>
    <mergeCell ref="Q353:R353"/>
    <mergeCell ref="AU355:AV355"/>
    <mergeCell ref="AW355:AX355"/>
    <mergeCell ref="AG355:AH355"/>
    <mergeCell ref="AI355:AJ355"/>
    <mergeCell ref="AK355:AL355"/>
    <mergeCell ref="AM355:AN355"/>
    <mergeCell ref="AO355:AP355"/>
    <mergeCell ref="AQ355:AR355"/>
    <mergeCell ref="AS355:AT355"/>
    <mergeCell ref="AG353:AH353"/>
    <mergeCell ref="AI353:AJ353"/>
    <mergeCell ref="AK353:AL353"/>
    <mergeCell ref="AM353:AN353"/>
    <mergeCell ref="AO353:AP353"/>
    <mergeCell ref="AQ353:AR353"/>
    <mergeCell ref="AS353:AT353"/>
    <mergeCell ref="BM353:BN353"/>
    <mergeCell ref="BO353:BP353"/>
    <mergeCell ref="AY353:AZ353"/>
    <mergeCell ref="BA353:BB353"/>
    <mergeCell ref="BC353:BD353"/>
    <mergeCell ref="BE353:BF353"/>
    <mergeCell ref="BG353:BH353"/>
    <mergeCell ref="BI353:BJ353"/>
    <mergeCell ref="BK353:BL353"/>
    <mergeCell ref="S352:T352"/>
    <mergeCell ref="U352:V352"/>
    <mergeCell ref="W352:X352"/>
    <mergeCell ref="Y352:Z352"/>
    <mergeCell ref="AA352:AB352"/>
    <mergeCell ref="AC352:AD352"/>
    <mergeCell ref="AE352:AF352"/>
    <mergeCell ref="AG352:AH352"/>
    <mergeCell ref="AI352:AJ352"/>
    <mergeCell ref="AK352:AL352"/>
    <mergeCell ref="AM352:AN352"/>
    <mergeCell ref="AO352:AP352"/>
    <mergeCell ref="AQ352:AR352"/>
    <mergeCell ref="AS352:AT352"/>
    <mergeCell ref="BI352:BJ352"/>
    <mergeCell ref="BK352:BL352"/>
    <mergeCell ref="BM352:BN352"/>
    <mergeCell ref="BO352:BP352"/>
    <mergeCell ref="E351:F351"/>
    <mergeCell ref="G351:H351"/>
    <mergeCell ref="I351:J351"/>
    <mergeCell ref="K351:L351"/>
    <mergeCell ref="M351:N351"/>
    <mergeCell ref="O351:P351"/>
    <mergeCell ref="Q351:R351"/>
    <mergeCell ref="BM357:BN357"/>
    <mergeCell ref="BO357:BP357"/>
    <mergeCell ref="AY357:AZ357"/>
    <mergeCell ref="BA357:BB357"/>
    <mergeCell ref="BC357:BD357"/>
    <mergeCell ref="BE357:BF357"/>
    <mergeCell ref="BG357:BH357"/>
    <mergeCell ref="BI357:BJ357"/>
    <mergeCell ref="BK357:BL357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I356:AJ356"/>
    <mergeCell ref="AK356:AL356"/>
    <mergeCell ref="AM356:AN356"/>
    <mergeCell ref="AO356:AP356"/>
    <mergeCell ref="AQ356:AR356"/>
    <mergeCell ref="AS356:AT356"/>
    <mergeCell ref="BI356:BJ356"/>
    <mergeCell ref="BK356:BL356"/>
    <mergeCell ref="BM356:BN356"/>
    <mergeCell ref="BO356:BP356"/>
    <mergeCell ref="E356:F356"/>
    <mergeCell ref="G356:H356"/>
    <mergeCell ref="I356:J356"/>
    <mergeCell ref="K356:L356"/>
    <mergeCell ref="M356:N356"/>
    <mergeCell ref="O356:P356"/>
    <mergeCell ref="Q356:R356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AE357:AF357"/>
    <mergeCell ref="AU356:AV356"/>
    <mergeCell ref="AW356:AX356"/>
    <mergeCell ref="AY356:AZ356"/>
    <mergeCell ref="BA356:BB356"/>
    <mergeCell ref="BC356:BD356"/>
    <mergeCell ref="BE356:BF356"/>
    <mergeCell ref="BG356:BH356"/>
    <mergeCell ref="AU353:AV353"/>
    <mergeCell ref="AW353:AX353"/>
    <mergeCell ref="AU350:AV350"/>
    <mergeCell ref="AW350:AX350"/>
    <mergeCell ref="AG350:AH350"/>
    <mergeCell ref="AI350:AJ350"/>
    <mergeCell ref="AK350:AL350"/>
    <mergeCell ref="AM350:AN350"/>
    <mergeCell ref="AO350:AP350"/>
    <mergeCell ref="AQ350:AR350"/>
    <mergeCell ref="AS350:AT350"/>
    <mergeCell ref="S351:T351"/>
    <mergeCell ref="U351:V351"/>
    <mergeCell ref="W351:X351"/>
    <mergeCell ref="Y351:Z351"/>
    <mergeCell ref="AA351:AB351"/>
    <mergeCell ref="AC351:AD351"/>
    <mergeCell ref="AE351:AF351"/>
    <mergeCell ref="AG351:AH351"/>
    <mergeCell ref="AI351:AJ351"/>
    <mergeCell ref="AK351:AL351"/>
    <mergeCell ref="AM351:AN351"/>
    <mergeCell ref="AO351:AP351"/>
    <mergeCell ref="AQ351:AR351"/>
    <mergeCell ref="AS351:AT351"/>
    <mergeCell ref="BI351:BJ351"/>
    <mergeCell ref="BK351:BL351"/>
    <mergeCell ref="BM351:BN351"/>
    <mergeCell ref="BO351:BP351"/>
    <mergeCell ref="AU351:AV351"/>
    <mergeCell ref="AW351:AX351"/>
    <mergeCell ref="AY351:AZ351"/>
    <mergeCell ref="BA351:BB351"/>
    <mergeCell ref="BC351:BD351"/>
    <mergeCell ref="BE351:BF351"/>
    <mergeCell ref="BG351:BH351"/>
    <mergeCell ref="BM348:BN348"/>
    <mergeCell ref="BO348:BP348"/>
    <mergeCell ref="AY348:AZ348"/>
    <mergeCell ref="BA348:BB348"/>
    <mergeCell ref="BC348:BD348"/>
    <mergeCell ref="BE348:BF348"/>
    <mergeCell ref="BG348:BH348"/>
    <mergeCell ref="BI348:BJ348"/>
    <mergeCell ref="BK348:BL348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I347:AJ347"/>
    <mergeCell ref="AK347:AL347"/>
    <mergeCell ref="AM347:AN347"/>
    <mergeCell ref="AO347:AP347"/>
    <mergeCell ref="AQ347:AR347"/>
    <mergeCell ref="AS347:AT347"/>
    <mergeCell ref="BI347:BJ347"/>
    <mergeCell ref="BK347:BL347"/>
    <mergeCell ref="BM347:BN347"/>
    <mergeCell ref="BO347:BP347"/>
    <mergeCell ref="E347:F347"/>
    <mergeCell ref="G347:H347"/>
    <mergeCell ref="I347:J347"/>
    <mergeCell ref="K347:L347"/>
    <mergeCell ref="M347:N347"/>
    <mergeCell ref="O347:P347"/>
    <mergeCell ref="Q347:R347"/>
    <mergeCell ref="S348:T348"/>
    <mergeCell ref="U348:V348"/>
    <mergeCell ref="W348:X348"/>
    <mergeCell ref="Y348:Z348"/>
    <mergeCell ref="AA348:AB348"/>
    <mergeCell ref="AC348:AD348"/>
    <mergeCell ref="AE348:AF348"/>
    <mergeCell ref="AU347:AV347"/>
    <mergeCell ref="AW347:AX347"/>
    <mergeCell ref="AY347:AZ347"/>
    <mergeCell ref="BA347:BB347"/>
    <mergeCell ref="BC347:BD347"/>
    <mergeCell ref="BE347:BF347"/>
    <mergeCell ref="BG347:BH347"/>
    <mergeCell ref="E348:F348"/>
    <mergeCell ref="G348:H348"/>
    <mergeCell ref="I348:J348"/>
    <mergeCell ref="K348:L348"/>
    <mergeCell ref="M348:N348"/>
    <mergeCell ref="O348:P348"/>
    <mergeCell ref="Q348:R348"/>
    <mergeCell ref="E345:F345"/>
    <mergeCell ref="G345:H345"/>
    <mergeCell ref="I345:J345"/>
    <mergeCell ref="K345:L345"/>
    <mergeCell ref="M345:N345"/>
    <mergeCell ref="O345:P345"/>
    <mergeCell ref="Q345:R345"/>
    <mergeCell ref="S346:T346"/>
    <mergeCell ref="U346:V346"/>
    <mergeCell ref="W346:X346"/>
    <mergeCell ref="Y346:Z346"/>
    <mergeCell ref="AA346:AB346"/>
    <mergeCell ref="AC346:AD346"/>
    <mergeCell ref="AE346:AF346"/>
    <mergeCell ref="AU345:AV345"/>
    <mergeCell ref="AW345:AX345"/>
    <mergeCell ref="AY345:AZ345"/>
    <mergeCell ref="BA345:BB345"/>
    <mergeCell ref="BC345:BD345"/>
    <mergeCell ref="BE345:BF345"/>
    <mergeCell ref="BG345:BH345"/>
    <mergeCell ref="E346:F346"/>
    <mergeCell ref="G346:H346"/>
    <mergeCell ref="I346:J346"/>
    <mergeCell ref="K346:L346"/>
    <mergeCell ref="M346:N346"/>
    <mergeCell ref="O346:P346"/>
    <mergeCell ref="Q346:R346"/>
    <mergeCell ref="AU348:AV348"/>
    <mergeCell ref="AW348:AX348"/>
    <mergeCell ref="AG348:AH348"/>
    <mergeCell ref="AI348:AJ348"/>
    <mergeCell ref="AK348:AL348"/>
    <mergeCell ref="AM348:AN348"/>
    <mergeCell ref="AO348:AP348"/>
    <mergeCell ref="AQ348:AR348"/>
    <mergeCell ref="AS348:AT348"/>
    <mergeCell ref="AG346:AH346"/>
    <mergeCell ref="AI346:AJ346"/>
    <mergeCell ref="AK346:AL346"/>
    <mergeCell ref="AM346:AN346"/>
    <mergeCell ref="AO346:AP346"/>
    <mergeCell ref="AQ346:AR346"/>
    <mergeCell ref="AS346:AT346"/>
    <mergeCell ref="BM346:BN346"/>
    <mergeCell ref="BO346:BP346"/>
    <mergeCell ref="AY346:AZ346"/>
    <mergeCell ref="BA346:BB346"/>
    <mergeCell ref="BC346:BD346"/>
    <mergeCell ref="BE346:BF346"/>
    <mergeCell ref="BG346:BH346"/>
    <mergeCell ref="BI346:BJ346"/>
    <mergeCell ref="BK346:BL346"/>
    <mergeCell ref="S345:T345"/>
    <mergeCell ref="U345:V345"/>
    <mergeCell ref="W345:X345"/>
    <mergeCell ref="Y345:Z345"/>
    <mergeCell ref="AA345:AB345"/>
    <mergeCell ref="AC345:AD345"/>
    <mergeCell ref="AE345:AF345"/>
    <mergeCell ref="AG345:AH345"/>
    <mergeCell ref="AI345:AJ345"/>
    <mergeCell ref="AK345:AL345"/>
    <mergeCell ref="AM345:AN345"/>
    <mergeCell ref="AO345:AP345"/>
    <mergeCell ref="AQ345:AR345"/>
    <mergeCell ref="AS345:AT345"/>
    <mergeCell ref="BI345:BJ345"/>
    <mergeCell ref="BK345:BL345"/>
    <mergeCell ref="BM345:BN345"/>
    <mergeCell ref="BO345:BP345"/>
    <mergeCell ref="E344:F344"/>
    <mergeCell ref="G344:H344"/>
    <mergeCell ref="I344:J344"/>
    <mergeCell ref="K344:L344"/>
    <mergeCell ref="M344:N344"/>
    <mergeCell ref="O344:P344"/>
    <mergeCell ref="Q344:R344"/>
    <mergeCell ref="BM350:BN350"/>
    <mergeCell ref="BO350:BP350"/>
    <mergeCell ref="AY350:AZ350"/>
    <mergeCell ref="BA350:BB350"/>
    <mergeCell ref="BC350:BD350"/>
    <mergeCell ref="BE350:BF350"/>
    <mergeCell ref="BG350:BH350"/>
    <mergeCell ref="BI350:BJ350"/>
    <mergeCell ref="BK350:BL350"/>
    <mergeCell ref="S349:T349"/>
    <mergeCell ref="U349:V349"/>
    <mergeCell ref="W349:X349"/>
    <mergeCell ref="Y349:Z349"/>
    <mergeCell ref="AA349:AB349"/>
    <mergeCell ref="AC349:AD349"/>
    <mergeCell ref="AE349:AF349"/>
    <mergeCell ref="AG349:AH349"/>
    <mergeCell ref="AI349:AJ349"/>
    <mergeCell ref="AK349:AL349"/>
    <mergeCell ref="AM349:AN349"/>
    <mergeCell ref="AO349:AP349"/>
    <mergeCell ref="AQ349:AR349"/>
    <mergeCell ref="AS349:AT349"/>
    <mergeCell ref="BI349:BJ349"/>
    <mergeCell ref="BK349:BL349"/>
    <mergeCell ref="BM349:BN349"/>
    <mergeCell ref="BO349:BP349"/>
    <mergeCell ref="E349:F349"/>
    <mergeCell ref="G349:H349"/>
    <mergeCell ref="I349:J349"/>
    <mergeCell ref="K349:L349"/>
    <mergeCell ref="M349:N349"/>
    <mergeCell ref="O349:P349"/>
    <mergeCell ref="Q349:R349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Z350"/>
    <mergeCell ref="AA350:AB350"/>
    <mergeCell ref="AC350:AD350"/>
    <mergeCell ref="AE350:AF350"/>
    <mergeCell ref="AU349:AV349"/>
    <mergeCell ref="AW349:AX349"/>
    <mergeCell ref="AY349:AZ349"/>
    <mergeCell ref="BA349:BB349"/>
    <mergeCell ref="BC349:BD349"/>
    <mergeCell ref="BE349:BF349"/>
    <mergeCell ref="BG349:BH349"/>
    <mergeCell ref="AU346:AV346"/>
    <mergeCell ref="AW346:AX346"/>
    <mergeCell ref="AU343:AV343"/>
    <mergeCell ref="AW343:AX343"/>
    <mergeCell ref="AG343:AH343"/>
    <mergeCell ref="AI343:AJ343"/>
    <mergeCell ref="AK343:AL343"/>
    <mergeCell ref="AM343:AN343"/>
    <mergeCell ref="AO343:AP343"/>
    <mergeCell ref="AQ343:AR343"/>
    <mergeCell ref="AS343:AT343"/>
    <mergeCell ref="S344:T344"/>
    <mergeCell ref="U344:V344"/>
    <mergeCell ref="W344:X344"/>
    <mergeCell ref="Y344:Z344"/>
    <mergeCell ref="AA344:AB344"/>
    <mergeCell ref="AC344:AD344"/>
    <mergeCell ref="AE344:AF344"/>
    <mergeCell ref="AG344:AH344"/>
    <mergeCell ref="AI344:AJ344"/>
    <mergeCell ref="AK344:AL344"/>
    <mergeCell ref="AM344:AN344"/>
    <mergeCell ref="AO344:AP344"/>
    <mergeCell ref="AQ344:AR344"/>
    <mergeCell ref="AS344:AT344"/>
    <mergeCell ref="BI344:BJ344"/>
    <mergeCell ref="BK344:BL344"/>
    <mergeCell ref="BM344:BN344"/>
    <mergeCell ref="BO344:BP344"/>
    <mergeCell ref="AU344:AV344"/>
    <mergeCell ref="AW344:AX344"/>
    <mergeCell ref="AY344:AZ344"/>
    <mergeCell ref="BA344:BB344"/>
    <mergeCell ref="BC344:BD344"/>
    <mergeCell ref="BE344:BF344"/>
    <mergeCell ref="BG344:BH344"/>
    <mergeCell ref="BM341:BN341"/>
    <mergeCell ref="BO341:BP341"/>
    <mergeCell ref="AY341:AZ341"/>
    <mergeCell ref="BA341:BB341"/>
    <mergeCell ref="BC341:BD341"/>
    <mergeCell ref="BE341:BF341"/>
    <mergeCell ref="BG341:BH341"/>
    <mergeCell ref="BI341:BJ341"/>
    <mergeCell ref="BK341:BL341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I340:AJ340"/>
    <mergeCell ref="AK340:AL340"/>
    <mergeCell ref="AM340:AN340"/>
    <mergeCell ref="AO340:AP340"/>
    <mergeCell ref="AQ340:AR340"/>
    <mergeCell ref="AS340:AT340"/>
    <mergeCell ref="BI340:BJ340"/>
    <mergeCell ref="BK340:BL340"/>
    <mergeCell ref="BM340:BN340"/>
    <mergeCell ref="BO340:BP340"/>
    <mergeCell ref="E340:F340"/>
    <mergeCell ref="G340:H340"/>
    <mergeCell ref="I340:J340"/>
    <mergeCell ref="K340:L340"/>
    <mergeCell ref="M340:N340"/>
    <mergeCell ref="O340:P340"/>
    <mergeCell ref="Q340:R340"/>
    <mergeCell ref="S341:T341"/>
    <mergeCell ref="U341:V341"/>
    <mergeCell ref="W341:X341"/>
    <mergeCell ref="Y341:Z341"/>
    <mergeCell ref="AA341:AB341"/>
    <mergeCell ref="AC341:AD341"/>
    <mergeCell ref="AE341:AF341"/>
    <mergeCell ref="AU340:AV340"/>
    <mergeCell ref="AW340:AX340"/>
    <mergeCell ref="AY340:AZ340"/>
    <mergeCell ref="BA340:BB340"/>
    <mergeCell ref="BC340:BD340"/>
    <mergeCell ref="BE340:BF340"/>
    <mergeCell ref="BG340:BH340"/>
    <mergeCell ref="E341:F341"/>
    <mergeCell ref="G341:H341"/>
    <mergeCell ref="I341:J341"/>
    <mergeCell ref="K341:L341"/>
    <mergeCell ref="M341:N341"/>
    <mergeCell ref="O341:P341"/>
    <mergeCell ref="Q341:R341"/>
    <mergeCell ref="E338:F338"/>
    <mergeCell ref="G338:H338"/>
    <mergeCell ref="I338:J338"/>
    <mergeCell ref="K338:L338"/>
    <mergeCell ref="M338:N338"/>
    <mergeCell ref="O338:P338"/>
    <mergeCell ref="Q338:R338"/>
    <mergeCell ref="S339:T339"/>
    <mergeCell ref="U339:V339"/>
    <mergeCell ref="W339:X339"/>
    <mergeCell ref="Y339:Z339"/>
    <mergeCell ref="AA339:AB339"/>
    <mergeCell ref="AC339:AD339"/>
    <mergeCell ref="AE339:AF339"/>
    <mergeCell ref="AU338:AV338"/>
    <mergeCell ref="AW338:AX338"/>
    <mergeCell ref="AY338:AZ338"/>
    <mergeCell ref="BA338:BB338"/>
    <mergeCell ref="BC338:BD338"/>
    <mergeCell ref="BE338:BF338"/>
    <mergeCell ref="BG338:BH338"/>
    <mergeCell ref="E339:F339"/>
    <mergeCell ref="G339:H339"/>
    <mergeCell ref="I339:J339"/>
    <mergeCell ref="K339:L339"/>
    <mergeCell ref="M339:N339"/>
    <mergeCell ref="O339:P339"/>
    <mergeCell ref="Q339:R339"/>
    <mergeCell ref="AU341:AV341"/>
    <mergeCell ref="AW341:AX341"/>
    <mergeCell ref="AG341:AH341"/>
    <mergeCell ref="AI341:AJ341"/>
    <mergeCell ref="AK341:AL341"/>
    <mergeCell ref="AM341:AN341"/>
    <mergeCell ref="AO341:AP341"/>
    <mergeCell ref="AQ341:AR341"/>
    <mergeCell ref="AS341:AT341"/>
    <mergeCell ref="AG339:AH339"/>
    <mergeCell ref="AI339:AJ339"/>
    <mergeCell ref="AK339:AL339"/>
    <mergeCell ref="AM339:AN339"/>
    <mergeCell ref="AO339:AP339"/>
    <mergeCell ref="AQ339:AR339"/>
    <mergeCell ref="AS339:AT339"/>
    <mergeCell ref="BM339:BN339"/>
    <mergeCell ref="BO339:BP339"/>
    <mergeCell ref="AY339:AZ339"/>
    <mergeCell ref="BA339:BB339"/>
    <mergeCell ref="BC339:BD339"/>
    <mergeCell ref="BE339:BF339"/>
    <mergeCell ref="BG339:BH339"/>
    <mergeCell ref="BI339:BJ339"/>
    <mergeCell ref="BK339:BL339"/>
    <mergeCell ref="S338:T338"/>
    <mergeCell ref="U338:V338"/>
    <mergeCell ref="W338:X338"/>
    <mergeCell ref="Y338:Z338"/>
    <mergeCell ref="AA338:AB338"/>
    <mergeCell ref="AC338:AD338"/>
    <mergeCell ref="AE338:AF338"/>
    <mergeCell ref="AG338:AH338"/>
    <mergeCell ref="AI338:AJ338"/>
    <mergeCell ref="AK338:AL338"/>
    <mergeCell ref="AM338:AN338"/>
    <mergeCell ref="AO338:AP338"/>
    <mergeCell ref="AQ338:AR338"/>
    <mergeCell ref="AS338:AT338"/>
    <mergeCell ref="BI338:BJ338"/>
    <mergeCell ref="BK338:BL338"/>
    <mergeCell ref="BM338:BN338"/>
    <mergeCell ref="BO338:BP338"/>
    <mergeCell ref="E337:F337"/>
    <mergeCell ref="G337:H337"/>
    <mergeCell ref="I337:J337"/>
    <mergeCell ref="K337:L337"/>
    <mergeCell ref="M337:N337"/>
    <mergeCell ref="O337:P337"/>
    <mergeCell ref="Q337:R337"/>
    <mergeCell ref="BM343:BN343"/>
    <mergeCell ref="BO343:BP343"/>
    <mergeCell ref="AY343:AZ343"/>
    <mergeCell ref="BA343:BB343"/>
    <mergeCell ref="BC343:BD343"/>
    <mergeCell ref="BE343:BF343"/>
    <mergeCell ref="BG343:BH343"/>
    <mergeCell ref="BI343:BJ343"/>
    <mergeCell ref="BK343:BL343"/>
    <mergeCell ref="S342:T342"/>
    <mergeCell ref="U342:V342"/>
    <mergeCell ref="W342:X342"/>
    <mergeCell ref="Y342:Z342"/>
    <mergeCell ref="AA342:AB342"/>
    <mergeCell ref="AC342:AD342"/>
    <mergeCell ref="AE342:AF342"/>
    <mergeCell ref="AG342:AH342"/>
    <mergeCell ref="AI342:AJ342"/>
    <mergeCell ref="AK342:AL342"/>
    <mergeCell ref="AM342:AN342"/>
    <mergeCell ref="AO342:AP342"/>
    <mergeCell ref="AQ342:AR342"/>
    <mergeCell ref="AS342:AT342"/>
    <mergeCell ref="BI342:BJ342"/>
    <mergeCell ref="BK342:BL342"/>
    <mergeCell ref="BM342:BN342"/>
    <mergeCell ref="BO342:BP342"/>
    <mergeCell ref="E342:F342"/>
    <mergeCell ref="G342:H342"/>
    <mergeCell ref="I342:J342"/>
    <mergeCell ref="K342:L342"/>
    <mergeCell ref="M342:N342"/>
    <mergeCell ref="O342:P342"/>
    <mergeCell ref="Q342:R342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U342:AV342"/>
    <mergeCell ref="AW342:AX342"/>
    <mergeCell ref="AY342:AZ342"/>
    <mergeCell ref="BA342:BB342"/>
    <mergeCell ref="BC342:BD342"/>
    <mergeCell ref="BE342:BF342"/>
    <mergeCell ref="BG342:BH342"/>
    <mergeCell ref="AU339:AV339"/>
    <mergeCell ref="AW339:AX339"/>
    <mergeCell ref="AU336:AV336"/>
    <mergeCell ref="AW336:AX336"/>
    <mergeCell ref="AG336:AH336"/>
    <mergeCell ref="AI336:AJ336"/>
    <mergeCell ref="AK336:AL336"/>
    <mergeCell ref="AM336:AN336"/>
    <mergeCell ref="AO336:AP336"/>
    <mergeCell ref="AQ336:AR336"/>
    <mergeCell ref="AS336:AT336"/>
    <mergeCell ref="S337:T337"/>
    <mergeCell ref="U337:V337"/>
    <mergeCell ref="W337:X337"/>
    <mergeCell ref="Y337:Z337"/>
    <mergeCell ref="AA337:AB337"/>
    <mergeCell ref="AC337:AD337"/>
    <mergeCell ref="AE337:AF337"/>
    <mergeCell ref="AG337:AH337"/>
    <mergeCell ref="AI337:AJ337"/>
    <mergeCell ref="AK337:AL337"/>
    <mergeCell ref="AM337:AN337"/>
    <mergeCell ref="AO337:AP337"/>
    <mergeCell ref="AQ337:AR337"/>
    <mergeCell ref="AS337:AT337"/>
    <mergeCell ref="BI337:BJ337"/>
    <mergeCell ref="BK337:BL337"/>
    <mergeCell ref="BM337:BN337"/>
    <mergeCell ref="BO337:BP337"/>
    <mergeCell ref="AU337:AV337"/>
    <mergeCell ref="AW337:AX337"/>
    <mergeCell ref="AY337:AZ337"/>
    <mergeCell ref="BA337:BB337"/>
    <mergeCell ref="BC337:BD337"/>
    <mergeCell ref="BE337:BF337"/>
    <mergeCell ref="BG337:BH337"/>
    <mergeCell ref="BM334:BN334"/>
    <mergeCell ref="BO334:BP334"/>
    <mergeCell ref="AY334:AZ334"/>
    <mergeCell ref="BA334:BB334"/>
    <mergeCell ref="BC334:BD334"/>
    <mergeCell ref="BE334:BF334"/>
    <mergeCell ref="BG334:BH334"/>
    <mergeCell ref="BI334:BJ334"/>
    <mergeCell ref="BK334:BL334"/>
    <mergeCell ref="S333:T333"/>
    <mergeCell ref="U333:V333"/>
    <mergeCell ref="W333:X333"/>
    <mergeCell ref="Y333:Z333"/>
    <mergeCell ref="AA333:AB333"/>
    <mergeCell ref="AC333:AD333"/>
    <mergeCell ref="AE333:AF333"/>
    <mergeCell ref="AG333:AH333"/>
    <mergeCell ref="AI333:AJ333"/>
    <mergeCell ref="AK333:AL333"/>
    <mergeCell ref="AM333:AN333"/>
    <mergeCell ref="AO333:AP333"/>
    <mergeCell ref="AQ333:AR333"/>
    <mergeCell ref="AS333:AT333"/>
    <mergeCell ref="BI333:BJ333"/>
    <mergeCell ref="BK333:BL333"/>
    <mergeCell ref="BM333:BN333"/>
    <mergeCell ref="BO333:BP333"/>
    <mergeCell ref="E333:F333"/>
    <mergeCell ref="G333:H333"/>
    <mergeCell ref="I333:J333"/>
    <mergeCell ref="K333:L333"/>
    <mergeCell ref="M333:N333"/>
    <mergeCell ref="O333:P333"/>
    <mergeCell ref="Q333:R333"/>
    <mergeCell ref="S334:T334"/>
    <mergeCell ref="U334:V334"/>
    <mergeCell ref="W334:X334"/>
    <mergeCell ref="Y334:Z334"/>
    <mergeCell ref="AA334:AB334"/>
    <mergeCell ref="AC334:AD334"/>
    <mergeCell ref="AE334:AF334"/>
    <mergeCell ref="AU333:AV333"/>
    <mergeCell ref="AW333:AX333"/>
    <mergeCell ref="AY333:AZ333"/>
    <mergeCell ref="BA333:BB333"/>
    <mergeCell ref="BC333:BD333"/>
    <mergeCell ref="BE333:BF333"/>
    <mergeCell ref="BG333:BH333"/>
    <mergeCell ref="E334:F334"/>
    <mergeCell ref="G334:H334"/>
    <mergeCell ref="I334:J334"/>
    <mergeCell ref="K334:L334"/>
    <mergeCell ref="M334:N334"/>
    <mergeCell ref="O334:P334"/>
    <mergeCell ref="Q334:R334"/>
    <mergeCell ref="E331:F331"/>
    <mergeCell ref="G331:H331"/>
    <mergeCell ref="I331:J331"/>
    <mergeCell ref="K331:L331"/>
    <mergeCell ref="M331:N331"/>
    <mergeCell ref="O331:P331"/>
    <mergeCell ref="Q331:R331"/>
    <mergeCell ref="S332:T332"/>
    <mergeCell ref="U332:V332"/>
    <mergeCell ref="W332:X332"/>
    <mergeCell ref="Y332:Z332"/>
    <mergeCell ref="AA332:AB332"/>
    <mergeCell ref="AC332:AD332"/>
    <mergeCell ref="AE332:AF332"/>
    <mergeCell ref="AU331:AV331"/>
    <mergeCell ref="AW331:AX331"/>
    <mergeCell ref="AY331:AZ331"/>
    <mergeCell ref="BA331:BB331"/>
    <mergeCell ref="BC331:BD331"/>
    <mergeCell ref="BE331:BF331"/>
    <mergeCell ref="BG331:BH331"/>
    <mergeCell ref="E332:F332"/>
    <mergeCell ref="G332:H332"/>
    <mergeCell ref="I332:J332"/>
    <mergeCell ref="K332:L332"/>
    <mergeCell ref="M332:N332"/>
    <mergeCell ref="O332:P332"/>
    <mergeCell ref="Q332:R332"/>
    <mergeCell ref="AU334:AV334"/>
    <mergeCell ref="AW334:AX334"/>
    <mergeCell ref="AG334:AH334"/>
    <mergeCell ref="AI334:AJ334"/>
    <mergeCell ref="AK334:AL334"/>
    <mergeCell ref="AM334:AN334"/>
    <mergeCell ref="AO334:AP334"/>
    <mergeCell ref="AQ334:AR334"/>
    <mergeCell ref="AS334:AT334"/>
    <mergeCell ref="AG332:AH332"/>
    <mergeCell ref="AI332:AJ332"/>
    <mergeCell ref="AK332:AL332"/>
    <mergeCell ref="AM332:AN332"/>
    <mergeCell ref="AO332:AP332"/>
    <mergeCell ref="AQ332:AR332"/>
    <mergeCell ref="AS332:AT332"/>
    <mergeCell ref="BM332:BN332"/>
    <mergeCell ref="BO332:BP332"/>
    <mergeCell ref="AY332:AZ332"/>
    <mergeCell ref="BA332:BB332"/>
    <mergeCell ref="BC332:BD332"/>
    <mergeCell ref="BE332:BF332"/>
    <mergeCell ref="BG332:BH332"/>
    <mergeCell ref="BI332:BJ332"/>
    <mergeCell ref="BK332:BL332"/>
    <mergeCell ref="S331:T331"/>
    <mergeCell ref="U331:V331"/>
    <mergeCell ref="W331:X331"/>
    <mergeCell ref="Y331:Z331"/>
    <mergeCell ref="AA331:AB331"/>
    <mergeCell ref="AC331:AD331"/>
    <mergeCell ref="AE331:AF331"/>
    <mergeCell ref="AG331:AH331"/>
    <mergeCell ref="AI331:AJ331"/>
    <mergeCell ref="AK331:AL331"/>
    <mergeCell ref="AM331:AN331"/>
    <mergeCell ref="AO331:AP331"/>
    <mergeCell ref="AQ331:AR331"/>
    <mergeCell ref="AS331:AT331"/>
    <mergeCell ref="BI331:BJ331"/>
    <mergeCell ref="BK331:BL331"/>
    <mergeCell ref="BM331:BN331"/>
    <mergeCell ref="BO331:BP331"/>
    <mergeCell ref="E330:F330"/>
    <mergeCell ref="G330:H330"/>
    <mergeCell ref="I330:J330"/>
    <mergeCell ref="K330:L330"/>
    <mergeCell ref="M330:N330"/>
    <mergeCell ref="O330:P330"/>
    <mergeCell ref="Q330:R330"/>
    <mergeCell ref="BM336:BN336"/>
    <mergeCell ref="BO336:BP336"/>
    <mergeCell ref="AY336:AZ336"/>
    <mergeCell ref="BA336:BB336"/>
    <mergeCell ref="BC336:BD336"/>
    <mergeCell ref="BE336:BF336"/>
    <mergeCell ref="BG336:BH336"/>
    <mergeCell ref="BI336:BJ336"/>
    <mergeCell ref="BK336:BL336"/>
    <mergeCell ref="S335:T335"/>
    <mergeCell ref="U335:V335"/>
    <mergeCell ref="W335:X335"/>
    <mergeCell ref="Y335:Z335"/>
    <mergeCell ref="AA335:AB335"/>
    <mergeCell ref="AC335:AD335"/>
    <mergeCell ref="AE335:AF335"/>
    <mergeCell ref="AG335:AH335"/>
    <mergeCell ref="AI335:AJ335"/>
    <mergeCell ref="AK335:AL335"/>
    <mergeCell ref="AM335:AN335"/>
    <mergeCell ref="AO335:AP335"/>
    <mergeCell ref="AQ335:AR335"/>
    <mergeCell ref="AS335:AT335"/>
    <mergeCell ref="BI335:BJ335"/>
    <mergeCell ref="BK335:BL335"/>
    <mergeCell ref="BM335:BN335"/>
    <mergeCell ref="BO335:BP335"/>
    <mergeCell ref="E335:F335"/>
    <mergeCell ref="G335:H335"/>
    <mergeCell ref="I335:J335"/>
    <mergeCell ref="K335:L335"/>
    <mergeCell ref="M335:N335"/>
    <mergeCell ref="O335:P335"/>
    <mergeCell ref="Q335:R335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Z336"/>
    <mergeCell ref="AA336:AB336"/>
    <mergeCell ref="AC336:AD336"/>
    <mergeCell ref="AE336:AF336"/>
    <mergeCell ref="AU335:AV335"/>
    <mergeCell ref="AW335:AX335"/>
    <mergeCell ref="AY335:AZ335"/>
    <mergeCell ref="BA335:BB335"/>
    <mergeCell ref="BC335:BD335"/>
    <mergeCell ref="BE335:BF335"/>
    <mergeCell ref="BG335:BH335"/>
    <mergeCell ref="AU332:AV332"/>
    <mergeCell ref="AW332:AX332"/>
    <mergeCell ref="AU329:AV329"/>
    <mergeCell ref="AW329:AX329"/>
    <mergeCell ref="AG329:AH329"/>
    <mergeCell ref="AI329:AJ329"/>
    <mergeCell ref="AK329:AL329"/>
    <mergeCell ref="AM329:AN329"/>
    <mergeCell ref="AO329:AP329"/>
    <mergeCell ref="AQ329:AR329"/>
    <mergeCell ref="AS329:AT329"/>
    <mergeCell ref="S330:T330"/>
    <mergeCell ref="U330:V330"/>
    <mergeCell ref="W330:X330"/>
    <mergeCell ref="Y330:Z330"/>
    <mergeCell ref="AA330:AB330"/>
    <mergeCell ref="AC330:AD330"/>
    <mergeCell ref="AE330:AF330"/>
    <mergeCell ref="AG330:AH330"/>
    <mergeCell ref="AI330:AJ330"/>
    <mergeCell ref="AK330:AL330"/>
    <mergeCell ref="AM330:AN330"/>
    <mergeCell ref="AO330:AP330"/>
    <mergeCell ref="AQ330:AR330"/>
    <mergeCell ref="AS330:AT330"/>
    <mergeCell ref="BI330:BJ330"/>
    <mergeCell ref="BK330:BL330"/>
    <mergeCell ref="BM330:BN330"/>
    <mergeCell ref="BO330:BP330"/>
    <mergeCell ref="AU330:AV330"/>
    <mergeCell ref="AW330:AX330"/>
    <mergeCell ref="AY330:AZ330"/>
    <mergeCell ref="BA330:BB330"/>
    <mergeCell ref="BC330:BD330"/>
    <mergeCell ref="BE330:BF330"/>
    <mergeCell ref="BG330:BH330"/>
    <mergeCell ref="BM327:BN327"/>
    <mergeCell ref="BO327:BP327"/>
    <mergeCell ref="AY327:AZ327"/>
    <mergeCell ref="BA327:BB327"/>
    <mergeCell ref="BC327:BD327"/>
    <mergeCell ref="BE327:BF327"/>
    <mergeCell ref="BG327:BH327"/>
    <mergeCell ref="BI327:BJ327"/>
    <mergeCell ref="BK327:BL327"/>
    <mergeCell ref="S326:T326"/>
    <mergeCell ref="U326:V326"/>
    <mergeCell ref="W326:X326"/>
    <mergeCell ref="Y326:Z326"/>
    <mergeCell ref="AA326:AB326"/>
    <mergeCell ref="AC326:AD326"/>
    <mergeCell ref="AE326:AF326"/>
    <mergeCell ref="AG326:AH326"/>
    <mergeCell ref="AI326:AJ326"/>
    <mergeCell ref="AK326:AL326"/>
    <mergeCell ref="AM326:AN326"/>
    <mergeCell ref="AO326:AP326"/>
    <mergeCell ref="AQ326:AR326"/>
    <mergeCell ref="AS326:AT326"/>
    <mergeCell ref="BI326:BJ326"/>
    <mergeCell ref="BK326:BL326"/>
    <mergeCell ref="BM326:BN326"/>
    <mergeCell ref="BO326:BP326"/>
    <mergeCell ref="E326:F326"/>
    <mergeCell ref="G326:H326"/>
    <mergeCell ref="I326:J326"/>
    <mergeCell ref="K326:L326"/>
    <mergeCell ref="M326:N326"/>
    <mergeCell ref="O326:P326"/>
    <mergeCell ref="Q326:R326"/>
    <mergeCell ref="S327:T327"/>
    <mergeCell ref="U327:V327"/>
    <mergeCell ref="W327:X327"/>
    <mergeCell ref="Y327:Z327"/>
    <mergeCell ref="AA327:AB327"/>
    <mergeCell ref="AC327:AD327"/>
    <mergeCell ref="AE327:AF327"/>
    <mergeCell ref="AU326:AV326"/>
    <mergeCell ref="AW326:AX326"/>
    <mergeCell ref="AY326:AZ326"/>
    <mergeCell ref="BA326:BB326"/>
    <mergeCell ref="BC326:BD326"/>
    <mergeCell ref="BE326:BF326"/>
    <mergeCell ref="BG326:BH326"/>
    <mergeCell ref="E327:F327"/>
    <mergeCell ref="G327:H327"/>
    <mergeCell ref="I327:J327"/>
    <mergeCell ref="K327:L327"/>
    <mergeCell ref="M327:N327"/>
    <mergeCell ref="O327:P327"/>
    <mergeCell ref="Q327:R327"/>
    <mergeCell ref="E324:F324"/>
    <mergeCell ref="G324:H324"/>
    <mergeCell ref="I324:J324"/>
    <mergeCell ref="K324:L324"/>
    <mergeCell ref="M324:N324"/>
    <mergeCell ref="O324:P324"/>
    <mergeCell ref="Q324:R324"/>
    <mergeCell ref="S325:T325"/>
    <mergeCell ref="U325:V325"/>
    <mergeCell ref="W325:X325"/>
    <mergeCell ref="Y325:Z325"/>
    <mergeCell ref="AA325:AB325"/>
    <mergeCell ref="AC325:AD325"/>
    <mergeCell ref="AE325:AF325"/>
    <mergeCell ref="AU324:AV324"/>
    <mergeCell ref="AW324:AX324"/>
    <mergeCell ref="AY324:AZ324"/>
    <mergeCell ref="BA324:BB324"/>
    <mergeCell ref="BC324:BD324"/>
    <mergeCell ref="BE324:BF324"/>
    <mergeCell ref="BG324:BH324"/>
    <mergeCell ref="E325:F325"/>
    <mergeCell ref="G325:H325"/>
    <mergeCell ref="I325:J325"/>
    <mergeCell ref="K325:L325"/>
    <mergeCell ref="M325:N325"/>
    <mergeCell ref="O325:P325"/>
    <mergeCell ref="Q325:R325"/>
    <mergeCell ref="AU327:AV327"/>
    <mergeCell ref="AW327:AX327"/>
    <mergeCell ref="AG327:AH327"/>
    <mergeCell ref="AI327:AJ327"/>
    <mergeCell ref="AK327:AL327"/>
    <mergeCell ref="AM327:AN327"/>
    <mergeCell ref="AO327:AP327"/>
    <mergeCell ref="AQ327:AR327"/>
    <mergeCell ref="AS327:AT327"/>
    <mergeCell ref="AG325:AH325"/>
    <mergeCell ref="AI325:AJ325"/>
    <mergeCell ref="AK325:AL325"/>
    <mergeCell ref="AM325:AN325"/>
    <mergeCell ref="AO325:AP325"/>
    <mergeCell ref="AQ325:AR325"/>
    <mergeCell ref="AS325:AT325"/>
    <mergeCell ref="BM325:BN325"/>
    <mergeCell ref="BO325:BP325"/>
    <mergeCell ref="AY325:AZ325"/>
    <mergeCell ref="BA325:BB325"/>
    <mergeCell ref="BC325:BD325"/>
    <mergeCell ref="BE325:BF325"/>
    <mergeCell ref="BG325:BH325"/>
    <mergeCell ref="BI325:BJ325"/>
    <mergeCell ref="BK325:BL325"/>
    <mergeCell ref="S324:T324"/>
    <mergeCell ref="U324:V324"/>
    <mergeCell ref="W324:X324"/>
    <mergeCell ref="Y324:Z324"/>
    <mergeCell ref="AA324:AB324"/>
    <mergeCell ref="AC324:AD324"/>
    <mergeCell ref="AE324:AF324"/>
    <mergeCell ref="AG324:AH324"/>
    <mergeCell ref="AI324:AJ324"/>
    <mergeCell ref="AK324:AL324"/>
    <mergeCell ref="AM324:AN324"/>
    <mergeCell ref="AO324:AP324"/>
    <mergeCell ref="AQ324:AR324"/>
    <mergeCell ref="AS324:AT324"/>
    <mergeCell ref="BI324:BJ324"/>
    <mergeCell ref="BK324:BL324"/>
    <mergeCell ref="BM324:BN324"/>
    <mergeCell ref="BO324:BP324"/>
    <mergeCell ref="E323:F323"/>
    <mergeCell ref="G323:H323"/>
    <mergeCell ref="I323:J323"/>
    <mergeCell ref="K323:L323"/>
    <mergeCell ref="M323:N323"/>
    <mergeCell ref="O323:P323"/>
    <mergeCell ref="Q323:R323"/>
    <mergeCell ref="BM329:BN329"/>
    <mergeCell ref="BO329:BP329"/>
    <mergeCell ref="AY329:AZ329"/>
    <mergeCell ref="BA329:BB329"/>
    <mergeCell ref="BC329:BD329"/>
    <mergeCell ref="BE329:BF329"/>
    <mergeCell ref="BG329:BH329"/>
    <mergeCell ref="BI329:BJ329"/>
    <mergeCell ref="BK329:BL329"/>
    <mergeCell ref="S328:T328"/>
    <mergeCell ref="U328:V328"/>
    <mergeCell ref="W328:X328"/>
    <mergeCell ref="Y328:Z328"/>
    <mergeCell ref="AA328:AB328"/>
    <mergeCell ref="AC328:AD328"/>
    <mergeCell ref="AE328:AF328"/>
    <mergeCell ref="AG328:AH328"/>
    <mergeCell ref="AI328:AJ328"/>
    <mergeCell ref="AK328:AL328"/>
    <mergeCell ref="AM328:AN328"/>
    <mergeCell ref="AO328:AP328"/>
    <mergeCell ref="AQ328:AR328"/>
    <mergeCell ref="AS328:AT328"/>
    <mergeCell ref="BI328:BJ328"/>
    <mergeCell ref="BK328:BL328"/>
    <mergeCell ref="BM328:BN328"/>
    <mergeCell ref="BO328:BP328"/>
    <mergeCell ref="E328:F328"/>
    <mergeCell ref="G328:H328"/>
    <mergeCell ref="I328:J328"/>
    <mergeCell ref="K328:L328"/>
    <mergeCell ref="M328:N328"/>
    <mergeCell ref="O328:P328"/>
    <mergeCell ref="Q328:R328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Z329"/>
    <mergeCell ref="AA329:AB329"/>
    <mergeCell ref="AC329:AD329"/>
    <mergeCell ref="AE329:AF329"/>
    <mergeCell ref="AU328:AV328"/>
    <mergeCell ref="AW328:AX328"/>
    <mergeCell ref="AY328:AZ328"/>
    <mergeCell ref="BA328:BB328"/>
    <mergeCell ref="BC328:BD328"/>
    <mergeCell ref="BE328:BF328"/>
    <mergeCell ref="BG328:BH328"/>
    <mergeCell ref="AU325:AV325"/>
    <mergeCell ref="AW325:AX325"/>
    <mergeCell ref="AU322:AV322"/>
    <mergeCell ref="AW322:AX322"/>
    <mergeCell ref="AG322:AH322"/>
    <mergeCell ref="AI322:AJ322"/>
    <mergeCell ref="AK322:AL322"/>
    <mergeCell ref="AM322:AN322"/>
    <mergeCell ref="AO322:AP322"/>
    <mergeCell ref="AQ322:AR322"/>
    <mergeCell ref="AS322:AT322"/>
    <mergeCell ref="S323:T323"/>
    <mergeCell ref="U323:V323"/>
    <mergeCell ref="W323:X323"/>
    <mergeCell ref="Y323:Z323"/>
    <mergeCell ref="AA323:AB323"/>
    <mergeCell ref="AC323:AD323"/>
    <mergeCell ref="AE323:AF323"/>
    <mergeCell ref="AG323:AH323"/>
    <mergeCell ref="AI323:AJ323"/>
    <mergeCell ref="AK323:AL323"/>
    <mergeCell ref="AM323:AN323"/>
    <mergeCell ref="AO323:AP323"/>
    <mergeCell ref="AQ323:AR323"/>
    <mergeCell ref="AS323:AT323"/>
    <mergeCell ref="BI323:BJ323"/>
    <mergeCell ref="BK323:BL323"/>
    <mergeCell ref="BM323:BN323"/>
    <mergeCell ref="BO323:BP323"/>
    <mergeCell ref="AU323:AV323"/>
    <mergeCell ref="AW323:AX323"/>
    <mergeCell ref="AY323:AZ323"/>
    <mergeCell ref="BA323:BB323"/>
    <mergeCell ref="BC323:BD323"/>
    <mergeCell ref="BE323:BF323"/>
    <mergeCell ref="BG323:BH323"/>
    <mergeCell ref="BM320:BN320"/>
    <mergeCell ref="BO320:BP320"/>
    <mergeCell ref="AY320:AZ320"/>
    <mergeCell ref="BA320:BB320"/>
    <mergeCell ref="BC320:BD320"/>
    <mergeCell ref="BE320:BF320"/>
    <mergeCell ref="BG320:BH320"/>
    <mergeCell ref="BI320:BJ320"/>
    <mergeCell ref="BK320:BL320"/>
    <mergeCell ref="S319:T319"/>
    <mergeCell ref="U319:V319"/>
    <mergeCell ref="W319:X319"/>
    <mergeCell ref="Y319:Z319"/>
    <mergeCell ref="AA319:AB319"/>
    <mergeCell ref="AC319:AD319"/>
    <mergeCell ref="AE319:AF319"/>
    <mergeCell ref="AG319:AH319"/>
    <mergeCell ref="AI319:AJ319"/>
    <mergeCell ref="AK319:AL319"/>
    <mergeCell ref="AM319:AN319"/>
    <mergeCell ref="AO319:AP319"/>
    <mergeCell ref="AQ319:AR319"/>
    <mergeCell ref="AS319:AT319"/>
    <mergeCell ref="BI319:BJ319"/>
    <mergeCell ref="BK319:BL319"/>
    <mergeCell ref="BM319:BN319"/>
    <mergeCell ref="BO319:BP319"/>
    <mergeCell ref="E319:F319"/>
    <mergeCell ref="G319:H319"/>
    <mergeCell ref="I319:J319"/>
    <mergeCell ref="K319:L319"/>
    <mergeCell ref="M319:N319"/>
    <mergeCell ref="O319:P319"/>
    <mergeCell ref="Q319:R319"/>
    <mergeCell ref="S320:T320"/>
    <mergeCell ref="U320:V320"/>
    <mergeCell ref="W320:X320"/>
    <mergeCell ref="Y320:Z320"/>
    <mergeCell ref="AA320:AB320"/>
    <mergeCell ref="AC320:AD320"/>
    <mergeCell ref="AE320:AF320"/>
    <mergeCell ref="AU319:AV319"/>
    <mergeCell ref="AW319:AX319"/>
    <mergeCell ref="AY319:AZ319"/>
    <mergeCell ref="BA319:BB319"/>
    <mergeCell ref="BC319:BD319"/>
    <mergeCell ref="BE319:BF319"/>
    <mergeCell ref="BG319:BH319"/>
    <mergeCell ref="E320:F320"/>
    <mergeCell ref="G320:H320"/>
    <mergeCell ref="I320:J320"/>
    <mergeCell ref="K320:L320"/>
    <mergeCell ref="M320:N320"/>
    <mergeCell ref="O320:P320"/>
    <mergeCell ref="Q320:R320"/>
    <mergeCell ref="E317:F317"/>
    <mergeCell ref="G317:H317"/>
    <mergeCell ref="I317:J317"/>
    <mergeCell ref="K317:L317"/>
    <mergeCell ref="M317:N317"/>
    <mergeCell ref="O317:P317"/>
    <mergeCell ref="Q317:R317"/>
    <mergeCell ref="S318:T318"/>
    <mergeCell ref="U318:V318"/>
    <mergeCell ref="W318:X318"/>
    <mergeCell ref="Y318:Z318"/>
    <mergeCell ref="AA318:AB318"/>
    <mergeCell ref="AC318:AD318"/>
    <mergeCell ref="AE318:AF318"/>
    <mergeCell ref="AU317:AV317"/>
    <mergeCell ref="AW317:AX317"/>
    <mergeCell ref="AY317:AZ317"/>
    <mergeCell ref="BA317:BB317"/>
    <mergeCell ref="BC317:BD317"/>
    <mergeCell ref="BE317:BF317"/>
    <mergeCell ref="BG317:BH317"/>
    <mergeCell ref="E318:F318"/>
    <mergeCell ref="G318:H318"/>
    <mergeCell ref="I318:J318"/>
    <mergeCell ref="K318:L318"/>
    <mergeCell ref="M318:N318"/>
    <mergeCell ref="O318:P318"/>
    <mergeCell ref="Q318:R318"/>
    <mergeCell ref="AU320:AV320"/>
    <mergeCell ref="AW320:AX320"/>
    <mergeCell ref="AG320:AH320"/>
    <mergeCell ref="AI320:AJ320"/>
    <mergeCell ref="AK320:AL320"/>
    <mergeCell ref="AM320:AN320"/>
    <mergeCell ref="AO320:AP320"/>
    <mergeCell ref="AQ320:AR320"/>
    <mergeCell ref="AS320:AT320"/>
    <mergeCell ref="AG318:AH318"/>
    <mergeCell ref="AI318:AJ318"/>
    <mergeCell ref="AK318:AL318"/>
    <mergeCell ref="AM318:AN318"/>
    <mergeCell ref="AO318:AP318"/>
    <mergeCell ref="AQ318:AR318"/>
    <mergeCell ref="AS318:AT318"/>
    <mergeCell ref="BM318:BN318"/>
    <mergeCell ref="BO318:BP318"/>
    <mergeCell ref="AY318:AZ318"/>
    <mergeCell ref="BA318:BB318"/>
    <mergeCell ref="BC318:BD318"/>
    <mergeCell ref="BE318:BF318"/>
    <mergeCell ref="BG318:BH318"/>
    <mergeCell ref="BI318:BJ318"/>
    <mergeCell ref="BK318:BL318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I317:AJ317"/>
    <mergeCell ref="AK317:AL317"/>
    <mergeCell ref="AM317:AN317"/>
    <mergeCell ref="AO317:AP317"/>
    <mergeCell ref="AQ317:AR317"/>
    <mergeCell ref="AS317:AT317"/>
    <mergeCell ref="BI317:BJ317"/>
    <mergeCell ref="BK317:BL317"/>
    <mergeCell ref="BM317:BN317"/>
    <mergeCell ref="BO317:BP317"/>
    <mergeCell ref="E316:F316"/>
    <mergeCell ref="G316:H316"/>
    <mergeCell ref="I316:J316"/>
    <mergeCell ref="K316:L316"/>
    <mergeCell ref="M316:N316"/>
    <mergeCell ref="O316:P316"/>
    <mergeCell ref="Q316:R316"/>
    <mergeCell ref="BM322:BN322"/>
    <mergeCell ref="BO322:BP322"/>
    <mergeCell ref="AY322:AZ322"/>
    <mergeCell ref="BA322:BB322"/>
    <mergeCell ref="BC322:BD322"/>
    <mergeCell ref="BE322:BF322"/>
    <mergeCell ref="BG322:BH322"/>
    <mergeCell ref="BI322:BJ322"/>
    <mergeCell ref="BK322:BL322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I321:AJ321"/>
    <mergeCell ref="AK321:AL321"/>
    <mergeCell ref="AM321:AN321"/>
    <mergeCell ref="AO321:AP321"/>
    <mergeCell ref="AQ321:AR321"/>
    <mergeCell ref="AS321:AT321"/>
    <mergeCell ref="BI321:BJ321"/>
    <mergeCell ref="BK321:BL321"/>
    <mergeCell ref="BM321:BN321"/>
    <mergeCell ref="BO321:BP321"/>
    <mergeCell ref="E321:F321"/>
    <mergeCell ref="G321:H321"/>
    <mergeCell ref="I321:J321"/>
    <mergeCell ref="K321:L321"/>
    <mergeCell ref="M321:N321"/>
    <mergeCell ref="O321:P321"/>
    <mergeCell ref="Q321:R321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AC322:AD322"/>
    <mergeCell ref="AE322:AF322"/>
    <mergeCell ref="AU321:AV321"/>
    <mergeCell ref="AW321:AX321"/>
    <mergeCell ref="AY321:AZ321"/>
    <mergeCell ref="BA321:BB321"/>
    <mergeCell ref="BC321:BD321"/>
    <mergeCell ref="BE321:BF321"/>
    <mergeCell ref="BG321:BH321"/>
    <mergeCell ref="AU318:AV318"/>
    <mergeCell ref="AW318:AX318"/>
    <mergeCell ref="AU315:AV315"/>
    <mergeCell ref="AW315:AX315"/>
    <mergeCell ref="AG315:AH315"/>
    <mergeCell ref="AI315:AJ315"/>
    <mergeCell ref="AK315:AL315"/>
    <mergeCell ref="AM315:AN315"/>
    <mergeCell ref="AO315:AP315"/>
    <mergeCell ref="AQ315:AR315"/>
    <mergeCell ref="AS315:AT315"/>
    <mergeCell ref="S316:T316"/>
    <mergeCell ref="U316:V316"/>
    <mergeCell ref="W316:X316"/>
    <mergeCell ref="Y316:Z316"/>
    <mergeCell ref="AA316:AB316"/>
    <mergeCell ref="AC316:AD316"/>
    <mergeCell ref="AE316:AF316"/>
    <mergeCell ref="AG316:AH316"/>
    <mergeCell ref="AI316:AJ316"/>
    <mergeCell ref="AK316:AL316"/>
    <mergeCell ref="AM316:AN316"/>
    <mergeCell ref="AO316:AP316"/>
    <mergeCell ref="AQ316:AR316"/>
    <mergeCell ref="AS316:AT316"/>
    <mergeCell ref="BI316:BJ316"/>
    <mergeCell ref="BK316:BL316"/>
    <mergeCell ref="BM316:BN316"/>
    <mergeCell ref="BO316:BP316"/>
    <mergeCell ref="AU316:AV316"/>
    <mergeCell ref="AW316:AX316"/>
    <mergeCell ref="AY316:AZ316"/>
    <mergeCell ref="BA316:BB316"/>
    <mergeCell ref="BC316:BD316"/>
    <mergeCell ref="BE316:BF316"/>
    <mergeCell ref="BG316:BH316"/>
    <mergeCell ref="BM313:BN313"/>
    <mergeCell ref="BO313:BP313"/>
    <mergeCell ref="AY313:AZ313"/>
    <mergeCell ref="BA313:BB313"/>
    <mergeCell ref="BC313:BD313"/>
    <mergeCell ref="BE313:BF313"/>
    <mergeCell ref="BG313:BH313"/>
    <mergeCell ref="BI313:BJ313"/>
    <mergeCell ref="BK313:BL313"/>
    <mergeCell ref="S312:T312"/>
    <mergeCell ref="U312:V312"/>
    <mergeCell ref="W312:X312"/>
    <mergeCell ref="Y312:Z312"/>
    <mergeCell ref="AA312:AB312"/>
    <mergeCell ref="AC312:AD312"/>
    <mergeCell ref="AE312:AF312"/>
    <mergeCell ref="AG312:AH312"/>
    <mergeCell ref="AI312:AJ312"/>
    <mergeCell ref="AK312:AL312"/>
    <mergeCell ref="AM312:AN312"/>
    <mergeCell ref="AO312:AP312"/>
    <mergeCell ref="AQ312:AR312"/>
    <mergeCell ref="AS312:AT312"/>
    <mergeCell ref="BI312:BJ312"/>
    <mergeCell ref="BK312:BL312"/>
    <mergeCell ref="BM312:BN312"/>
    <mergeCell ref="BO312:BP312"/>
    <mergeCell ref="E312:F312"/>
    <mergeCell ref="G312:H312"/>
    <mergeCell ref="I312:J312"/>
    <mergeCell ref="K312:L312"/>
    <mergeCell ref="M312:N312"/>
    <mergeCell ref="O312:P312"/>
    <mergeCell ref="Q312:R312"/>
    <mergeCell ref="S313:T313"/>
    <mergeCell ref="U313:V313"/>
    <mergeCell ref="W313:X313"/>
    <mergeCell ref="Y313:Z313"/>
    <mergeCell ref="AA313:AB313"/>
    <mergeCell ref="AC313:AD313"/>
    <mergeCell ref="AE313:AF313"/>
    <mergeCell ref="AU312:AV312"/>
    <mergeCell ref="AW312:AX312"/>
    <mergeCell ref="AY312:AZ312"/>
    <mergeCell ref="BA312:BB312"/>
    <mergeCell ref="BC312:BD312"/>
    <mergeCell ref="BE312:BF312"/>
    <mergeCell ref="BG312:BH312"/>
    <mergeCell ref="E313:F313"/>
    <mergeCell ref="G313:H313"/>
    <mergeCell ref="I313:J313"/>
    <mergeCell ref="K313:L313"/>
    <mergeCell ref="M313:N313"/>
    <mergeCell ref="O313:P313"/>
    <mergeCell ref="Q313:R313"/>
    <mergeCell ref="E310:F310"/>
    <mergeCell ref="G310:H310"/>
    <mergeCell ref="I310:J310"/>
    <mergeCell ref="K310:L310"/>
    <mergeCell ref="M310:N310"/>
    <mergeCell ref="O310:P310"/>
    <mergeCell ref="Q310:R310"/>
    <mergeCell ref="S311:T311"/>
    <mergeCell ref="U311:V311"/>
    <mergeCell ref="W311:X311"/>
    <mergeCell ref="Y311:Z311"/>
    <mergeCell ref="AA311:AB311"/>
    <mergeCell ref="AC311:AD311"/>
    <mergeCell ref="AE311:AF311"/>
    <mergeCell ref="AU310:AV310"/>
    <mergeCell ref="AW310:AX310"/>
    <mergeCell ref="AY310:AZ310"/>
    <mergeCell ref="BA310:BB310"/>
    <mergeCell ref="BC310:BD310"/>
    <mergeCell ref="BE310:BF310"/>
    <mergeCell ref="BG310:BH310"/>
    <mergeCell ref="E311:F311"/>
    <mergeCell ref="G311:H311"/>
    <mergeCell ref="I311:J311"/>
    <mergeCell ref="K311:L311"/>
    <mergeCell ref="M311:N311"/>
    <mergeCell ref="O311:P311"/>
    <mergeCell ref="Q311:R311"/>
    <mergeCell ref="AU313:AV313"/>
    <mergeCell ref="AW313:AX313"/>
    <mergeCell ref="AG313:AH313"/>
    <mergeCell ref="AI313:AJ313"/>
    <mergeCell ref="AK313:AL313"/>
    <mergeCell ref="AM313:AN313"/>
    <mergeCell ref="AO313:AP313"/>
    <mergeCell ref="AQ313:AR313"/>
    <mergeCell ref="AS313:AT313"/>
    <mergeCell ref="AG311:AH311"/>
    <mergeCell ref="AI311:AJ311"/>
    <mergeCell ref="AK311:AL311"/>
    <mergeCell ref="AM311:AN311"/>
    <mergeCell ref="AO311:AP311"/>
    <mergeCell ref="AQ311:AR311"/>
    <mergeCell ref="AS311:AT311"/>
    <mergeCell ref="BM311:BN311"/>
    <mergeCell ref="BO311:BP311"/>
    <mergeCell ref="AY311:AZ311"/>
    <mergeCell ref="BA311:BB311"/>
    <mergeCell ref="BC311:BD311"/>
    <mergeCell ref="BE311:BF311"/>
    <mergeCell ref="BG311:BH311"/>
    <mergeCell ref="BI311:BJ311"/>
    <mergeCell ref="BK311:BL311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I310:AJ310"/>
    <mergeCell ref="AK310:AL310"/>
    <mergeCell ref="AM310:AN310"/>
    <mergeCell ref="AO310:AP310"/>
    <mergeCell ref="AQ310:AR310"/>
    <mergeCell ref="AS310:AT310"/>
    <mergeCell ref="BI310:BJ310"/>
    <mergeCell ref="BK310:BL310"/>
    <mergeCell ref="BM310:BN310"/>
    <mergeCell ref="BO310:BP310"/>
    <mergeCell ref="E309:F309"/>
    <mergeCell ref="G309:H309"/>
    <mergeCell ref="I309:J309"/>
    <mergeCell ref="K309:L309"/>
    <mergeCell ref="M309:N309"/>
    <mergeCell ref="O309:P309"/>
    <mergeCell ref="Q309:R309"/>
    <mergeCell ref="BM315:BN315"/>
    <mergeCell ref="BO315:BP315"/>
    <mergeCell ref="AY315:AZ315"/>
    <mergeCell ref="BA315:BB315"/>
    <mergeCell ref="BC315:BD315"/>
    <mergeCell ref="BE315:BF315"/>
    <mergeCell ref="BG315:BH315"/>
    <mergeCell ref="BI315:BJ315"/>
    <mergeCell ref="BK315:BL315"/>
    <mergeCell ref="S314:T314"/>
    <mergeCell ref="U314:V314"/>
    <mergeCell ref="W314:X314"/>
    <mergeCell ref="Y314:Z314"/>
    <mergeCell ref="AA314:AB314"/>
    <mergeCell ref="AC314:AD314"/>
    <mergeCell ref="AE314:AF314"/>
    <mergeCell ref="AG314:AH314"/>
    <mergeCell ref="AI314:AJ314"/>
    <mergeCell ref="AK314:AL314"/>
    <mergeCell ref="AM314:AN314"/>
    <mergeCell ref="AO314:AP314"/>
    <mergeCell ref="AQ314:AR314"/>
    <mergeCell ref="AS314:AT314"/>
    <mergeCell ref="BI314:BJ314"/>
    <mergeCell ref="BK314:BL314"/>
    <mergeCell ref="BM314:BN314"/>
    <mergeCell ref="BO314:BP314"/>
    <mergeCell ref="E314:F314"/>
    <mergeCell ref="G314:H314"/>
    <mergeCell ref="I314:J314"/>
    <mergeCell ref="K314:L314"/>
    <mergeCell ref="M314:N314"/>
    <mergeCell ref="O314:P314"/>
    <mergeCell ref="Q314:R314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Z315"/>
    <mergeCell ref="AA315:AB315"/>
    <mergeCell ref="AC315:AD315"/>
    <mergeCell ref="AE315:AF315"/>
    <mergeCell ref="AU314:AV314"/>
    <mergeCell ref="AW314:AX314"/>
    <mergeCell ref="AY314:AZ314"/>
    <mergeCell ref="BA314:BB314"/>
    <mergeCell ref="BC314:BD314"/>
    <mergeCell ref="BE314:BF314"/>
    <mergeCell ref="BG314:BH314"/>
    <mergeCell ref="AU311:AV311"/>
    <mergeCell ref="AW311:AX311"/>
    <mergeCell ref="AU308:AV308"/>
    <mergeCell ref="AW308:AX308"/>
    <mergeCell ref="AG308:AH308"/>
    <mergeCell ref="AI308:AJ308"/>
    <mergeCell ref="AK308:AL308"/>
    <mergeCell ref="AM308:AN308"/>
    <mergeCell ref="AO308:AP308"/>
    <mergeCell ref="AQ308:AR308"/>
    <mergeCell ref="AS308:AT308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I309:AJ309"/>
    <mergeCell ref="AK309:AL309"/>
    <mergeCell ref="AM309:AN309"/>
    <mergeCell ref="AO309:AP309"/>
    <mergeCell ref="AQ309:AR309"/>
    <mergeCell ref="AS309:AT309"/>
    <mergeCell ref="BI309:BJ309"/>
    <mergeCell ref="BK309:BL309"/>
    <mergeCell ref="BM309:BN309"/>
    <mergeCell ref="BO309:BP309"/>
    <mergeCell ref="AU309:AV309"/>
    <mergeCell ref="AW309:AX309"/>
    <mergeCell ref="AY309:AZ309"/>
    <mergeCell ref="BA309:BB309"/>
    <mergeCell ref="BC309:BD309"/>
    <mergeCell ref="BE309:BF309"/>
    <mergeCell ref="BG309:BH309"/>
    <mergeCell ref="BM306:BN306"/>
    <mergeCell ref="BO306:BP306"/>
    <mergeCell ref="AY306:AZ306"/>
    <mergeCell ref="BA306:BB306"/>
    <mergeCell ref="BC306:BD306"/>
    <mergeCell ref="BE306:BF306"/>
    <mergeCell ref="BG306:BH306"/>
    <mergeCell ref="BI306:BJ306"/>
    <mergeCell ref="BK306:BL306"/>
    <mergeCell ref="S305:T305"/>
    <mergeCell ref="U305:V305"/>
    <mergeCell ref="W305:X305"/>
    <mergeCell ref="Y305:Z305"/>
    <mergeCell ref="AA305:AB305"/>
    <mergeCell ref="AC305:AD305"/>
    <mergeCell ref="AE305:AF305"/>
    <mergeCell ref="AG305:AH305"/>
    <mergeCell ref="AI305:AJ305"/>
    <mergeCell ref="AK305:AL305"/>
    <mergeCell ref="AM305:AN305"/>
    <mergeCell ref="AO305:AP305"/>
    <mergeCell ref="AQ305:AR305"/>
    <mergeCell ref="AS305:AT305"/>
    <mergeCell ref="BI305:BJ305"/>
    <mergeCell ref="BK305:BL305"/>
    <mergeCell ref="BM305:BN305"/>
    <mergeCell ref="BO305:BP305"/>
    <mergeCell ref="E305:F305"/>
    <mergeCell ref="G305:H305"/>
    <mergeCell ref="I305:J305"/>
    <mergeCell ref="K305:L305"/>
    <mergeCell ref="M305:N305"/>
    <mergeCell ref="O305:P305"/>
    <mergeCell ref="Q305:R305"/>
    <mergeCell ref="S306:T306"/>
    <mergeCell ref="U306:V306"/>
    <mergeCell ref="W306:X306"/>
    <mergeCell ref="Y306:Z306"/>
    <mergeCell ref="AA306:AB306"/>
    <mergeCell ref="AC306:AD306"/>
    <mergeCell ref="AE306:AF306"/>
    <mergeCell ref="AU305:AV305"/>
    <mergeCell ref="AW305:AX305"/>
    <mergeCell ref="AY305:AZ305"/>
    <mergeCell ref="BA305:BB305"/>
    <mergeCell ref="BC305:BD305"/>
    <mergeCell ref="BE305:BF305"/>
    <mergeCell ref="BG305:BH305"/>
    <mergeCell ref="E306:F306"/>
    <mergeCell ref="G306:H306"/>
    <mergeCell ref="I306:J306"/>
    <mergeCell ref="K306:L306"/>
    <mergeCell ref="M306:N306"/>
    <mergeCell ref="O306:P306"/>
    <mergeCell ref="Q306:R306"/>
    <mergeCell ref="E303:F303"/>
    <mergeCell ref="G303:H303"/>
    <mergeCell ref="I303:J303"/>
    <mergeCell ref="K303:L303"/>
    <mergeCell ref="M303:N303"/>
    <mergeCell ref="O303:P303"/>
    <mergeCell ref="Q303:R303"/>
    <mergeCell ref="S304:T304"/>
    <mergeCell ref="U304:V304"/>
    <mergeCell ref="W304:X304"/>
    <mergeCell ref="Y304:Z304"/>
    <mergeCell ref="AA304:AB304"/>
    <mergeCell ref="AC304:AD304"/>
    <mergeCell ref="AE304:AF304"/>
    <mergeCell ref="AU303:AV303"/>
    <mergeCell ref="AW303:AX303"/>
    <mergeCell ref="AY303:AZ303"/>
    <mergeCell ref="BA303:BB303"/>
    <mergeCell ref="BC303:BD303"/>
    <mergeCell ref="BE303:BF303"/>
    <mergeCell ref="BG303:BH303"/>
    <mergeCell ref="E304:F304"/>
    <mergeCell ref="G304:H304"/>
    <mergeCell ref="I304:J304"/>
    <mergeCell ref="K304:L304"/>
    <mergeCell ref="M304:N304"/>
    <mergeCell ref="O304:P304"/>
    <mergeCell ref="Q304:R304"/>
    <mergeCell ref="AU306:AV306"/>
    <mergeCell ref="AW306:AX306"/>
    <mergeCell ref="AG306:AH306"/>
    <mergeCell ref="AI306:AJ306"/>
    <mergeCell ref="AK306:AL306"/>
    <mergeCell ref="AM306:AN306"/>
    <mergeCell ref="AO306:AP306"/>
    <mergeCell ref="AQ306:AR306"/>
    <mergeCell ref="AS306:AT306"/>
    <mergeCell ref="AG304:AH304"/>
    <mergeCell ref="AI304:AJ304"/>
    <mergeCell ref="AK304:AL304"/>
    <mergeCell ref="AM304:AN304"/>
    <mergeCell ref="AO304:AP304"/>
    <mergeCell ref="AQ304:AR304"/>
    <mergeCell ref="AS304:AT304"/>
    <mergeCell ref="BM304:BN304"/>
    <mergeCell ref="BO304:BP304"/>
    <mergeCell ref="AY304:AZ304"/>
    <mergeCell ref="BA304:BB304"/>
    <mergeCell ref="BC304:BD304"/>
    <mergeCell ref="BE304:BF304"/>
    <mergeCell ref="BG304:BH304"/>
    <mergeCell ref="BI304:BJ304"/>
    <mergeCell ref="BK304:BL304"/>
    <mergeCell ref="S303:T303"/>
    <mergeCell ref="U303:V303"/>
    <mergeCell ref="W303:X303"/>
    <mergeCell ref="Y303:Z303"/>
    <mergeCell ref="AA303:AB303"/>
    <mergeCell ref="AC303:AD303"/>
    <mergeCell ref="AE303:AF303"/>
    <mergeCell ref="AG303:AH303"/>
    <mergeCell ref="AI303:AJ303"/>
    <mergeCell ref="AK303:AL303"/>
    <mergeCell ref="AM303:AN303"/>
    <mergeCell ref="AO303:AP303"/>
    <mergeCell ref="AQ303:AR303"/>
    <mergeCell ref="AS303:AT303"/>
    <mergeCell ref="BI303:BJ303"/>
    <mergeCell ref="BK303:BL303"/>
    <mergeCell ref="BM303:BN303"/>
    <mergeCell ref="BO303:BP303"/>
    <mergeCell ref="E302:F302"/>
    <mergeCell ref="G302:H302"/>
    <mergeCell ref="I302:J302"/>
    <mergeCell ref="K302:L302"/>
    <mergeCell ref="M302:N302"/>
    <mergeCell ref="O302:P302"/>
    <mergeCell ref="Q302:R302"/>
    <mergeCell ref="BM308:BN308"/>
    <mergeCell ref="BO308:BP308"/>
    <mergeCell ref="AY308:AZ308"/>
    <mergeCell ref="BA308:BB308"/>
    <mergeCell ref="BC308:BD308"/>
    <mergeCell ref="BE308:BF308"/>
    <mergeCell ref="BG308:BH308"/>
    <mergeCell ref="BI308:BJ308"/>
    <mergeCell ref="BK308:BL308"/>
    <mergeCell ref="S307:T307"/>
    <mergeCell ref="U307:V307"/>
    <mergeCell ref="W307:X307"/>
    <mergeCell ref="Y307:Z307"/>
    <mergeCell ref="AA307:AB307"/>
    <mergeCell ref="AC307:AD307"/>
    <mergeCell ref="AE307:AF307"/>
    <mergeCell ref="AG307:AH307"/>
    <mergeCell ref="AI307:AJ307"/>
    <mergeCell ref="AK307:AL307"/>
    <mergeCell ref="AM307:AN307"/>
    <mergeCell ref="AO307:AP307"/>
    <mergeCell ref="AQ307:AR307"/>
    <mergeCell ref="AS307:AT307"/>
    <mergeCell ref="BI307:BJ307"/>
    <mergeCell ref="BK307:BL307"/>
    <mergeCell ref="BM307:BN307"/>
    <mergeCell ref="BO307:BP307"/>
    <mergeCell ref="E307:F307"/>
    <mergeCell ref="G307:H307"/>
    <mergeCell ref="I307:J307"/>
    <mergeCell ref="K307:L307"/>
    <mergeCell ref="M307:N307"/>
    <mergeCell ref="O307:P307"/>
    <mergeCell ref="Q307:R307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U307:AV307"/>
    <mergeCell ref="AW307:AX307"/>
    <mergeCell ref="AY307:AZ307"/>
    <mergeCell ref="BA307:BB307"/>
    <mergeCell ref="BC307:BD307"/>
    <mergeCell ref="BE307:BF307"/>
    <mergeCell ref="BG307:BH307"/>
    <mergeCell ref="AU304:AV304"/>
    <mergeCell ref="AW304:AX304"/>
    <mergeCell ref="AU301:AV301"/>
    <mergeCell ref="AW301:AX301"/>
    <mergeCell ref="AG301:AH301"/>
    <mergeCell ref="AI301:AJ301"/>
    <mergeCell ref="AK301:AL301"/>
    <mergeCell ref="AM301:AN301"/>
    <mergeCell ref="AO301:AP301"/>
    <mergeCell ref="AQ301:AR301"/>
    <mergeCell ref="AS301:AT301"/>
    <mergeCell ref="S302:T302"/>
    <mergeCell ref="U302:V302"/>
    <mergeCell ref="W302:X302"/>
    <mergeCell ref="Y302:Z302"/>
    <mergeCell ref="AA302:AB302"/>
    <mergeCell ref="AC302:AD302"/>
    <mergeCell ref="AE302:AF302"/>
    <mergeCell ref="AG302:AH302"/>
    <mergeCell ref="AI302:AJ302"/>
    <mergeCell ref="AK302:AL302"/>
    <mergeCell ref="AM302:AN302"/>
    <mergeCell ref="AO302:AP302"/>
    <mergeCell ref="AQ302:AR302"/>
    <mergeCell ref="AS302:AT302"/>
    <mergeCell ref="BI302:BJ302"/>
    <mergeCell ref="BK302:BL302"/>
    <mergeCell ref="BM302:BN302"/>
    <mergeCell ref="BO302:BP302"/>
    <mergeCell ref="AU302:AV302"/>
    <mergeCell ref="AW302:AX302"/>
    <mergeCell ref="AY302:AZ302"/>
    <mergeCell ref="BA302:BB302"/>
    <mergeCell ref="BC302:BD302"/>
    <mergeCell ref="BE302:BF302"/>
    <mergeCell ref="BG302:BH302"/>
    <mergeCell ref="BM299:BN299"/>
    <mergeCell ref="BO299:BP299"/>
    <mergeCell ref="AY299:AZ299"/>
    <mergeCell ref="BA299:BB299"/>
    <mergeCell ref="BC299:BD299"/>
    <mergeCell ref="BE299:BF299"/>
    <mergeCell ref="BG299:BH299"/>
    <mergeCell ref="BI299:BJ299"/>
    <mergeCell ref="BK299:BL299"/>
    <mergeCell ref="S298:T298"/>
    <mergeCell ref="U298:V298"/>
    <mergeCell ref="W298:X298"/>
    <mergeCell ref="Y298:Z298"/>
    <mergeCell ref="AA298:AB298"/>
    <mergeCell ref="AC298:AD298"/>
    <mergeCell ref="AE298:AF298"/>
    <mergeCell ref="AG298:AH298"/>
    <mergeCell ref="AI298:AJ298"/>
    <mergeCell ref="AK298:AL298"/>
    <mergeCell ref="AM298:AN298"/>
    <mergeCell ref="AO298:AP298"/>
    <mergeCell ref="AQ298:AR298"/>
    <mergeCell ref="AS298:AT298"/>
    <mergeCell ref="BI298:BJ298"/>
    <mergeCell ref="BK298:BL298"/>
    <mergeCell ref="BM298:BN298"/>
    <mergeCell ref="BO298:BP298"/>
    <mergeCell ref="E298:F298"/>
    <mergeCell ref="G298:H298"/>
    <mergeCell ref="I298:J298"/>
    <mergeCell ref="K298:L298"/>
    <mergeCell ref="M298:N298"/>
    <mergeCell ref="O298:P298"/>
    <mergeCell ref="Q298:R298"/>
    <mergeCell ref="S299:T299"/>
    <mergeCell ref="U299:V299"/>
    <mergeCell ref="W299:X299"/>
    <mergeCell ref="Y299:Z299"/>
    <mergeCell ref="AA299:AB299"/>
    <mergeCell ref="AC299:AD299"/>
    <mergeCell ref="AE299:AF299"/>
    <mergeCell ref="AU298:AV298"/>
    <mergeCell ref="AW298:AX298"/>
    <mergeCell ref="AY298:AZ298"/>
    <mergeCell ref="BA298:BB298"/>
    <mergeCell ref="BC298:BD298"/>
    <mergeCell ref="BE298:BF298"/>
    <mergeCell ref="BG298:BH298"/>
    <mergeCell ref="E299:F299"/>
    <mergeCell ref="G299:H299"/>
    <mergeCell ref="I299:J299"/>
    <mergeCell ref="K299:L299"/>
    <mergeCell ref="M299:N299"/>
    <mergeCell ref="O299:P299"/>
    <mergeCell ref="Q299:R299"/>
    <mergeCell ref="E296:F296"/>
    <mergeCell ref="G296:H296"/>
    <mergeCell ref="I296:J296"/>
    <mergeCell ref="K296:L296"/>
    <mergeCell ref="M296:N296"/>
    <mergeCell ref="O296:P296"/>
    <mergeCell ref="Q296:R296"/>
    <mergeCell ref="S297:T297"/>
    <mergeCell ref="U297:V297"/>
    <mergeCell ref="W297:X297"/>
    <mergeCell ref="Y297:Z297"/>
    <mergeCell ref="AA297:AB297"/>
    <mergeCell ref="AC297:AD297"/>
    <mergeCell ref="AE297:AF297"/>
    <mergeCell ref="AU296:AV296"/>
    <mergeCell ref="AW296:AX296"/>
    <mergeCell ref="AY296:AZ296"/>
    <mergeCell ref="BA296:BB296"/>
    <mergeCell ref="BC296:BD296"/>
    <mergeCell ref="BE296:BF296"/>
    <mergeCell ref="BG296:BH296"/>
    <mergeCell ref="E297:F297"/>
    <mergeCell ref="G297:H297"/>
    <mergeCell ref="I297:J297"/>
    <mergeCell ref="K297:L297"/>
    <mergeCell ref="M297:N297"/>
    <mergeCell ref="O297:P297"/>
    <mergeCell ref="Q297:R297"/>
    <mergeCell ref="AU299:AV299"/>
    <mergeCell ref="AW299:AX299"/>
    <mergeCell ref="AG299:AH299"/>
    <mergeCell ref="AI299:AJ299"/>
    <mergeCell ref="AK299:AL299"/>
    <mergeCell ref="AM299:AN299"/>
    <mergeCell ref="AO299:AP299"/>
    <mergeCell ref="AQ299:AR299"/>
    <mergeCell ref="AS299:AT299"/>
    <mergeCell ref="AG297:AH297"/>
    <mergeCell ref="AI297:AJ297"/>
    <mergeCell ref="AK297:AL297"/>
    <mergeCell ref="AM297:AN297"/>
    <mergeCell ref="AO297:AP297"/>
    <mergeCell ref="AQ297:AR297"/>
    <mergeCell ref="AS297:AT297"/>
    <mergeCell ref="BM297:BN297"/>
    <mergeCell ref="BO297:BP297"/>
    <mergeCell ref="AY297:AZ297"/>
    <mergeCell ref="BA297:BB297"/>
    <mergeCell ref="BC297:BD297"/>
    <mergeCell ref="BE297:BF297"/>
    <mergeCell ref="BG297:BH297"/>
    <mergeCell ref="BI297:BJ297"/>
    <mergeCell ref="BK297:BL297"/>
    <mergeCell ref="S296:T296"/>
    <mergeCell ref="U296:V296"/>
    <mergeCell ref="W296:X296"/>
    <mergeCell ref="Y296:Z296"/>
    <mergeCell ref="AA296:AB296"/>
    <mergeCell ref="AC296:AD296"/>
    <mergeCell ref="AE296:AF296"/>
    <mergeCell ref="AG296:AH296"/>
    <mergeCell ref="AI296:AJ296"/>
    <mergeCell ref="AK296:AL296"/>
    <mergeCell ref="AM296:AN296"/>
    <mergeCell ref="AO296:AP296"/>
    <mergeCell ref="AQ296:AR296"/>
    <mergeCell ref="AS296:AT296"/>
    <mergeCell ref="BI296:BJ296"/>
    <mergeCell ref="BK296:BL296"/>
    <mergeCell ref="BM296:BN296"/>
    <mergeCell ref="BO296:BP296"/>
    <mergeCell ref="E295:F295"/>
    <mergeCell ref="G295:H295"/>
    <mergeCell ref="I295:J295"/>
    <mergeCell ref="K295:L295"/>
    <mergeCell ref="M295:N295"/>
    <mergeCell ref="O295:P295"/>
    <mergeCell ref="Q295:R295"/>
    <mergeCell ref="BM301:BN301"/>
    <mergeCell ref="BO301:BP301"/>
    <mergeCell ref="AY301:AZ301"/>
    <mergeCell ref="BA301:BB301"/>
    <mergeCell ref="BC301:BD301"/>
    <mergeCell ref="BE301:BF301"/>
    <mergeCell ref="BG301:BH301"/>
    <mergeCell ref="BI301:BJ301"/>
    <mergeCell ref="BK301:BL301"/>
    <mergeCell ref="S300:T300"/>
    <mergeCell ref="U300:V300"/>
    <mergeCell ref="W300:X300"/>
    <mergeCell ref="Y300:Z300"/>
    <mergeCell ref="AA300:AB300"/>
    <mergeCell ref="AC300:AD300"/>
    <mergeCell ref="AE300:AF300"/>
    <mergeCell ref="AG300:AH300"/>
    <mergeCell ref="AI300:AJ300"/>
    <mergeCell ref="AK300:AL300"/>
    <mergeCell ref="AM300:AN300"/>
    <mergeCell ref="AO300:AP300"/>
    <mergeCell ref="AQ300:AR300"/>
    <mergeCell ref="AS300:AT300"/>
    <mergeCell ref="BI300:BJ300"/>
    <mergeCell ref="BK300:BL300"/>
    <mergeCell ref="BM300:BN300"/>
    <mergeCell ref="BO300:BP300"/>
    <mergeCell ref="E300:F300"/>
    <mergeCell ref="G300:H300"/>
    <mergeCell ref="I300:J300"/>
    <mergeCell ref="K300:L300"/>
    <mergeCell ref="M300:N300"/>
    <mergeCell ref="O300:P300"/>
    <mergeCell ref="Q300:R300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U300:AV300"/>
    <mergeCell ref="AW300:AX300"/>
    <mergeCell ref="AY300:AZ300"/>
    <mergeCell ref="BA300:BB300"/>
    <mergeCell ref="BC300:BD300"/>
    <mergeCell ref="BE300:BF300"/>
    <mergeCell ref="BG300:BH300"/>
    <mergeCell ref="AU297:AV297"/>
    <mergeCell ref="AW297:AX297"/>
    <mergeCell ref="AU294:AV294"/>
    <mergeCell ref="AW294:AX294"/>
    <mergeCell ref="AG294:AH294"/>
    <mergeCell ref="AI294:AJ294"/>
    <mergeCell ref="AK294:AL294"/>
    <mergeCell ref="AM294:AN294"/>
    <mergeCell ref="AO294:AP294"/>
    <mergeCell ref="AQ294:AR294"/>
    <mergeCell ref="AS294:AT294"/>
    <mergeCell ref="S295:T295"/>
    <mergeCell ref="U295:V295"/>
    <mergeCell ref="W295:X295"/>
    <mergeCell ref="Y295:Z295"/>
    <mergeCell ref="AA295:AB295"/>
    <mergeCell ref="AC295:AD295"/>
    <mergeCell ref="AE295:AF295"/>
    <mergeCell ref="AG295:AH295"/>
    <mergeCell ref="AI295:AJ295"/>
    <mergeCell ref="AK295:AL295"/>
    <mergeCell ref="AM295:AN295"/>
    <mergeCell ref="AO295:AP295"/>
    <mergeCell ref="AQ295:AR295"/>
    <mergeCell ref="AS295:AT295"/>
    <mergeCell ref="BI295:BJ295"/>
    <mergeCell ref="BK295:BL295"/>
    <mergeCell ref="BM295:BN295"/>
    <mergeCell ref="BO295:BP295"/>
    <mergeCell ref="AU295:AV295"/>
    <mergeCell ref="AW295:AX295"/>
    <mergeCell ref="AY295:AZ295"/>
    <mergeCell ref="BA295:BB295"/>
    <mergeCell ref="BC295:BD295"/>
    <mergeCell ref="BE295:BF295"/>
    <mergeCell ref="BG295:BH295"/>
    <mergeCell ref="BM292:BN292"/>
    <mergeCell ref="BO292:BP292"/>
    <mergeCell ref="AY292:AZ292"/>
    <mergeCell ref="BA292:BB292"/>
    <mergeCell ref="BC292:BD292"/>
    <mergeCell ref="BE292:BF292"/>
    <mergeCell ref="BG292:BH292"/>
    <mergeCell ref="BI292:BJ292"/>
    <mergeCell ref="BK292:BL292"/>
    <mergeCell ref="S291:T291"/>
    <mergeCell ref="U291:V291"/>
    <mergeCell ref="W291:X291"/>
    <mergeCell ref="Y291:Z291"/>
    <mergeCell ref="AA291:AB291"/>
    <mergeCell ref="AC291:AD291"/>
    <mergeCell ref="AE291:AF291"/>
    <mergeCell ref="AG291:AH291"/>
    <mergeCell ref="AI291:AJ291"/>
    <mergeCell ref="AK291:AL291"/>
    <mergeCell ref="AM291:AN291"/>
    <mergeCell ref="AO291:AP291"/>
    <mergeCell ref="AQ291:AR291"/>
    <mergeCell ref="AS291:AT291"/>
    <mergeCell ref="BI291:BJ291"/>
    <mergeCell ref="BK291:BL291"/>
    <mergeCell ref="BM291:BN291"/>
    <mergeCell ref="BO291:BP291"/>
    <mergeCell ref="E291:F291"/>
    <mergeCell ref="G291:H291"/>
    <mergeCell ref="I291:J291"/>
    <mergeCell ref="K291:L291"/>
    <mergeCell ref="M291:N291"/>
    <mergeCell ref="O291:P291"/>
    <mergeCell ref="Q291:R291"/>
    <mergeCell ref="S292:T292"/>
    <mergeCell ref="U292:V292"/>
    <mergeCell ref="W292:X292"/>
    <mergeCell ref="Y292:Z292"/>
    <mergeCell ref="AA292:AB292"/>
    <mergeCell ref="AC292:AD292"/>
    <mergeCell ref="AE292:AF292"/>
    <mergeCell ref="AU291:AV291"/>
    <mergeCell ref="AW291:AX291"/>
    <mergeCell ref="AY291:AZ291"/>
    <mergeCell ref="BA291:BB291"/>
    <mergeCell ref="BC291:BD291"/>
    <mergeCell ref="BE291:BF291"/>
    <mergeCell ref="BG291:BH291"/>
    <mergeCell ref="E292:F292"/>
    <mergeCell ref="G292:H292"/>
    <mergeCell ref="I292:J292"/>
    <mergeCell ref="K292:L292"/>
    <mergeCell ref="M292:N292"/>
    <mergeCell ref="O292:P292"/>
    <mergeCell ref="Q292:R292"/>
    <mergeCell ref="E289:F289"/>
    <mergeCell ref="G289:H289"/>
    <mergeCell ref="I289:J289"/>
    <mergeCell ref="K289:L289"/>
    <mergeCell ref="M289:N289"/>
    <mergeCell ref="O289:P289"/>
    <mergeCell ref="Q289:R289"/>
    <mergeCell ref="S290:T290"/>
    <mergeCell ref="U290:V290"/>
    <mergeCell ref="W290:X290"/>
    <mergeCell ref="Y290:Z290"/>
    <mergeCell ref="AA290:AB290"/>
    <mergeCell ref="AC290:AD290"/>
    <mergeCell ref="AE290:AF290"/>
    <mergeCell ref="AU289:AV289"/>
    <mergeCell ref="AW289:AX289"/>
    <mergeCell ref="AY289:AZ289"/>
    <mergeCell ref="BA289:BB289"/>
    <mergeCell ref="BC289:BD289"/>
    <mergeCell ref="BE289:BF289"/>
    <mergeCell ref="BG289:BH289"/>
    <mergeCell ref="E290:F290"/>
    <mergeCell ref="G290:H290"/>
    <mergeCell ref="I290:J290"/>
    <mergeCell ref="K290:L290"/>
    <mergeCell ref="M290:N290"/>
    <mergeCell ref="O290:P290"/>
    <mergeCell ref="Q290:R290"/>
    <mergeCell ref="AU292:AV292"/>
    <mergeCell ref="AW292:AX292"/>
    <mergeCell ref="AG292:AH292"/>
    <mergeCell ref="AI292:AJ292"/>
    <mergeCell ref="AK292:AL292"/>
    <mergeCell ref="AM292:AN292"/>
    <mergeCell ref="AO292:AP292"/>
    <mergeCell ref="AQ292:AR292"/>
    <mergeCell ref="AS292:AT292"/>
    <mergeCell ref="AG290:AH290"/>
    <mergeCell ref="AI290:AJ290"/>
    <mergeCell ref="AK290:AL290"/>
    <mergeCell ref="AM290:AN290"/>
    <mergeCell ref="AO290:AP290"/>
    <mergeCell ref="AQ290:AR290"/>
    <mergeCell ref="AS290:AT290"/>
    <mergeCell ref="BM290:BN290"/>
    <mergeCell ref="BO290:BP290"/>
    <mergeCell ref="AY290:AZ290"/>
    <mergeCell ref="BA290:BB290"/>
    <mergeCell ref="BC290:BD290"/>
    <mergeCell ref="BE290:BF290"/>
    <mergeCell ref="BG290:BH290"/>
    <mergeCell ref="BI290:BJ290"/>
    <mergeCell ref="BK290:BL290"/>
    <mergeCell ref="S289:T289"/>
    <mergeCell ref="U289:V289"/>
    <mergeCell ref="W289:X289"/>
    <mergeCell ref="Y289:Z289"/>
    <mergeCell ref="AA289:AB289"/>
    <mergeCell ref="AC289:AD289"/>
    <mergeCell ref="AE289:AF289"/>
    <mergeCell ref="AG289:AH289"/>
    <mergeCell ref="AI289:AJ289"/>
    <mergeCell ref="AK289:AL289"/>
    <mergeCell ref="AM289:AN289"/>
    <mergeCell ref="AO289:AP289"/>
    <mergeCell ref="AQ289:AR289"/>
    <mergeCell ref="AS289:AT289"/>
    <mergeCell ref="BI289:BJ289"/>
    <mergeCell ref="BK289:BL289"/>
    <mergeCell ref="BM289:BN289"/>
    <mergeCell ref="BO289:BP289"/>
    <mergeCell ref="E288:F288"/>
    <mergeCell ref="G288:H288"/>
    <mergeCell ref="I288:J288"/>
    <mergeCell ref="K288:L288"/>
    <mergeCell ref="M288:N288"/>
    <mergeCell ref="O288:P288"/>
    <mergeCell ref="Q288:R288"/>
    <mergeCell ref="BM294:BN294"/>
    <mergeCell ref="BO294:BP294"/>
    <mergeCell ref="AY294:AZ294"/>
    <mergeCell ref="BA294:BB294"/>
    <mergeCell ref="BC294:BD294"/>
    <mergeCell ref="BE294:BF294"/>
    <mergeCell ref="BG294:BH294"/>
    <mergeCell ref="BI294:BJ294"/>
    <mergeCell ref="BK294:BL294"/>
    <mergeCell ref="S293:T293"/>
    <mergeCell ref="U293:V293"/>
    <mergeCell ref="W293:X293"/>
    <mergeCell ref="Y293:Z293"/>
    <mergeCell ref="AA293:AB293"/>
    <mergeCell ref="AC293:AD293"/>
    <mergeCell ref="AE293:AF293"/>
    <mergeCell ref="AG293:AH293"/>
    <mergeCell ref="AI293:AJ293"/>
    <mergeCell ref="AK293:AL293"/>
    <mergeCell ref="AM293:AN293"/>
    <mergeCell ref="AO293:AP293"/>
    <mergeCell ref="AQ293:AR293"/>
    <mergeCell ref="AS293:AT293"/>
    <mergeCell ref="BI293:BJ293"/>
    <mergeCell ref="BK293:BL293"/>
    <mergeCell ref="BM293:BN293"/>
    <mergeCell ref="BO293:BP293"/>
    <mergeCell ref="E293:F293"/>
    <mergeCell ref="G293:H293"/>
    <mergeCell ref="I293:J293"/>
    <mergeCell ref="K293:L293"/>
    <mergeCell ref="M293:N293"/>
    <mergeCell ref="O293:P293"/>
    <mergeCell ref="Q293:R293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Z294"/>
    <mergeCell ref="AA294:AB294"/>
    <mergeCell ref="AC294:AD294"/>
    <mergeCell ref="AE294:AF294"/>
    <mergeCell ref="AU293:AV293"/>
    <mergeCell ref="AW293:AX293"/>
    <mergeCell ref="AY293:AZ293"/>
    <mergeCell ref="BA293:BB293"/>
    <mergeCell ref="BC293:BD293"/>
    <mergeCell ref="BE293:BF293"/>
    <mergeCell ref="BG293:BH293"/>
    <mergeCell ref="AU290:AV290"/>
    <mergeCell ref="AW290:AX290"/>
    <mergeCell ref="AU287:AV287"/>
    <mergeCell ref="AW287:AX287"/>
    <mergeCell ref="AG287:AH287"/>
    <mergeCell ref="AI287:AJ287"/>
    <mergeCell ref="AK287:AL287"/>
    <mergeCell ref="AM287:AN287"/>
    <mergeCell ref="AO287:AP287"/>
    <mergeCell ref="AQ287:AR287"/>
    <mergeCell ref="AS287:AT287"/>
    <mergeCell ref="S288:T288"/>
    <mergeCell ref="U288:V288"/>
    <mergeCell ref="W288:X288"/>
    <mergeCell ref="Y288:Z288"/>
    <mergeCell ref="AA288:AB288"/>
    <mergeCell ref="AC288:AD288"/>
    <mergeCell ref="AE288:AF288"/>
    <mergeCell ref="AG288:AH288"/>
    <mergeCell ref="AI288:AJ288"/>
    <mergeCell ref="AK288:AL288"/>
    <mergeCell ref="AM288:AN288"/>
    <mergeCell ref="AO288:AP288"/>
    <mergeCell ref="AQ288:AR288"/>
    <mergeCell ref="AS288:AT288"/>
    <mergeCell ref="BI288:BJ288"/>
    <mergeCell ref="BK288:BL288"/>
    <mergeCell ref="BM288:BN288"/>
    <mergeCell ref="BO288:BP288"/>
    <mergeCell ref="AU288:AV288"/>
    <mergeCell ref="AW288:AX288"/>
    <mergeCell ref="AY288:AZ288"/>
    <mergeCell ref="BA288:BB288"/>
    <mergeCell ref="BC288:BD288"/>
    <mergeCell ref="BE288:BF288"/>
    <mergeCell ref="BG288:BH288"/>
    <mergeCell ref="BM285:BN285"/>
    <mergeCell ref="BO285:BP285"/>
    <mergeCell ref="AY285:AZ285"/>
    <mergeCell ref="BA285:BB285"/>
    <mergeCell ref="BC285:BD285"/>
    <mergeCell ref="BE285:BF285"/>
    <mergeCell ref="BG285:BH285"/>
    <mergeCell ref="BI285:BJ285"/>
    <mergeCell ref="BK285:BL285"/>
    <mergeCell ref="S284:T284"/>
    <mergeCell ref="U284:V284"/>
    <mergeCell ref="W284:X284"/>
    <mergeCell ref="Y284:Z284"/>
    <mergeCell ref="AA284:AB284"/>
    <mergeCell ref="AC284:AD284"/>
    <mergeCell ref="AE284:AF284"/>
    <mergeCell ref="AG284:AH284"/>
    <mergeCell ref="AI284:AJ284"/>
    <mergeCell ref="AK284:AL284"/>
    <mergeCell ref="AM284:AN284"/>
    <mergeCell ref="AO284:AP284"/>
    <mergeCell ref="AQ284:AR284"/>
    <mergeCell ref="AS284:AT284"/>
    <mergeCell ref="BI284:BJ284"/>
    <mergeCell ref="BK284:BL284"/>
    <mergeCell ref="BM284:BN284"/>
    <mergeCell ref="BO284:BP284"/>
    <mergeCell ref="E284:F284"/>
    <mergeCell ref="G284:H284"/>
    <mergeCell ref="I284:J284"/>
    <mergeCell ref="K284:L284"/>
    <mergeCell ref="M284:N284"/>
    <mergeCell ref="O284:P284"/>
    <mergeCell ref="Q284:R284"/>
    <mergeCell ref="S285:T285"/>
    <mergeCell ref="U285:V285"/>
    <mergeCell ref="W285:X285"/>
    <mergeCell ref="Y285:Z285"/>
    <mergeCell ref="AA285:AB285"/>
    <mergeCell ref="AC285:AD285"/>
    <mergeCell ref="AE285:AF285"/>
    <mergeCell ref="AU284:AV284"/>
    <mergeCell ref="AW284:AX284"/>
    <mergeCell ref="AY284:AZ284"/>
    <mergeCell ref="BA284:BB284"/>
    <mergeCell ref="BC284:BD284"/>
    <mergeCell ref="BE284:BF284"/>
    <mergeCell ref="BG284:BH284"/>
    <mergeCell ref="E285:F285"/>
    <mergeCell ref="G285:H285"/>
    <mergeCell ref="I285:J285"/>
    <mergeCell ref="K285:L285"/>
    <mergeCell ref="M285:N285"/>
    <mergeCell ref="O285:P285"/>
    <mergeCell ref="Q285:R285"/>
    <mergeCell ref="E282:F282"/>
    <mergeCell ref="G282:H282"/>
    <mergeCell ref="I282:J282"/>
    <mergeCell ref="K282:L282"/>
    <mergeCell ref="M282:N282"/>
    <mergeCell ref="O282:P282"/>
    <mergeCell ref="Q282:R282"/>
    <mergeCell ref="S283:T283"/>
    <mergeCell ref="U283:V283"/>
    <mergeCell ref="W283:X283"/>
    <mergeCell ref="Y283:Z283"/>
    <mergeCell ref="AA283:AB283"/>
    <mergeCell ref="AC283:AD283"/>
    <mergeCell ref="AE283:AF283"/>
    <mergeCell ref="AU282:AV282"/>
    <mergeCell ref="AW282:AX282"/>
    <mergeCell ref="AY282:AZ282"/>
    <mergeCell ref="BA282:BB282"/>
    <mergeCell ref="BC282:BD282"/>
    <mergeCell ref="BE282:BF282"/>
    <mergeCell ref="BG282:BH282"/>
    <mergeCell ref="E283:F283"/>
    <mergeCell ref="G283:H283"/>
    <mergeCell ref="I283:J283"/>
    <mergeCell ref="K283:L283"/>
    <mergeCell ref="M283:N283"/>
    <mergeCell ref="O283:P283"/>
    <mergeCell ref="Q283:R283"/>
    <mergeCell ref="AU285:AV285"/>
    <mergeCell ref="AW285:AX285"/>
    <mergeCell ref="AG285:AH285"/>
    <mergeCell ref="AI285:AJ285"/>
    <mergeCell ref="AK285:AL285"/>
    <mergeCell ref="AM285:AN285"/>
    <mergeCell ref="AO285:AP285"/>
    <mergeCell ref="AQ285:AR285"/>
    <mergeCell ref="AS285:AT285"/>
    <mergeCell ref="AG283:AH283"/>
    <mergeCell ref="AI283:AJ283"/>
    <mergeCell ref="AK283:AL283"/>
    <mergeCell ref="AM283:AN283"/>
    <mergeCell ref="AO283:AP283"/>
    <mergeCell ref="AQ283:AR283"/>
    <mergeCell ref="AS283:AT283"/>
    <mergeCell ref="BM283:BN283"/>
    <mergeCell ref="BO283:BP283"/>
    <mergeCell ref="AY283:AZ283"/>
    <mergeCell ref="BA283:BB283"/>
    <mergeCell ref="BC283:BD283"/>
    <mergeCell ref="BE283:BF283"/>
    <mergeCell ref="BG283:BH283"/>
    <mergeCell ref="BI283:BJ283"/>
    <mergeCell ref="BK283:BL283"/>
    <mergeCell ref="S282:T282"/>
    <mergeCell ref="U282:V282"/>
    <mergeCell ref="W282:X282"/>
    <mergeCell ref="Y282:Z282"/>
    <mergeCell ref="AA282:AB282"/>
    <mergeCell ref="AC282:AD282"/>
    <mergeCell ref="AE282:AF282"/>
    <mergeCell ref="AG282:AH282"/>
    <mergeCell ref="AI282:AJ282"/>
    <mergeCell ref="AK282:AL282"/>
    <mergeCell ref="AM282:AN282"/>
    <mergeCell ref="AO282:AP282"/>
    <mergeCell ref="AQ282:AR282"/>
    <mergeCell ref="AS282:AT282"/>
    <mergeCell ref="BI282:BJ282"/>
    <mergeCell ref="BK282:BL282"/>
    <mergeCell ref="BM282:BN282"/>
    <mergeCell ref="BO282:BP282"/>
    <mergeCell ref="E281:F281"/>
    <mergeCell ref="G281:H281"/>
    <mergeCell ref="I281:J281"/>
    <mergeCell ref="K281:L281"/>
    <mergeCell ref="M281:N281"/>
    <mergeCell ref="O281:P281"/>
    <mergeCell ref="Q281:R281"/>
    <mergeCell ref="BM287:BN287"/>
    <mergeCell ref="BO287:BP287"/>
    <mergeCell ref="AY287:AZ287"/>
    <mergeCell ref="BA287:BB287"/>
    <mergeCell ref="BC287:BD287"/>
    <mergeCell ref="BE287:BF287"/>
    <mergeCell ref="BG287:BH287"/>
    <mergeCell ref="BI287:BJ287"/>
    <mergeCell ref="BK287:BL287"/>
    <mergeCell ref="S286:T286"/>
    <mergeCell ref="U286:V286"/>
    <mergeCell ref="W286:X286"/>
    <mergeCell ref="Y286:Z286"/>
    <mergeCell ref="AA286:AB286"/>
    <mergeCell ref="AC286:AD286"/>
    <mergeCell ref="AE286:AF286"/>
    <mergeCell ref="AG286:AH286"/>
    <mergeCell ref="AI286:AJ286"/>
    <mergeCell ref="AK286:AL286"/>
    <mergeCell ref="AM286:AN286"/>
    <mergeCell ref="AO286:AP286"/>
    <mergeCell ref="AQ286:AR286"/>
    <mergeCell ref="AS286:AT286"/>
    <mergeCell ref="BI286:BJ286"/>
    <mergeCell ref="BK286:BL286"/>
    <mergeCell ref="BM286:BN286"/>
    <mergeCell ref="BO286:BP286"/>
    <mergeCell ref="E286:F286"/>
    <mergeCell ref="G286:H286"/>
    <mergeCell ref="I286:J286"/>
    <mergeCell ref="K286:L286"/>
    <mergeCell ref="M286:N286"/>
    <mergeCell ref="O286:P286"/>
    <mergeCell ref="Q286:R286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Z287"/>
    <mergeCell ref="AA287:AB287"/>
    <mergeCell ref="AC287:AD287"/>
    <mergeCell ref="AE287:AF287"/>
    <mergeCell ref="AU286:AV286"/>
    <mergeCell ref="AW286:AX286"/>
    <mergeCell ref="AY286:AZ286"/>
    <mergeCell ref="BA286:BB286"/>
    <mergeCell ref="BC286:BD286"/>
    <mergeCell ref="BE286:BF286"/>
    <mergeCell ref="BG286:BH286"/>
    <mergeCell ref="AU283:AV283"/>
    <mergeCell ref="AW283:AX283"/>
    <mergeCell ref="AU280:AV280"/>
    <mergeCell ref="AW280:AX280"/>
    <mergeCell ref="AG280:AH280"/>
    <mergeCell ref="AI280:AJ280"/>
    <mergeCell ref="AK280:AL280"/>
    <mergeCell ref="AM280:AN280"/>
    <mergeCell ref="AO280:AP280"/>
    <mergeCell ref="AQ280:AR280"/>
    <mergeCell ref="AS280:AT280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I281:AJ281"/>
    <mergeCell ref="AK281:AL281"/>
    <mergeCell ref="AM281:AN281"/>
    <mergeCell ref="AO281:AP281"/>
    <mergeCell ref="AQ281:AR281"/>
    <mergeCell ref="AS281:AT281"/>
    <mergeCell ref="BI281:BJ281"/>
    <mergeCell ref="BK281:BL281"/>
    <mergeCell ref="BM281:BN281"/>
    <mergeCell ref="BO281:BP281"/>
    <mergeCell ref="AU281:AV281"/>
    <mergeCell ref="AW281:AX281"/>
    <mergeCell ref="AY281:AZ281"/>
    <mergeCell ref="BA281:BB281"/>
    <mergeCell ref="BC281:BD281"/>
    <mergeCell ref="BE281:BF281"/>
    <mergeCell ref="BG281:BH281"/>
    <mergeCell ref="BM278:BN278"/>
    <mergeCell ref="BO278:BP278"/>
    <mergeCell ref="AY278:AZ278"/>
    <mergeCell ref="BA278:BB278"/>
    <mergeCell ref="BC278:BD278"/>
    <mergeCell ref="BE278:BF278"/>
    <mergeCell ref="BG278:BH278"/>
    <mergeCell ref="BI278:BJ278"/>
    <mergeCell ref="BK278:BL278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I277:AJ277"/>
    <mergeCell ref="AK277:AL277"/>
    <mergeCell ref="AM277:AN277"/>
    <mergeCell ref="AO277:AP277"/>
    <mergeCell ref="AQ277:AR277"/>
    <mergeCell ref="AS277:AT277"/>
    <mergeCell ref="BI277:BJ277"/>
    <mergeCell ref="BK277:BL277"/>
    <mergeCell ref="BM277:BN277"/>
    <mergeCell ref="BO277:BP277"/>
    <mergeCell ref="E277:F277"/>
    <mergeCell ref="G277:H277"/>
    <mergeCell ref="I277:J277"/>
    <mergeCell ref="K277:L277"/>
    <mergeCell ref="M277:N277"/>
    <mergeCell ref="O277:P277"/>
    <mergeCell ref="Q277:R277"/>
    <mergeCell ref="S278:T278"/>
    <mergeCell ref="U278:V278"/>
    <mergeCell ref="W278:X278"/>
    <mergeCell ref="Y278:Z278"/>
    <mergeCell ref="AA278:AB278"/>
    <mergeCell ref="AC278:AD278"/>
    <mergeCell ref="AE278:AF278"/>
    <mergeCell ref="AU277:AV277"/>
    <mergeCell ref="AW277:AX277"/>
    <mergeCell ref="AY277:AZ277"/>
    <mergeCell ref="BA277:BB277"/>
    <mergeCell ref="BC277:BD277"/>
    <mergeCell ref="BE277:BF277"/>
    <mergeCell ref="BG277:BH277"/>
    <mergeCell ref="E278:F278"/>
    <mergeCell ref="G278:H278"/>
    <mergeCell ref="I278:J278"/>
    <mergeCell ref="K278:L278"/>
    <mergeCell ref="M278:N278"/>
    <mergeCell ref="O278:P278"/>
    <mergeCell ref="Q278:R278"/>
    <mergeCell ref="E275:F275"/>
    <mergeCell ref="G275:H275"/>
    <mergeCell ref="I275:J275"/>
    <mergeCell ref="K275:L275"/>
    <mergeCell ref="M275:N275"/>
    <mergeCell ref="O275:P275"/>
    <mergeCell ref="Q275:R275"/>
    <mergeCell ref="S276:T276"/>
    <mergeCell ref="U276:V276"/>
    <mergeCell ref="W276:X276"/>
    <mergeCell ref="Y276:Z276"/>
    <mergeCell ref="AA276:AB276"/>
    <mergeCell ref="AC276:AD276"/>
    <mergeCell ref="AE276:AF276"/>
    <mergeCell ref="AU275:AV275"/>
    <mergeCell ref="AW275:AX275"/>
    <mergeCell ref="AY275:AZ275"/>
    <mergeCell ref="BA275:BB275"/>
    <mergeCell ref="BC275:BD275"/>
    <mergeCell ref="BE275:BF275"/>
    <mergeCell ref="BG275:BH275"/>
    <mergeCell ref="E276:F276"/>
    <mergeCell ref="G276:H276"/>
    <mergeCell ref="I276:J276"/>
    <mergeCell ref="K276:L276"/>
    <mergeCell ref="M276:N276"/>
    <mergeCell ref="O276:P276"/>
    <mergeCell ref="Q276:R276"/>
    <mergeCell ref="AU278:AV278"/>
    <mergeCell ref="AW278:AX278"/>
    <mergeCell ref="AG278:AH278"/>
    <mergeCell ref="AI278:AJ278"/>
    <mergeCell ref="AK278:AL278"/>
    <mergeCell ref="AM278:AN278"/>
    <mergeCell ref="AO278:AP278"/>
    <mergeCell ref="AQ278:AR278"/>
    <mergeCell ref="AS278:AT278"/>
    <mergeCell ref="AG276:AH276"/>
    <mergeCell ref="AI276:AJ276"/>
    <mergeCell ref="AK276:AL276"/>
    <mergeCell ref="AM276:AN276"/>
    <mergeCell ref="AO276:AP276"/>
    <mergeCell ref="AQ276:AR276"/>
    <mergeCell ref="AS276:AT276"/>
    <mergeCell ref="BM276:BN276"/>
    <mergeCell ref="BO276:BP276"/>
    <mergeCell ref="AY276:AZ276"/>
    <mergeCell ref="BA276:BB276"/>
    <mergeCell ref="BC276:BD276"/>
    <mergeCell ref="BE276:BF276"/>
    <mergeCell ref="BG276:BH276"/>
    <mergeCell ref="BI276:BJ276"/>
    <mergeCell ref="BK276:BL276"/>
    <mergeCell ref="S275:T275"/>
    <mergeCell ref="U275:V275"/>
    <mergeCell ref="W275:X275"/>
    <mergeCell ref="Y275:Z275"/>
    <mergeCell ref="AA275:AB275"/>
    <mergeCell ref="AC275:AD275"/>
    <mergeCell ref="AE275:AF275"/>
    <mergeCell ref="AG275:AH275"/>
    <mergeCell ref="AI275:AJ275"/>
    <mergeCell ref="AK275:AL275"/>
    <mergeCell ref="AM275:AN275"/>
    <mergeCell ref="AO275:AP275"/>
    <mergeCell ref="AQ275:AR275"/>
    <mergeCell ref="AS275:AT275"/>
    <mergeCell ref="BI275:BJ275"/>
    <mergeCell ref="BK275:BL275"/>
    <mergeCell ref="BM275:BN275"/>
    <mergeCell ref="BO275:BP275"/>
    <mergeCell ref="E274:F274"/>
    <mergeCell ref="G274:H274"/>
    <mergeCell ref="I274:J274"/>
    <mergeCell ref="K274:L274"/>
    <mergeCell ref="M274:N274"/>
    <mergeCell ref="O274:P274"/>
    <mergeCell ref="Q274:R274"/>
    <mergeCell ref="BM280:BN280"/>
    <mergeCell ref="BO280:BP280"/>
    <mergeCell ref="AY280:AZ280"/>
    <mergeCell ref="BA280:BB280"/>
    <mergeCell ref="BC280:BD280"/>
    <mergeCell ref="BE280:BF280"/>
    <mergeCell ref="BG280:BH280"/>
    <mergeCell ref="BI280:BJ280"/>
    <mergeCell ref="BK280:BL280"/>
    <mergeCell ref="S279:T279"/>
    <mergeCell ref="U279:V279"/>
    <mergeCell ref="W279:X279"/>
    <mergeCell ref="Y279:Z279"/>
    <mergeCell ref="AA279:AB279"/>
    <mergeCell ref="AC279:AD279"/>
    <mergeCell ref="AE279:AF279"/>
    <mergeCell ref="AG279:AH279"/>
    <mergeCell ref="AI279:AJ279"/>
    <mergeCell ref="AK279:AL279"/>
    <mergeCell ref="AM279:AN279"/>
    <mergeCell ref="AO279:AP279"/>
    <mergeCell ref="AQ279:AR279"/>
    <mergeCell ref="AS279:AT279"/>
    <mergeCell ref="BI279:BJ279"/>
    <mergeCell ref="BK279:BL279"/>
    <mergeCell ref="BM279:BN279"/>
    <mergeCell ref="BO279:BP279"/>
    <mergeCell ref="E279:F279"/>
    <mergeCell ref="G279:H279"/>
    <mergeCell ref="I279:J279"/>
    <mergeCell ref="K279:L279"/>
    <mergeCell ref="M279:N279"/>
    <mergeCell ref="O279:P279"/>
    <mergeCell ref="Q279:R279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Z280"/>
    <mergeCell ref="AA280:AB280"/>
    <mergeCell ref="AC280:AD280"/>
    <mergeCell ref="AE280:AF280"/>
    <mergeCell ref="AU279:AV279"/>
    <mergeCell ref="AW279:AX279"/>
    <mergeCell ref="AY279:AZ279"/>
    <mergeCell ref="BA279:BB279"/>
    <mergeCell ref="BC279:BD279"/>
    <mergeCell ref="BE279:BF279"/>
    <mergeCell ref="BG279:BH279"/>
    <mergeCell ref="AU276:AV276"/>
    <mergeCell ref="AW276:AX276"/>
    <mergeCell ref="AU273:AV273"/>
    <mergeCell ref="AW273:AX273"/>
    <mergeCell ref="AG273:AH273"/>
    <mergeCell ref="AI273:AJ273"/>
    <mergeCell ref="AK273:AL273"/>
    <mergeCell ref="AM273:AN273"/>
    <mergeCell ref="AO273:AP273"/>
    <mergeCell ref="AQ273:AR273"/>
    <mergeCell ref="AS273:AT273"/>
    <mergeCell ref="S274:T274"/>
    <mergeCell ref="U274:V274"/>
    <mergeCell ref="W274:X274"/>
    <mergeCell ref="Y274:Z274"/>
    <mergeCell ref="AA274:AB274"/>
    <mergeCell ref="AC274:AD274"/>
    <mergeCell ref="AE274:AF274"/>
    <mergeCell ref="AG274:AH274"/>
    <mergeCell ref="AI274:AJ274"/>
    <mergeCell ref="AK274:AL274"/>
    <mergeCell ref="AM274:AN274"/>
    <mergeCell ref="AO274:AP274"/>
    <mergeCell ref="AQ274:AR274"/>
    <mergeCell ref="AS274:AT274"/>
    <mergeCell ref="BI274:BJ274"/>
    <mergeCell ref="BK274:BL274"/>
    <mergeCell ref="BM274:BN274"/>
    <mergeCell ref="BO274:BP274"/>
    <mergeCell ref="AU274:AV274"/>
    <mergeCell ref="AW274:AX274"/>
    <mergeCell ref="AY274:AZ274"/>
    <mergeCell ref="BA274:BB274"/>
    <mergeCell ref="BC274:BD274"/>
    <mergeCell ref="BE274:BF274"/>
    <mergeCell ref="BG274:BH274"/>
    <mergeCell ref="AE270:AF270"/>
    <mergeCell ref="AG270:AH270"/>
    <mergeCell ref="AI270:AJ270"/>
    <mergeCell ref="AK270:AL270"/>
    <mergeCell ref="AM270:AN270"/>
    <mergeCell ref="AO270:AP270"/>
    <mergeCell ref="AQ270:AR270"/>
    <mergeCell ref="AS270:AT270"/>
    <mergeCell ref="BI270:BJ270"/>
    <mergeCell ref="BK270:BL270"/>
    <mergeCell ref="BM270:BN270"/>
    <mergeCell ref="BO270:BP270"/>
    <mergeCell ref="E270:F270"/>
    <mergeCell ref="G270:H270"/>
    <mergeCell ref="I270:J270"/>
    <mergeCell ref="K270:L270"/>
    <mergeCell ref="M270:N270"/>
    <mergeCell ref="O270:P270"/>
    <mergeCell ref="Q270:R270"/>
    <mergeCell ref="S271:T271"/>
    <mergeCell ref="U271:V271"/>
    <mergeCell ref="W271:X271"/>
    <mergeCell ref="Y271:Z271"/>
    <mergeCell ref="AA271:AB271"/>
    <mergeCell ref="AC271:AD271"/>
    <mergeCell ref="AE271:AF271"/>
    <mergeCell ref="AU270:AV270"/>
    <mergeCell ref="AW270:AX270"/>
    <mergeCell ref="AY270:AZ270"/>
    <mergeCell ref="BA270:BB270"/>
    <mergeCell ref="BC270:BD270"/>
    <mergeCell ref="BE270:BF270"/>
    <mergeCell ref="BG270:BH270"/>
    <mergeCell ref="E271:F271"/>
    <mergeCell ref="G271:H271"/>
    <mergeCell ref="I271:J271"/>
    <mergeCell ref="K271:L271"/>
    <mergeCell ref="M271:N271"/>
    <mergeCell ref="O271:P271"/>
    <mergeCell ref="Q271:R271"/>
    <mergeCell ref="S268:T268"/>
    <mergeCell ref="U268:V268"/>
    <mergeCell ref="W268:X268"/>
    <mergeCell ref="Y268:Z268"/>
    <mergeCell ref="AA268:AB268"/>
    <mergeCell ref="AC268:AD268"/>
    <mergeCell ref="AE268:AF268"/>
    <mergeCell ref="AG268:AH268"/>
    <mergeCell ref="AI268:AJ268"/>
    <mergeCell ref="AK268:AL268"/>
    <mergeCell ref="AM268:AN268"/>
    <mergeCell ref="AO268:AP268"/>
    <mergeCell ref="AQ268:AR268"/>
    <mergeCell ref="AS268:AT268"/>
    <mergeCell ref="BI268:BJ268"/>
    <mergeCell ref="BK268:BL268"/>
    <mergeCell ref="BM268:BN268"/>
    <mergeCell ref="BO268:BP268"/>
    <mergeCell ref="E268:F268"/>
    <mergeCell ref="G268:H268"/>
    <mergeCell ref="I268:J268"/>
    <mergeCell ref="K268:L268"/>
    <mergeCell ref="M268:N268"/>
    <mergeCell ref="O268:P268"/>
    <mergeCell ref="Q268:R268"/>
    <mergeCell ref="S269:T269"/>
    <mergeCell ref="U269:V269"/>
    <mergeCell ref="W269:X269"/>
    <mergeCell ref="Y269:Z269"/>
    <mergeCell ref="AA269:AB269"/>
    <mergeCell ref="AC269:AD269"/>
    <mergeCell ref="AE269:AF269"/>
    <mergeCell ref="AU268:AV268"/>
    <mergeCell ref="AW268:AX268"/>
    <mergeCell ref="AY268:AZ268"/>
    <mergeCell ref="BA268:BB268"/>
    <mergeCell ref="BC268:BD268"/>
    <mergeCell ref="BE268:BF268"/>
    <mergeCell ref="BG268:BH268"/>
    <mergeCell ref="E269:F269"/>
    <mergeCell ref="G269:H269"/>
    <mergeCell ref="I269:J269"/>
    <mergeCell ref="K269:L269"/>
    <mergeCell ref="M269:N269"/>
    <mergeCell ref="O269:P269"/>
    <mergeCell ref="Q269:R269"/>
    <mergeCell ref="S272:T272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AA273:AB273"/>
    <mergeCell ref="AC273:AD273"/>
    <mergeCell ref="AE273:AF273"/>
    <mergeCell ref="AW272:AX272"/>
    <mergeCell ref="AY272:AZ272"/>
    <mergeCell ref="BA272:BB272"/>
    <mergeCell ref="BC272:BD272"/>
    <mergeCell ref="BE272:BF272"/>
    <mergeCell ref="BG272:BH272"/>
    <mergeCell ref="BI272:BJ272"/>
    <mergeCell ref="AU269:AV269"/>
    <mergeCell ref="AW269:AX269"/>
    <mergeCell ref="AG269:AH269"/>
    <mergeCell ref="AI269:AJ269"/>
    <mergeCell ref="AK269:AL269"/>
    <mergeCell ref="AM269:AN269"/>
    <mergeCell ref="AO269:AP269"/>
    <mergeCell ref="AQ269:AR269"/>
    <mergeCell ref="AS269:AT269"/>
    <mergeCell ref="BM269:BN269"/>
    <mergeCell ref="BO269:BP269"/>
    <mergeCell ref="AY269:AZ269"/>
    <mergeCell ref="BA269:BB269"/>
    <mergeCell ref="BC269:BD269"/>
    <mergeCell ref="BE269:BF269"/>
    <mergeCell ref="BG269:BH269"/>
    <mergeCell ref="BI269:BJ269"/>
    <mergeCell ref="BK269:BL269"/>
    <mergeCell ref="AU271:AV271"/>
    <mergeCell ref="AW271:AX271"/>
    <mergeCell ref="AG271:AH271"/>
    <mergeCell ref="AI271:AJ271"/>
    <mergeCell ref="AK271:AL271"/>
    <mergeCell ref="AM271:AN271"/>
    <mergeCell ref="AO271:AP271"/>
    <mergeCell ref="AQ271:AR271"/>
    <mergeCell ref="AS271:AT271"/>
    <mergeCell ref="BM271:BN271"/>
    <mergeCell ref="BO271:BP271"/>
    <mergeCell ref="AY271:AZ271"/>
    <mergeCell ref="BA271:BB271"/>
    <mergeCell ref="BC271:BD271"/>
    <mergeCell ref="BE271:BF271"/>
    <mergeCell ref="BG271:BH271"/>
    <mergeCell ref="BI271:BJ271"/>
    <mergeCell ref="BK271:BL271"/>
    <mergeCell ref="S270:T270"/>
    <mergeCell ref="U270:V270"/>
    <mergeCell ref="W270:X270"/>
    <mergeCell ref="Y270:Z270"/>
    <mergeCell ref="AA270:AB270"/>
    <mergeCell ref="AC270:AD270"/>
    <mergeCell ref="S267:T267"/>
    <mergeCell ref="U267:V267"/>
    <mergeCell ref="W267:X267"/>
    <mergeCell ref="Y267:Z267"/>
    <mergeCell ref="AA267:AB267"/>
    <mergeCell ref="AC267:AD267"/>
    <mergeCell ref="AE267:AF267"/>
    <mergeCell ref="AG267:AH267"/>
    <mergeCell ref="AI267:AJ267"/>
    <mergeCell ref="AK267:AL267"/>
    <mergeCell ref="AM267:AN267"/>
    <mergeCell ref="AO267:AP267"/>
    <mergeCell ref="AQ267:AR267"/>
    <mergeCell ref="AS267:AT267"/>
    <mergeCell ref="BI267:BJ267"/>
    <mergeCell ref="BK267:BL267"/>
    <mergeCell ref="BM267:BN267"/>
    <mergeCell ref="BO267:BP267"/>
    <mergeCell ref="AU267:AV267"/>
    <mergeCell ref="AW267:AX267"/>
    <mergeCell ref="AY267:AZ267"/>
    <mergeCell ref="BA267:BB267"/>
    <mergeCell ref="BC267:BD267"/>
    <mergeCell ref="BE267:BF267"/>
    <mergeCell ref="BG267:BH267"/>
    <mergeCell ref="E267:F267"/>
    <mergeCell ref="G267:H267"/>
    <mergeCell ref="I267:J267"/>
    <mergeCell ref="K267:L267"/>
    <mergeCell ref="M267:N267"/>
    <mergeCell ref="O267:P267"/>
    <mergeCell ref="Q267:R267"/>
    <mergeCell ref="BM273:BN273"/>
    <mergeCell ref="BO273:BP273"/>
    <mergeCell ref="AY273:AZ273"/>
    <mergeCell ref="BA273:BB273"/>
    <mergeCell ref="BC273:BD273"/>
    <mergeCell ref="BE273:BF273"/>
    <mergeCell ref="BG273:BH273"/>
    <mergeCell ref="BI273:BJ273"/>
    <mergeCell ref="BK273:BL273"/>
    <mergeCell ref="U272:V272"/>
    <mergeCell ref="W272:X272"/>
    <mergeCell ref="Y272:Z272"/>
    <mergeCell ref="AA272:AB272"/>
    <mergeCell ref="AC272:AD272"/>
    <mergeCell ref="AE272:AF272"/>
    <mergeCell ref="AG272:AH272"/>
    <mergeCell ref="AI272:AJ272"/>
    <mergeCell ref="AK272:AL272"/>
    <mergeCell ref="AM272:AN272"/>
    <mergeCell ref="AO272:AP272"/>
    <mergeCell ref="AQ272:AR272"/>
    <mergeCell ref="AS272:AT272"/>
    <mergeCell ref="AU272:AV272"/>
    <mergeCell ref="BK272:BL272"/>
    <mergeCell ref="BM272:BN272"/>
    <mergeCell ref="BO272:BP272"/>
    <mergeCell ref="E272:F272"/>
    <mergeCell ref="G272:H272"/>
    <mergeCell ref="I272:J272"/>
    <mergeCell ref="K272:L272"/>
    <mergeCell ref="O272:P272"/>
    <mergeCell ref="Q272:R272"/>
    <mergeCell ref="BO264:BP264"/>
    <mergeCell ref="AY264:AZ264"/>
    <mergeCell ref="BA264:BB264"/>
    <mergeCell ref="BC264:BD264"/>
    <mergeCell ref="BE264:BF264"/>
    <mergeCell ref="BG264:BH264"/>
    <mergeCell ref="BI264:BJ264"/>
    <mergeCell ref="BK264:BL264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I263:AJ263"/>
    <mergeCell ref="AK263:AL263"/>
    <mergeCell ref="AM263:AN263"/>
    <mergeCell ref="AO263:AP263"/>
    <mergeCell ref="AQ263:AR263"/>
    <mergeCell ref="AS263:AT263"/>
    <mergeCell ref="BI263:BJ263"/>
    <mergeCell ref="BK263:BL263"/>
    <mergeCell ref="BM263:BN263"/>
    <mergeCell ref="BO263:BP263"/>
    <mergeCell ref="E263:F263"/>
    <mergeCell ref="G263:H263"/>
    <mergeCell ref="I263:J263"/>
    <mergeCell ref="K263:L263"/>
    <mergeCell ref="M263:N263"/>
    <mergeCell ref="O263:P263"/>
    <mergeCell ref="Q263:R263"/>
    <mergeCell ref="S264:T264"/>
    <mergeCell ref="U264:V264"/>
    <mergeCell ref="W264:X264"/>
    <mergeCell ref="Y264:Z264"/>
    <mergeCell ref="AA264:AB264"/>
    <mergeCell ref="AC264:AD264"/>
    <mergeCell ref="AE264:AF264"/>
    <mergeCell ref="AU263:AV263"/>
    <mergeCell ref="AW263:AX263"/>
    <mergeCell ref="AY263:AZ263"/>
    <mergeCell ref="BA263:BB263"/>
    <mergeCell ref="BC263:BD263"/>
    <mergeCell ref="BE263:BF263"/>
    <mergeCell ref="BG263:BH263"/>
    <mergeCell ref="E264:F264"/>
    <mergeCell ref="G264:H264"/>
    <mergeCell ref="I264:J264"/>
    <mergeCell ref="K264:L264"/>
    <mergeCell ref="M264:N264"/>
    <mergeCell ref="O264:P264"/>
    <mergeCell ref="Q264:R264"/>
    <mergeCell ref="BO262:BP262"/>
    <mergeCell ref="AY262:AZ262"/>
    <mergeCell ref="BA262:BB262"/>
    <mergeCell ref="BC262:BD262"/>
    <mergeCell ref="BE262:BF262"/>
    <mergeCell ref="BG262:BH262"/>
    <mergeCell ref="BI262:BJ262"/>
    <mergeCell ref="BK262:BL262"/>
    <mergeCell ref="S261:T261"/>
    <mergeCell ref="U261:V261"/>
    <mergeCell ref="W261:X261"/>
    <mergeCell ref="Y261:Z261"/>
    <mergeCell ref="AA261:AB261"/>
    <mergeCell ref="AC261:AD261"/>
    <mergeCell ref="AE261:AF261"/>
    <mergeCell ref="AG261:AH261"/>
    <mergeCell ref="AI261:AJ261"/>
    <mergeCell ref="AK261:AL261"/>
    <mergeCell ref="AM261:AN261"/>
    <mergeCell ref="AO261:AP261"/>
    <mergeCell ref="AQ261:AR261"/>
    <mergeCell ref="AS261:AT261"/>
    <mergeCell ref="BI261:BJ261"/>
    <mergeCell ref="BK261:BL261"/>
    <mergeCell ref="BM261:BN261"/>
    <mergeCell ref="BO261:BP261"/>
    <mergeCell ref="E261:F261"/>
    <mergeCell ref="G261:H261"/>
    <mergeCell ref="I261:J261"/>
    <mergeCell ref="K261:L261"/>
    <mergeCell ref="M261:N261"/>
    <mergeCell ref="O261:P261"/>
    <mergeCell ref="Q261:R261"/>
    <mergeCell ref="S262:T262"/>
    <mergeCell ref="U262:V262"/>
    <mergeCell ref="W262:X262"/>
    <mergeCell ref="Y262:Z262"/>
    <mergeCell ref="AA262:AB262"/>
    <mergeCell ref="AC262:AD262"/>
    <mergeCell ref="AE262:AF262"/>
    <mergeCell ref="AU261:AV261"/>
    <mergeCell ref="AW261:AX261"/>
    <mergeCell ref="AY261:AZ261"/>
    <mergeCell ref="BA261:BB261"/>
    <mergeCell ref="BC261:BD261"/>
    <mergeCell ref="BE261:BF261"/>
    <mergeCell ref="BG261:BH261"/>
    <mergeCell ref="E262:F262"/>
    <mergeCell ref="G262:H262"/>
    <mergeCell ref="I262:J262"/>
    <mergeCell ref="K262:L262"/>
    <mergeCell ref="M262:N262"/>
    <mergeCell ref="O262:P262"/>
    <mergeCell ref="Q262:R262"/>
    <mergeCell ref="O265:P265"/>
    <mergeCell ref="Q265:R265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Z266"/>
    <mergeCell ref="AA266:AB266"/>
    <mergeCell ref="AC266:AD266"/>
    <mergeCell ref="AE266:AF266"/>
    <mergeCell ref="AU265:AV265"/>
    <mergeCell ref="AW265:AX265"/>
    <mergeCell ref="AY265:AZ265"/>
    <mergeCell ref="BA265:BB265"/>
    <mergeCell ref="BC265:BD265"/>
    <mergeCell ref="BE265:BF265"/>
    <mergeCell ref="BG265:BH265"/>
    <mergeCell ref="AU262:AV262"/>
    <mergeCell ref="AW262:AX262"/>
    <mergeCell ref="AG262:AH262"/>
    <mergeCell ref="AI262:AJ262"/>
    <mergeCell ref="AK262:AL262"/>
    <mergeCell ref="AM262:AN262"/>
    <mergeCell ref="AO262:AP262"/>
    <mergeCell ref="AQ262:AR262"/>
    <mergeCell ref="AS262:AT262"/>
    <mergeCell ref="BM262:BN262"/>
    <mergeCell ref="AU264:AV264"/>
    <mergeCell ref="AW264:AX264"/>
    <mergeCell ref="AG264:AH264"/>
    <mergeCell ref="AI264:AJ264"/>
    <mergeCell ref="AK264:AL264"/>
    <mergeCell ref="AM264:AN264"/>
    <mergeCell ref="AO264:AP264"/>
    <mergeCell ref="AQ264:AR264"/>
    <mergeCell ref="AS264:AT264"/>
    <mergeCell ref="BM264:BN264"/>
    <mergeCell ref="AU266:AV266"/>
    <mergeCell ref="AW266:AX266"/>
    <mergeCell ref="AG266:AH266"/>
    <mergeCell ref="AI266:AJ266"/>
    <mergeCell ref="AK266:AL266"/>
    <mergeCell ref="AM266:AN266"/>
    <mergeCell ref="AO266:AP266"/>
    <mergeCell ref="AQ266:AR266"/>
    <mergeCell ref="AS266:AT266"/>
    <mergeCell ref="S260:T260"/>
    <mergeCell ref="U260:V260"/>
    <mergeCell ref="W260:X260"/>
    <mergeCell ref="Y260:Z260"/>
    <mergeCell ref="AA260:AB260"/>
    <mergeCell ref="AC260:AD260"/>
    <mergeCell ref="AE260:AF260"/>
    <mergeCell ref="AG260:AH260"/>
    <mergeCell ref="AI260:AJ260"/>
    <mergeCell ref="AK260:AL260"/>
    <mergeCell ref="AM260:AN260"/>
    <mergeCell ref="AO260:AP260"/>
    <mergeCell ref="AQ260:AR260"/>
    <mergeCell ref="AS260:AT260"/>
    <mergeCell ref="BI260:BJ260"/>
    <mergeCell ref="BK260:BL260"/>
    <mergeCell ref="BM260:BN260"/>
    <mergeCell ref="BO260:BP260"/>
    <mergeCell ref="AU260:AV260"/>
    <mergeCell ref="AW260:AX260"/>
    <mergeCell ref="AY260:AZ260"/>
    <mergeCell ref="BA260:BB260"/>
    <mergeCell ref="BC260:BD260"/>
    <mergeCell ref="BE260:BF260"/>
    <mergeCell ref="BG260:BH260"/>
    <mergeCell ref="E260:F260"/>
    <mergeCell ref="G260:H260"/>
    <mergeCell ref="I260:J260"/>
    <mergeCell ref="K260:L260"/>
    <mergeCell ref="M260:N260"/>
    <mergeCell ref="O260:P260"/>
    <mergeCell ref="Q260:R260"/>
    <mergeCell ref="BM266:BN266"/>
    <mergeCell ref="BO266:BP266"/>
    <mergeCell ref="AY266:AZ266"/>
    <mergeCell ref="BA266:BB266"/>
    <mergeCell ref="BC266:BD266"/>
    <mergeCell ref="BE266:BF266"/>
    <mergeCell ref="BG266:BH266"/>
    <mergeCell ref="BI266:BJ266"/>
    <mergeCell ref="BK266:BL266"/>
    <mergeCell ref="S265:T265"/>
    <mergeCell ref="U265:V265"/>
    <mergeCell ref="W265:X265"/>
    <mergeCell ref="Y265:Z265"/>
    <mergeCell ref="AA265:AB265"/>
    <mergeCell ref="AC265:AD265"/>
    <mergeCell ref="AE265:AF265"/>
    <mergeCell ref="AG265:AH265"/>
    <mergeCell ref="AI265:AJ265"/>
    <mergeCell ref="AK265:AL265"/>
    <mergeCell ref="AM265:AN265"/>
    <mergeCell ref="AO265:AP265"/>
    <mergeCell ref="AQ265:AR265"/>
    <mergeCell ref="AS265:AT265"/>
    <mergeCell ref="BI265:BJ265"/>
    <mergeCell ref="BK265:BL265"/>
    <mergeCell ref="BM265:BN265"/>
    <mergeCell ref="BO265:BP265"/>
    <mergeCell ref="E265:F265"/>
    <mergeCell ref="G265:H265"/>
    <mergeCell ref="I265:J265"/>
    <mergeCell ref="K265:L265"/>
    <mergeCell ref="M265:N265"/>
    <mergeCell ref="BO257:BP257"/>
    <mergeCell ref="AY257:AZ257"/>
    <mergeCell ref="BA257:BB257"/>
    <mergeCell ref="BC257:BD257"/>
    <mergeCell ref="BE257:BF257"/>
    <mergeCell ref="BG257:BH257"/>
    <mergeCell ref="BI257:BJ257"/>
    <mergeCell ref="BK257:BL257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I256:AJ256"/>
    <mergeCell ref="AK256:AL256"/>
    <mergeCell ref="AM256:AN256"/>
    <mergeCell ref="AO256:AP256"/>
    <mergeCell ref="AQ256:AR256"/>
    <mergeCell ref="AS256:AT256"/>
    <mergeCell ref="BK256:BL256"/>
    <mergeCell ref="BM256:BN256"/>
    <mergeCell ref="BO256:BP256"/>
    <mergeCell ref="E256:F256"/>
    <mergeCell ref="G256:H256"/>
    <mergeCell ref="I256:J256"/>
    <mergeCell ref="K256:L256"/>
    <mergeCell ref="M256:N256"/>
    <mergeCell ref="O256:P256"/>
    <mergeCell ref="Q256:R256"/>
    <mergeCell ref="S257:T257"/>
    <mergeCell ref="U257:V257"/>
    <mergeCell ref="W257:X257"/>
    <mergeCell ref="Y257:Z257"/>
    <mergeCell ref="AA257:AB257"/>
    <mergeCell ref="AC257:AD257"/>
    <mergeCell ref="AE257:AF257"/>
    <mergeCell ref="AW256:AX256"/>
    <mergeCell ref="AY256:AZ256"/>
    <mergeCell ref="BA256:BB256"/>
    <mergeCell ref="BC256:BD256"/>
    <mergeCell ref="BE256:BF256"/>
    <mergeCell ref="BG256:BH256"/>
    <mergeCell ref="BI256:BJ256"/>
    <mergeCell ref="E257:F257"/>
    <mergeCell ref="G257:H257"/>
    <mergeCell ref="I257:J257"/>
    <mergeCell ref="K257:L257"/>
    <mergeCell ref="M257:N257"/>
    <mergeCell ref="O257:P257"/>
    <mergeCell ref="Q257:R257"/>
    <mergeCell ref="BO255:BP255"/>
    <mergeCell ref="AY255:AZ255"/>
    <mergeCell ref="BA255:BB255"/>
    <mergeCell ref="BC255:BD255"/>
    <mergeCell ref="BE255:BF255"/>
    <mergeCell ref="BG255:BH255"/>
    <mergeCell ref="BI255:BJ255"/>
    <mergeCell ref="BK255:BL255"/>
    <mergeCell ref="S254:T254"/>
    <mergeCell ref="U254:V254"/>
    <mergeCell ref="W254:X254"/>
    <mergeCell ref="Y254:Z254"/>
    <mergeCell ref="AA254:AB254"/>
    <mergeCell ref="AC254:AD254"/>
    <mergeCell ref="AE254:AF254"/>
    <mergeCell ref="AG254:AH254"/>
    <mergeCell ref="AI254:AJ254"/>
    <mergeCell ref="AK254:AL254"/>
    <mergeCell ref="AM254:AN254"/>
    <mergeCell ref="AO254:AP254"/>
    <mergeCell ref="AQ254:AR254"/>
    <mergeCell ref="AS254:AT254"/>
    <mergeCell ref="BI254:BJ254"/>
    <mergeCell ref="BK254:BL254"/>
    <mergeCell ref="BM254:BN254"/>
    <mergeCell ref="BO254:BP254"/>
    <mergeCell ref="E254:F254"/>
    <mergeCell ref="G254:H254"/>
    <mergeCell ref="I254:J254"/>
    <mergeCell ref="K254:L254"/>
    <mergeCell ref="M254:N254"/>
    <mergeCell ref="O254:P254"/>
    <mergeCell ref="Q254:R254"/>
    <mergeCell ref="S255:T255"/>
    <mergeCell ref="U255:V255"/>
    <mergeCell ref="W255:X255"/>
    <mergeCell ref="Y255:Z255"/>
    <mergeCell ref="AA255:AB255"/>
    <mergeCell ref="AC255:AD255"/>
    <mergeCell ref="AE255:AF255"/>
    <mergeCell ref="AU254:AV254"/>
    <mergeCell ref="AW254:AX254"/>
    <mergeCell ref="AY254:AZ254"/>
    <mergeCell ref="BA254:BB254"/>
    <mergeCell ref="BC254:BD254"/>
    <mergeCell ref="BE254:BF254"/>
    <mergeCell ref="BG254:BH254"/>
    <mergeCell ref="E255:F255"/>
    <mergeCell ref="G255:H255"/>
    <mergeCell ref="I255:J255"/>
    <mergeCell ref="K255:L255"/>
    <mergeCell ref="M255:N255"/>
    <mergeCell ref="O255:P255"/>
    <mergeCell ref="Q255:R255"/>
    <mergeCell ref="O258:P258"/>
    <mergeCell ref="Q258:R258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U258:AV258"/>
    <mergeCell ref="AW258:AX258"/>
    <mergeCell ref="AY258:AZ258"/>
    <mergeCell ref="BA258:BB258"/>
    <mergeCell ref="BC258:BD258"/>
    <mergeCell ref="BE258:BF258"/>
    <mergeCell ref="BG258:BH258"/>
    <mergeCell ref="AU255:AV255"/>
    <mergeCell ref="AW255:AX255"/>
    <mergeCell ref="AG255:AH255"/>
    <mergeCell ref="AI255:AJ255"/>
    <mergeCell ref="AK255:AL255"/>
    <mergeCell ref="AM255:AN255"/>
    <mergeCell ref="AO255:AP255"/>
    <mergeCell ref="AQ255:AR255"/>
    <mergeCell ref="AS255:AT255"/>
    <mergeCell ref="BM255:BN255"/>
    <mergeCell ref="AU257:AV257"/>
    <mergeCell ref="AW257:AX257"/>
    <mergeCell ref="AG257:AH257"/>
    <mergeCell ref="AI257:AJ257"/>
    <mergeCell ref="AK257:AL257"/>
    <mergeCell ref="AM257:AN257"/>
    <mergeCell ref="AO257:AP257"/>
    <mergeCell ref="AQ257:AR257"/>
    <mergeCell ref="AS257:AT257"/>
    <mergeCell ref="BM257:BN257"/>
    <mergeCell ref="AU259:AV259"/>
    <mergeCell ref="AW259:AX259"/>
    <mergeCell ref="AG259:AH259"/>
    <mergeCell ref="AI259:AJ259"/>
    <mergeCell ref="AK259:AL259"/>
    <mergeCell ref="AM259:AN259"/>
    <mergeCell ref="AO259:AP259"/>
    <mergeCell ref="AQ259:AR259"/>
    <mergeCell ref="AS259:AT259"/>
    <mergeCell ref="S253:T253"/>
    <mergeCell ref="U253:V253"/>
    <mergeCell ref="W253:X253"/>
    <mergeCell ref="Y253:Z253"/>
    <mergeCell ref="AA253:AB253"/>
    <mergeCell ref="AC253:AD253"/>
    <mergeCell ref="AE253:AF253"/>
    <mergeCell ref="AG253:AH253"/>
    <mergeCell ref="AI253:AJ253"/>
    <mergeCell ref="AK253:AL253"/>
    <mergeCell ref="AM253:AN253"/>
    <mergeCell ref="AO253:AP253"/>
    <mergeCell ref="AQ253:AR253"/>
    <mergeCell ref="AS253:AT253"/>
    <mergeCell ref="BI253:BJ253"/>
    <mergeCell ref="BK253:BL253"/>
    <mergeCell ref="BM253:BN253"/>
    <mergeCell ref="BO253:BP253"/>
    <mergeCell ref="AU253:AV253"/>
    <mergeCell ref="AW253:AX253"/>
    <mergeCell ref="AY253:AZ253"/>
    <mergeCell ref="BA253:BB253"/>
    <mergeCell ref="BC253:BD253"/>
    <mergeCell ref="BE253:BF253"/>
    <mergeCell ref="BG253:BH253"/>
    <mergeCell ref="E253:F253"/>
    <mergeCell ref="G253:H253"/>
    <mergeCell ref="I253:J253"/>
    <mergeCell ref="K253:L253"/>
    <mergeCell ref="M253:N253"/>
    <mergeCell ref="O253:P253"/>
    <mergeCell ref="Q253:R253"/>
    <mergeCell ref="BM259:BN259"/>
    <mergeCell ref="BO259:BP259"/>
    <mergeCell ref="AY259:AZ259"/>
    <mergeCell ref="BA259:BB259"/>
    <mergeCell ref="BC259:BD259"/>
    <mergeCell ref="BE259:BF259"/>
    <mergeCell ref="BG259:BH259"/>
    <mergeCell ref="BI259:BJ259"/>
    <mergeCell ref="BK259:BL259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I258:AJ258"/>
    <mergeCell ref="AK258:AL258"/>
    <mergeCell ref="AM258:AN258"/>
    <mergeCell ref="AO258:AP258"/>
    <mergeCell ref="AQ258:AR258"/>
    <mergeCell ref="AS258:AT258"/>
    <mergeCell ref="BI258:BJ258"/>
    <mergeCell ref="BK258:BL258"/>
    <mergeCell ref="BM258:BN258"/>
    <mergeCell ref="BO258:BP258"/>
    <mergeCell ref="E258:F258"/>
    <mergeCell ref="G258:H258"/>
    <mergeCell ref="I258:J258"/>
    <mergeCell ref="K258:L258"/>
    <mergeCell ref="M258:N258"/>
    <mergeCell ref="BO250:BP250"/>
    <mergeCell ref="AY250:AZ250"/>
    <mergeCell ref="BA250:BB250"/>
    <mergeCell ref="BC250:BD250"/>
    <mergeCell ref="BE250:BF250"/>
    <mergeCell ref="BG250:BH250"/>
    <mergeCell ref="BI250:BJ250"/>
    <mergeCell ref="BK250:BL250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I249:AJ249"/>
    <mergeCell ref="AK249:AL249"/>
    <mergeCell ref="AM249:AN249"/>
    <mergeCell ref="AO249:AP249"/>
    <mergeCell ref="AQ249:AR249"/>
    <mergeCell ref="AS249:AT249"/>
    <mergeCell ref="BI249:BJ249"/>
    <mergeCell ref="BK249:BL249"/>
    <mergeCell ref="BM249:BN249"/>
    <mergeCell ref="BO249:BP249"/>
    <mergeCell ref="E249:F249"/>
    <mergeCell ref="G249:H249"/>
    <mergeCell ref="I249:J249"/>
    <mergeCell ref="K249:L249"/>
    <mergeCell ref="M249:N249"/>
    <mergeCell ref="O249:P249"/>
    <mergeCell ref="Q249:R249"/>
    <mergeCell ref="S250:T250"/>
    <mergeCell ref="U250:V250"/>
    <mergeCell ref="W250:X250"/>
    <mergeCell ref="Y250:Z250"/>
    <mergeCell ref="AA250:AB250"/>
    <mergeCell ref="AC250:AD250"/>
    <mergeCell ref="AE250:AF250"/>
    <mergeCell ref="AU249:AV249"/>
    <mergeCell ref="AW249:AX249"/>
    <mergeCell ref="AY249:AZ249"/>
    <mergeCell ref="BA249:BB249"/>
    <mergeCell ref="BC249:BD249"/>
    <mergeCell ref="BE249:BF249"/>
    <mergeCell ref="BG249:BH249"/>
    <mergeCell ref="E250:F250"/>
    <mergeCell ref="G250:H250"/>
    <mergeCell ref="I250:J250"/>
    <mergeCell ref="K250:L250"/>
    <mergeCell ref="M250:N250"/>
    <mergeCell ref="O250:P250"/>
    <mergeCell ref="Q250:R250"/>
    <mergeCell ref="BO248:BP248"/>
    <mergeCell ref="AY248:AZ248"/>
    <mergeCell ref="BA248:BB248"/>
    <mergeCell ref="BC248:BD248"/>
    <mergeCell ref="BE248:BF248"/>
    <mergeCell ref="BG248:BH248"/>
    <mergeCell ref="BI248:BJ248"/>
    <mergeCell ref="BK248:BL248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I247:AJ247"/>
    <mergeCell ref="AK247:AL247"/>
    <mergeCell ref="AM247:AN247"/>
    <mergeCell ref="AO247:AP247"/>
    <mergeCell ref="AQ247:AR247"/>
    <mergeCell ref="AS247:AT247"/>
    <mergeCell ref="BI247:BJ247"/>
    <mergeCell ref="BK247:BL247"/>
    <mergeCell ref="BM247:BN247"/>
    <mergeCell ref="BO247:BP247"/>
    <mergeCell ref="E247:F247"/>
    <mergeCell ref="G247:H247"/>
    <mergeCell ref="I247:J247"/>
    <mergeCell ref="K247:L247"/>
    <mergeCell ref="M247:N247"/>
    <mergeCell ref="O247:P247"/>
    <mergeCell ref="Q247:R247"/>
    <mergeCell ref="S248:T248"/>
    <mergeCell ref="U248:V248"/>
    <mergeCell ref="W248:X248"/>
    <mergeCell ref="Y248:Z248"/>
    <mergeCell ref="AA248:AB248"/>
    <mergeCell ref="AC248:AD248"/>
    <mergeCell ref="AE248:AF248"/>
    <mergeCell ref="AU247:AV247"/>
    <mergeCell ref="AW247:AX247"/>
    <mergeCell ref="AY247:AZ247"/>
    <mergeCell ref="BA247:BB247"/>
    <mergeCell ref="BC247:BD247"/>
    <mergeCell ref="BE247:BF247"/>
    <mergeCell ref="BG247:BH247"/>
    <mergeCell ref="E248:F248"/>
    <mergeCell ref="G248:H248"/>
    <mergeCell ref="I248:J248"/>
    <mergeCell ref="K248:L248"/>
    <mergeCell ref="M248:N248"/>
    <mergeCell ref="O248:P248"/>
    <mergeCell ref="Q248:R248"/>
    <mergeCell ref="O251:P251"/>
    <mergeCell ref="Q251:R251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F252"/>
    <mergeCell ref="AU251:AV251"/>
    <mergeCell ref="AW251:AX251"/>
    <mergeCell ref="AY251:AZ251"/>
    <mergeCell ref="BA251:BB251"/>
    <mergeCell ref="BC251:BD251"/>
    <mergeCell ref="BE251:BF251"/>
    <mergeCell ref="BG251:BH251"/>
    <mergeCell ref="AU248:AV248"/>
    <mergeCell ref="AW248:AX248"/>
    <mergeCell ref="AG248:AH248"/>
    <mergeCell ref="AI248:AJ248"/>
    <mergeCell ref="AK248:AL248"/>
    <mergeCell ref="AM248:AN248"/>
    <mergeCell ref="AO248:AP248"/>
    <mergeCell ref="AQ248:AR248"/>
    <mergeCell ref="AS248:AT248"/>
    <mergeCell ref="BM248:BN248"/>
    <mergeCell ref="AU250:AV250"/>
    <mergeCell ref="AW250:AX250"/>
    <mergeCell ref="AG250:AH250"/>
    <mergeCell ref="AI250:AJ250"/>
    <mergeCell ref="AK250:AL250"/>
    <mergeCell ref="AM250:AN250"/>
    <mergeCell ref="AO250:AP250"/>
    <mergeCell ref="AQ250:AR250"/>
    <mergeCell ref="AS250:AT250"/>
    <mergeCell ref="BM250:BN250"/>
    <mergeCell ref="AU252:AV252"/>
    <mergeCell ref="AW252:AX252"/>
    <mergeCell ref="AG252:AH252"/>
    <mergeCell ref="AI252:AJ252"/>
    <mergeCell ref="AK252:AL252"/>
    <mergeCell ref="AM252:AN252"/>
    <mergeCell ref="AO252:AP252"/>
    <mergeCell ref="AQ252:AR252"/>
    <mergeCell ref="AS252:AT252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I246:AJ246"/>
    <mergeCell ref="AK246:AL246"/>
    <mergeCell ref="AM246:AN246"/>
    <mergeCell ref="AO246:AP246"/>
    <mergeCell ref="AQ246:AR246"/>
    <mergeCell ref="AS246:AT246"/>
    <mergeCell ref="BI246:BJ246"/>
    <mergeCell ref="BK246:BL246"/>
    <mergeCell ref="BM246:BN246"/>
    <mergeCell ref="BO246:BP246"/>
    <mergeCell ref="AU246:AV246"/>
    <mergeCell ref="AW246:AX246"/>
    <mergeCell ref="AY246:AZ246"/>
    <mergeCell ref="BA246:BB246"/>
    <mergeCell ref="BC246:BD246"/>
    <mergeCell ref="BE246:BF246"/>
    <mergeCell ref="BG246:BH246"/>
    <mergeCell ref="E246:F246"/>
    <mergeCell ref="G246:H246"/>
    <mergeCell ref="I246:J246"/>
    <mergeCell ref="K246:L246"/>
    <mergeCell ref="M246:N246"/>
    <mergeCell ref="O246:P246"/>
    <mergeCell ref="Q246:R246"/>
    <mergeCell ref="BM252:BN252"/>
    <mergeCell ref="BO252:BP252"/>
    <mergeCell ref="AY252:AZ252"/>
    <mergeCell ref="BA252:BB252"/>
    <mergeCell ref="BC252:BD252"/>
    <mergeCell ref="BE252:BF252"/>
    <mergeCell ref="BG252:BH252"/>
    <mergeCell ref="BI252:BJ252"/>
    <mergeCell ref="BK252:BL252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I251:AJ251"/>
    <mergeCell ref="AK251:AL251"/>
    <mergeCell ref="AM251:AN251"/>
    <mergeCell ref="AO251:AP251"/>
    <mergeCell ref="AQ251:AR251"/>
    <mergeCell ref="AS251:AT251"/>
    <mergeCell ref="BI251:BJ251"/>
    <mergeCell ref="BK251:BL251"/>
    <mergeCell ref="BM251:BN251"/>
    <mergeCell ref="BO251:BP251"/>
    <mergeCell ref="E251:F251"/>
    <mergeCell ref="G251:H251"/>
    <mergeCell ref="I251:J251"/>
    <mergeCell ref="K251:L251"/>
    <mergeCell ref="M251:N251"/>
    <mergeCell ref="BO243:BP243"/>
    <mergeCell ref="AY243:AZ243"/>
    <mergeCell ref="BA243:BB243"/>
    <mergeCell ref="BC243:BD243"/>
    <mergeCell ref="BE243:BF243"/>
    <mergeCell ref="BG243:BH243"/>
    <mergeCell ref="BI243:BJ243"/>
    <mergeCell ref="BK243:BL243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I242:AJ242"/>
    <mergeCell ref="AK242:AL242"/>
    <mergeCell ref="AM242:AN242"/>
    <mergeCell ref="AO242:AP242"/>
    <mergeCell ref="AQ242:AR242"/>
    <mergeCell ref="AS242:AT242"/>
    <mergeCell ref="BI242:BJ242"/>
    <mergeCell ref="BK242:BL242"/>
    <mergeCell ref="BM242:BN242"/>
    <mergeCell ref="BO242:BP242"/>
    <mergeCell ref="E242:F242"/>
    <mergeCell ref="G242:H242"/>
    <mergeCell ref="I242:J242"/>
    <mergeCell ref="K242:L242"/>
    <mergeCell ref="M242:N242"/>
    <mergeCell ref="O242:P242"/>
    <mergeCell ref="Q242:R242"/>
    <mergeCell ref="S243:T243"/>
    <mergeCell ref="U243:V243"/>
    <mergeCell ref="W243:X243"/>
    <mergeCell ref="Y243:Z243"/>
    <mergeCell ref="AA243:AB243"/>
    <mergeCell ref="AC243:AD243"/>
    <mergeCell ref="AE243:AF243"/>
    <mergeCell ref="AU242:AV242"/>
    <mergeCell ref="AW242:AX242"/>
    <mergeCell ref="AY242:AZ242"/>
    <mergeCell ref="BA242:BB242"/>
    <mergeCell ref="BC242:BD242"/>
    <mergeCell ref="BE242:BF242"/>
    <mergeCell ref="BG242:BH242"/>
    <mergeCell ref="E243:F243"/>
    <mergeCell ref="G243:H243"/>
    <mergeCell ref="I243:J243"/>
    <mergeCell ref="K243:L243"/>
    <mergeCell ref="M243:N243"/>
    <mergeCell ref="O243:P243"/>
    <mergeCell ref="Q243:R243"/>
    <mergeCell ref="BO241:BP241"/>
    <mergeCell ref="AY241:AZ241"/>
    <mergeCell ref="BA241:BB241"/>
    <mergeCell ref="BC241:BD241"/>
    <mergeCell ref="BE241:BF241"/>
    <mergeCell ref="BG241:BH241"/>
    <mergeCell ref="BI241:BJ241"/>
    <mergeCell ref="BK241:BL241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I240:AJ240"/>
    <mergeCell ref="AK240:AL240"/>
    <mergeCell ref="AM240:AN240"/>
    <mergeCell ref="AO240:AP240"/>
    <mergeCell ref="AQ240:AR240"/>
    <mergeCell ref="AS240:AT240"/>
    <mergeCell ref="BI240:BJ240"/>
    <mergeCell ref="BK240:BL240"/>
    <mergeCell ref="BM240:BN240"/>
    <mergeCell ref="BO240:BP240"/>
    <mergeCell ref="E240:F240"/>
    <mergeCell ref="G240:H240"/>
    <mergeCell ref="I240:J240"/>
    <mergeCell ref="K240:L240"/>
    <mergeCell ref="M240:N240"/>
    <mergeCell ref="O240:P240"/>
    <mergeCell ref="Q240:R240"/>
    <mergeCell ref="S241:T241"/>
    <mergeCell ref="U241:V241"/>
    <mergeCell ref="W241:X241"/>
    <mergeCell ref="Y241:Z241"/>
    <mergeCell ref="AA241:AB241"/>
    <mergeCell ref="AC241:AD241"/>
    <mergeCell ref="AE241:AF241"/>
    <mergeCell ref="AU240:AV240"/>
    <mergeCell ref="AW240:AX240"/>
    <mergeCell ref="AY240:AZ240"/>
    <mergeCell ref="BA240:BB240"/>
    <mergeCell ref="BC240:BD240"/>
    <mergeCell ref="BE240:BF240"/>
    <mergeCell ref="BG240:BH240"/>
    <mergeCell ref="E241:F241"/>
    <mergeCell ref="G241:H241"/>
    <mergeCell ref="I241:J241"/>
    <mergeCell ref="K241:L241"/>
    <mergeCell ref="M241:N241"/>
    <mergeCell ref="O241:P241"/>
    <mergeCell ref="Q241:R241"/>
    <mergeCell ref="O244:P244"/>
    <mergeCell ref="Q244:R244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U244:AV244"/>
    <mergeCell ref="AW244:AX244"/>
    <mergeCell ref="AY244:AZ244"/>
    <mergeCell ref="BA244:BB244"/>
    <mergeCell ref="BC244:BD244"/>
    <mergeCell ref="BE244:BF244"/>
    <mergeCell ref="BG244:BH244"/>
    <mergeCell ref="AU241:AV241"/>
    <mergeCell ref="AW241:AX241"/>
    <mergeCell ref="AG241:AH241"/>
    <mergeCell ref="AI241:AJ241"/>
    <mergeCell ref="AK241:AL241"/>
    <mergeCell ref="AM241:AN241"/>
    <mergeCell ref="AO241:AP241"/>
    <mergeCell ref="AQ241:AR241"/>
    <mergeCell ref="AS241:AT241"/>
    <mergeCell ref="BM241:BN241"/>
    <mergeCell ref="AU243:AV243"/>
    <mergeCell ref="AW243:AX243"/>
    <mergeCell ref="AG243:AH243"/>
    <mergeCell ref="AI243:AJ243"/>
    <mergeCell ref="AK243:AL243"/>
    <mergeCell ref="AM243:AN243"/>
    <mergeCell ref="AO243:AP243"/>
    <mergeCell ref="AQ243:AR243"/>
    <mergeCell ref="AS243:AT243"/>
    <mergeCell ref="BM243:BN243"/>
    <mergeCell ref="AU245:AV245"/>
    <mergeCell ref="AW245:AX245"/>
    <mergeCell ref="AG245:AH245"/>
    <mergeCell ref="AI245:AJ245"/>
    <mergeCell ref="AK245:AL245"/>
    <mergeCell ref="AM245:AN245"/>
    <mergeCell ref="AO245:AP245"/>
    <mergeCell ref="AQ245:AR245"/>
    <mergeCell ref="AS245:AT245"/>
    <mergeCell ref="S239:T239"/>
    <mergeCell ref="U239:V239"/>
    <mergeCell ref="W239:X239"/>
    <mergeCell ref="Y239:Z239"/>
    <mergeCell ref="AA239:AB239"/>
    <mergeCell ref="AC239:AD239"/>
    <mergeCell ref="AE239:AF239"/>
    <mergeCell ref="AG239:AH239"/>
    <mergeCell ref="AI239:AJ239"/>
    <mergeCell ref="AK239:AL239"/>
    <mergeCell ref="AM239:AN239"/>
    <mergeCell ref="AO239:AP239"/>
    <mergeCell ref="AQ239:AR239"/>
    <mergeCell ref="AS239:AT239"/>
    <mergeCell ref="BI239:BJ239"/>
    <mergeCell ref="BK239:BL239"/>
    <mergeCell ref="BM239:BN239"/>
    <mergeCell ref="BO239:BP239"/>
    <mergeCell ref="AU239:AV239"/>
    <mergeCell ref="AW239:AX239"/>
    <mergeCell ref="AY239:AZ239"/>
    <mergeCell ref="BA239:BB239"/>
    <mergeCell ref="BC239:BD239"/>
    <mergeCell ref="BE239:BF239"/>
    <mergeCell ref="BG239:BH239"/>
    <mergeCell ref="E239:F239"/>
    <mergeCell ref="G239:H239"/>
    <mergeCell ref="I239:J239"/>
    <mergeCell ref="K239:L239"/>
    <mergeCell ref="M239:N239"/>
    <mergeCell ref="O239:P239"/>
    <mergeCell ref="Q239:R239"/>
    <mergeCell ref="BM245:BN245"/>
    <mergeCell ref="BO245:BP245"/>
    <mergeCell ref="AY245:AZ245"/>
    <mergeCell ref="BA245:BB245"/>
    <mergeCell ref="BC245:BD245"/>
    <mergeCell ref="BE245:BF245"/>
    <mergeCell ref="BG245:BH245"/>
    <mergeCell ref="BI245:BJ245"/>
    <mergeCell ref="BK245:BL245"/>
    <mergeCell ref="S244:T244"/>
    <mergeCell ref="U244:V244"/>
    <mergeCell ref="W244:X244"/>
    <mergeCell ref="Y244:Z244"/>
    <mergeCell ref="AA244:AB244"/>
    <mergeCell ref="AC244:AD244"/>
    <mergeCell ref="AE244:AF244"/>
    <mergeCell ref="AG244:AH244"/>
    <mergeCell ref="AI244:AJ244"/>
    <mergeCell ref="AK244:AL244"/>
    <mergeCell ref="AM244:AN244"/>
    <mergeCell ref="AO244:AP244"/>
    <mergeCell ref="AQ244:AR244"/>
    <mergeCell ref="AS244:AT244"/>
    <mergeCell ref="BI244:BJ244"/>
    <mergeCell ref="BK244:BL244"/>
    <mergeCell ref="BM244:BN244"/>
    <mergeCell ref="BO244:BP244"/>
    <mergeCell ref="E244:F244"/>
    <mergeCell ref="G244:H244"/>
    <mergeCell ref="I244:J244"/>
    <mergeCell ref="K244:L244"/>
    <mergeCell ref="M244:N244"/>
    <mergeCell ref="BO236:BP236"/>
    <mergeCell ref="AY236:AZ236"/>
    <mergeCell ref="BA236:BB236"/>
    <mergeCell ref="BC236:BD236"/>
    <mergeCell ref="BE236:BF236"/>
    <mergeCell ref="BG236:BH236"/>
    <mergeCell ref="BI236:BJ236"/>
    <mergeCell ref="BK236:BL236"/>
    <mergeCell ref="S235:T235"/>
    <mergeCell ref="U235:V235"/>
    <mergeCell ref="W235:X235"/>
    <mergeCell ref="Y235:Z235"/>
    <mergeCell ref="AA235:AB235"/>
    <mergeCell ref="AC235:AD235"/>
    <mergeCell ref="AE235:AF235"/>
    <mergeCell ref="AG235:AH235"/>
    <mergeCell ref="AI235:AJ235"/>
    <mergeCell ref="AK235:AL235"/>
    <mergeCell ref="AM235:AN235"/>
    <mergeCell ref="AO235:AP235"/>
    <mergeCell ref="AQ235:AR235"/>
    <mergeCell ref="AS235:AT235"/>
    <mergeCell ref="BI235:BJ235"/>
    <mergeCell ref="BK235:BL235"/>
    <mergeCell ref="BM235:BN235"/>
    <mergeCell ref="BO235:BP235"/>
    <mergeCell ref="E235:F235"/>
    <mergeCell ref="G235:H235"/>
    <mergeCell ref="I235:J235"/>
    <mergeCell ref="K235:L235"/>
    <mergeCell ref="M235:N235"/>
    <mergeCell ref="O235:P235"/>
    <mergeCell ref="Q235:R235"/>
    <mergeCell ref="S236:T236"/>
    <mergeCell ref="U236:V236"/>
    <mergeCell ref="W236:X236"/>
    <mergeCell ref="Y236:Z236"/>
    <mergeCell ref="AA236:AB236"/>
    <mergeCell ref="AC236:AD236"/>
    <mergeCell ref="AE236:AF236"/>
    <mergeCell ref="AU235:AV235"/>
    <mergeCell ref="AW235:AX235"/>
    <mergeCell ref="AY235:AZ235"/>
    <mergeCell ref="BA235:BB235"/>
    <mergeCell ref="BC235:BD235"/>
    <mergeCell ref="BE235:BF235"/>
    <mergeCell ref="BG235:BH235"/>
    <mergeCell ref="E236:F236"/>
    <mergeCell ref="G236:H236"/>
    <mergeCell ref="I236:J236"/>
    <mergeCell ref="K236:L236"/>
    <mergeCell ref="M236:N236"/>
    <mergeCell ref="O236:P236"/>
    <mergeCell ref="Q236:R236"/>
    <mergeCell ref="BO234:BP234"/>
    <mergeCell ref="AY234:AZ234"/>
    <mergeCell ref="BA234:BB234"/>
    <mergeCell ref="BC234:BD234"/>
    <mergeCell ref="BE234:BF234"/>
    <mergeCell ref="BG234:BH234"/>
    <mergeCell ref="BI234:BJ234"/>
    <mergeCell ref="BK234:BL234"/>
    <mergeCell ref="S233:T233"/>
    <mergeCell ref="U233:V233"/>
    <mergeCell ref="W233:X233"/>
    <mergeCell ref="Y233:Z233"/>
    <mergeCell ref="AA233:AB233"/>
    <mergeCell ref="AC233:AD233"/>
    <mergeCell ref="AE233:AF233"/>
    <mergeCell ref="AG233:AH233"/>
    <mergeCell ref="AI233:AJ233"/>
    <mergeCell ref="AK233:AL233"/>
    <mergeCell ref="AM233:AN233"/>
    <mergeCell ref="AO233:AP233"/>
    <mergeCell ref="AQ233:AR233"/>
    <mergeCell ref="AS233:AT233"/>
    <mergeCell ref="BI233:BJ233"/>
    <mergeCell ref="BK233:BL233"/>
    <mergeCell ref="BM233:BN233"/>
    <mergeCell ref="BO233:BP233"/>
    <mergeCell ref="E233:F233"/>
    <mergeCell ref="G233:H233"/>
    <mergeCell ref="I233:J233"/>
    <mergeCell ref="K233:L233"/>
    <mergeCell ref="M233:N233"/>
    <mergeCell ref="O233:P233"/>
    <mergeCell ref="Q233:R233"/>
    <mergeCell ref="S234:T234"/>
    <mergeCell ref="U234:V234"/>
    <mergeCell ref="W234:X234"/>
    <mergeCell ref="Y234:Z234"/>
    <mergeCell ref="AA234:AB234"/>
    <mergeCell ref="AC234:AD234"/>
    <mergeCell ref="AE234:AF234"/>
    <mergeCell ref="AU233:AV233"/>
    <mergeCell ref="AW233:AX233"/>
    <mergeCell ref="AY233:AZ233"/>
    <mergeCell ref="BA233:BB233"/>
    <mergeCell ref="BC233:BD233"/>
    <mergeCell ref="BE233:BF233"/>
    <mergeCell ref="BG233:BH233"/>
    <mergeCell ref="E234:F234"/>
    <mergeCell ref="G234:H234"/>
    <mergeCell ref="I234:J234"/>
    <mergeCell ref="K234:L234"/>
    <mergeCell ref="M234:N234"/>
    <mergeCell ref="O234:P234"/>
    <mergeCell ref="Q234:R234"/>
    <mergeCell ref="O237:P237"/>
    <mergeCell ref="Q237:R237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U237:AV237"/>
    <mergeCell ref="AW237:AX237"/>
    <mergeCell ref="AY237:AZ237"/>
    <mergeCell ref="BA237:BB237"/>
    <mergeCell ref="BC237:BD237"/>
    <mergeCell ref="BE237:BF237"/>
    <mergeCell ref="BG237:BH237"/>
    <mergeCell ref="AU234:AV234"/>
    <mergeCell ref="AW234:AX234"/>
    <mergeCell ref="AG234:AH234"/>
    <mergeCell ref="AI234:AJ234"/>
    <mergeCell ref="AK234:AL234"/>
    <mergeCell ref="AM234:AN234"/>
    <mergeCell ref="AO234:AP234"/>
    <mergeCell ref="AQ234:AR234"/>
    <mergeCell ref="AS234:AT234"/>
    <mergeCell ref="BM234:BN234"/>
    <mergeCell ref="AU236:AV236"/>
    <mergeCell ref="AW236:AX236"/>
    <mergeCell ref="AG236:AH236"/>
    <mergeCell ref="AI236:AJ236"/>
    <mergeCell ref="AK236:AL236"/>
    <mergeCell ref="AM236:AN236"/>
    <mergeCell ref="AO236:AP236"/>
    <mergeCell ref="AQ236:AR236"/>
    <mergeCell ref="AS236:AT236"/>
    <mergeCell ref="BM236:BN236"/>
    <mergeCell ref="AU238:AV238"/>
    <mergeCell ref="AW238:AX238"/>
    <mergeCell ref="AG238:AH238"/>
    <mergeCell ref="AI238:AJ238"/>
    <mergeCell ref="AK238:AL238"/>
    <mergeCell ref="AM238:AN238"/>
    <mergeCell ref="AO238:AP238"/>
    <mergeCell ref="AQ238:AR238"/>
    <mergeCell ref="AS238:AT238"/>
    <mergeCell ref="S232:T232"/>
    <mergeCell ref="U232:V232"/>
    <mergeCell ref="W232:X232"/>
    <mergeCell ref="Y232:Z232"/>
    <mergeCell ref="AA232:AB232"/>
    <mergeCell ref="AC232:AD232"/>
    <mergeCell ref="AE232:AF232"/>
    <mergeCell ref="AG232:AH232"/>
    <mergeCell ref="AI232:AJ232"/>
    <mergeCell ref="AK232:AL232"/>
    <mergeCell ref="AM232:AN232"/>
    <mergeCell ref="AO232:AP232"/>
    <mergeCell ref="AQ232:AR232"/>
    <mergeCell ref="AS232:AT232"/>
    <mergeCell ref="BI232:BJ232"/>
    <mergeCell ref="BK232:BL232"/>
    <mergeCell ref="BM232:BN232"/>
    <mergeCell ref="BO232:BP232"/>
    <mergeCell ref="AU232:AV232"/>
    <mergeCell ref="AW232:AX232"/>
    <mergeCell ref="AY232:AZ232"/>
    <mergeCell ref="BA232:BB232"/>
    <mergeCell ref="BC232:BD232"/>
    <mergeCell ref="BE232:BF232"/>
    <mergeCell ref="BG232:BH232"/>
    <mergeCell ref="E232:F232"/>
    <mergeCell ref="G232:H232"/>
    <mergeCell ref="I232:J232"/>
    <mergeCell ref="K232:L232"/>
    <mergeCell ref="M232:N232"/>
    <mergeCell ref="O232:P232"/>
    <mergeCell ref="Q232:R232"/>
    <mergeCell ref="BM238:BN238"/>
    <mergeCell ref="BO238:BP238"/>
    <mergeCell ref="AY238:AZ238"/>
    <mergeCell ref="BA238:BB238"/>
    <mergeCell ref="BC238:BD238"/>
    <mergeCell ref="BE238:BF238"/>
    <mergeCell ref="BG238:BH238"/>
    <mergeCell ref="BI238:BJ238"/>
    <mergeCell ref="BK238:BL238"/>
    <mergeCell ref="S237:T237"/>
    <mergeCell ref="U237:V237"/>
    <mergeCell ref="W237:X237"/>
    <mergeCell ref="Y237:Z237"/>
    <mergeCell ref="AA237:AB237"/>
    <mergeCell ref="AC237:AD237"/>
    <mergeCell ref="AE237:AF237"/>
    <mergeCell ref="AG237:AH237"/>
    <mergeCell ref="AI237:AJ237"/>
    <mergeCell ref="AK237:AL237"/>
    <mergeCell ref="AM237:AN237"/>
    <mergeCell ref="AO237:AP237"/>
    <mergeCell ref="AQ237:AR237"/>
    <mergeCell ref="AS237:AT237"/>
    <mergeCell ref="BI237:BJ237"/>
    <mergeCell ref="BK237:BL237"/>
    <mergeCell ref="BM237:BN237"/>
    <mergeCell ref="BO237:BP237"/>
    <mergeCell ref="E237:F237"/>
    <mergeCell ref="G237:H237"/>
    <mergeCell ref="I237:J237"/>
    <mergeCell ref="K237:L237"/>
    <mergeCell ref="M237:N237"/>
    <mergeCell ref="BO229:BP229"/>
    <mergeCell ref="AY229:AZ229"/>
    <mergeCell ref="BA229:BB229"/>
    <mergeCell ref="BC229:BD229"/>
    <mergeCell ref="BE229:BF229"/>
    <mergeCell ref="BG229:BH229"/>
    <mergeCell ref="BI229:BJ229"/>
    <mergeCell ref="BK229:BL229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I228:AJ228"/>
    <mergeCell ref="AK228:AL228"/>
    <mergeCell ref="AM228:AN228"/>
    <mergeCell ref="AO228:AP228"/>
    <mergeCell ref="AQ228:AR228"/>
    <mergeCell ref="AS228:AT228"/>
    <mergeCell ref="BI228:BJ228"/>
    <mergeCell ref="BK228:BL228"/>
    <mergeCell ref="BM228:BN228"/>
    <mergeCell ref="BO228:BP228"/>
    <mergeCell ref="E228:F228"/>
    <mergeCell ref="G228:H228"/>
    <mergeCell ref="I228:J228"/>
    <mergeCell ref="K228:L228"/>
    <mergeCell ref="M228:N228"/>
    <mergeCell ref="O228:P228"/>
    <mergeCell ref="Q228:R228"/>
    <mergeCell ref="S229:T229"/>
    <mergeCell ref="U229:V229"/>
    <mergeCell ref="W229:X229"/>
    <mergeCell ref="Y229:Z229"/>
    <mergeCell ref="AA229:AB229"/>
    <mergeCell ref="AC229:AD229"/>
    <mergeCell ref="AE229:AF229"/>
    <mergeCell ref="AU228:AV228"/>
    <mergeCell ref="AW228:AX228"/>
    <mergeCell ref="AY228:AZ228"/>
    <mergeCell ref="BA228:BB228"/>
    <mergeCell ref="BC228:BD228"/>
    <mergeCell ref="BE228:BF228"/>
    <mergeCell ref="BG228:BH228"/>
    <mergeCell ref="E229:F229"/>
    <mergeCell ref="G229:H229"/>
    <mergeCell ref="I229:J229"/>
    <mergeCell ref="K229:L229"/>
    <mergeCell ref="M229:N229"/>
    <mergeCell ref="O229:P229"/>
    <mergeCell ref="Q229:R229"/>
    <mergeCell ref="BO227:BP227"/>
    <mergeCell ref="AY227:AZ227"/>
    <mergeCell ref="BA227:BB227"/>
    <mergeCell ref="BC227:BD227"/>
    <mergeCell ref="BE227:BF227"/>
    <mergeCell ref="BG227:BH227"/>
    <mergeCell ref="BI227:BJ227"/>
    <mergeCell ref="BK227:BL227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I226:AJ226"/>
    <mergeCell ref="AK226:AL226"/>
    <mergeCell ref="AM226:AN226"/>
    <mergeCell ref="AO226:AP226"/>
    <mergeCell ref="AQ226:AR226"/>
    <mergeCell ref="AS226:AT226"/>
    <mergeCell ref="BI226:BJ226"/>
    <mergeCell ref="BK226:BL226"/>
    <mergeCell ref="BM226:BN226"/>
    <mergeCell ref="BO226:BP226"/>
    <mergeCell ref="E226:F226"/>
    <mergeCell ref="G226:H226"/>
    <mergeCell ref="I226:J226"/>
    <mergeCell ref="K226:L226"/>
    <mergeCell ref="M226:N226"/>
    <mergeCell ref="O226:P226"/>
    <mergeCell ref="Q226:R226"/>
    <mergeCell ref="S227:T227"/>
    <mergeCell ref="U227:V227"/>
    <mergeCell ref="W227:X227"/>
    <mergeCell ref="Y227:Z227"/>
    <mergeCell ref="AA227:AB227"/>
    <mergeCell ref="AC227:AD227"/>
    <mergeCell ref="AE227:AF227"/>
    <mergeCell ref="AU226:AV226"/>
    <mergeCell ref="AW226:AX226"/>
    <mergeCell ref="AY226:AZ226"/>
    <mergeCell ref="BA226:BB226"/>
    <mergeCell ref="BC226:BD226"/>
    <mergeCell ref="BE226:BF226"/>
    <mergeCell ref="BG226:BH226"/>
    <mergeCell ref="E227:F227"/>
    <mergeCell ref="G227:H227"/>
    <mergeCell ref="I227:J227"/>
    <mergeCell ref="K227:L227"/>
    <mergeCell ref="M227:N227"/>
    <mergeCell ref="O227:P227"/>
    <mergeCell ref="Q227:R227"/>
    <mergeCell ref="O230:P230"/>
    <mergeCell ref="Q230:R230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U230:AV230"/>
    <mergeCell ref="AW230:AX230"/>
    <mergeCell ref="AY230:AZ230"/>
    <mergeCell ref="BA230:BB230"/>
    <mergeCell ref="BC230:BD230"/>
    <mergeCell ref="BE230:BF230"/>
    <mergeCell ref="BG230:BH230"/>
    <mergeCell ref="AU227:AV227"/>
    <mergeCell ref="AW227:AX227"/>
    <mergeCell ref="AG227:AH227"/>
    <mergeCell ref="AI227:AJ227"/>
    <mergeCell ref="AK227:AL227"/>
    <mergeCell ref="AM227:AN227"/>
    <mergeCell ref="AO227:AP227"/>
    <mergeCell ref="AQ227:AR227"/>
    <mergeCell ref="AS227:AT227"/>
    <mergeCell ref="BM227:BN227"/>
    <mergeCell ref="AU229:AV229"/>
    <mergeCell ref="AW229:AX229"/>
    <mergeCell ref="AG229:AH229"/>
    <mergeCell ref="AI229:AJ229"/>
    <mergeCell ref="AK229:AL229"/>
    <mergeCell ref="AM229:AN229"/>
    <mergeCell ref="AO229:AP229"/>
    <mergeCell ref="AQ229:AR229"/>
    <mergeCell ref="AS229:AT229"/>
    <mergeCell ref="BM229:BN229"/>
    <mergeCell ref="AU231:AV231"/>
    <mergeCell ref="AW231:AX231"/>
    <mergeCell ref="AG231:AH231"/>
    <mergeCell ref="AI231:AJ231"/>
    <mergeCell ref="AK231:AL231"/>
    <mergeCell ref="AM231:AN231"/>
    <mergeCell ref="AO231:AP231"/>
    <mergeCell ref="AQ231:AR231"/>
    <mergeCell ref="AS231:AT231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I225:AJ225"/>
    <mergeCell ref="AK225:AL225"/>
    <mergeCell ref="AM225:AN225"/>
    <mergeCell ref="AO225:AP225"/>
    <mergeCell ref="AQ225:AR225"/>
    <mergeCell ref="AS225:AT225"/>
    <mergeCell ref="BI225:BJ225"/>
    <mergeCell ref="BK225:BL225"/>
    <mergeCell ref="BM225:BN225"/>
    <mergeCell ref="BO225:BP225"/>
    <mergeCell ref="AU225:AV225"/>
    <mergeCell ref="AW225:AX225"/>
    <mergeCell ref="AY225:AZ225"/>
    <mergeCell ref="BA225:BB225"/>
    <mergeCell ref="BC225:BD225"/>
    <mergeCell ref="BE225:BF225"/>
    <mergeCell ref="BG225:BH225"/>
    <mergeCell ref="E225:F225"/>
    <mergeCell ref="G225:H225"/>
    <mergeCell ref="I225:J225"/>
    <mergeCell ref="K225:L225"/>
    <mergeCell ref="M225:N225"/>
    <mergeCell ref="O225:P225"/>
    <mergeCell ref="Q225:R225"/>
    <mergeCell ref="BM231:BN231"/>
    <mergeCell ref="BO231:BP231"/>
    <mergeCell ref="AY231:AZ231"/>
    <mergeCell ref="BA231:BB231"/>
    <mergeCell ref="BC231:BD231"/>
    <mergeCell ref="BE231:BF231"/>
    <mergeCell ref="BG231:BH231"/>
    <mergeCell ref="BI231:BJ231"/>
    <mergeCell ref="BK231:BL231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I230:AJ230"/>
    <mergeCell ref="AK230:AL230"/>
    <mergeCell ref="AM230:AN230"/>
    <mergeCell ref="AO230:AP230"/>
    <mergeCell ref="AQ230:AR230"/>
    <mergeCell ref="AS230:AT230"/>
    <mergeCell ref="BI230:BJ230"/>
    <mergeCell ref="BK230:BL230"/>
    <mergeCell ref="BM230:BN230"/>
    <mergeCell ref="BO230:BP230"/>
    <mergeCell ref="E230:F230"/>
    <mergeCell ref="G230:H230"/>
    <mergeCell ref="I230:J230"/>
    <mergeCell ref="K230:L230"/>
    <mergeCell ref="M230:N230"/>
    <mergeCell ref="BO222:BP222"/>
    <mergeCell ref="AY222:AZ222"/>
    <mergeCell ref="BA222:BB222"/>
    <mergeCell ref="BC222:BD222"/>
    <mergeCell ref="BE222:BF222"/>
    <mergeCell ref="BG222:BH222"/>
    <mergeCell ref="BI222:BJ222"/>
    <mergeCell ref="BK222:BL222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K221:AL221"/>
    <mergeCell ref="AM221:AN221"/>
    <mergeCell ref="AO221:AP221"/>
    <mergeCell ref="AQ221:AR221"/>
    <mergeCell ref="AS221:AT221"/>
    <mergeCell ref="BI221:BJ221"/>
    <mergeCell ref="BK221:BL221"/>
    <mergeCell ref="BM221:BN221"/>
    <mergeCell ref="BO221:BP221"/>
    <mergeCell ref="E221:F221"/>
    <mergeCell ref="G221:H221"/>
    <mergeCell ref="I221:J221"/>
    <mergeCell ref="K221:L221"/>
    <mergeCell ref="M221:N221"/>
    <mergeCell ref="O221:P221"/>
    <mergeCell ref="Q221:R221"/>
    <mergeCell ref="S222:T222"/>
    <mergeCell ref="U222:V222"/>
    <mergeCell ref="W222:X222"/>
    <mergeCell ref="Y222:Z222"/>
    <mergeCell ref="AA222:AB222"/>
    <mergeCell ref="AC222:AD222"/>
    <mergeCell ref="AE222:AF222"/>
    <mergeCell ref="AU221:AV221"/>
    <mergeCell ref="AW221:AX221"/>
    <mergeCell ref="AY221:AZ221"/>
    <mergeCell ref="BA221:BB221"/>
    <mergeCell ref="BC221:BD221"/>
    <mergeCell ref="BE221:BF221"/>
    <mergeCell ref="BG221:BH221"/>
    <mergeCell ref="E222:F222"/>
    <mergeCell ref="G222:H222"/>
    <mergeCell ref="I222:J222"/>
    <mergeCell ref="K222:L222"/>
    <mergeCell ref="M222:N222"/>
    <mergeCell ref="O222:P222"/>
    <mergeCell ref="Q222:R222"/>
    <mergeCell ref="BO220:BP220"/>
    <mergeCell ref="AY220:AZ220"/>
    <mergeCell ref="BA220:BB220"/>
    <mergeCell ref="BC220:BD220"/>
    <mergeCell ref="BE220:BF220"/>
    <mergeCell ref="BG220:BH220"/>
    <mergeCell ref="BI220:BJ220"/>
    <mergeCell ref="BK220:BL220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I219:AJ219"/>
    <mergeCell ref="AK219:AL219"/>
    <mergeCell ref="AM219:AN219"/>
    <mergeCell ref="AO219:AP219"/>
    <mergeCell ref="AQ219:AR219"/>
    <mergeCell ref="AS219:AT219"/>
    <mergeCell ref="BI219:BJ219"/>
    <mergeCell ref="BK219:BL219"/>
    <mergeCell ref="BM219:BN219"/>
    <mergeCell ref="BO219:BP219"/>
    <mergeCell ref="E219:F219"/>
    <mergeCell ref="G219:H219"/>
    <mergeCell ref="I219:J219"/>
    <mergeCell ref="K219:L219"/>
    <mergeCell ref="M219:N219"/>
    <mergeCell ref="O219:P219"/>
    <mergeCell ref="Q219:R219"/>
    <mergeCell ref="S220:T220"/>
    <mergeCell ref="U220:V220"/>
    <mergeCell ref="W220:X220"/>
    <mergeCell ref="Y220:Z220"/>
    <mergeCell ref="AA220:AB220"/>
    <mergeCell ref="AC220:AD220"/>
    <mergeCell ref="AE220:AF220"/>
    <mergeCell ref="AU219:AV219"/>
    <mergeCell ref="AW219:AX219"/>
    <mergeCell ref="AY219:AZ219"/>
    <mergeCell ref="BA219:BB219"/>
    <mergeCell ref="BC219:BD219"/>
    <mergeCell ref="BE219:BF219"/>
    <mergeCell ref="BG219:BH219"/>
    <mergeCell ref="E220:F220"/>
    <mergeCell ref="G220:H220"/>
    <mergeCell ref="I220:J220"/>
    <mergeCell ref="K220:L220"/>
    <mergeCell ref="M220:N220"/>
    <mergeCell ref="O220:P220"/>
    <mergeCell ref="Q220:R220"/>
    <mergeCell ref="O223:P223"/>
    <mergeCell ref="Q223:R223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U223:AV223"/>
    <mergeCell ref="AW223:AX223"/>
    <mergeCell ref="AY223:AZ223"/>
    <mergeCell ref="BA223:BB223"/>
    <mergeCell ref="BC223:BD223"/>
    <mergeCell ref="BE223:BF223"/>
    <mergeCell ref="BG223:BH223"/>
    <mergeCell ref="AU220:AV220"/>
    <mergeCell ref="AW220:AX220"/>
    <mergeCell ref="AG220:AH220"/>
    <mergeCell ref="AI220:AJ220"/>
    <mergeCell ref="AK220:AL220"/>
    <mergeCell ref="AM220:AN220"/>
    <mergeCell ref="AO220:AP220"/>
    <mergeCell ref="AQ220:AR220"/>
    <mergeCell ref="AS220:AT220"/>
    <mergeCell ref="BM220:BN220"/>
    <mergeCell ref="AU222:AV222"/>
    <mergeCell ref="AW222:AX222"/>
    <mergeCell ref="AG222:AH222"/>
    <mergeCell ref="AI222:AJ222"/>
    <mergeCell ref="AK222:AL222"/>
    <mergeCell ref="AM222:AN222"/>
    <mergeCell ref="AO222:AP222"/>
    <mergeCell ref="AQ222:AR222"/>
    <mergeCell ref="AS222:AT222"/>
    <mergeCell ref="BM222:BN222"/>
    <mergeCell ref="AU224:AV224"/>
    <mergeCell ref="AW224:AX224"/>
    <mergeCell ref="AG224:AH224"/>
    <mergeCell ref="AI224:AJ224"/>
    <mergeCell ref="AK224:AL224"/>
    <mergeCell ref="AM224:AN224"/>
    <mergeCell ref="AO224:AP224"/>
    <mergeCell ref="AQ224:AR224"/>
    <mergeCell ref="AS224:AT224"/>
    <mergeCell ref="S218:T218"/>
    <mergeCell ref="U218:V218"/>
    <mergeCell ref="W218:X218"/>
    <mergeCell ref="Y218:Z218"/>
    <mergeCell ref="AA218:AB218"/>
    <mergeCell ref="AC218:AD218"/>
    <mergeCell ref="AE218:AF218"/>
    <mergeCell ref="AG218:AH218"/>
    <mergeCell ref="AI218:AJ218"/>
    <mergeCell ref="AK218:AL218"/>
    <mergeCell ref="AM218:AN218"/>
    <mergeCell ref="AO218:AP218"/>
    <mergeCell ref="AQ218:AR218"/>
    <mergeCell ref="AS218:AT218"/>
    <mergeCell ref="BI218:BJ218"/>
    <mergeCell ref="BK218:BL218"/>
    <mergeCell ref="BM218:BN218"/>
    <mergeCell ref="BO218:BP218"/>
    <mergeCell ref="AU218:AV218"/>
    <mergeCell ref="AW218:AX218"/>
    <mergeCell ref="AY218:AZ218"/>
    <mergeCell ref="BA218:BB218"/>
    <mergeCell ref="BC218:BD218"/>
    <mergeCell ref="BE218:BF218"/>
    <mergeCell ref="BG218:BH218"/>
    <mergeCell ref="E218:F218"/>
    <mergeCell ref="G218:H218"/>
    <mergeCell ref="I218:J218"/>
    <mergeCell ref="K218:L218"/>
    <mergeCell ref="M218:N218"/>
    <mergeCell ref="O218:P218"/>
    <mergeCell ref="Q218:R218"/>
    <mergeCell ref="BM224:BN224"/>
    <mergeCell ref="BO224:BP224"/>
    <mergeCell ref="AY224:AZ224"/>
    <mergeCell ref="BA224:BB224"/>
    <mergeCell ref="BC224:BD224"/>
    <mergeCell ref="BE224:BF224"/>
    <mergeCell ref="BG224:BH224"/>
    <mergeCell ref="BI224:BJ224"/>
    <mergeCell ref="BK224:BL224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I223:AJ223"/>
    <mergeCell ref="AK223:AL223"/>
    <mergeCell ref="AM223:AN223"/>
    <mergeCell ref="AO223:AP223"/>
    <mergeCell ref="AQ223:AR223"/>
    <mergeCell ref="AS223:AT223"/>
    <mergeCell ref="BI223:BJ223"/>
    <mergeCell ref="BK223:BL223"/>
    <mergeCell ref="BM223:BN223"/>
    <mergeCell ref="BO223:BP223"/>
    <mergeCell ref="E223:F223"/>
    <mergeCell ref="G223:H223"/>
    <mergeCell ref="I223:J223"/>
    <mergeCell ref="K223:L223"/>
    <mergeCell ref="M223:N223"/>
    <mergeCell ref="BO215:BP215"/>
    <mergeCell ref="AY215:AZ215"/>
    <mergeCell ref="BA215:BB215"/>
    <mergeCell ref="BC215:BD215"/>
    <mergeCell ref="BE215:BF215"/>
    <mergeCell ref="BG215:BH215"/>
    <mergeCell ref="BI215:BJ215"/>
    <mergeCell ref="BK215:BL215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I214:AJ214"/>
    <mergeCell ref="AK214:AL214"/>
    <mergeCell ref="AM214:AN214"/>
    <mergeCell ref="AO214:AP214"/>
    <mergeCell ref="AQ214:AR214"/>
    <mergeCell ref="AS214:AT214"/>
    <mergeCell ref="BI214:BJ214"/>
    <mergeCell ref="BK214:BL214"/>
    <mergeCell ref="BM214:BN214"/>
    <mergeCell ref="BO214:BP214"/>
    <mergeCell ref="E214:F214"/>
    <mergeCell ref="G214:H214"/>
    <mergeCell ref="I214:J214"/>
    <mergeCell ref="K214:L214"/>
    <mergeCell ref="M214:N214"/>
    <mergeCell ref="O214:P214"/>
    <mergeCell ref="Q214:R214"/>
    <mergeCell ref="S215:T215"/>
    <mergeCell ref="U215:V215"/>
    <mergeCell ref="W215:X215"/>
    <mergeCell ref="Y215:Z215"/>
    <mergeCell ref="AA215:AB215"/>
    <mergeCell ref="AC215:AD215"/>
    <mergeCell ref="AE215:AF215"/>
    <mergeCell ref="AU214:AV214"/>
    <mergeCell ref="AW214:AX214"/>
    <mergeCell ref="AY214:AZ214"/>
    <mergeCell ref="BA214:BB214"/>
    <mergeCell ref="BC214:BD214"/>
    <mergeCell ref="BE214:BF214"/>
    <mergeCell ref="BG214:BH214"/>
    <mergeCell ref="E215:F215"/>
    <mergeCell ref="G215:H215"/>
    <mergeCell ref="I215:J215"/>
    <mergeCell ref="K215:L215"/>
    <mergeCell ref="M215:N215"/>
    <mergeCell ref="O215:P215"/>
    <mergeCell ref="Q215:R215"/>
    <mergeCell ref="BO213:BP213"/>
    <mergeCell ref="AY213:AZ213"/>
    <mergeCell ref="BA213:BB213"/>
    <mergeCell ref="BC213:BD213"/>
    <mergeCell ref="BE213:BF213"/>
    <mergeCell ref="BG213:BH213"/>
    <mergeCell ref="BI213:BJ213"/>
    <mergeCell ref="BK213:BL213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I212:AJ212"/>
    <mergeCell ref="AK212:AL212"/>
    <mergeCell ref="AM212:AN212"/>
    <mergeCell ref="AO212:AP212"/>
    <mergeCell ref="AQ212:AR212"/>
    <mergeCell ref="AS212:AT212"/>
    <mergeCell ref="BI212:BJ212"/>
    <mergeCell ref="BK212:BL212"/>
    <mergeCell ref="BM212:BN212"/>
    <mergeCell ref="BO212:BP212"/>
    <mergeCell ref="E212:F212"/>
    <mergeCell ref="G212:H212"/>
    <mergeCell ref="I212:J212"/>
    <mergeCell ref="K212:L212"/>
    <mergeCell ref="M212:N212"/>
    <mergeCell ref="O212:P212"/>
    <mergeCell ref="Q212:R212"/>
    <mergeCell ref="S213:T213"/>
    <mergeCell ref="U213:V213"/>
    <mergeCell ref="W213:X213"/>
    <mergeCell ref="Y213:Z213"/>
    <mergeCell ref="AA213:AB213"/>
    <mergeCell ref="AC213:AD213"/>
    <mergeCell ref="AE213:AF213"/>
    <mergeCell ref="AU212:AV212"/>
    <mergeCell ref="AW212:AX212"/>
    <mergeCell ref="AY212:AZ212"/>
    <mergeCell ref="BA212:BB212"/>
    <mergeCell ref="BC212:BD212"/>
    <mergeCell ref="BE212:BF212"/>
    <mergeCell ref="BG212:BH212"/>
    <mergeCell ref="E213:F213"/>
    <mergeCell ref="G213:H213"/>
    <mergeCell ref="I213:J213"/>
    <mergeCell ref="K213:L213"/>
    <mergeCell ref="M213:N213"/>
    <mergeCell ref="O213:P213"/>
    <mergeCell ref="Q213:R213"/>
    <mergeCell ref="O216:P216"/>
    <mergeCell ref="Q216:R216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Z217"/>
    <mergeCell ref="AA217:AB217"/>
    <mergeCell ref="AC217:AD217"/>
    <mergeCell ref="AE217:AF217"/>
    <mergeCell ref="AU216:AV216"/>
    <mergeCell ref="AW216:AX216"/>
    <mergeCell ref="AY216:AZ216"/>
    <mergeCell ref="BA216:BB216"/>
    <mergeCell ref="BC216:BD216"/>
    <mergeCell ref="BE216:BF216"/>
    <mergeCell ref="BG216:BH216"/>
    <mergeCell ref="AU213:AV213"/>
    <mergeCell ref="AW213:AX213"/>
    <mergeCell ref="AG213:AH213"/>
    <mergeCell ref="AI213:AJ213"/>
    <mergeCell ref="AK213:AL213"/>
    <mergeCell ref="AM213:AN213"/>
    <mergeCell ref="AO213:AP213"/>
    <mergeCell ref="AQ213:AR213"/>
    <mergeCell ref="AS213:AT213"/>
    <mergeCell ref="BM213:BN213"/>
    <mergeCell ref="AU215:AV215"/>
    <mergeCell ref="AW215:AX215"/>
    <mergeCell ref="AG215:AH215"/>
    <mergeCell ref="AI215:AJ215"/>
    <mergeCell ref="AK215:AL215"/>
    <mergeCell ref="AM215:AN215"/>
    <mergeCell ref="AO215:AP215"/>
    <mergeCell ref="AQ215:AR215"/>
    <mergeCell ref="AS215:AT215"/>
    <mergeCell ref="BM215:BN215"/>
    <mergeCell ref="AU217:AV217"/>
    <mergeCell ref="AW217:AX217"/>
    <mergeCell ref="AG217:AH217"/>
    <mergeCell ref="AI217:AJ217"/>
    <mergeCell ref="AK217:AL217"/>
    <mergeCell ref="AM217:AN217"/>
    <mergeCell ref="AO217:AP217"/>
    <mergeCell ref="AQ217:AR217"/>
    <mergeCell ref="AS217:AT217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I211:AJ211"/>
    <mergeCell ref="AK211:AL211"/>
    <mergeCell ref="AM211:AN211"/>
    <mergeCell ref="AO211:AP211"/>
    <mergeCell ref="AQ211:AR211"/>
    <mergeCell ref="AS211:AT211"/>
    <mergeCell ref="BI211:BJ211"/>
    <mergeCell ref="BK211:BL211"/>
    <mergeCell ref="BM211:BN211"/>
    <mergeCell ref="BO211:BP211"/>
    <mergeCell ref="AU211:AV211"/>
    <mergeCell ref="AW211:AX211"/>
    <mergeCell ref="AY211:AZ211"/>
    <mergeCell ref="BA211:BB211"/>
    <mergeCell ref="BC211:BD211"/>
    <mergeCell ref="BE211:BF211"/>
    <mergeCell ref="BG211:BH211"/>
    <mergeCell ref="E211:F211"/>
    <mergeCell ref="G211:H211"/>
    <mergeCell ref="I211:J211"/>
    <mergeCell ref="K211:L211"/>
    <mergeCell ref="M211:N211"/>
    <mergeCell ref="O211:P211"/>
    <mergeCell ref="Q211:R211"/>
    <mergeCell ref="BM217:BN217"/>
    <mergeCell ref="BO217:BP217"/>
    <mergeCell ref="AY217:AZ217"/>
    <mergeCell ref="BA217:BB217"/>
    <mergeCell ref="BC217:BD217"/>
    <mergeCell ref="BE217:BF217"/>
    <mergeCell ref="BG217:BH217"/>
    <mergeCell ref="BI217:BJ217"/>
    <mergeCell ref="BK217:BL217"/>
    <mergeCell ref="S216:T216"/>
    <mergeCell ref="U216:V216"/>
    <mergeCell ref="W216:X216"/>
    <mergeCell ref="Y216:Z216"/>
    <mergeCell ref="AA216:AB216"/>
    <mergeCell ref="AC216:AD216"/>
    <mergeCell ref="AE216:AF216"/>
    <mergeCell ref="AG216:AH216"/>
    <mergeCell ref="AI216:AJ216"/>
    <mergeCell ref="AK216:AL216"/>
    <mergeCell ref="AM216:AN216"/>
    <mergeCell ref="AO216:AP216"/>
    <mergeCell ref="AQ216:AR216"/>
    <mergeCell ref="AS216:AT216"/>
    <mergeCell ref="BI216:BJ216"/>
    <mergeCell ref="BK216:BL216"/>
    <mergeCell ref="BM216:BN216"/>
    <mergeCell ref="BO216:BP216"/>
    <mergeCell ref="E216:F216"/>
    <mergeCell ref="G216:H216"/>
    <mergeCell ref="I216:J216"/>
    <mergeCell ref="K216:L216"/>
    <mergeCell ref="M216:N216"/>
    <mergeCell ref="BO208:BP208"/>
    <mergeCell ref="AY208:AZ208"/>
    <mergeCell ref="BA208:BB208"/>
    <mergeCell ref="BC208:BD208"/>
    <mergeCell ref="BE208:BF208"/>
    <mergeCell ref="BG208:BH208"/>
    <mergeCell ref="BI208:BJ208"/>
    <mergeCell ref="BK208:BL208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I207:AJ207"/>
    <mergeCell ref="AK207:AL207"/>
    <mergeCell ref="AM207:AN207"/>
    <mergeCell ref="AO207:AP207"/>
    <mergeCell ref="AQ207:AR207"/>
    <mergeCell ref="AS207:AT207"/>
    <mergeCell ref="BI207:BJ207"/>
    <mergeCell ref="BK207:BL207"/>
    <mergeCell ref="BM207:BN207"/>
    <mergeCell ref="BO207:BP207"/>
    <mergeCell ref="E207:F207"/>
    <mergeCell ref="G207:H207"/>
    <mergeCell ref="I207:J207"/>
    <mergeCell ref="K207:L207"/>
    <mergeCell ref="M207:N207"/>
    <mergeCell ref="O207:P207"/>
    <mergeCell ref="Q207:R207"/>
    <mergeCell ref="S208:T208"/>
    <mergeCell ref="U208:V208"/>
    <mergeCell ref="W208:X208"/>
    <mergeCell ref="Y208:Z208"/>
    <mergeCell ref="AA208:AB208"/>
    <mergeCell ref="AC208:AD208"/>
    <mergeCell ref="AE208:AF208"/>
    <mergeCell ref="AU207:AV207"/>
    <mergeCell ref="AW207:AX207"/>
    <mergeCell ref="AY207:AZ207"/>
    <mergeCell ref="BA207:BB207"/>
    <mergeCell ref="BC207:BD207"/>
    <mergeCell ref="BE207:BF207"/>
    <mergeCell ref="BG207:BH207"/>
    <mergeCell ref="E208:F208"/>
    <mergeCell ref="G208:H208"/>
    <mergeCell ref="I208:J208"/>
    <mergeCell ref="K208:L208"/>
    <mergeCell ref="M208:N208"/>
    <mergeCell ref="O208:P208"/>
    <mergeCell ref="Q208:R208"/>
    <mergeCell ref="BO206:BP206"/>
    <mergeCell ref="AY206:AZ206"/>
    <mergeCell ref="BA206:BB206"/>
    <mergeCell ref="BC206:BD206"/>
    <mergeCell ref="BE206:BF206"/>
    <mergeCell ref="BG206:BH206"/>
    <mergeCell ref="BI206:BJ206"/>
    <mergeCell ref="BK206:BL206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I205:AJ205"/>
    <mergeCell ref="AK205:AL205"/>
    <mergeCell ref="AM205:AN205"/>
    <mergeCell ref="AO205:AP205"/>
    <mergeCell ref="AQ205:AR205"/>
    <mergeCell ref="AS205:AT205"/>
    <mergeCell ref="BI205:BJ205"/>
    <mergeCell ref="BK205:BL205"/>
    <mergeCell ref="BM205:BN205"/>
    <mergeCell ref="BO205:BP205"/>
    <mergeCell ref="E205:F205"/>
    <mergeCell ref="G205:H205"/>
    <mergeCell ref="I205:J205"/>
    <mergeCell ref="K205:L205"/>
    <mergeCell ref="M205:N205"/>
    <mergeCell ref="O205:P205"/>
    <mergeCell ref="Q205:R205"/>
    <mergeCell ref="S206:T206"/>
    <mergeCell ref="U206:V206"/>
    <mergeCell ref="W206:X206"/>
    <mergeCell ref="Y206:Z206"/>
    <mergeCell ref="AA206:AB206"/>
    <mergeCell ref="AC206:AD206"/>
    <mergeCell ref="AE206:AF206"/>
    <mergeCell ref="AU205:AV205"/>
    <mergeCell ref="AW205:AX205"/>
    <mergeCell ref="AY205:AZ205"/>
    <mergeCell ref="BA205:BB205"/>
    <mergeCell ref="BC205:BD205"/>
    <mergeCell ref="BE205:BF205"/>
    <mergeCell ref="BG205:BH205"/>
    <mergeCell ref="E206:F206"/>
    <mergeCell ref="G206:H206"/>
    <mergeCell ref="I206:J206"/>
    <mergeCell ref="K206:L206"/>
    <mergeCell ref="M206:N206"/>
    <mergeCell ref="O206:P206"/>
    <mergeCell ref="Q206:R206"/>
    <mergeCell ref="O209:P209"/>
    <mergeCell ref="Q209:R209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U209:AV209"/>
    <mergeCell ref="AW209:AX209"/>
    <mergeCell ref="AY209:AZ209"/>
    <mergeCell ref="BA209:BB209"/>
    <mergeCell ref="BC209:BD209"/>
    <mergeCell ref="BE209:BF209"/>
    <mergeCell ref="BG209:BH209"/>
    <mergeCell ref="AU206:AV206"/>
    <mergeCell ref="AW206:AX206"/>
    <mergeCell ref="AG206:AH206"/>
    <mergeCell ref="AI206:AJ206"/>
    <mergeCell ref="AK206:AL206"/>
    <mergeCell ref="AM206:AN206"/>
    <mergeCell ref="AO206:AP206"/>
    <mergeCell ref="AQ206:AR206"/>
    <mergeCell ref="AS206:AT206"/>
    <mergeCell ref="BM206:BN206"/>
    <mergeCell ref="AU208:AV208"/>
    <mergeCell ref="AW208:AX208"/>
    <mergeCell ref="AG208:AH208"/>
    <mergeCell ref="AI208:AJ208"/>
    <mergeCell ref="AK208:AL208"/>
    <mergeCell ref="AM208:AN208"/>
    <mergeCell ref="AO208:AP208"/>
    <mergeCell ref="AQ208:AR208"/>
    <mergeCell ref="AS208:AT208"/>
    <mergeCell ref="BM208:BN208"/>
    <mergeCell ref="AU210:AV210"/>
    <mergeCell ref="AW210:AX210"/>
    <mergeCell ref="AG210:AH210"/>
    <mergeCell ref="AI210:AJ210"/>
    <mergeCell ref="AK210:AL210"/>
    <mergeCell ref="AM210:AN210"/>
    <mergeCell ref="AO210:AP210"/>
    <mergeCell ref="AQ210:AR210"/>
    <mergeCell ref="AS210:AT210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I204:AJ204"/>
    <mergeCell ref="AK204:AL204"/>
    <mergeCell ref="AM204:AN204"/>
    <mergeCell ref="AO204:AP204"/>
    <mergeCell ref="AQ204:AR204"/>
    <mergeCell ref="AS204:AT204"/>
    <mergeCell ref="BI204:BJ204"/>
    <mergeCell ref="BK204:BL204"/>
    <mergeCell ref="BM204:BN204"/>
    <mergeCell ref="BO204:BP204"/>
    <mergeCell ref="AU204:AV204"/>
    <mergeCell ref="AW204:AX204"/>
    <mergeCell ref="AY204:AZ204"/>
    <mergeCell ref="BA204:BB204"/>
    <mergeCell ref="BC204:BD204"/>
    <mergeCell ref="BE204:BF204"/>
    <mergeCell ref="BG204:BH204"/>
    <mergeCell ref="E204:F204"/>
    <mergeCell ref="G204:H204"/>
    <mergeCell ref="I204:J204"/>
    <mergeCell ref="K204:L204"/>
    <mergeCell ref="M204:N204"/>
    <mergeCell ref="O204:P204"/>
    <mergeCell ref="Q204:R204"/>
    <mergeCell ref="BM210:BN210"/>
    <mergeCell ref="BO210:BP210"/>
    <mergeCell ref="AY210:AZ210"/>
    <mergeCell ref="BA210:BB210"/>
    <mergeCell ref="BC210:BD210"/>
    <mergeCell ref="BE210:BF210"/>
    <mergeCell ref="BG210:BH210"/>
    <mergeCell ref="BI210:BJ210"/>
    <mergeCell ref="BK210:BL210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I209:AJ209"/>
    <mergeCell ref="AK209:AL209"/>
    <mergeCell ref="AM209:AN209"/>
    <mergeCell ref="AO209:AP209"/>
    <mergeCell ref="AQ209:AR209"/>
    <mergeCell ref="AS209:AT209"/>
    <mergeCell ref="BI209:BJ209"/>
    <mergeCell ref="BK209:BL209"/>
    <mergeCell ref="BM209:BN209"/>
    <mergeCell ref="BO209:BP209"/>
    <mergeCell ref="E209:F209"/>
    <mergeCell ref="G209:H209"/>
    <mergeCell ref="I209:J209"/>
    <mergeCell ref="K209:L209"/>
    <mergeCell ref="M209:N209"/>
    <mergeCell ref="BO201:BP201"/>
    <mergeCell ref="AY201:AZ201"/>
    <mergeCell ref="BA201:BB201"/>
    <mergeCell ref="BC201:BD201"/>
    <mergeCell ref="BE201:BF201"/>
    <mergeCell ref="BG201:BH201"/>
    <mergeCell ref="BI201:BJ201"/>
    <mergeCell ref="BK201:BL201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I200:AJ200"/>
    <mergeCell ref="AK200:AL200"/>
    <mergeCell ref="AM200:AN200"/>
    <mergeCell ref="AO200:AP200"/>
    <mergeCell ref="AQ200:AR200"/>
    <mergeCell ref="AS200:AT200"/>
    <mergeCell ref="BI200:BJ200"/>
    <mergeCell ref="BK200:BL200"/>
    <mergeCell ref="BM200:BN200"/>
    <mergeCell ref="BO200:BP200"/>
    <mergeCell ref="E200:F200"/>
    <mergeCell ref="G200:H200"/>
    <mergeCell ref="I200:J200"/>
    <mergeCell ref="K200:L200"/>
    <mergeCell ref="M200:N200"/>
    <mergeCell ref="O200:P200"/>
    <mergeCell ref="Q200:R200"/>
    <mergeCell ref="S201:T201"/>
    <mergeCell ref="U201:V201"/>
    <mergeCell ref="W201:X201"/>
    <mergeCell ref="Y201:Z201"/>
    <mergeCell ref="AA201:AB201"/>
    <mergeCell ref="AC201:AD201"/>
    <mergeCell ref="AE201:AF201"/>
    <mergeCell ref="AU200:AV200"/>
    <mergeCell ref="AW200:AX200"/>
    <mergeCell ref="AY200:AZ200"/>
    <mergeCell ref="BA200:BB200"/>
    <mergeCell ref="BC200:BD200"/>
    <mergeCell ref="BE200:BF200"/>
    <mergeCell ref="BG200:BH200"/>
    <mergeCell ref="E201:F201"/>
    <mergeCell ref="G201:H201"/>
    <mergeCell ref="I201:J201"/>
    <mergeCell ref="K201:L201"/>
    <mergeCell ref="M201:N201"/>
    <mergeCell ref="O201:P201"/>
    <mergeCell ref="Q201:R201"/>
    <mergeCell ref="BO199:BP199"/>
    <mergeCell ref="AY199:AZ199"/>
    <mergeCell ref="BA199:BB199"/>
    <mergeCell ref="BC199:BD199"/>
    <mergeCell ref="BE199:BF199"/>
    <mergeCell ref="BG199:BH199"/>
    <mergeCell ref="BI199:BJ199"/>
    <mergeCell ref="BK199:BL199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I198:AJ198"/>
    <mergeCell ref="AK198:AL198"/>
    <mergeCell ref="AM198:AN198"/>
    <mergeCell ref="AO198:AP198"/>
    <mergeCell ref="AQ198:AR198"/>
    <mergeCell ref="AS198:AT198"/>
    <mergeCell ref="BI198:BJ198"/>
    <mergeCell ref="BK198:BL198"/>
    <mergeCell ref="BM198:BN198"/>
    <mergeCell ref="BO198:BP198"/>
    <mergeCell ref="E198:F198"/>
    <mergeCell ref="G198:H198"/>
    <mergeCell ref="I198:J198"/>
    <mergeCell ref="K198:L198"/>
    <mergeCell ref="M198:N198"/>
    <mergeCell ref="O198:P198"/>
    <mergeCell ref="Q198:R198"/>
    <mergeCell ref="S199:T199"/>
    <mergeCell ref="U199:V199"/>
    <mergeCell ref="W199:X199"/>
    <mergeCell ref="Y199:Z199"/>
    <mergeCell ref="AA199:AB199"/>
    <mergeCell ref="AC199:AD199"/>
    <mergeCell ref="AE199:AF199"/>
    <mergeCell ref="AU198:AV198"/>
    <mergeCell ref="AW198:AX198"/>
    <mergeCell ref="AY198:AZ198"/>
    <mergeCell ref="BA198:BB198"/>
    <mergeCell ref="BC198:BD198"/>
    <mergeCell ref="BE198:BF198"/>
    <mergeCell ref="BG198:BH198"/>
    <mergeCell ref="E199:F199"/>
    <mergeCell ref="G199:H199"/>
    <mergeCell ref="I199:J199"/>
    <mergeCell ref="K199:L199"/>
    <mergeCell ref="M199:N199"/>
    <mergeCell ref="O199:P199"/>
    <mergeCell ref="Q199:R199"/>
    <mergeCell ref="O202:P202"/>
    <mergeCell ref="Q202:R202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U202:AV202"/>
    <mergeCell ref="AW202:AX202"/>
    <mergeCell ref="AY202:AZ202"/>
    <mergeCell ref="BA202:BB202"/>
    <mergeCell ref="BC202:BD202"/>
    <mergeCell ref="BE202:BF202"/>
    <mergeCell ref="BG202:BH202"/>
    <mergeCell ref="AU199:AV199"/>
    <mergeCell ref="AW199:AX199"/>
    <mergeCell ref="AG199:AH199"/>
    <mergeCell ref="AI199:AJ199"/>
    <mergeCell ref="AK199:AL199"/>
    <mergeCell ref="AM199:AN199"/>
    <mergeCell ref="AO199:AP199"/>
    <mergeCell ref="AQ199:AR199"/>
    <mergeCell ref="AS199:AT199"/>
    <mergeCell ref="BM199:BN199"/>
    <mergeCell ref="AU201:AV201"/>
    <mergeCell ref="AW201:AX201"/>
    <mergeCell ref="AG201:AH201"/>
    <mergeCell ref="AI201:AJ201"/>
    <mergeCell ref="AK201:AL201"/>
    <mergeCell ref="AM201:AN201"/>
    <mergeCell ref="AO201:AP201"/>
    <mergeCell ref="AQ201:AR201"/>
    <mergeCell ref="AS201:AT201"/>
    <mergeCell ref="BM201:BN201"/>
    <mergeCell ref="AU203:AV203"/>
    <mergeCell ref="AW203:AX203"/>
    <mergeCell ref="AG203:AH203"/>
    <mergeCell ref="AI203:AJ203"/>
    <mergeCell ref="AK203:AL203"/>
    <mergeCell ref="AM203:AN203"/>
    <mergeCell ref="AO203:AP203"/>
    <mergeCell ref="AQ203:AR203"/>
    <mergeCell ref="AS203:AT203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I197:AJ197"/>
    <mergeCell ref="AK197:AL197"/>
    <mergeCell ref="AM197:AN197"/>
    <mergeCell ref="AO197:AP197"/>
    <mergeCell ref="AQ197:AR197"/>
    <mergeCell ref="AS197:AT197"/>
    <mergeCell ref="BI197:BJ197"/>
    <mergeCell ref="BK197:BL197"/>
    <mergeCell ref="BM197:BN197"/>
    <mergeCell ref="BO197:BP197"/>
    <mergeCell ref="AU197:AV197"/>
    <mergeCell ref="AW197:AX197"/>
    <mergeCell ref="AY197:AZ197"/>
    <mergeCell ref="BA197:BB197"/>
    <mergeCell ref="BC197:BD197"/>
    <mergeCell ref="BE197:BF197"/>
    <mergeCell ref="BG197:BH197"/>
    <mergeCell ref="E197:F197"/>
    <mergeCell ref="G197:H197"/>
    <mergeCell ref="I197:J197"/>
    <mergeCell ref="K197:L197"/>
    <mergeCell ref="M197:N197"/>
    <mergeCell ref="O197:P197"/>
    <mergeCell ref="Q197:R197"/>
    <mergeCell ref="BM203:BN203"/>
    <mergeCell ref="BO203:BP203"/>
    <mergeCell ref="AY203:AZ203"/>
    <mergeCell ref="BA203:BB203"/>
    <mergeCell ref="BC203:BD203"/>
    <mergeCell ref="BE203:BF203"/>
    <mergeCell ref="BG203:BH203"/>
    <mergeCell ref="BI203:BJ203"/>
    <mergeCell ref="BK203:BL203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I202:AJ202"/>
    <mergeCell ref="AK202:AL202"/>
    <mergeCell ref="AM202:AN202"/>
    <mergeCell ref="AO202:AP202"/>
    <mergeCell ref="AQ202:AR202"/>
    <mergeCell ref="AS202:AT202"/>
    <mergeCell ref="BI202:BJ202"/>
    <mergeCell ref="BK202:BL202"/>
    <mergeCell ref="BM202:BN202"/>
    <mergeCell ref="BO202:BP202"/>
    <mergeCell ref="E202:F202"/>
    <mergeCell ref="G202:H202"/>
    <mergeCell ref="I202:J202"/>
    <mergeCell ref="K202:L202"/>
    <mergeCell ref="M202:N202"/>
    <mergeCell ref="BO194:BP194"/>
    <mergeCell ref="AY194:AZ194"/>
    <mergeCell ref="BA194:BB194"/>
    <mergeCell ref="BC194:BD194"/>
    <mergeCell ref="BE194:BF194"/>
    <mergeCell ref="BG194:BH194"/>
    <mergeCell ref="BI194:BJ194"/>
    <mergeCell ref="BK194:BL194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I193:AJ193"/>
    <mergeCell ref="AK193:AL193"/>
    <mergeCell ref="AM193:AN193"/>
    <mergeCell ref="AO193:AP193"/>
    <mergeCell ref="AQ193:AR193"/>
    <mergeCell ref="AS193:AT193"/>
    <mergeCell ref="BI193:BJ193"/>
    <mergeCell ref="BK193:BL193"/>
    <mergeCell ref="BM193:BN193"/>
    <mergeCell ref="BO193:BP193"/>
    <mergeCell ref="E193:F193"/>
    <mergeCell ref="G193:H193"/>
    <mergeCell ref="I193:J193"/>
    <mergeCell ref="K193:L193"/>
    <mergeCell ref="M193:N193"/>
    <mergeCell ref="O193:P193"/>
    <mergeCell ref="Q193:R193"/>
    <mergeCell ref="S194:T194"/>
    <mergeCell ref="U194:V194"/>
    <mergeCell ref="W194:X194"/>
    <mergeCell ref="Y194:Z194"/>
    <mergeCell ref="AA194:AB194"/>
    <mergeCell ref="AC194:AD194"/>
    <mergeCell ref="AE194:AF194"/>
    <mergeCell ref="AU193:AV193"/>
    <mergeCell ref="AW193:AX193"/>
    <mergeCell ref="AY193:AZ193"/>
    <mergeCell ref="BA193:BB193"/>
    <mergeCell ref="BC193:BD193"/>
    <mergeCell ref="BE193:BF193"/>
    <mergeCell ref="BG193:BH193"/>
    <mergeCell ref="E194:F194"/>
    <mergeCell ref="G194:H194"/>
    <mergeCell ref="I194:J194"/>
    <mergeCell ref="K194:L194"/>
    <mergeCell ref="M194:N194"/>
    <mergeCell ref="O194:P194"/>
    <mergeCell ref="Q194:R194"/>
    <mergeCell ref="BO192:BP192"/>
    <mergeCell ref="AY192:AZ192"/>
    <mergeCell ref="BA192:BB192"/>
    <mergeCell ref="BC192:BD192"/>
    <mergeCell ref="BE192:BF192"/>
    <mergeCell ref="BG192:BH192"/>
    <mergeCell ref="BI192:BJ192"/>
    <mergeCell ref="BK192:BL192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I191:AJ191"/>
    <mergeCell ref="AK191:AL191"/>
    <mergeCell ref="AM191:AN191"/>
    <mergeCell ref="AO191:AP191"/>
    <mergeCell ref="AQ191:AR191"/>
    <mergeCell ref="AS191:AT191"/>
    <mergeCell ref="BI191:BJ191"/>
    <mergeCell ref="BK191:BL191"/>
    <mergeCell ref="BM191:BN191"/>
    <mergeCell ref="BO191:BP191"/>
    <mergeCell ref="E191:F191"/>
    <mergeCell ref="G191:H191"/>
    <mergeCell ref="I191:J191"/>
    <mergeCell ref="K191:L191"/>
    <mergeCell ref="M191:N191"/>
    <mergeCell ref="O191:P191"/>
    <mergeCell ref="Q191:R191"/>
    <mergeCell ref="S192:T192"/>
    <mergeCell ref="U192:V192"/>
    <mergeCell ref="W192:X192"/>
    <mergeCell ref="Y192:Z192"/>
    <mergeCell ref="AA192:AB192"/>
    <mergeCell ref="AC192:AD192"/>
    <mergeCell ref="AE192:AF192"/>
    <mergeCell ref="AU191:AV191"/>
    <mergeCell ref="AW191:AX191"/>
    <mergeCell ref="AY191:AZ191"/>
    <mergeCell ref="BA191:BB191"/>
    <mergeCell ref="BC191:BD191"/>
    <mergeCell ref="BE191:BF191"/>
    <mergeCell ref="BG191:BH191"/>
    <mergeCell ref="E192:F192"/>
    <mergeCell ref="G192:H192"/>
    <mergeCell ref="I192:J192"/>
    <mergeCell ref="K192:L192"/>
    <mergeCell ref="M192:N192"/>
    <mergeCell ref="O192:P192"/>
    <mergeCell ref="Q192:R192"/>
    <mergeCell ref="O195:P195"/>
    <mergeCell ref="Q195:R195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U195:AV195"/>
    <mergeCell ref="AW195:AX195"/>
    <mergeCell ref="AY195:AZ195"/>
    <mergeCell ref="BA195:BB195"/>
    <mergeCell ref="BC195:BD195"/>
    <mergeCell ref="BE195:BF195"/>
    <mergeCell ref="BG195:BH195"/>
    <mergeCell ref="AU192:AV192"/>
    <mergeCell ref="AW192:AX192"/>
    <mergeCell ref="AG192:AH192"/>
    <mergeCell ref="AI192:AJ192"/>
    <mergeCell ref="AK192:AL192"/>
    <mergeCell ref="AM192:AN192"/>
    <mergeCell ref="AO192:AP192"/>
    <mergeCell ref="AQ192:AR192"/>
    <mergeCell ref="AS192:AT192"/>
    <mergeCell ref="BM192:BN192"/>
    <mergeCell ref="AU194:AV194"/>
    <mergeCell ref="AW194:AX194"/>
    <mergeCell ref="AG194:AH194"/>
    <mergeCell ref="AI194:AJ194"/>
    <mergeCell ref="AK194:AL194"/>
    <mergeCell ref="AM194:AN194"/>
    <mergeCell ref="AO194:AP194"/>
    <mergeCell ref="AQ194:AR194"/>
    <mergeCell ref="AS194:AT194"/>
    <mergeCell ref="BM194:BN194"/>
    <mergeCell ref="AU196:AV196"/>
    <mergeCell ref="AW196:AX196"/>
    <mergeCell ref="AG196:AH196"/>
    <mergeCell ref="AI196:AJ196"/>
    <mergeCell ref="AK196:AL196"/>
    <mergeCell ref="AM196:AN196"/>
    <mergeCell ref="AO196:AP196"/>
    <mergeCell ref="AQ196:AR196"/>
    <mergeCell ref="AS196:AT196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I190:AJ190"/>
    <mergeCell ref="AK190:AL190"/>
    <mergeCell ref="AM190:AN190"/>
    <mergeCell ref="AO190:AP190"/>
    <mergeCell ref="AQ190:AR190"/>
    <mergeCell ref="AS190:AT190"/>
    <mergeCell ref="BI190:BJ190"/>
    <mergeCell ref="BK190:BL190"/>
    <mergeCell ref="BM190:BN190"/>
    <mergeCell ref="BO190:BP190"/>
    <mergeCell ref="AU190:AV190"/>
    <mergeCell ref="AW190:AX190"/>
    <mergeCell ref="AY190:AZ190"/>
    <mergeCell ref="BA190:BB190"/>
    <mergeCell ref="BC190:BD190"/>
    <mergeCell ref="BE190:BF190"/>
    <mergeCell ref="BG190:BH190"/>
    <mergeCell ref="E190:F190"/>
    <mergeCell ref="G190:H190"/>
    <mergeCell ref="I190:J190"/>
    <mergeCell ref="K190:L190"/>
    <mergeCell ref="M190:N190"/>
    <mergeCell ref="O190:P190"/>
    <mergeCell ref="Q190:R190"/>
    <mergeCell ref="BM196:BN196"/>
    <mergeCell ref="BO196:BP196"/>
    <mergeCell ref="AY196:AZ196"/>
    <mergeCell ref="BA196:BB196"/>
    <mergeCell ref="BC196:BD196"/>
    <mergeCell ref="BE196:BF196"/>
    <mergeCell ref="BG196:BH196"/>
    <mergeCell ref="BI196:BJ196"/>
    <mergeCell ref="BK196:BL196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I195:AJ195"/>
    <mergeCell ref="AK195:AL195"/>
    <mergeCell ref="AM195:AN195"/>
    <mergeCell ref="AO195:AP195"/>
    <mergeCell ref="AQ195:AR195"/>
    <mergeCell ref="AS195:AT195"/>
    <mergeCell ref="BI195:BJ195"/>
    <mergeCell ref="BK195:BL195"/>
    <mergeCell ref="BM195:BN195"/>
    <mergeCell ref="BO195:BP195"/>
    <mergeCell ref="E195:F195"/>
    <mergeCell ref="G195:H195"/>
    <mergeCell ref="I195:J195"/>
    <mergeCell ref="K195:L195"/>
    <mergeCell ref="M195:N195"/>
    <mergeCell ref="BO187:BP187"/>
    <mergeCell ref="AY187:AZ187"/>
    <mergeCell ref="BA187:BB187"/>
    <mergeCell ref="BC187:BD187"/>
    <mergeCell ref="BE187:BF187"/>
    <mergeCell ref="BG187:BH187"/>
    <mergeCell ref="BI187:BJ187"/>
    <mergeCell ref="BK187:BL187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I186:AJ186"/>
    <mergeCell ref="AK186:AL186"/>
    <mergeCell ref="AM186:AN186"/>
    <mergeCell ref="AO186:AP186"/>
    <mergeCell ref="AQ186:AR186"/>
    <mergeCell ref="AS186:AT186"/>
    <mergeCell ref="BI186:BJ186"/>
    <mergeCell ref="BK186:BL186"/>
    <mergeCell ref="BM186:BN186"/>
    <mergeCell ref="BO186:BP186"/>
    <mergeCell ref="E186:F186"/>
    <mergeCell ref="G186:H186"/>
    <mergeCell ref="I186:J186"/>
    <mergeCell ref="K186:L186"/>
    <mergeCell ref="M186:N186"/>
    <mergeCell ref="O186:P186"/>
    <mergeCell ref="Q186:R186"/>
    <mergeCell ref="S187:T187"/>
    <mergeCell ref="U187:V187"/>
    <mergeCell ref="W187:X187"/>
    <mergeCell ref="Y187:Z187"/>
    <mergeCell ref="AA187:AB187"/>
    <mergeCell ref="AC187:AD187"/>
    <mergeCell ref="AE187:AF187"/>
    <mergeCell ref="AU186:AV186"/>
    <mergeCell ref="AW186:AX186"/>
    <mergeCell ref="AY186:AZ186"/>
    <mergeCell ref="BA186:BB186"/>
    <mergeCell ref="BC186:BD186"/>
    <mergeCell ref="BE186:BF186"/>
    <mergeCell ref="BG186:BH186"/>
    <mergeCell ref="E187:F187"/>
    <mergeCell ref="G187:H187"/>
    <mergeCell ref="I187:J187"/>
    <mergeCell ref="K187:L187"/>
    <mergeCell ref="M187:N187"/>
    <mergeCell ref="O187:P187"/>
    <mergeCell ref="Q187:R187"/>
    <mergeCell ref="BO185:BP185"/>
    <mergeCell ref="AY185:AZ185"/>
    <mergeCell ref="BA185:BB185"/>
    <mergeCell ref="BC185:BD185"/>
    <mergeCell ref="BE185:BF185"/>
    <mergeCell ref="BG185:BH185"/>
    <mergeCell ref="BI185:BJ185"/>
    <mergeCell ref="BK185:BL185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I184:AJ184"/>
    <mergeCell ref="AK184:AL184"/>
    <mergeCell ref="AM184:AN184"/>
    <mergeCell ref="AO184:AP184"/>
    <mergeCell ref="AQ184:AR184"/>
    <mergeCell ref="AS184:AT184"/>
    <mergeCell ref="BI184:BJ184"/>
    <mergeCell ref="BK184:BL184"/>
    <mergeCell ref="BM184:BN184"/>
    <mergeCell ref="BO184:BP184"/>
    <mergeCell ref="E184:F184"/>
    <mergeCell ref="G184:H184"/>
    <mergeCell ref="I184:J184"/>
    <mergeCell ref="K184:L184"/>
    <mergeCell ref="M184:N184"/>
    <mergeCell ref="O184:P184"/>
    <mergeCell ref="Q184:R184"/>
    <mergeCell ref="S185:T185"/>
    <mergeCell ref="U185:V185"/>
    <mergeCell ref="W185:X185"/>
    <mergeCell ref="Y185:Z185"/>
    <mergeCell ref="AA185:AB185"/>
    <mergeCell ref="AC185:AD185"/>
    <mergeCell ref="AE185:AF185"/>
    <mergeCell ref="AU184:AV184"/>
    <mergeCell ref="AW184:AX184"/>
    <mergeCell ref="AY184:AZ184"/>
    <mergeCell ref="BA184:BB184"/>
    <mergeCell ref="BC184:BD184"/>
    <mergeCell ref="BE184:BF184"/>
    <mergeCell ref="BG184:BH184"/>
    <mergeCell ref="E185:F185"/>
    <mergeCell ref="G185:H185"/>
    <mergeCell ref="I185:J185"/>
    <mergeCell ref="K185:L185"/>
    <mergeCell ref="M185:N185"/>
    <mergeCell ref="O185:P185"/>
    <mergeCell ref="Q185:R185"/>
    <mergeCell ref="O188:P188"/>
    <mergeCell ref="Q188:R188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U188:AV188"/>
    <mergeCell ref="AW188:AX188"/>
    <mergeCell ref="AY188:AZ188"/>
    <mergeCell ref="BA188:BB188"/>
    <mergeCell ref="BC188:BD188"/>
    <mergeCell ref="BE188:BF188"/>
    <mergeCell ref="BG188:BH188"/>
    <mergeCell ref="AU185:AV185"/>
    <mergeCell ref="AW185:AX185"/>
    <mergeCell ref="AG185:AH185"/>
    <mergeCell ref="AI185:AJ185"/>
    <mergeCell ref="AK185:AL185"/>
    <mergeCell ref="AM185:AN185"/>
    <mergeCell ref="AO185:AP185"/>
    <mergeCell ref="AQ185:AR185"/>
    <mergeCell ref="AS185:AT185"/>
    <mergeCell ref="BM185:BN185"/>
    <mergeCell ref="AU187:AV187"/>
    <mergeCell ref="AW187:AX187"/>
    <mergeCell ref="AG187:AH187"/>
    <mergeCell ref="AI187:AJ187"/>
    <mergeCell ref="AK187:AL187"/>
    <mergeCell ref="AM187:AN187"/>
    <mergeCell ref="AO187:AP187"/>
    <mergeCell ref="AQ187:AR187"/>
    <mergeCell ref="AS187:AT187"/>
    <mergeCell ref="BM187:BN187"/>
    <mergeCell ref="AU189:AV189"/>
    <mergeCell ref="AW189:AX189"/>
    <mergeCell ref="AG189:AH189"/>
    <mergeCell ref="AI189:AJ189"/>
    <mergeCell ref="AK189:AL189"/>
    <mergeCell ref="AM189:AN189"/>
    <mergeCell ref="AO189:AP189"/>
    <mergeCell ref="AQ189:AR189"/>
    <mergeCell ref="AS189:AT189"/>
    <mergeCell ref="S183:T183"/>
    <mergeCell ref="U183:V183"/>
    <mergeCell ref="W183:X183"/>
    <mergeCell ref="Y183:Z183"/>
    <mergeCell ref="AA183:AB183"/>
    <mergeCell ref="AC183:AD183"/>
    <mergeCell ref="AE183:AF183"/>
    <mergeCell ref="AG183:AH183"/>
    <mergeCell ref="AI183:AJ183"/>
    <mergeCell ref="AK183:AL183"/>
    <mergeCell ref="AM183:AN183"/>
    <mergeCell ref="AO183:AP183"/>
    <mergeCell ref="AQ183:AR183"/>
    <mergeCell ref="AS183:AT183"/>
    <mergeCell ref="BI183:BJ183"/>
    <mergeCell ref="BK183:BL183"/>
    <mergeCell ref="BM183:BN183"/>
    <mergeCell ref="BO183:BP183"/>
    <mergeCell ref="AU183:AV183"/>
    <mergeCell ref="AW183:AX183"/>
    <mergeCell ref="AY183:AZ183"/>
    <mergeCell ref="BA183:BB183"/>
    <mergeCell ref="BC183:BD183"/>
    <mergeCell ref="BE183:BF183"/>
    <mergeCell ref="BG183:BH183"/>
    <mergeCell ref="E183:F183"/>
    <mergeCell ref="G183:H183"/>
    <mergeCell ref="I183:J183"/>
    <mergeCell ref="K183:L183"/>
    <mergeCell ref="M183:N183"/>
    <mergeCell ref="O183:P183"/>
    <mergeCell ref="Q183:R183"/>
    <mergeCell ref="BM189:BN189"/>
    <mergeCell ref="BO189:BP189"/>
    <mergeCell ref="AY189:AZ189"/>
    <mergeCell ref="BA189:BB189"/>
    <mergeCell ref="BC189:BD189"/>
    <mergeCell ref="BE189:BF189"/>
    <mergeCell ref="BG189:BH189"/>
    <mergeCell ref="BI189:BJ189"/>
    <mergeCell ref="BK189:BL189"/>
    <mergeCell ref="S188:T188"/>
    <mergeCell ref="U188:V188"/>
    <mergeCell ref="W188:X188"/>
    <mergeCell ref="Y188:Z188"/>
    <mergeCell ref="AA188:AB188"/>
    <mergeCell ref="AC188:AD188"/>
    <mergeCell ref="AE188:AF188"/>
    <mergeCell ref="AG188:AH188"/>
    <mergeCell ref="AI188:AJ188"/>
    <mergeCell ref="AK188:AL188"/>
    <mergeCell ref="AM188:AN188"/>
    <mergeCell ref="AO188:AP188"/>
    <mergeCell ref="AQ188:AR188"/>
    <mergeCell ref="AS188:AT188"/>
    <mergeCell ref="BI188:BJ188"/>
    <mergeCell ref="BK188:BL188"/>
    <mergeCell ref="BM188:BN188"/>
    <mergeCell ref="BO188:BP188"/>
    <mergeCell ref="E188:F188"/>
    <mergeCell ref="G188:H188"/>
    <mergeCell ref="I188:J188"/>
    <mergeCell ref="K188:L188"/>
    <mergeCell ref="M188:N188"/>
    <mergeCell ref="BO180:BP180"/>
    <mergeCell ref="AY180:AZ180"/>
    <mergeCell ref="BA180:BB180"/>
    <mergeCell ref="BC180:BD180"/>
    <mergeCell ref="BE180:BF180"/>
    <mergeCell ref="BG180:BH180"/>
    <mergeCell ref="BI180:BJ180"/>
    <mergeCell ref="BK180:BL180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I179:AJ179"/>
    <mergeCell ref="AK179:AL179"/>
    <mergeCell ref="AM179:AN179"/>
    <mergeCell ref="AO179:AP179"/>
    <mergeCell ref="AQ179:AR179"/>
    <mergeCell ref="AS179:AT179"/>
    <mergeCell ref="BI179:BJ179"/>
    <mergeCell ref="BK179:BL179"/>
    <mergeCell ref="BM179:BN179"/>
    <mergeCell ref="BO179:BP179"/>
    <mergeCell ref="E179:F179"/>
    <mergeCell ref="G179:H179"/>
    <mergeCell ref="I179:J179"/>
    <mergeCell ref="K179:L179"/>
    <mergeCell ref="M179:N179"/>
    <mergeCell ref="O179:P179"/>
    <mergeCell ref="Q179:R179"/>
    <mergeCell ref="S180:T180"/>
    <mergeCell ref="U180:V180"/>
    <mergeCell ref="W180:X180"/>
    <mergeCell ref="Y180:Z180"/>
    <mergeCell ref="AA180:AB180"/>
    <mergeCell ref="AC180:AD180"/>
    <mergeCell ref="AE180:AF180"/>
    <mergeCell ref="AU179:AV179"/>
    <mergeCell ref="AW179:AX179"/>
    <mergeCell ref="AY179:AZ179"/>
    <mergeCell ref="BA179:BB179"/>
    <mergeCell ref="BC179:BD179"/>
    <mergeCell ref="BE179:BF179"/>
    <mergeCell ref="BG179:BH179"/>
    <mergeCell ref="E180:F180"/>
    <mergeCell ref="G180:H180"/>
    <mergeCell ref="I180:J180"/>
    <mergeCell ref="K180:L180"/>
    <mergeCell ref="M180:N180"/>
    <mergeCell ref="O180:P180"/>
    <mergeCell ref="Q180:R180"/>
    <mergeCell ref="BO178:BP178"/>
    <mergeCell ref="AY178:AZ178"/>
    <mergeCell ref="BA178:BB178"/>
    <mergeCell ref="BC178:BD178"/>
    <mergeCell ref="BE178:BF178"/>
    <mergeCell ref="BG178:BH178"/>
    <mergeCell ref="BI178:BJ178"/>
    <mergeCell ref="BK178:BL178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I177:AJ177"/>
    <mergeCell ref="AK177:AL177"/>
    <mergeCell ref="AM177:AN177"/>
    <mergeCell ref="AO177:AP177"/>
    <mergeCell ref="AQ177:AR177"/>
    <mergeCell ref="AS177:AT177"/>
    <mergeCell ref="BI177:BJ177"/>
    <mergeCell ref="BK177:BL177"/>
    <mergeCell ref="BM177:BN177"/>
    <mergeCell ref="BO177:BP177"/>
    <mergeCell ref="E177:F177"/>
    <mergeCell ref="G177:H177"/>
    <mergeCell ref="I177:J177"/>
    <mergeCell ref="K177:L177"/>
    <mergeCell ref="M177:N177"/>
    <mergeCell ref="O177:P177"/>
    <mergeCell ref="Q177:R177"/>
    <mergeCell ref="S178:T178"/>
    <mergeCell ref="U178:V178"/>
    <mergeCell ref="W178:X178"/>
    <mergeCell ref="Y178:Z178"/>
    <mergeCell ref="AA178:AB178"/>
    <mergeCell ref="AC178:AD178"/>
    <mergeCell ref="AE178:AF178"/>
    <mergeCell ref="AU177:AV177"/>
    <mergeCell ref="AW177:AX177"/>
    <mergeCell ref="AY177:AZ177"/>
    <mergeCell ref="BA177:BB177"/>
    <mergeCell ref="BC177:BD177"/>
    <mergeCell ref="BE177:BF177"/>
    <mergeCell ref="BG177:BH177"/>
    <mergeCell ref="E178:F178"/>
    <mergeCell ref="G178:H178"/>
    <mergeCell ref="I178:J178"/>
    <mergeCell ref="K178:L178"/>
    <mergeCell ref="M178:N178"/>
    <mergeCell ref="O178:P178"/>
    <mergeCell ref="Q178:R178"/>
    <mergeCell ref="O181:P181"/>
    <mergeCell ref="Q181:R181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U181:AV181"/>
    <mergeCell ref="AW181:AX181"/>
    <mergeCell ref="AY181:AZ181"/>
    <mergeCell ref="BA181:BB181"/>
    <mergeCell ref="BC181:BD181"/>
    <mergeCell ref="BE181:BF181"/>
    <mergeCell ref="BG181:BH181"/>
    <mergeCell ref="AU178:AV178"/>
    <mergeCell ref="AW178:AX178"/>
    <mergeCell ref="AG178:AH178"/>
    <mergeCell ref="AI178:AJ178"/>
    <mergeCell ref="AK178:AL178"/>
    <mergeCell ref="AM178:AN178"/>
    <mergeCell ref="AO178:AP178"/>
    <mergeCell ref="AQ178:AR178"/>
    <mergeCell ref="AS178:AT178"/>
    <mergeCell ref="BM178:BN178"/>
    <mergeCell ref="AU180:AV180"/>
    <mergeCell ref="AW180:AX180"/>
    <mergeCell ref="AG180:AH180"/>
    <mergeCell ref="AI180:AJ180"/>
    <mergeCell ref="AK180:AL180"/>
    <mergeCell ref="AM180:AN180"/>
    <mergeCell ref="AO180:AP180"/>
    <mergeCell ref="AQ180:AR180"/>
    <mergeCell ref="AS180:AT180"/>
    <mergeCell ref="BM180:BN180"/>
    <mergeCell ref="AU182:AV182"/>
    <mergeCell ref="AW182:AX182"/>
    <mergeCell ref="AG182:AH182"/>
    <mergeCell ref="AI182:AJ182"/>
    <mergeCell ref="AK182:AL182"/>
    <mergeCell ref="AM182:AN182"/>
    <mergeCell ref="AO182:AP182"/>
    <mergeCell ref="AQ182:AR182"/>
    <mergeCell ref="AS182:AT182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I176:AJ176"/>
    <mergeCell ref="AK176:AL176"/>
    <mergeCell ref="AM176:AN176"/>
    <mergeCell ref="AO176:AP176"/>
    <mergeCell ref="AQ176:AR176"/>
    <mergeCell ref="AS176:AT176"/>
    <mergeCell ref="BI176:BJ176"/>
    <mergeCell ref="BK176:BL176"/>
    <mergeCell ref="BM176:BN176"/>
    <mergeCell ref="BO176:BP176"/>
    <mergeCell ref="AU176:AV176"/>
    <mergeCell ref="AW176:AX176"/>
    <mergeCell ref="AY176:AZ176"/>
    <mergeCell ref="BA176:BB176"/>
    <mergeCell ref="BC176:BD176"/>
    <mergeCell ref="BE176:BF176"/>
    <mergeCell ref="BG176:BH176"/>
    <mergeCell ref="E176:F176"/>
    <mergeCell ref="G176:H176"/>
    <mergeCell ref="I176:J176"/>
    <mergeCell ref="K176:L176"/>
    <mergeCell ref="M176:N176"/>
    <mergeCell ref="O176:P176"/>
    <mergeCell ref="Q176:R176"/>
    <mergeCell ref="BM182:BN182"/>
    <mergeCell ref="BO182:BP182"/>
    <mergeCell ref="AY182:AZ182"/>
    <mergeCell ref="BA182:BB182"/>
    <mergeCell ref="BC182:BD182"/>
    <mergeCell ref="BE182:BF182"/>
    <mergeCell ref="BG182:BH182"/>
    <mergeCell ref="BI182:BJ182"/>
    <mergeCell ref="BK182:BL182"/>
    <mergeCell ref="S181:T181"/>
    <mergeCell ref="U181:V181"/>
    <mergeCell ref="W181:X181"/>
    <mergeCell ref="Y181:Z181"/>
    <mergeCell ref="AA181:AB181"/>
    <mergeCell ref="AC181:AD181"/>
    <mergeCell ref="AE181:AF181"/>
    <mergeCell ref="AG181:AH181"/>
    <mergeCell ref="AI181:AJ181"/>
    <mergeCell ref="AK181:AL181"/>
    <mergeCell ref="AM181:AN181"/>
    <mergeCell ref="AO181:AP181"/>
    <mergeCell ref="AQ181:AR181"/>
    <mergeCell ref="AS181:AT181"/>
    <mergeCell ref="BI181:BJ181"/>
    <mergeCell ref="BK181:BL181"/>
    <mergeCell ref="BM181:BN181"/>
    <mergeCell ref="BO181:BP181"/>
    <mergeCell ref="E181:F181"/>
    <mergeCell ref="G181:H181"/>
    <mergeCell ref="I181:J181"/>
    <mergeCell ref="K181:L181"/>
    <mergeCell ref="M181:N181"/>
    <mergeCell ref="BO173:BP173"/>
    <mergeCell ref="AY173:AZ173"/>
    <mergeCell ref="BA173:BB173"/>
    <mergeCell ref="BC173:BD173"/>
    <mergeCell ref="BE173:BF173"/>
    <mergeCell ref="BG173:BH173"/>
    <mergeCell ref="BI173:BJ173"/>
    <mergeCell ref="BK173:BL173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I172:AJ172"/>
    <mergeCell ref="AK172:AL172"/>
    <mergeCell ref="AM172:AN172"/>
    <mergeCell ref="AO172:AP172"/>
    <mergeCell ref="AQ172:AR172"/>
    <mergeCell ref="AS172:AT172"/>
    <mergeCell ref="BI172:BJ172"/>
    <mergeCell ref="BK172:BL172"/>
    <mergeCell ref="BM172:BN172"/>
    <mergeCell ref="BO172:BP172"/>
    <mergeCell ref="E172:F172"/>
    <mergeCell ref="G172:H172"/>
    <mergeCell ref="I172:J172"/>
    <mergeCell ref="K172:L172"/>
    <mergeCell ref="M172:N172"/>
    <mergeCell ref="O172:P172"/>
    <mergeCell ref="Q172:R172"/>
    <mergeCell ref="S173:T173"/>
    <mergeCell ref="U173:V173"/>
    <mergeCell ref="W173:X173"/>
    <mergeCell ref="Y173:Z173"/>
    <mergeCell ref="AA173:AB173"/>
    <mergeCell ref="AC173:AD173"/>
    <mergeCell ref="AE173:AF173"/>
    <mergeCell ref="AU172:AV172"/>
    <mergeCell ref="AW172:AX172"/>
    <mergeCell ref="AY172:AZ172"/>
    <mergeCell ref="BA172:BB172"/>
    <mergeCell ref="BC172:BD172"/>
    <mergeCell ref="BE172:BF172"/>
    <mergeCell ref="BG172:BH172"/>
    <mergeCell ref="E173:F173"/>
    <mergeCell ref="G173:H173"/>
    <mergeCell ref="I173:J173"/>
    <mergeCell ref="K173:L173"/>
    <mergeCell ref="M173:N173"/>
    <mergeCell ref="O173:P173"/>
    <mergeCell ref="Q173:R173"/>
    <mergeCell ref="BO171:BP171"/>
    <mergeCell ref="AY171:AZ171"/>
    <mergeCell ref="BA171:BB171"/>
    <mergeCell ref="BC171:BD171"/>
    <mergeCell ref="BE171:BF171"/>
    <mergeCell ref="BG171:BH171"/>
    <mergeCell ref="BI171:BJ171"/>
    <mergeCell ref="BK171:BL171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I170:AJ170"/>
    <mergeCell ref="AK170:AL170"/>
    <mergeCell ref="AM170:AN170"/>
    <mergeCell ref="AO170:AP170"/>
    <mergeCell ref="AQ170:AR170"/>
    <mergeCell ref="AS170:AT170"/>
    <mergeCell ref="BI170:BJ170"/>
    <mergeCell ref="BK170:BL170"/>
    <mergeCell ref="BM170:BN170"/>
    <mergeCell ref="BO170:BP170"/>
    <mergeCell ref="E170:F170"/>
    <mergeCell ref="G170:H170"/>
    <mergeCell ref="I170:J170"/>
    <mergeCell ref="K170:L170"/>
    <mergeCell ref="M170:N170"/>
    <mergeCell ref="O170:P170"/>
    <mergeCell ref="Q170:R170"/>
    <mergeCell ref="S171:T171"/>
    <mergeCell ref="U171:V171"/>
    <mergeCell ref="W171:X171"/>
    <mergeCell ref="Y171:Z171"/>
    <mergeCell ref="AA171:AB171"/>
    <mergeCell ref="AC171:AD171"/>
    <mergeCell ref="AE171:AF171"/>
    <mergeCell ref="AU170:AV170"/>
    <mergeCell ref="AW170:AX170"/>
    <mergeCell ref="AY170:AZ170"/>
    <mergeCell ref="BA170:BB170"/>
    <mergeCell ref="BC170:BD170"/>
    <mergeCell ref="BE170:BF170"/>
    <mergeCell ref="BG170:BH170"/>
    <mergeCell ref="E171:F171"/>
    <mergeCell ref="G171:H171"/>
    <mergeCell ref="I171:J171"/>
    <mergeCell ref="K171:L171"/>
    <mergeCell ref="M171:N171"/>
    <mergeCell ref="O171:P171"/>
    <mergeCell ref="Q171:R171"/>
    <mergeCell ref="O174:P174"/>
    <mergeCell ref="Q174:R174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AC175:AD175"/>
    <mergeCell ref="AE175:AF175"/>
    <mergeCell ref="AU174:AV174"/>
    <mergeCell ref="AW174:AX174"/>
    <mergeCell ref="AY174:AZ174"/>
    <mergeCell ref="BA174:BB174"/>
    <mergeCell ref="BC174:BD174"/>
    <mergeCell ref="BE174:BF174"/>
    <mergeCell ref="BG174:BH174"/>
    <mergeCell ref="AU171:AV171"/>
    <mergeCell ref="AW171:AX171"/>
    <mergeCell ref="AG171:AH171"/>
    <mergeCell ref="AI171:AJ171"/>
    <mergeCell ref="AK171:AL171"/>
    <mergeCell ref="AM171:AN171"/>
    <mergeCell ref="AO171:AP171"/>
    <mergeCell ref="AQ171:AR171"/>
    <mergeCell ref="AS171:AT171"/>
    <mergeCell ref="BM171:BN171"/>
    <mergeCell ref="AU173:AV173"/>
    <mergeCell ref="AW173:AX173"/>
    <mergeCell ref="AG173:AH173"/>
    <mergeCell ref="AI173:AJ173"/>
    <mergeCell ref="AK173:AL173"/>
    <mergeCell ref="AM173:AN173"/>
    <mergeCell ref="AO173:AP173"/>
    <mergeCell ref="AQ173:AR173"/>
    <mergeCell ref="AS173:AT173"/>
    <mergeCell ref="BM173:BN173"/>
    <mergeCell ref="AU175:AV175"/>
    <mergeCell ref="AW175:AX175"/>
    <mergeCell ref="AG175:AH175"/>
    <mergeCell ref="AI175:AJ175"/>
    <mergeCell ref="AK175:AL175"/>
    <mergeCell ref="AM175:AN175"/>
    <mergeCell ref="AO175:AP175"/>
    <mergeCell ref="AQ175:AR175"/>
    <mergeCell ref="AS175:AT175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I169:AJ169"/>
    <mergeCell ref="AK169:AL169"/>
    <mergeCell ref="AM169:AN169"/>
    <mergeCell ref="AO169:AP169"/>
    <mergeCell ref="AQ169:AR169"/>
    <mergeCell ref="AS169:AT169"/>
    <mergeCell ref="BI169:BJ169"/>
    <mergeCell ref="BK169:BL169"/>
    <mergeCell ref="BM169:BN169"/>
    <mergeCell ref="BO169:BP169"/>
    <mergeCell ref="AU169:AV169"/>
    <mergeCell ref="AW169:AX169"/>
    <mergeCell ref="AY169:AZ169"/>
    <mergeCell ref="BA169:BB169"/>
    <mergeCell ref="BC169:BD169"/>
    <mergeCell ref="BE169:BF169"/>
    <mergeCell ref="BG169:BH169"/>
    <mergeCell ref="E169:F169"/>
    <mergeCell ref="G169:H169"/>
    <mergeCell ref="I169:J169"/>
    <mergeCell ref="K169:L169"/>
    <mergeCell ref="M169:N169"/>
    <mergeCell ref="O169:P169"/>
    <mergeCell ref="Q169:R169"/>
    <mergeCell ref="BM175:BN175"/>
    <mergeCell ref="BO175:BP175"/>
    <mergeCell ref="AY175:AZ175"/>
    <mergeCell ref="BA175:BB175"/>
    <mergeCell ref="BC175:BD175"/>
    <mergeCell ref="BE175:BF175"/>
    <mergeCell ref="BG175:BH175"/>
    <mergeCell ref="BI175:BJ175"/>
    <mergeCell ref="BK175:BL175"/>
    <mergeCell ref="S174:T174"/>
    <mergeCell ref="U174:V174"/>
    <mergeCell ref="W174:X174"/>
    <mergeCell ref="Y174:Z174"/>
    <mergeCell ref="AA174:AB174"/>
    <mergeCell ref="AC174:AD174"/>
    <mergeCell ref="AE174:AF174"/>
    <mergeCell ref="AG174:AH174"/>
    <mergeCell ref="AI174:AJ174"/>
    <mergeCell ref="AK174:AL174"/>
    <mergeCell ref="AM174:AN174"/>
    <mergeCell ref="AO174:AP174"/>
    <mergeCell ref="AQ174:AR174"/>
    <mergeCell ref="AS174:AT174"/>
    <mergeCell ref="BI174:BJ174"/>
    <mergeCell ref="BK174:BL174"/>
    <mergeCell ref="BM174:BN174"/>
    <mergeCell ref="BO174:BP174"/>
    <mergeCell ref="E174:F174"/>
    <mergeCell ref="G174:H174"/>
    <mergeCell ref="I174:J174"/>
    <mergeCell ref="K174:L174"/>
    <mergeCell ref="M174:N174"/>
    <mergeCell ref="BO166:BP166"/>
    <mergeCell ref="AY166:AZ166"/>
    <mergeCell ref="BA166:BB166"/>
    <mergeCell ref="BC166:BD166"/>
    <mergeCell ref="BE166:BF166"/>
    <mergeCell ref="BG166:BH166"/>
    <mergeCell ref="BI166:BJ166"/>
    <mergeCell ref="BK166:BL166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I165:AJ165"/>
    <mergeCell ref="AK165:AL165"/>
    <mergeCell ref="AM165:AN165"/>
    <mergeCell ref="AO165:AP165"/>
    <mergeCell ref="AQ165:AR165"/>
    <mergeCell ref="AS165:AT165"/>
    <mergeCell ref="BI165:BJ165"/>
    <mergeCell ref="BK165:BL165"/>
    <mergeCell ref="BM165:BN165"/>
    <mergeCell ref="BO165:BP165"/>
    <mergeCell ref="E165:F165"/>
    <mergeCell ref="G165:H165"/>
    <mergeCell ref="I165:J165"/>
    <mergeCell ref="K165:L165"/>
    <mergeCell ref="M165:N165"/>
    <mergeCell ref="O165:P165"/>
    <mergeCell ref="Q165:R165"/>
    <mergeCell ref="S166:T166"/>
    <mergeCell ref="U166:V166"/>
    <mergeCell ref="W166:X166"/>
    <mergeCell ref="Y166:Z166"/>
    <mergeCell ref="AA166:AB166"/>
    <mergeCell ref="AC166:AD166"/>
    <mergeCell ref="AE166:AF166"/>
    <mergeCell ref="AU165:AV165"/>
    <mergeCell ref="AW165:AX165"/>
    <mergeCell ref="AY165:AZ165"/>
    <mergeCell ref="BA165:BB165"/>
    <mergeCell ref="BC165:BD165"/>
    <mergeCell ref="BE165:BF165"/>
    <mergeCell ref="BG165:BH165"/>
    <mergeCell ref="E166:F166"/>
    <mergeCell ref="G166:H166"/>
    <mergeCell ref="I166:J166"/>
    <mergeCell ref="K166:L166"/>
    <mergeCell ref="M166:N166"/>
    <mergeCell ref="O166:P166"/>
    <mergeCell ref="Q166:R166"/>
    <mergeCell ref="BO164:BP164"/>
    <mergeCell ref="AY164:AZ164"/>
    <mergeCell ref="BA164:BB164"/>
    <mergeCell ref="BC164:BD164"/>
    <mergeCell ref="BE164:BF164"/>
    <mergeCell ref="BG164:BH164"/>
    <mergeCell ref="BI164:BJ164"/>
    <mergeCell ref="BK164:BL164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I163:AJ163"/>
    <mergeCell ref="AK163:AL163"/>
    <mergeCell ref="AM163:AN163"/>
    <mergeCell ref="AO163:AP163"/>
    <mergeCell ref="AQ163:AR163"/>
    <mergeCell ref="AS163:AT163"/>
    <mergeCell ref="BI163:BJ163"/>
    <mergeCell ref="BK163:BL163"/>
    <mergeCell ref="BM163:BN163"/>
    <mergeCell ref="BO163:BP163"/>
    <mergeCell ref="E163:F163"/>
    <mergeCell ref="G163:H163"/>
    <mergeCell ref="I163:J163"/>
    <mergeCell ref="K163:L163"/>
    <mergeCell ref="M163:N163"/>
    <mergeCell ref="O163:P163"/>
    <mergeCell ref="Q163:R163"/>
    <mergeCell ref="S164:T164"/>
    <mergeCell ref="U164:V164"/>
    <mergeCell ref="W164:X164"/>
    <mergeCell ref="Y164:Z164"/>
    <mergeCell ref="AA164:AB164"/>
    <mergeCell ref="AC164:AD164"/>
    <mergeCell ref="AE164:AF164"/>
    <mergeCell ref="AU163:AV163"/>
    <mergeCell ref="AW163:AX163"/>
    <mergeCell ref="AY163:AZ163"/>
    <mergeCell ref="BA163:BB163"/>
    <mergeCell ref="BC163:BD163"/>
    <mergeCell ref="BE163:BF163"/>
    <mergeCell ref="BG163:BH163"/>
    <mergeCell ref="E164:F164"/>
    <mergeCell ref="G164:H164"/>
    <mergeCell ref="I164:J164"/>
    <mergeCell ref="K164:L164"/>
    <mergeCell ref="M164:N164"/>
    <mergeCell ref="O164:P164"/>
    <mergeCell ref="Q164:R164"/>
    <mergeCell ref="O167:P167"/>
    <mergeCell ref="Q167:R167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U167:AV167"/>
    <mergeCell ref="AW167:AX167"/>
    <mergeCell ref="AY167:AZ167"/>
    <mergeCell ref="BA167:BB167"/>
    <mergeCell ref="BC167:BD167"/>
    <mergeCell ref="BE167:BF167"/>
    <mergeCell ref="BG167:BH167"/>
    <mergeCell ref="AU164:AV164"/>
    <mergeCell ref="AW164:AX164"/>
    <mergeCell ref="AG164:AH164"/>
    <mergeCell ref="AI164:AJ164"/>
    <mergeCell ref="AK164:AL164"/>
    <mergeCell ref="AM164:AN164"/>
    <mergeCell ref="AO164:AP164"/>
    <mergeCell ref="AQ164:AR164"/>
    <mergeCell ref="AS164:AT164"/>
    <mergeCell ref="BM164:BN164"/>
    <mergeCell ref="AU166:AV166"/>
    <mergeCell ref="AW166:AX166"/>
    <mergeCell ref="AG166:AH166"/>
    <mergeCell ref="AI166:AJ166"/>
    <mergeCell ref="AK166:AL166"/>
    <mergeCell ref="AM166:AN166"/>
    <mergeCell ref="AO166:AP166"/>
    <mergeCell ref="AQ166:AR166"/>
    <mergeCell ref="AS166:AT166"/>
    <mergeCell ref="BM166:BN166"/>
    <mergeCell ref="AU168:AV168"/>
    <mergeCell ref="AW168:AX168"/>
    <mergeCell ref="AG168:AH168"/>
    <mergeCell ref="AI168:AJ168"/>
    <mergeCell ref="AK168:AL168"/>
    <mergeCell ref="AM168:AN168"/>
    <mergeCell ref="AO168:AP168"/>
    <mergeCell ref="AQ168:AR168"/>
    <mergeCell ref="AS168:AT168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I162:AJ162"/>
    <mergeCell ref="AK162:AL162"/>
    <mergeCell ref="AM162:AN162"/>
    <mergeCell ref="AO162:AP162"/>
    <mergeCell ref="AQ162:AR162"/>
    <mergeCell ref="AS162:AT162"/>
    <mergeCell ref="BI162:BJ162"/>
    <mergeCell ref="BK162:BL162"/>
    <mergeCell ref="BM162:BN162"/>
    <mergeCell ref="BO162:BP162"/>
    <mergeCell ref="AU162:AV162"/>
    <mergeCell ref="AW162:AX162"/>
    <mergeCell ref="AY162:AZ162"/>
    <mergeCell ref="BA162:BB162"/>
    <mergeCell ref="BC162:BD162"/>
    <mergeCell ref="BE162:BF162"/>
    <mergeCell ref="BG162:BH162"/>
    <mergeCell ref="E162:F162"/>
    <mergeCell ref="G162:H162"/>
    <mergeCell ref="I162:J162"/>
    <mergeCell ref="K162:L162"/>
    <mergeCell ref="M162:N162"/>
    <mergeCell ref="O162:P162"/>
    <mergeCell ref="Q162:R162"/>
    <mergeCell ref="BM168:BN168"/>
    <mergeCell ref="BO168:BP168"/>
    <mergeCell ref="AY168:AZ168"/>
    <mergeCell ref="BA168:BB168"/>
    <mergeCell ref="BC168:BD168"/>
    <mergeCell ref="BE168:BF168"/>
    <mergeCell ref="BG168:BH168"/>
    <mergeCell ref="BI168:BJ168"/>
    <mergeCell ref="BK168:BL168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I167:AJ167"/>
    <mergeCell ref="AK167:AL167"/>
    <mergeCell ref="AM167:AN167"/>
    <mergeCell ref="AO167:AP167"/>
    <mergeCell ref="AQ167:AR167"/>
    <mergeCell ref="AS167:AT167"/>
    <mergeCell ref="BI167:BJ167"/>
    <mergeCell ref="BK167:BL167"/>
    <mergeCell ref="BM167:BN167"/>
    <mergeCell ref="BO167:BP167"/>
    <mergeCell ref="E167:F167"/>
    <mergeCell ref="G167:H167"/>
    <mergeCell ref="I167:J167"/>
    <mergeCell ref="K167:L167"/>
    <mergeCell ref="M167:N167"/>
    <mergeCell ref="BO159:BP159"/>
    <mergeCell ref="AY159:AZ159"/>
    <mergeCell ref="BA159:BB159"/>
    <mergeCell ref="BC159:BD159"/>
    <mergeCell ref="BE159:BF159"/>
    <mergeCell ref="BG159:BH159"/>
    <mergeCell ref="BI159:BJ159"/>
    <mergeCell ref="BK159:BL159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I158:AJ158"/>
    <mergeCell ref="AK158:AL158"/>
    <mergeCell ref="AM158:AN158"/>
    <mergeCell ref="AO158:AP158"/>
    <mergeCell ref="AQ158:AR158"/>
    <mergeCell ref="AS158:AT158"/>
    <mergeCell ref="BI158:BJ158"/>
    <mergeCell ref="BK158:BL158"/>
    <mergeCell ref="BM158:BN158"/>
    <mergeCell ref="BO158:BP158"/>
    <mergeCell ref="E158:F158"/>
    <mergeCell ref="G158:H158"/>
    <mergeCell ref="I158:J158"/>
    <mergeCell ref="K158:L158"/>
    <mergeCell ref="M158:N158"/>
    <mergeCell ref="O158:P158"/>
    <mergeCell ref="Q158:R158"/>
    <mergeCell ref="S159:T159"/>
    <mergeCell ref="U159:V159"/>
    <mergeCell ref="W159:X159"/>
    <mergeCell ref="Y159:Z159"/>
    <mergeCell ref="AA159:AB159"/>
    <mergeCell ref="AC159:AD159"/>
    <mergeCell ref="AE159:AF159"/>
    <mergeCell ref="AU158:AV158"/>
    <mergeCell ref="AW158:AX158"/>
    <mergeCell ref="AY158:AZ158"/>
    <mergeCell ref="BA158:BB158"/>
    <mergeCell ref="BC158:BD158"/>
    <mergeCell ref="BE158:BF158"/>
    <mergeCell ref="BG158:BH158"/>
    <mergeCell ref="E159:F159"/>
    <mergeCell ref="G159:H159"/>
    <mergeCell ref="I159:J159"/>
    <mergeCell ref="K159:L159"/>
    <mergeCell ref="M159:N159"/>
    <mergeCell ref="O159:P159"/>
    <mergeCell ref="Q159:R159"/>
    <mergeCell ref="BO157:BP157"/>
    <mergeCell ref="AY157:AZ157"/>
    <mergeCell ref="BA157:BB157"/>
    <mergeCell ref="BC157:BD157"/>
    <mergeCell ref="BE157:BF157"/>
    <mergeCell ref="BG157:BH157"/>
    <mergeCell ref="BI157:BJ157"/>
    <mergeCell ref="BK157:BL157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I156:AJ156"/>
    <mergeCell ref="AK156:AL156"/>
    <mergeCell ref="AM156:AN156"/>
    <mergeCell ref="AO156:AP156"/>
    <mergeCell ref="AQ156:AR156"/>
    <mergeCell ref="AS156:AT156"/>
    <mergeCell ref="BI156:BJ156"/>
    <mergeCell ref="BK156:BL156"/>
    <mergeCell ref="BM156:BN156"/>
    <mergeCell ref="BO156:BP156"/>
    <mergeCell ref="E156:F156"/>
    <mergeCell ref="G156:H156"/>
    <mergeCell ref="I156:J156"/>
    <mergeCell ref="K156:L156"/>
    <mergeCell ref="M156:N156"/>
    <mergeCell ref="O156:P156"/>
    <mergeCell ref="Q156:R156"/>
    <mergeCell ref="S157:T157"/>
    <mergeCell ref="U157:V157"/>
    <mergeCell ref="W157:X157"/>
    <mergeCell ref="Y157:Z157"/>
    <mergeCell ref="AA157:AB157"/>
    <mergeCell ref="AC157:AD157"/>
    <mergeCell ref="AE157:AF157"/>
    <mergeCell ref="AU156:AV156"/>
    <mergeCell ref="AW156:AX156"/>
    <mergeCell ref="AY156:AZ156"/>
    <mergeCell ref="BA156:BB156"/>
    <mergeCell ref="BC156:BD156"/>
    <mergeCell ref="BE156:BF156"/>
    <mergeCell ref="BG156:BH156"/>
    <mergeCell ref="E157:F157"/>
    <mergeCell ref="G157:H157"/>
    <mergeCell ref="I157:J157"/>
    <mergeCell ref="K157:L157"/>
    <mergeCell ref="M157:N157"/>
    <mergeCell ref="O157:P157"/>
    <mergeCell ref="Q157:R157"/>
    <mergeCell ref="O160:P160"/>
    <mergeCell ref="Q160:R160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U160:AV160"/>
    <mergeCell ref="AW160:AX160"/>
    <mergeCell ref="AY160:AZ160"/>
    <mergeCell ref="BA160:BB160"/>
    <mergeCell ref="BC160:BD160"/>
    <mergeCell ref="BE160:BF160"/>
    <mergeCell ref="BG160:BH160"/>
    <mergeCell ref="AU157:AV157"/>
    <mergeCell ref="AW157:AX157"/>
    <mergeCell ref="AG157:AH157"/>
    <mergeCell ref="AI157:AJ157"/>
    <mergeCell ref="AK157:AL157"/>
    <mergeCell ref="AM157:AN157"/>
    <mergeCell ref="AO157:AP157"/>
    <mergeCell ref="AQ157:AR157"/>
    <mergeCell ref="AS157:AT157"/>
    <mergeCell ref="BM157:BN157"/>
    <mergeCell ref="AU159:AV159"/>
    <mergeCell ref="AW159:AX159"/>
    <mergeCell ref="AG159:AH159"/>
    <mergeCell ref="AI159:AJ159"/>
    <mergeCell ref="AK159:AL159"/>
    <mergeCell ref="AM159:AN159"/>
    <mergeCell ref="AO159:AP159"/>
    <mergeCell ref="AQ159:AR159"/>
    <mergeCell ref="AS159:AT159"/>
    <mergeCell ref="BM159:BN159"/>
    <mergeCell ref="AU161:AV161"/>
    <mergeCell ref="AW161:AX161"/>
    <mergeCell ref="AG161:AH161"/>
    <mergeCell ref="AI161:AJ161"/>
    <mergeCell ref="AK161:AL161"/>
    <mergeCell ref="AM161:AN161"/>
    <mergeCell ref="AO161:AP161"/>
    <mergeCell ref="AQ161:AR161"/>
    <mergeCell ref="AS161:AT161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I155:AJ155"/>
    <mergeCell ref="AK155:AL155"/>
    <mergeCell ref="AM155:AN155"/>
    <mergeCell ref="AO155:AP155"/>
    <mergeCell ref="AQ155:AR155"/>
    <mergeCell ref="AS155:AT155"/>
    <mergeCell ref="BI155:BJ155"/>
    <mergeCell ref="BK155:BL155"/>
    <mergeCell ref="BM155:BN155"/>
    <mergeCell ref="BO155:BP155"/>
    <mergeCell ref="AU155:AV155"/>
    <mergeCell ref="AW155:AX155"/>
    <mergeCell ref="AY155:AZ155"/>
    <mergeCell ref="BA155:BB155"/>
    <mergeCell ref="BC155:BD155"/>
    <mergeCell ref="BE155:BF155"/>
    <mergeCell ref="BG155:BH155"/>
    <mergeCell ref="E155:F155"/>
    <mergeCell ref="G155:H155"/>
    <mergeCell ref="I155:J155"/>
    <mergeCell ref="K155:L155"/>
    <mergeCell ref="M155:N155"/>
    <mergeCell ref="O155:P155"/>
    <mergeCell ref="Q155:R155"/>
    <mergeCell ref="BM161:BN161"/>
    <mergeCell ref="BO161:BP161"/>
    <mergeCell ref="AY161:AZ161"/>
    <mergeCell ref="BA161:BB161"/>
    <mergeCell ref="BC161:BD161"/>
    <mergeCell ref="BE161:BF161"/>
    <mergeCell ref="BG161:BH161"/>
    <mergeCell ref="BI161:BJ161"/>
    <mergeCell ref="BK161:BL161"/>
    <mergeCell ref="S160:T160"/>
    <mergeCell ref="U160:V160"/>
    <mergeCell ref="W160:X160"/>
    <mergeCell ref="Y160:Z160"/>
    <mergeCell ref="AA160:AB160"/>
    <mergeCell ref="AC160:AD160"/>
    <mergeCell ref="AE160:AF160"/>
    <mergeCell ref="AG160:AH160"/>
    <mergeCell ref="AI160:AJ160"/>
    <mergeCell ref="AK160:AL160"/>
    <mergeCell ref="AM160:AN160"/>
    <mergeCell ref="AO160:AP160"/>
    <mergeCell ref="AQ160:AR160"/>
    <mergeCell ref="AS160:AT160"/>
    <mergeCell ref="BI160:BJ160"/>
    <mergeCell ref="BK160:BL160"/>
    <mergeCell ref="BM160:BN160"/>
    <mergeCell ref="BO160:BP160"/>
    <mergeCell ref="E160:F160"/>
    <mergeCell ref="G160:H160"/>
    <mergeCell ref="I160:J160"/>
    <mergeCell ref="K160:L160"/>
    <mergeCell ref="M160:N160"/>
    <mergeCell ref="BO152:BP152"/>
    <mergeCell ref="AY152:AZ152"/>
    <mergeCell ref="BA152:BB152"/>
    <mergeCell ref="BC152:BD152"/>
    <mergeCell ref="BE152:BF152"/>
    <mergeCell ref="BG152:BH152"/>
    <mergeCell ref="BI152:BJ152"/>
    <mergeCell ref="BK152:BL152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I151:AJ151"/>
    <mergeCell ref="AK151:AL151"/>
    <mergeCell ref="AM151:AN151"/>
    <mergeCell ref="AO151:AP151"/>
    <mergeCell ref="AQ151:AR151"/>
    <mergeCell ref="AS151:AT151"/>
    <mergeCell ref="BI151:BJ151"/>
    <mergeCell ref="BK151:BL151"/>
    <mergeCell ref="BM151:BN151"/>
    <mergeCell ref="BO151:BP151"/>
    <mergeCell ref="E151:F151"/>
    <mergeCell ref="G151:H151"/>
    <mergeCell ref="I151:J151"/>
    <mergeCell ref="K151:L151"/>
    <mergeCell ref="M151:N151"/>
    <mergeCell ref="O151:P151"/>
    <mergeCell ref="Q151:R151"/>
    <mergeCell ref="S152:T152"/>
    <mergeCell ref="U152:V152"/>
    <mergeCell ref="W152:X152"/>
    <mergeCell ref="Y152:Z152"/>
    <mergeCell ref="AA152:AB152"/>
    <mergeCell ref="AC152:AD152"/>
    <mergeCell ref="AE152:AF152"/>
    <mergeCell ref="AU151:AV151"/>
    <mergeCell ref="AW151:AX151"/>
    <mergeCell ref="AY151:AZ151"/>
    <mergeCell ref="BA151:BB151"/>
    <mergeCell ref="BC151:BD151"/>
    <mergeCell ref="BE151:BF151"/>
    <mergeCell ref="BG151:BH151"/>
    <mergeCell ref="E152:F152"/>
    <mergeCell ref="G152:H152"/>
    <mergeCell ref="I152:J152"/>
    <mergeCell ref="K152:L152"/>
    <mergeCell ref="M152:N152"/>
    <mergeCell ref="O152:P152"/>
    <mergeCell ref="Q152:R152"/>
    <mergeCell ref="BO150:BP150"/>
    <mergeCell ref="AY150:AZ150"/>
    <mergeCell ref="BA150:BB150"/>
    <mergeCell ref="BC150:BD150"/>
    <mergeCell ref="BE150:BF150"/>
    <mergeCell ref="BG150:BH150"/>
    <mergeCell ref="BI150:BJ150"/>
    <mergeCell ref="BK150:BL150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I149:AJ149"/>
    <mergeCell ref="AK149:AL149"/>
    <mergeCell ref="AM149:AN149"/>
    <mergeCell ref="AO149:AP149"/>
    <mergeCell ref="AQ149:AR149"/>
    <mergeCell ref="AS149:AT149"/>
    <mergeCell ref="BI149:BJ149"/>
    <mergeCell ref="BK149:BL149"/>
    <mergeCell ref="BM149:BN149"/>
    <mergeCell ref="BO149:BP149"/>
    <mergeCell ref="E149:F149"/>
    <mergeCell ref="G149:H149"/>
    <mergeCell ref="I149:J149"/>
    <mergeCell ref="K149:L149"/>
    <mergeCell ref="M149:N149"/>
    <mergeCell ref="O149:P149"/>
    <mergeCell ref="Q149:R149"/>
    <mergeCell ref="S150:T150"/>
    <mergeCell ref="U150:V150"/>
    <mergeCell ref="W150:X150"/>
    <mergeCell ref="Y150:Z150"/>
    <mergeCell ref="AA150:AB150"/>
    <mergeCell ref="AC150:AD150"/>
    <mergeCell ref="AE150:AF150"/>
    <mergeCell ref="AU149:AV149"/>
    <mergeCell ref="AW149:AX149"/>
    <mergeCell ref="AY149:AZ149"/>
    <mergeCell ref="BA149:BB149"/>
    <mergeCell ref="BC149:BD149"/>
    <mergeCell ref="BE149:BF149"/>
    <mergeCell ref="BG149:BH149"/>
    <mergeCell ref="E150:F150"/>
    <mergeCell ref="G150:H150"/>
    <mergeCell ref="I150:J150"/>
    <mergeCell ref="K150:L150"/>
    <mergeCell ref="M150:N150"/>
    <mergeCell ref="O150:P150"/>
    <mergeCell ref="Q150:R150"/>
    <mergeCell ref="O153:P153"/>
    <mergeCell ref="Q153:R153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U153:AV153"/>
    <mergeCell ref="AW153:AX153"/>
    <mergeCell ref="AY153:AZ153"/>
    <mergeCell ref="BA153:BB153"/>
    <mergeCell ref="BC153:BD153"/>
    <mergeCell ref="BE153:BF153"/>
    <mergeCell ref="BG153:BH153"/>
    <mergeCell ref="AU150:AV150"/>
    <mergeCell ref="AW150:AX150"/>
    <mergeCell ref="AG150:AH150"/>
    <mergeCell ref="AI150:AJ150"/>
    <mergeCell ref="AK150:AL150"/>
    <mergeCell ref="AM150:AN150"/>
    <mergeCell ref="AO150:AP150"/>
    <mergeCell ref="AQ150:AR150"/>
    <mergeCell ref="AS150:AT150"/>
    <mergeCell ref="BM150:BN150"/>
    <mergeCell ref="AU152:AV152"/>
    <mergeCell ref="AW152:AX152"/>
    <mergeCell ref="AG152:AH152"/>
    <mergeCell ref="AI152:AJ152"/>
    <mergeCell ref="AK152:AL152"/>
    <mergeCell ref="AM152:AN152"/>
    <mergeCell ref="AO152:AP152"/>
    <mergeCell ref="AQ152:AR152"/>
    <mergeCell ref="AS152:AT152"/>
    <mergeCell ref="BM152:BN152"/>
    <mergeCell ref="AU154:AV154"/>
    <mergeCell ref="AW154:AX154"/>
    <mergeCell ref="AG154:AH154"/>
    <mergeCell ref="AI154:AJ154"/>
    <mergeCell ref="AK154:AL154"/>
    <mergeCell ref="AM154:AN154"/>
    <mergeCell ref="AO154:AP154"/>
    <mergeCell ref="AQ154:AR154"/>
    <mergeCell ref="AS154:AT154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I148:AJ148"/>
    <mergeCell ref="AK148:AL148"/>
    <mergeCell ref="AM148:AN148"/>
    <mergeCell ref="AO148:AP148"/>
    <mergeCell ref="AQ148:AR148"/>
    <mergeCell ref="AS148:AT148"/>
    <mergeCell ref="BI148:BJ148"/>
    <mergeCell ref="BK148:BL148"/>
    <mergeCell ref="BM148:BN148"/>
    <mergeCell ref="BO148:BP148"/>
    <mergeCell ref="AU148:AV148"/>
    <mergeCell ref="AW148:AX148"/>
    <mergeCell ref="AY148:AZ148"/>
    <mergeCell ref="BA148:BB148"/>
    <mergeCell ref="BC148:BD148"/>
    <mergeCell ref="BE148:BF148"/>
    <mergeCell ref="BG148:BH148"/>
    <mergeCell ref="E148:F148"/>
    <mergeCell ref="G148:H148"/>
    <mergeCell ref="I148:J148"/>
    <mergeCell ref="K148:L148"/>
    <mergeCell ref="M148:N148"/>
    <mergeCell ref="O148:P148"/>
    <mergeCell ref="Q148:R148"/>
    <mergeCell ref="BM154:BN154"/>
    <mergeCell ref="BO154:BP154"/>
    <mergeCell ref="AY154:AZ154"/>
    <mergeCell ref="BA154:BB154"/>
    <mergeCell ref="BC154:BD154"/>
    <mergeCell ref="BE154:BF154"/>
    <mergeCell ref="BG154:BH154"/>
    <mergeCell ref="BI154:BJ154"/>
    <mergeCell ref="BK154:BL154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I153:AJ153"/>
    <mergeCell ref="AK153:AL153"/>
    <mergeCell ref="AM153:AN153"/>
    <mergeCell ref="AO153:AP153"/>
    <mergeCell ref="AQ153:AR153"/>
    <mergeCell ref="AS153:AT153"/>
    <mergeCell ref="BI153:BJ153"/>
    <mergeCell ref="BK153:BL153"/>
    <mergeCell ref="BM153:BN153"/>
    <mergeCell ref="BO153:BP153"/>
    <mergeCell ref="E153:F153"/>
    <mergeCell ref="G153:H153"/>
    <mergeCell ref="I153:J153"/>
    <mergeCell ref="K153:L153"/>
    <mergeCell ref="M153:N153"/>
    <mergeCell ref="BO145:BP145"/>
    <mergeCell ref="AY145:AZ145"/>
    <mergeCell ref="BA145:BB145"/>
    <mergeCell ref="BC145:BD145"/>
    <mergeCell ref="BE145:BF145"/>
    <mergeCell ref="BG145:BH145"/>
    <mergeCell ref="BI145:BJ145"/>
    <mergeCell ref="BK145:BL145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I144:AJ144"/>
    <mergeCell ref="AK144:AL144"/>
    <mergeCell ref="AM144:AN144"/>
    <mergeCell ref="AO144:AP144"/>
    <mergeCell ref="AQ144:AR144"/>
    <mergeCell ref="AS144:AT144"/>
    <mergeCell ref="BI144:BJ144"/>
    <mergeCell ref="BK144:BL144"/>
    <mergeCell ref="BM144:BN144"/>
    <mergeCell ref="BO144:BP144"/>
    <mergeCell ref="E144:F144"/>
    <mergeCell ref="G144:H144"/>
    <mergeCell ref="I144:J144"/>
    <mergeCell ref="K144:L144"/>
    <mergeCell ref="M144:N144"/>
    <mergeCell ref="O144:P144"/>
    <mergeCell ref="Q144:R144"/>
    <mergeCell ref="S145:T145"/>
    <mergeCell ref="U145:V145"/>
    <mergeCell ref="W145:X145"/>
    <mergeCell ref="Y145:Z145"/>
    <mergeCell ref="AA145:AB145"/>
    <mergeCell ref="AC145:AD145"/>
    <mergeCell ref="AE145:AF145"/>
    <mergeCell ref="AU144:AV144"/>
    <mergeCell ref="AW144:AX144"/>
    <mergeCell ref="AY144:AZ144"/>
    <mergeCell ref="BA144:BB144"/>
    <mergeCell ref="BC144:BD144"/>
    <mergeCell ref="BE144:BF144"/>
    <mergeCell ref="BG144:BH144"/>
    <mergeCell ref="E145:F145"/>
    <mergeCell ref="G145:H145"/>
    <mergeCell ref="I145:J145"/>
    <mergeCell ref="K145:L145"/>
    <mergeCell ref="M145:N145"/>
    <mergeCell ref="O145:P145"/>
    <mergeCell ref="Q145:R145"/>
    <mergeCell ref="BO143:BP143"/>
    <mergeCell ref="AY143:AZ143"/>
    <mergeCell ref="BA143:BB143"/>
    <mergeCell ref="BC143:BD143"/>
    <mergeCell ref="BE143:BF143"/>
    <mergeCell ref="BG143:BH143"/>
    <mergeCell ref="BI143:BJ143"/>
    <mergeCell ref="BK143:BL143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I142:AJ142"/>
    <mergeCell ref="AK142:AL142"/>
    <mergeCell ref="AM142:AN142"/>
    <mergeCell ref="AO142:AP142"/>
    <mergeCell ref="AQ142:AR142"/>
    <mergeCell ref="AS142:AT142"/>
    <mergeCell ref="BI142:BJ142"/>
    <mergeCell ref="BK142:BL142"/>
    <mergeCell ref="BM142:BN142"/>
    <mergeCell ref="BO142:BP142"/>
    <mergeCell ref="E142:F142"/>
    <mergeCell ref="G142:H142"/>
    <mergeCell ref="I142:J142"/>
    <mergeCell ref="K142:L142"/>
    <mergeCell ref="M142:N142"/>
    <mergeCell ref="O142:P142"/>
    <mergeCell ref="Q142:R142"/>
    <mergeCell ref="S143:T143"/>
    <mergeCell ref="U143:V143"/>
    <mergeCell ref="W143:X143"/>
    <mergeCell ref="Y143:Z143"/>
    <mergeCell ref="AA143:AB143"/>
    <mergeCell ref="AC143:AD143"/>
    <mergeCell ref="AE143:AF143"/>
    <mergeCell ref="AU142:AV142"/>
    <mergeCell ref="AW142:AX142"/>
    <mergeCell ref="AY142:AZ142"/>
    <mergeCell ref="BA142:BB142"/>
    <mergeCell ref="BC142:BD142"/>
    <mergeCell ref="BE142:BF142"/>
    <mergeCell ref="BG142:BH142"/>
    <mergeCell ref="E143:F143"/>
    <mergeCell ref="G143:H143"/>
    <mergeCell ref="I143:J143"/>
    <mergeCell ref="K143:L143"/>
    <mergeCell ref="M143:N143"/>
    <mergeCell ref="O143:P143"/>
    <mergeCell ref="Q143:R143"/>
    <mergeCell ref="O146:P146"/>
    <mergeCell ref="Q146:R146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U146:AV146"/>
    <mergeCell ref="AW146:AX146"/>
    <mergeCell ref="AY146:AZ146"/>
    <mergeCell ref="BA146:BB146"/>
    <mergeCell ref="BC146:BD146"/>
    <mergeCell ref="BE146:BF146"/>
    <mergeCell ref="BG146:BH146"/>
    <mergeCell ref="AU143:AV143"/>
    <mergeCell ref="AW143:AX143"/>
    <mergeCell ref="AG143:AH143"/>
    <mergeCell ref="AI143:AJ143"/>
    <mergeCell ref="AK143:AL143"/>
    <mergeCell ref="AM143:AN143"/>
    <mergeCell ref="AO143:AP143"/>
    <mergeCell ref="AQ143:AR143"/>
    <mergeCell ref="AS143:AT143"/>
    <mergeCell ref="BM143:BN143"/>
    <mergeCell ref="AU145:AV145"/>
    <mergeCell ref="AW145:AX145"/>
    <mergeCell ref="AG145:AH145"/>
    <mergeCell ref="AI145:AJ145"/>
    <mergeCell ref="AK145:AL145"/>
    <mergeCell ref="AM145:AN145"/>
    <mergeCell ref="AO145:AP145"/>
    <mergeCell ref="AQ145:AR145"/>
    <mergeCell ref="AS145:AT145"/>
    <mergeCell ref="BM145:BN145"/>
    <mergeCell ref="AU147:AV147"/>
    <mergeCell ref="AW147:AX147"/>
    <mergeCell ref="AG147:AH147"/>
    <mergeCell ref="AI147:AJ147"/>
    <mergeCell ref="AK147:AL147"/>
    <mergeCell ref="AM147:AN147"/>
    <mergeCell ref="AO147:AP147"/>
    <mergeCell ref="AQ147:AR147"/>
    <mergeCell ref="AS147:AT147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I141:AJ141"/>
    <mergeCell ref="AK141:AL141"/>
    <mergeCell ref="AM141:AN141"/>
    <mergeCell ref="AO141:AP141"/>
    <mergeCell ref="AQ141:AR141"/>
    <mergeCell ref="AS141:AT141"/>
    <mergeCell ref="BI141:BJ141"/>
    <mergeCell ref="BK141:BL141"/>
    <mergeCell ref="BM141:BN141"/>
    <mergeCell ref="BO141:BP141"/>
    <mergeCell ref="AU141:AV141"/>
    <mergeCell ref="AW141:AX141"/>
    <mergeCell ref="AY141:AZ141"/>
    <mergeCell ref="BA141:BB141"/>
    <mergeCell ref="BC141:BD141"/>
    <mergeCell ref="BE141:BF141"/>
    <mergeCell ref="BG141:BH141"/>
    <mergeCell ref="E141:F141"/>
    <mergeCell ref="G141:H141"/>
    <mergeCell ref="I141:J141"/>
    <mergeCell ref="K141:L141"/>
    <mergeCell ref="M141:N141"/>
    <mergeCell ref="O141:P141"/>
    <mergeCell ref="Q141:R141"/>
    <mergeCell ref="BM147:BN147"/>
    <mergeCell ref="BO147:BP147"/>
    <mergeCell ref="AY147:AZ147"/>
    <mergeCell ref="BA147:BB147"/>
    <mergeCell ref="BC147:BD147"/>
    <mergeCell ref="BE147:BF147"/>
    <mergeCell ref="BG147:BH147"/>
    <mergeCell ref="BI147:BJ147"/>
    <mergeCell ref="BK147:BL147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I146:AJ146"/>
    <mergeCell ref="AK146:AL146"/>
    <mergeCell ref="AM146:AN146"/>
    <mergeCell ref="AO146:AP146"/>
    <mergeCell ref="AQ146:AR146"/>
    <mergeCell ref="AS146:AT146"/>
    <mergeCell ref="BI146:BJ146"/>
    <mergeCell ref="BK146:BL146"/>
    <mergeCell ref="BM146:BN146"/>
    <mergeCell ref="BO146:BP146"/>
    <mergeCell ref="E146:F146"/>
    <mergeCell ref="G146:H146"/>
    <mergeCell ref="I146:J146"/>
    <mergeCell ref="K146:L146"/>
    <mergeCell ref="M146:N146"/>
    <mergeCell ref="BO138:BP138"/>
    <mergeCell ref="AY138:AZ138"/>
    <mergeCell ref="BA138:BB138"/>
    <mergeCell ref="BC138:BD138"/>
    <mergeCell ref="BE138:BF138"/>
    <mergeCell ref="BG138:BH138"/>
    <mergeCell ref="BI138:BJ138"/>
    <mergeCell ref="BK138:BL138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I137:AJ137"/>
    <mergeCell ref="AK137:AL137"/>
    <mergeCell ref="AM137:AN137"/>
    <mergeCell ref="AO137:AP137"/>
    <mergeCell ref="AQ137:AR137"/>
    <mergeCell ref="AS137:AT137"/>
    <mergeCell ref="BI137:BJ137"/>
    <mergeCell ref="BK137:BL137"/>
    <mergeCell ref="BM137:BN137"/>
    <mergeCell ref="BO137:BP137"/>
    <mergeCell ref="E137:F137"/>
    <mergeCell ref="G137:H137"/>
    <mergeCell ref="I137:J137"/>
    <mergeCell ref="K137:L137"/>
    <mergeCell ref="M137:N137"/>
    <mergeCell ref="O137:P137"/>
    <mergeCell ref="Q137:R137"/>
    <mergeCell ref="S138:T138"/>
    <mergeCell ref="U138:V138"/>
    <mergeCell ref="W138:X138"/>
    <mergeCell ref="Y138:Z138"/>
    <mergeCell ref="AA138:AB138"/>
    <mergeCell ref="AC138:AD138"/>
    <mergeCell ref="AE138:AF138"/>
    <mergeCell ref="AU137:AV137"/>
    <mergeCell ref="AW137:AX137"/>
    <mergeCell ref="AY137:AZ137"/>
    <mergeCell ref="BA137:BB137"/>
    <mergeCell ref="BC137:BD137"/>
    <mergeCell ref="BE137:BF137"/>
    <mergeCell ref="BG137:BH137"/>
    <mergeCell ref="E138:F138"/>
    <mergeCell ref="G138:H138"/>
    <mergeCell ref="I138:J138"/>
    <mergeCell ref="K138:L138"/>
    <mergeCell ref="M138:N138"/>
    <mergeCell ref="O138:P138"/>
    <mergeCell ref="Q138:R138"/>
    <mergeCell ref="BO136:BP136"/>
    <mergeCell ref="AY136:AZ136"/>
    <mergeCell ref="BA136:BB136"/>
    <mergeCell ref="BC136:BD136"/>
    <mergeCell ref="BE136:BF136"/>
    <mergeCell ref="BG136:BH136"/>
    <mergeCell ref="BI136:BJ136"/>
    <mergeCell ref="BK136:BL136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I135:AJ135"/>
    <mergeCell ref="AK135:AL135"/>
    <mergeCell ref="AM135:AN135"/>
    <mergeCell ref="AO135:AP135"/>
    <mergeCell ref="AQ135:AR135"/>
    <mergeCell ref="AS135:AT135"/>
    <mergeCell ref="BI135:BJ135"/>
    <mergeCell ref="BK135:BL135"/>
    <mergeCell ref="BM135:BN135"/>
    <mergeCell ref="BO135:BP135"/>
    <mergeCell ref="E135:F135"/>
    <mergeCell ref="G135:H135"/>
    <mergeCell ref="I135:J135"/>
    <mergeCell ref="K135:L135"/>
    <mergeCell ref="M135:N135"/>
    <mergeCell ref="O135:P135"/>
    <mergeCell ref="Q135:R135"/>
    <mergeCell ref="S136:T136"/>
    <mergeCell ref="U136:V136"/>
    <mergeCell ref="W136:X136"/>
    <mergeCell ref="Y136:Z136"/>
    <mergeCell ref="AA136:AB136"/>
    <mergeCell ref="AC136:AD136"/>
    <mergeCell ref="AE136:AF136"/>
    <mergeCell ref="AU135:AV135"/>
    <mergeCell ref="AW135:AX135"/>
    <mergeCell ref="AY135:AZ135"/>
    <mergeCell ref="BA135:BB135"/>
    <mergeCell ref="BC135:BD135"/>
    <mergeCell ref="BE135:BF135"/>
    <mergeCell ref="BG135:BH135"/>
    <mergeCell ref="E136:F136"/>
    <mergeCell ref="G136:H136"/>
    <mergeCell ref="I136:J136"/>
    <mergeCell ref="K136:L136"/>
    <mergeCell ref="M136:N136"/>
    <mergeCell ref="O136:P136"/>
    <mergeCell ref="Q136:R136"/>
    <mergeCell ref="O139:P139"/>
    <mergeCell ref="Q139:R139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U139:AV139"/>
    <mergeCell ref="AW139:AX139"/>
    <mergeCell ref="AY139:AZ139"/>
    <mergeCell ref="BA139:BB139"/>
    <mergeCell ref="BC139:BD139"/>
    <mergeCell ref="BE139:BF139"/>
    <mergeCell ref="BG139:BH139"/>
    <mergeCell ref="AU136:AV136"/>
    <mergeCell ref="AW136:AX136"/>
    <mergeCell ref="AG136:AH136"/>
    <mergeCell ref="AI136:AJ136"/>
    <mergeCell ref="AK136:AL136"/>
    <mergeCell ref="AM136:AN136"/>
    <mergeCell ref="AO136:AP136"/>
    <mergeCell ref="AQ136:AR136"/>
    <mergeCell ref="AS136:AT136"/>
    <mergeCell ref="BM136:BN136"/>
    <mergeCell ref="AU138:AV138"/>
    <mergeCell ref="AW138:AX138"/>
    <mergeCell ref="AG138:AH138"/>
    <mergeCell ref="AI138:AJ138"/>
    <mergeCell ref="AK138:AL138"/>
    <mergeCell ref="AM138:AN138"/>
    <mergeCell ref="AO138:AP138"/>
    <mergeCell ref="AQ138:AR138"/>
    <mergeCell ref="AS138:AT138"/>
    <mergeCell ref="BM138:BN138"/>
    <mergeCell ref="AU140:AV140"/>
    <mergeCell ref="AW140:AX140"/>
    <mergeCell ref="AG140:AH140"/>
    <mergeCell ref="AI140:AJ140"/>
    <mergeCell ref="AK140:AL140"/>
    <mergeCell ref="AM140:AN140"/>
    <mergeCell ref="AO140:AP140"/>
    <mergeCell ref="AQ140:AR140"/>
    <mergeCell ref="AS140:AT140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I134:AJ134"/>
    <mergeCell ref="AK134:AL134"/>
    <mergeCell ref="AM134:AN134"/>
    <mergeCell ref="AO134:AP134"/>
    <mergeCell ref="AQ134:AR134"/>
    <mergeCell ref="AS134:AT134"/>
    <mergeCell ref="BI134:BJ134"/>
    <mergeCell ref="BK134:BL134"/>
    <mergeCell ref="BM134:BN134"/>
    <mergeCell ref="BO134:BP134"/>
    <mergeCell ref="AU134:AV134"/>
    <mergeCell ref="AW134:AX134"/>
    <mergeCell ref="AY134:AZ134"/>
    <mergeCell ref="BA134:BB134"/>
    <mergeCell ref="BC134:BD134"/>
    <mergeCell ref="BE134:BF134"/>
    <mergeCell ref="BG134:BH134"/>
    <mergeCell ref="E134:F134"/>
    <mergeCell ref="G134:H134"/>
    <mergeCell ref="I134:J134"/>
    <mergeCell ref="K134:L134"/>
    <mergeCell ref="M134:N134"/>
    <mergeCell ref="O134:P134"/>
    <mergeCell ref="Q134:R134"/>
    <mergeCell ref="BM140:BN140"/>
    <mergeCell ref="BO140:BP140"/>
    <mergeCell ref="AY140:AZ140"/>
    <mergeCell ref="BA140:BB140"/>
    <mergeCell ref="BC140:BD140"/>
    <mergeCell ref="BE140:BF140"/>
    <mergeCell ref="BG140:BH140"/>
    <mergeCell ref="BI140:BJ140"/>
    <mergeCell ref="BK140:BL140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I139:AJ139"/>
    <mergeCell ref="AK139:AL139"/>
    <mergeCell ref="AM139:AN139"/>
    <mergeCell ref="AO139:AP139"/>
    <mergeCell ref="AQ139:AR139"/>
    <mergeCell ref="AS139:AT139"/>
    <mergeCell ref="BI139:BJ139"/>
    <mergeCell ref="BK139:BL139"/>
    <mergeCell ref="BM139:BN139"/>
    <mergeCell ref="BO139:BP139"/>
    <mergeCell ref="E139:F139"/>
    <mergeCell ref="G139:H139"/>
    <mergeCell ref="I139:J139"/>
    <mergeCell ref="K139:L139"/>
    <mergeCell ref="M139:N139"/>
    <mergeCell ref="BO131:BP131"/>
    <mergeCell ref="AY131:AZ131"/>
    <mergeCell ref="BA131:BB131"/>
    <mergeCell ref="BC131:BD131"/>
    <mergeCell ref="BE131:BF131"/>
    <mergeCell ref="BG131:BH131"/>
    <mergeCell ref="BI131:BJ131"/>
    <mergeCell ref="BK131:BL131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I130:AJ130"/>
    <mergeCell ref="AK130:AL130"/>
    <mergeCell ref="AM130:AN130"/>
    <mergeCell ref="AO130:AP130"/>
    <mergeCell ref="AQ130:AR130"/>
    <mergeCell ref="AS130:AT130"/>
    <mergeCell ref="BI130:BJ130"/>
    <mergeCell ref="BK130:BL130"/>
    <mergeCell ref="BM130:BN130"/>
    <mergeCell ref="BO130:BP130"/>
    <mergeCell ref="E130:F130"/>
    <mergeCell ref="G130:H130"/>
    <mergeCell ref="I130:J130"/>
    <mergeCell ref="K130:L130"/>
    <mergeCell ref="M130:N130"/>
    <mergeCell ref="O130:P130"/>
    <mergeCell ref="Q130:R130"/>
    <mergeCell ref="S131:T131"/>
    <mergeCell ref="U131:V131"/>
    <mergeCell ref="W131:X131"/>
    <mergeCell ref="Y131:Z131"/>
    <mergeCell ref="AA131:AB131"/>
    <mergeCell ref="AC131:AD131"/>
    <mergeCell ref="AE131:AF131"/>
    <mergeCell ref="AU130:AV130"/>
    <mergeCell ref="AW130:AX130"/>
    <mergeCell ref="AY130:AZ130"/>
    <mergeCell ref="BA130:BB130"/>
    <mergeCell ref="BC130:BD130"/>
    <mergeCell ref="BE130:BF130"/>
    <mergeCell ref="BG130:BH130"/>
    <mergeCell ref="E131:F131"/>
    <mergeCell ref="G131:H131"/>
    <mergeCell ref="I131:J131"/>
    <mergeCell ref="K131:L131"/>
    <mergeCell ref="M131:N131"/>
    <mergeCell ref="O131:P131"/>
    <mergeCell ref="Q131:R131"/>
    <mergeCell ref="BO129:BP129"/>
    <mergeCell ref="AY129:AZ129"/>
    <mergeCell ref="BA129:BB129"/>
    <mergeCell ref="BC129:BD129"/>
    <mergeCell ref="BE129:BF129"/>
    <mergeCell ref="BG129:BH129"/>
    <mergeCell ref="BI129:BJ129"/>
    <mergeCell ref="BK129:BL129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I128:AJ128"/>
    <mergeCell ref="AK128:AL128"/>
    <mergeCell ref="AM128:AN128"/>
    <mergeCell ref="AO128:AP128"/>
    <mergeCell ref="AQ128:AR128"/>
    <mergeCell ref="AS128:AT128"/>
    <mergeCell ref="BI128:BJ128"/>
    <mergeCell ref="BK128:BL128"/>
    <mergeCell ref="BM128:BN128"/>
    <mergeCell ref="BO128:BP128"/>
    <mergeCell ref="E128:F128"/>
    <mergeCell ref="G128:H128"/>
    <mergeCell ref="I128:J128"/>
    <mergeCell ref="K128:L128"/>
    <mergeCell ref="M128:N128"/>
    <mergeCell ref="O128:P128"/>
    <mergeCell ref="Q128:R128"/>
    <mergeCell ref="S129:T129"/>
    <mergeCell ref="U129:V129"/>
    <mergeCell ref="W129:X129"/>
    <mergeCell ref="Y129:Z129"/>
    <mergeCell ref="AA129:AB129"/>
    <mergeCell ref="AC129:AD129"/>
    <mergeCell ref="AE129:AF129"/>
    <mergeCell ref="AU128:AV128"/>
    <mergeCell ref="AW128:AX128"/>
    <mergeCell ref="AY128:AZ128"/>
    <mergeCell ref="BA128:BB128"/>
    <mergeCell ref="BC128:BD128"/>
    <mergeCell ref="BE128:BF128"/>
    <mergeCell ref="BG128:BH128"/>
    <mergeCell ref="E129:F129"/>
    <mergeCell ref="G129:H129"/>
    <mergeCell ref="I129:J129"/>
    <mergeCell ref="K129:L129"/>
    <mergeCell ref="M129:N129"/>
    <mergeCell ref="O129:P129"/>
    <mergeCell ref="Q129:R129"/>
    <mergeCell ref="O132:P132"/>
    <mergeCell ref="Q132:R132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U132:AV132"/>
    <mergeCell ref="AW132:AX132"/>
    <mergeCell ref="AY132:AZ132"/>
    <mergeCell ref="BA132:BB132"/>
    <mergeCell ref="BC132:BD132"/>
    <mergeCell ref="BE132:BF132"/>
    <mergeCell ref="BG132:BH132"/>
    <mergeCell ref="AU129:AV129"/>
    <mergeCell ref="AW129:AX129"/>
    <mergeCell ref="AG129:AH129"/>
    <mergeCell ref="AI129:AJ129"/>
    <mergeCell ref="AK129:AL129"/>
    <mergeCell ref="AM129:AN129"/>
    <mergeCell ref="AO129:AP129"/>
    <mergeCell ref="AQ129:AR129"/>
    <mergeCell ref="AS129:AT129"/>
    <mergeCell ref="BM129:BN129"/>
    <mergeCell ref="AU131:AV131"/>
    <mergeCell ref="AW131:AX131"/>
    <mergeCell ref="AG131:AH131"/>
    <mergeCell ref="AI131:AJ131"/>
    <mergeCell ref="AK131:AL131"/>
    <mergeCell ref="AM131:AN131"/>
    <mergeCell ref="AO131:AP131"/>
    <mergeCell ref="AQ131:AR131"/>
    <mergeCell ref="AS131:AT131"/>
    <mergeCell ref="BM131:BN131"/>
    <mergeCell ref="AU133:AV133"/>
    <mergeCell ref="AW133:AX133"/>
    <mergeCell ref="AG133:AH133"/>
    <mergeCell ref="AI133:AJ133"/>
    <mergeCell ref="AK133:AL133"/>
    <mergeCell ref="AM133:AN133"/>
    <mergeCell ref="AO133:AP133"/>
    <mergeCell ref="AQ133:AR133"/>
    <mergeCell ref="AS133:AT133"/>
    <mergeCell ref="S127:T127"/>
    <mergeCell ref="U127:V127"/>
    <mergeCell ref="W127:X127"/>
    <mergeCell ref="Y127:Z127"/>
    <mergeCell ref="AA127:AB127"/>
    <mergeCell ref="AC127:AD127"/>
    <mergeCell ref="AE127:AF127"/>
    <mergeCell ref="AG127:AH127"/>
    <mergeCell ref="AI127:AJ127"/>
    <mergeCell ref="AK127:AL127"/>
    <mergeCell ref="AM127:AN127"/>
    <mergeCell ref="AO127:AP127"/>
    <mergeCell ref="AQ127:AR127"/>
    <mergeCell ref="AS127:AT127"/>
    <mergeCell ref="BI127:BJ127"/>
    <mergeCell ref="BK127:BL127"/>
    <mergeCell ref="BM127:BN127"/>
    <mergeCell ref="BO127:BP127"/>
    <mergeCell ref="AU127:AV127"/>
    <mergeCell ref="AW127:AX127"/>
    <mergeCell ref="AY127:AZ127"/>
    <mergeCell ref="BA127:BB127"/>
    <mergeCell ref="BC127:BD127"/>
    <mergeCell ref="BE127:BF127"/>
    <mergeCell ref="BG127:BH127"/>
    <mergeCell ref="E127:F127"/>
    <mergeCell ref="G127:H127"/>
    <mergeCell ref="I127:J127"/>
    <mergeCell ref="K127:L127"/>
    <mergeCell ref="M127:N127"/>
    <mergeCell ref="O127:P127"/>
    <mergeCell ref="Q127:R127"/>
    <mergeCell ref="BM133:BN133"/>
    <mergeCell ref="BO133:BP133"/>
    <mergeCell ref="AY133:AZ133"/>
    <mergeCell ref="BA133:BB133"/>
    <mergeCell ref="BC133:BD133"/>
    <mergeCell ref="BE133:BF133"/>
    <mergeCell ref="BG133:BH133"/>
    <mergeCell ref="BI133:BJ133"/>
    <mergeCell ref="BK133:BL133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I132:AJ132"/>
    <mergeCell ref="AK132:AL132"/>
    <mergeCell ref="AM132:AN132"/>
    <mergeCell ref="AO132:AP132"/>
    <mergeCell ref="AQ132:AR132"/>
    <mergeCell ref="AS132:AT132"/>
    <mergeCell ref="BI132:BJ132"/>
    <mergeCell ref="BK132:BL132"/>
    <mergeCell ref="BM132:BN132"/>
    <mergeCell ref="BO132:BP132"/>
    <mergeCell ref="E132:F132"/>
    <mergeCell ref="G132:H132"/>
    <mergeCell ref="I132:J132"/>
    <mergeCell ref="K132:L132"/>
    <mergeCell ref="M132:N132"/>
    <mergeCell ref="BO124:BP124"/>
    <mergeCell ref="AY124:AZ124"/>
    <mergeCell ref="BA124:BB124"/>
    <mergeCell ref="BC124:BD124"/>
    <mergeCell ref="BE124:BF124"/>
    <mergeCell ref="BG124:BH124"/>
    <mergeCell ref="BI124:BJ124"/>
    <mergeCell ref="BK124:BL124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I123:AJ123"/>
    <mergeCell ref="AK123:AL123"/>
    <mergeCell ref="AM123:AN123"/>
    <mergeCell ref="AO123:AP123"/>
    <mergeCell ref="AQ123:AR123"/>
    <mergeCell ref="AS123:AT123"/>
    <mergeCell ref="BI123:BJ123"/>
    <mergeCell ref="BK123:BL123"/>
    <mergeCell ref="BM123:BN123"/>
    <mergeCell ref="BO123:BP123"/>
    <mergeCell ref="E123:F123"/>
    <mergeCell ref="G123:H123"/>
    <mergeCell ref="I123:J123"/>
    <mergeCell ref="K123:L123"/>
    <mergeCell ref="M123:N123"/>
    <mergeCell ref="O123:P123"/>
    <mergeCell ref="Q123:R123"/>
    <mergeCell ref="S124:T124"/>
    <mergeCell ref="U124:V124"/>
    <mergeCell ref="W124:X124"/>
    <mergeCell ref="Y124:Z124"/>
    <mergeCell ref="AA124:AB124"/>
    <mergeCell ref="AC124:AD124"/>
    <mergeCell ref="AE124:AF124"/>
    <mergeCell ref="AU123:AV123"/>
    <mergeCell ref="AW123:AX123"/>
    <mergeCell ref="AY123:AZ123"/>
    <mergeCell ref="BA123:BB123"/>
    <mergeCell ref="BC123:BD123"/>
    <mergeCell ref="BE123:BF123"/>
    <mergeCell ref="BG123:BH123"/>
    <mergeCell ref="E124:F124"/>
    <mergeCell ref="G124:H124"/>
    <mergeCell ref="I124:J124"/>
    <mergeCell ref="K124:L124"/>
    <mergeCell ref="M124:N124"/>
    <mergeCell ref="O124:P124"/>
    <mergeCell ref="Q124:R124"/>
    <mergeCell ref="BO122:BP122"/>
    <mergeCell ref="AY122:AZ122"/>
    <mergeCell ref="BA122:BB122"/>
    <mergeCell ref="BC122:BD122"/>
    <mergeCell ref="BE122:BF122"/>
    <mergeCell ref="BG122:BH122"/>
    <mergeCell ref="BI122:BJ122"/>
    <mergeCell ref="BK122:BL122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I121:AJ121"/>
    <mergeCell ref="AK121:AL121"/>
    <mergeCell ref="AM121:AN121"/>
    <mergeCell ref="AO121:AP121"/>
    <mergeCell ref="AQ121:AR121"/>
    <mergeCell ref="AS121:AT121"/>
    <mergeCell ref="BI121:BJ121"/>
    <mergeCell ref="BK121:BL121"/>
    <mergeCell ref="BM121:BN121"/>
    <mergeCell ref="BO121:BP121"/>
    <mergeCell ref="E121:F121"/>
    <mergeCell ref="G121:H121"/>
    <mergeCell ref="I121:J121"/>
    <mergeCell ref="K121:L121"/>
    <mergeCell ref="M121:N121"/>
    <mergeCell ref="O121:P121"/>
    <mergeCell ref="Q121:R121"/>
    <mergeCell ref="S122:T122"/>
    <mergeCell ref="U122:V122"/>
    <mergeCell ref="W122:X122"/>
    <mergeCell ref="Y122:Z122"/>
    <mergeCell ref="AA122:AB122"/>
    <mergeCell ref="AC122:AD122"/>
    <mergeCell ref="AE122:AF122"/>
    <mergeCell ref="AU121:AV121"/>
    <mergeCell ref="AW121:AX121"/>
    <mergeCell ref="AY121:AZ121"/>
    <mergeCell ref="BA121:BB121"/>
    <mergeCell ref="BC121:BD121"/>
    <mergeCell ref="BE121:BF121"/>
    <mergeCell ref="BG121:BH121"/>
    <mergeCell ref="E122:F122"/>
    <mergeCell ref="G122:H122"/>
    <mergeCell ref="I122:J122"/>
    <mergeCell ref="K122:L122"/>
    <mergeCell ref="M122:N122"/>
    <mergeCell ref="O122:P122"/>
    <mergeCell ref="Q122:R122"/>
    <mergeCell ref="O125:P125"/>
    <mergeCell ref="Q125:R125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U125:AV125"/>
    <mergeCell ref="AW125:AX125"/>
    <mergeCell ref="AY125:AZ125"/>
    <mergeCell ref="BA125:BB125"/>
    <mergeCell ref="BC125:BD125"/>
    <mergeCell ref="BE125:BF125"/>
    <mergeCell ref="BG125:BH125"/>
    <mergeCell ref="AU122:AV122"/>
    <mergeCell ref="AW122:AX122"/>
    <mergeCell ref="AG122:AH122"/>
    <mergeCell ref="AI122:AJ122"/>
    <mergeCell ref="AK122:AL122"/>
    <mergeCell ref="AM122:AN122"/>
    <mergeCell ref="AO122:AP122"/>
    <mergeCell ref="AQ122:AR122"/>
    <mergeCell ref="AS122:AT122"/>
    <mergeCell ref="BM122:BN122"/>
    <mergeCell ref="AU124:AV124"/>
    <mergeCell ref="AW124:AX124"/>
    <mergeCell ref="AG124:AH124"/>
    <mergeCell ref="AI124:AJ124"/>
    <mergeCell ref="AK124:AL124"/>
    <mergeCell ref="AM124:AN124"/>
    <mergeCell ref="AO124:AP124"/>
    <mergeCell ref="AQ124:AR124"/>
    <mergeCell ref="AS124:AT124"/>
    <mergeCell ref="BM124:BN124"/>
    <mergeCell ref="AU126:AV126"/>
    <mergeCell ref="AW126:AX126"/>
    <mergeCell ref="AG126:AH126"/>
    <mergeCell ref="AI126:AJ126"/>
    <mergeCell ref="AK126:AL126"/>
    <mergeCell ref="AM126:AN126"/>
    <mergeCell ref="AO126:AP126"/>
    <mergeCell ref="AQ126:AR126"/>
    <mergeCell ref="AS126:AT126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I120:AJ120"/>
    <mergeCell ref="AK120:AL120"/>
    <mergeCell ref="AM120:AN120"/>
    <mergeCell ref="AO120:AP120"/>
    <mergeCell ref="AQ120:AR120"/>
    <mergeCell ref="AS120:AT120"/>
    <mergeCell ref="BI120:BJ120"/>
    <mergeCell ref="BK120:BL120"/>
    <mergeCell ref="BM120:BN120"/>
    <mergeCell ref="BO120:BP120"/>
    <mergeCell ref="AU120:AV120"/>
    <mergeCell ref="AW120:AX120"/>
    <mergeCell ref="AY120:AZ120"/>
    <mergeCell ref="BA120:BB120"/>
    <mergeCell ref="BC120:BD120"/>
    <mergeCell ref="BE120:BF120"/>
    <mergeCell ref="BG120:BH120"/>
    <mergeCell ref="E120:F120"/>
    <mergeCell ref="G120:H120"/>
    <mergeCell ref="I120:J120"/>
    <mergeCell ref="K120:L120"/>
    <mergeCell ref="M120:N120"/>
    <mergeCell ref="O120:P120"/>
    <mergeCell ref="Q120:R120"/>
    <mergeCell ref="BM126:BN126"/>
    <mergeCell ref="BO126:BP126"/>
    <mergeCell ref="AY126:AZ126"/>
    <mergeCell ref="BA126:BB126"/>
    <mergeCell ref="BC126:BD126"/>
    <mergeCell ref="BE126:BF126"/>
    <mergeCell ref="BG126:BH126"/>
    <mergeCell ref="BI126:BJ126"/>
    <mergeCell ref="BK126:BL126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I125:AJ125"/>
    <mergeCell ref="AK125:AL125"/>
    <mergeCell ref="AM125:AN125"/>
    <mergeCell ref="AO125:AP125"/>
    <mergeCell ref="AQ125:AR125"/>
    <mergeCell ref="AS125:AT125"/>
    <mergeCell ref="BI125:BJ125"/>
    <mergeCell ref="BK125:BL125"/>
    <mergeCell ref="BM125:BN125"/>
    <mergeCell ref="BO125:BP125"/>
    <mergeCell ref="E125:F125"/>
    <mergeCell ref="G125:H125"/>
    <mergeCell ref="I125:J125"/>
    <mergeCell ref="K125:L125"/>
    <mergeCell ref="M125:N125"/>
    <mergeCell ref="BO117:BP117"/>
    <mergeCell ref="AY117:AZ117"/>
    <mergeCell ref="BA117:BB117"/>
    <mergeCell ref="BC117:BD117"/>
    <mergeCell ref="BE117:BF117"/>
    <mergeCell ref="BG117:BH117"/>
    <mergeCell ref="BI117:BJ117"/>
    <mergeCell ref="BK117:BL117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I116:AJ116"/>
    <mergeCell ref="AK116:AL116"/>
    <mergeCell ref="AM116:AN116"/>
    <mergeCell ref="AO116:AP116"/>
    <mergeCell ref="AQ116:AR116"/>
    <mergeCell ref="AS116:AT116"/>
    <mergeCell ref="BI116:BJ116"/>
    <mergeCell ref="BK116:BL116"/>
    <mergeCell ref="BM116:BN116"/>
    <mergeCell ref="BO116:BP116"/>
    <mergeCell ref="E116:F116"/>
    <mergeCell ref="G116:H116"/>
    <mergeCell ref="I116:J116"/>
    <mergeCell ref="K116:L116"/>
    <mergeCell ref="M116:N116"/>
    <mergeCell ref="O116:P116"/>
    <mergeCell ref="Q116:R116"/>
    <mergeCell ref="S117:T117"/>
    <mergeCell ref="U117:V117"/>
    <mergeCell ref="W117:X117"/>
    <mergeCell ref="Y117:Z117"/>
    <mergeCell ref="AA117:AB117"/>
    <mergeCell ref="AC117:AD117"/>
    <mergeCell ref="AE117:AF117"/>
    <mergeCell ref="AU116:AV116"/>
    <mergeCell ref="AW116:AX116"/>
    <mergeCell ref="AY116:AZ116"/>
    <mergeCell ref="BA116:BB116"/>
    <mergeCell ref="BC116:BD116"/>
    <mergeCell ref="BE116:BF116"/>
    <mergeCell ref="BG116:BH116"/>
    <mergeCell ref="E117:F117"/>
    <mergeCell ref="G117:H117"/>
    <mergeCell ref="I117:J117"/>
    <mergeCell ref="K117:L117"/>
    <mergeCell ref="M117:N117"/>
    <mergeCell ref="O117:P117"/>
    <mergeCell ref="Q117:R117"/>
    <mergeCell ref="BO115:BP115"/>
    <mergeCell ref="AY115:AZ115"/>
    <mergeCell ref="BA115:BB115"/>
    <mergeCell ref="BC115:BD115"/>
    <mergeCell ref="BE115:BF115"/>
    <mergeCell ref="BG115:BH115"/>
    <mergeCell ref="BI115:BJ115"/>
    <mergeCell ref="BK115:BL115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I114:AJ114"/>
    <mergeCell ref="AK114:AL114"/>
    <mergeCell ref="AM114:AN114"/>
    <mergeCell ref="AO114:AP114"/>
    <mergeCell ref="AQ114:AR114"/>
    <mergeCell ref="AS114:AT114"/>
    <mergeCell ref="BI114:BJ114"/>
    <mergeCell ref="BK114:BL114"/>
    <mergeCell ref="BM114:BN114"/>
    <mergeCell ref="BO114:BP114"/>
    <mergeCell ref="E114:F114"/>
    <mergeCell ref="G114:H114"/>
    <mergeCell ref="I114:J114"/>
    <mergeCell ref="K114:L114"/>
    <mergeCell ref="M114:N114"/>
    <mergeCell ref="O114:P114"/>
    <mergeCell ref="Q114:R114"/>
    <mergeCell ref="S115:T115"/>
    <mergeCell ref="U115:V115"/>
    <mergeCell ref="W115:X115"/>
    <mergeCell ref="Y115:Z115"/>
    <mergeCell ref="AA115:AB115"/>
    <mergeCell ref="AC115:AD115"/>
    <mergeCell ref="AE115:AF115"/>
    <mergeCell ref="AU114:AV114"/>
    <mergeCell ref="AW114:AX114"/>
    <mergeCell ref="AY114:AZ114"/>
    <mergeCell ref="BA114:BB114"/>
    <mergeCell ref="BC114:BD114"/>
    <mergeCell ref="BE114:BF114"/>
    <mergeCell ref="BG114:BH114"/>
    <mergeCell ref="E115:F115"/>
    <mergeCell ref="G115:H115"/>
    <mergeCell ref="I115:J115"/>
    <mergeCell ref="K115:L115"/>
    <mergeCell ref="M115:N115"/>
    <mergeCell ref="O115:P115"/>
    <mergeCell ref="Q115:R115"/>
    <mergeCell ref="O118:P118"/>
    <mergeCell ref="Q118:R118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Z119"/>
    <mergeCell ref="AA119:AB119"/>
    <mergeCell ref="AC119:AD119"/>
    <mergeCell ref="AE119:AF119"/>
    <mergeCell ref="AU118:AV118"/>
    <mergeCell ref="AW118:AX118"/>
    <mergeCell ref="AY118:AZ118"/>
    <mergeCell ref="BA118:BB118"/>
    <mergeCell ref="BC118:BD118"/>
    <mergeCell ref="BE118:BF118"/>
    <mergeCell ref="BG118:BH118"/>
    <mergeCell ref="AU115:AV115"/>
    <mergeCell ref="AW115:AX115"/>
    <mergeCell ref="AG115:AH115"/>
    <mergeCell ref="AI115:AJ115"/>
    <mergeCell ref="AK115:AL115"/>
    <mergeCell ref="AM115:AN115"/>
    <mergeCell ref="AO115:AP115"/>
    <mergeCell ref="AQ115:AR115"/>
    <mergeCell ref="AS115:AT115"/>
    <mergeCell ref="BM115:BN115"/>
    <mergeCell ref="AU117:AV117"/>
    <mergeCell ref="AW117:AX117"/>
    <mergeCell ref="AG117:AH117"/>
    <mergeCell ref="AI117:AJ117"/>
    <mergeCell ref="AK117:AL117"/>
    <mergeCell ref="AM117:AN117"/>
    <mergeCell ref="AO117:AP117"/>
    <mergeCell ref="AQ117:AR117"/>
    <mergeCell ref="AS117:AT117"/>
    <mergeCell ref="BM117:BN117"/>
    <mergeCell ref="AU119:AV119"/>
    <mergeCell ref="AW119:AX119"/>
    <mergeCell ref="AG119:AH119"/>
    <mergeCell ref="AI119:AJ119"/>
    <mergeCell ref="AK119:AL119"/>
    <mergeCell ref="AM119:AN119"/>
    <mergeCell ref="AO119:AP119"/>
    <mergeCell ref="AQ119:AR119"/>
    <mergeCell ref="AS119:AT119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I113:AJ113"/>
    <mergeCell ref="AK113:AL113"/>
    <mergeCell ref="AM113:AN113"/>
    <mergeCell ref="AO113:AP113"/>
    <mergeCell ref="AQ113:AR113"/>
    <mergeCell ref="AS113:AT113"/>
    <mergeCell ref="BI113:BJ113"/>
    <mergeCell ref="BK113:BL113"/>
    <mergeCell ref="BM113:BN113"/>
    <mergeCell ref="BO113:BP113"/>
    <mergeCell ref="AU113:AV113"/>
    <mergeCell ref="AW113:AX113"/>
    <mergeCell ref="AY113:AZ113"/>
    <mergeCell ref="BA113:BB113"/>
    <mergeCell ref="BC113:BD113"/>
    <mergeCell ref="BE113:BF113"/>
    <mergeCell ref="BG113:BH113"/>
    <mergeCell ref="E113:F113"/>
    <mergeCell ref="G113:H113"/>
    <mergeCell ref="I113:J113"/>
    <mergeCell ref="K113:L113"/>
    <mergeCell ref="M113:N113"/>
    <mergeCell ref="O113:P113"/>
    <mergeCell ref="Q113:R113"/>
    <mergeCell ref="BM119:BN119"/>
    <mergeCell ref="BO119:BP119"/>
    <mergeCell ref="AY119:AZ119"/>
    <mergeCell ref="BA119:BB119"/>
    <mergeCell ref="BC119:BD119"/>
    <mergeCell ref="BE119:BF119"/>
    <mergeCell ref="BG119:BH119"/>
    <mergeCell ref="BI119:BJ119"/>
    <mergeCell ref="BK119:BL119"/>
    <mergeCell ref="S118:T118"/>
    <mergeCell ref="U118:V118"/>
    <mergeCell ref="W118:X118"/>
    <mergeCell ref="Y118:Z118"/>
    <mergeCell ref="AA118:AB118"/>
    <mergeCell ref="AC118:AD118"/>
    <mergeCell ref="AE118:AF118"/>
    <mergeCell ref="AG118:AH118"/>
    <mergeCell ref="AI118:AJ118"/>
    <mergeCell ref="AK118:AL118"/>
    <mergeCell ref="AM118:AN118"/>
    <mergeCell ref="AO118:AP118"/>
    <mergeCell ref="AQ118:AR118"/>
    <mergeCell ref="AS118:AT118"/>
    <mergeCell ref="BI118:BJ118"/>
    <mergeCell ref="BK118:BL118"/>
    <mergeCell ref="BM118:BN118"/>
    <mergeCell ref="BO118:BP118"/>
    <mergeCell ref="E118:F118"/>
    <mergeCell ref="G118:H118"/>
    <mergeCell ref="I118:J118"/>
    <mergeCell ref="K118:L118"/>
    <mergeCell ref="M118:N118"/>
    <mergeCell ref="BO110:BP110"/>
    <mergeCell ref="AY110:AZ110"/>
    <mergeCell ref="BA110:BB110"/>
    <mergeCell ref="BC110:BD110"/>
    <mergeCell ref="BE110:BF110"/>
    <mergeCell ref="BG110:BH110"/>
    <mergeCell ref="BI110:BJ110"/>
    <mergeCell ref="BK110:BL110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I109:AJ109"/>
    <mergeCell ref="AK109:AL109"/>
    <mergeCell ref="AM109:AN109"/>
    <mergeCell ref="AO109:AP109"/>
    <mergeCell ref="AQ109:AR109"/>
    <mergeCell ref="AS109:AT109"/>
    <mergeCell ref="BI109:BJ109"/>
    <mergeCell ref="BK109:BL109"/>
    <mergeCell ref="BM109:BN109"/>
    <mergeCell ref="BO109:BP109"/>
    <mergeCell ref="E109:F109"/>
    <mergeCell ref="G109:H109"/>
    <mergeCell ref="I109:J109"/>
    <mergeCell ref="K109:L109"/>
    <mergeCell ref="M109:N109"/>
    <mergeCell ref="O109:P109"/>
    <mergeCell ref="Q109:R109"/>
    <mergeCell ref="S110:T110"/>
    <mergeCell ref="U110:V110"/>
    <mergeCell ref="W110:X110"/>
    <mergeCell ref="Y110:Z110"/>
    <mergeCell ref="AA110:AB110"/>
    <mergeCell ref="AC110:AD110"/>
    <mergeCell ref="AE110:AF110"/>
    <mergeCell ref="AU109:AV109"/>
    <mergeCell ref="AW109:AX109"/>
    <mergeCell ref="AY109:AZ109"/>
    <mergeCell ref="BA109:BB109"/>
    <mergeCell ref="BC109:BD109"/>
    <mergeCell ref="BE109:BF109"/>
    <mergeCell ref="BG109:BH109"/>
    <mergeCell ref="E110:F110"/>
    <mergeCell ref="G110:H110"/>
    <mergeCell ref="I110:J110"/>
    <mergeCell ref="K110:L110"/>
    <mergeCell ref="M110:N110"/>
    <mergeCell ref="O110:P110"/>
    <mergeCell ref="Q110:R110"/>
    <mergeCell ref="BO108:BP108"/>
    <mergeCell ref="AY108:AZ108"/>
    <mergeCell ref="BA108:BB108"/>
    <mergeCell ref="BC108:BD108"/>
    <mergeCell ref="BE108:BF108"/>
    <mergeCell ref="BG108:BH108"/>
    <mergeCell ref="BI108:BJ108"/>
    <mergeCell ref="BK108:BL108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I107:AJ107"/>
    <mergeCell ref="AK107:AL107"/>
    <mergeCell ref="AM107:AN107"/>
    <mergeCell ref="AO107:AP107"/>
    <mergeCell ref="AQ107:AR107"/>
    <mergeCell ref="AS107:AT107"/>
    <mergeCell ref="BI107:BJ107"/>
    <mergeCell ref="BK107:BL107"/>
    <mergeCell ref="BM107:BN107"/>
    <mergeCell ref="BO107:BP107"/>
    <mergeCell ref="E107:F107"/>
    <mergeCell ref="G107:H107"/>
    <mergeCell ref="I107:J107"/>
    <mergeCell ref="K107:L107"/>
    <mergeCell ref="M107:N107"/>
    <mergeCell ref="O107:P107"/>
    <mergeCell ref="Q107:R107"/>
    <mergeCell ref="S108:T108"/>
    <mergeCell ref="U108:V108"/>
    <mergeCell ref="W108:X108"/>
    <mergeCell ref="Y108:Z108"/>
    <mergeCell ref="AA108:AB108"/>
    <mergeCell ref="AC108:AD108"/>
    <mergeCell ref="AE108:AF108"/>
    <mergeCell ref="AU107:AV107"/>
    <mergeCell ref="AW107:AX107"/>
    <mergeCell ref="AY107:AZ107"/>
    <mergeCell ref="BA107:BB107"/>
    <mergeCell ref="BC107:BD107"/>
    <mergeCell ref="BE107:BF107"/>
    <mergeCell ref="BG107:BH107"/>
    <mergeCell ref="E108:F108"/>
    <mergeCell ref="G108:H108"/>
    <mergeCell ref="I108:J108"/>
    <mergeCell ref="K108:L108"/>
    <mergeCell ref="M108:N108"/>
    <mergeCell ref="O108:P108"/>
    <mergeCell ref="Q108:R108"/>
    <mergeCell ref="O111:P111"/>
    <mergeCell ref="Q111:R111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U111:AV111"/>
    <mergeCell ref="AW111:AX111"/>
    <mergeCell ref="AY111:AZ111"/>
    <mergeCell ref="BA111:BB111"/>
    <mergeCell ref="BC111:BD111"/>
    <mergeCell ref="BE111:BF111"/>
    <mergeCell ref="BG111:BH111"/>
    <mergeCell ref="AU108:AV108"/>
    <mergeCell ref="AW108:AX108"/>
    <mergeCell ref="AG108:AH108"/>
    <mergeCell ref="AI108:AJ108"/>
    <mergeCell ref="AK108:AL108"/>
    <mergeCell ref="AM108:AN108"/>
    <mergeCell ref="AO108:AP108"/>
    <mergeCell ref="AQ108:AR108"/>
    <mergeCell ref="AS108:AT108"/>
    <mergeCell ref="BM108:BN108"/>
    <mergeCell ref="AU110:AV110"/>
    <mergeCell ref="AW110:AX110"/>
    <mergeCell ref="AG110:AH110"/>
    <mergeCell ref="AI110:AJ110"/>
    <mergeCell ref="AK110:AL110"/>
    <mergeCell ref="AM110:AN110"/>
    <mergeCell ref="AO110:AP110"/>
    <mergeCell ref="AQ110:AR110"/>
    <mergeCell ref="AS110:AT110"/>
    <mergeCell ref="BM110:BN110"/>
    <mergeCell ref="AU112:AV112"/>
    <mergeCell ref="AW112:AX112"/>
    <mergeCell ref="AG112:AH112"/>
    <mergeCell ref="AI112:AJ112"/>
    <mergeCell ref="AK112:AL112"/>
    <mergeCell ref="AM112:AN112"/>
    <mergeCell ref="AO112:AP112"/>
    <mergeCell ref="AQ112:AR112"/>
    <mergeCell ref="AS112:AT112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I85:AJ85"/>
    <mergeCell ref="AK85:AL85"/>
    <mergeCell ref="AM85:AN85"/>
    <mergeCell ref="AO85:AP85"/>
    <mergeCell ref="AQ85:AR85"/>
    <mergeCell ref="AS85:AT85"/>
    <mergeCell ref="BI85:BJ85"/>
    <mergeCell ref="BK85:BL85"/>
    <mergeCell ref="BM85:BN85"/>
    <mergeCell ref="BO85:BP85"/>
    <mergeCell ref="AU85:AV85"/>
    <mergeCell ref="AW85:AX85"/>
    <mergeCell ref="AY85:AZ85"/>
    <mergeCell ref="BA85:BB85"/>
    <mergeCell ref="BC85:BD85"/>
    <mergeCell ref="BE85:BF85"/>
    <mergeCell ref="BG85:BH85"/>
    <mergeCell ref="E85:F85"/>
    <mergeCell ref="G85:H85"/>
    <mergeCell ref="I85:J85"/>
    <mergeCell ref="K85:L85"/>
    <mergeCell ref="M85:N85"/>
    <mergeCell ref="O85:P85"/>
    <mergeCell ref="Q85:R85"/>
    <mergeCell ref="BM112:BN112"/>
    <mergeCell ref="BO112:BP112"/>
    <mergeCell ref="AY112:AZ112"/>
    <mergeCell ref="BA112:BB112"/>
    <mergeCell ref="BC112:BD112"/>
    <mergeCell ref="BE112:BF112"/>
    <mergeCell ref="BG112:BH112"/>
    <mergeCell ref="BI112:BJ112"/>
    <mergeCell ref="BK112:BL112"/>
    <mergeCell ref="S111:T111"/>
    <mergeCell ref="U111:V111"/>
    <mergeCell ref="W111:X111"/>
    <mergeCell ref="Y111:Z111"/>
    <mergeCell ref="AA111:AB111"/>
    <mergeCell ref="AC111:AD111"/>
    <mergeCell ref="AE111:AF111"/>
    <mergeCell ref="AG111:AH111"/>
    <mergeCell ref="AI111:AJ111"/>
    <mergeCell ref="AK111:AL111"/>
    <mergeCell ref="AM111:AN111"/>
    <mergeCell ref="AO111:AP111"/>
    <mergeCell ref="AQ111:AR111"/>
    <mergeCell ref="AS111:AT111"/>
    <mergeCell ref="BI111:BJ111"/>
    <mergeCell ref="BK111:BL111"/>
    <mergeCell ref="BM111:BN111"/>
    <mergeCell ref="BO111:BP111"/>
    <mergeCell ref="E111:F111"/>
    <mergeCell ref="G111:H111"/>
    <mergeCell ref="I111:J111"/>
    <mergeCell ref="K111:L111"/>
    <mergeCell ref="M111:N111"/>
    <mergeCell ref="BO82:BP82"/>
    <mergeCell ref="AY82:AZ82"/>
    <mergeCell ref="BA82:BB82"/>
    <mergeCell ref="BC82:BD82"/>
    <mergeCell ref="BE82:BF82"/>
    <mergeCell ref="BG82:BH82"/>
    <mergeCell ref="BI82:BJ82"/>
    <mergeCell ref="BK82:BL82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I81:AJ81"/>
    <mergeCell ref="AK81:AL81"/>
    <mergeCell ref="AM81:AN81"/>
    <mergeCell ref="AO81:AP81"/>
    <mergeCell ref="AQ81:AR81"/>
    <mergeCell ref="AS81:AT81"/>
    <mergeCell ref="BI81:BJ81"/>
    <mergeCell ref="BK81:BL81"/>
    <mergeCell ref="BM81:BN81"/>
    <mergeCell ref="BO81:BP81"/>
    <mergeCell ref="E81:F81"/>
    <mergeCell ref="G81:H81"/>
    <mergeCell ref="I81:J81"/>
    <mergeCell ref="K81:L81"/>
    <mergeCell ref="M81:N81"/>
    <mergeCell ref="O81:P81"/>
    <mergeCell ref="Q81:R81"/>
    <mergeCell ref="S82:T82"/>
    <mergeCell ref="U82:V82"/>
    <mergeCell ref="W82:X82"/>
    <mergeCell ref="Y82:Z82"/>
    <mergeCell ref="AA82:AB82"/>
    <mergeCell ref="AC82:AD82"/>
    <mergeCell ref="AE82:AF82"/>
    <mergeCell ref="AU81:AV81"/>
    <mergeCell ref="AW81:AX81"/>
    <mergeCell ref="AY81:AZ81"/>
    <mergeCell ref="BA81:BB81"/>
    <mergeCell ref="BC81:BD81"/>
    <mergeCell ref="BE81:BF81"/>
    <mergeCell ref="BG81:BH81"/>
    <mergeCell ref="E82:F82"/>
    <mergeCell ref="G82:H82"/>
    <mergeCell ref="I82:J82"/>
    <mergeCell ref="K82:L82"/>
    <mergeCell ref="M82:N82"/>
    <mergeCell ref="O82:P82"/>
    <mergeCell ref="Q82:R82"/>
    <mergeCell ref="BO80:BP80"/>
    <mergeCell ref="AY80:AZ80"/>
    <mergeCell ref="BA80:BB80"/>
    <mergeCell ref="BC80:BD80"/>
    <mergeCell ref="BE80:BF80"/>
    <mergeCell ref="BG80:BH80"/>
    <mergeCell ref="BI80:BJ80"/>
    <mergeCell ref="BK80:BL80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I79:AJ79"/>
    <mergeCell ref="AK79:AL79"/>
    <mergeCell ref="AM79:AN79"/>
    <mergeCell ref="AO79:AP79"/>
    <mergeCell ref="AQ79:AR79"/>
    <mergeCell ref="AS79:AT79"/>
    <mergeCell ref="BI79:BJ79"/>
    <mergeCell ref="BK79:BL79"/>
    <mergeCell ref="BM79:BN79"/>
    <mergeCell ref="BO79:BP79"/>
    <mergeCell ref="E79:F79"/>
    <mergeCell ref="G79:H79"/>
    <mergeCell ref="I79:J79"/>
    <mergeCell ref="K79:L79"/>
    <mergeCell ref="M79:N79"/>
    <mergeCell ref="O79:P79"/>
    <mergeCell ref="Q79:R79"/>
    <mergeCell ref="S80:T80"/>
    <mergeCell ref="U80:V80"/>
    <mergeCell ref="W80:X80"/>
    <mergeCell ref="Y80:Z80"/>
    <mergeCell ref="AA80:AB80"/>
    <mergeCell ref="AC80:AD80"/>
    <mergeCell ref="AE80:AF80"/>
    <mergeCell ref="AU79:AV79"/>
    <mergeCell ref="AW79:AX79"/>
    <mergeCell ref="AY79:AZ79"/>
    <mergeCell ref="BA79:BB79"/>
    <mergeCell ref="BC79:BD79"/>
    <mergeCell ref="BE79:BF79"/>
    <mergeCell ref="BG79:BH79"/>
    <mergeCell ref="E80:F80"/>
    <mergeCell ref="G80:H80"/>
    <mergeCell ref="I80:J80"/>
    <mergeCell ref="K80:L80"/>
    <mergeCell ref="M80:N80"/>
    <mergeCell ref="O80:P80"/>
    <mergeCell ref="Q80:R80"/>
    <mergeCell ref="O83:P83"/>
    <mergeCell ref="Q83:R83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U83:AV83"/>
    <mergeCell ref="AW83:AX83"/>
    <mergeCell ref="AY83:AZ83"/>
    <mergeCell ref="BA83:BB83"/>
    <mergeCell ref="BC83:BD83"/>
    <mergeCell ref="BE83:BF83"/>
    <mergeCell ref="BG83:BH83"/>
    <mergeCell ref="AU80:AV80"/>
    <mergeCell ref="AW80:AX80"/>
    <mergeCell ref="AG80:AH80"/>
    <mergeCell ref="AI80:AJ80"/>
    <mergeCell ref="AK80:AL80"/>
    <mergeCell ref="AM80:AN80"/>
    <mergeCell ref="AO80:AP80"/>
    <mergeCell ref="AQ80:AR80"/>
    <mergeCell ref="AS80:AT80"/>
    <mergeCell ref="BM80:BN80"/>
    <mergeCell ref="AU82:AV82"/>
    <mergeCell ref="AW82:AX82"/>
    <mergeCell ref="AG82:AH82"/>
    <mergeCell ref="AI82:AJ82"/>
    <mergeCell ref="AK82:AL82"/>
    <mergeCell ref="AM82:AN82"/>
    <mergeCell ref="AO82:AP82"/>
    <mergeCell ref="AQ82:AR82"/>
    <mergeCell ref="AS82:AT82"/>
    <mergeCell ref="BM82:BN82"/>
    <mergeCell ref="AU84:AV84"/>
    <mergeCell ref="AW84:AX84"/>
    <mergeCell ref="AG84:AH84"/>
    <mergeCell ref="AI84:AJ84"/>
    <mergeCell ref="AK84:AL84"/>
    <mergeCell ref="AM84:AN84"/>
    <mergeCell ref="AO84:AP84"/>
    <mergeCell ref="AQ84:AR84"/>
    <mergeCell ref="AS84:AT84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I78:AJ78"/>
    <mergeCell ref="AK78:AL78"/>
    <mergeCell ref="AM78:AN78"/>
    <mergeCell ref="AO78:AP78"/>
    <mergeCell ref="AQ78:AR78"/>
    <mergeCell ref="AS78:AT78"/>
    <mergeCell ref="BI78:BJ78"/>
    <mergeCell ref="BK78:BL78"/>
    <mergeCell ref="BM78:BN78"/>
    <mergeCell ref="BO78:BP78"/>
    <mergeCell ref="AU78:AV78"/>
    <mergeCell ref="AW78:AX78"/>
    <mergeCell ref="AY78:AZ78"/>
    <mergeCell ref="BA78:BB78"/>
    <mergeCell ref="BC78:BD78"/>
    <mergeCell ref="BE78:BF78"/>
    <mergeCell ref="BG78:BH78"/>
    <mergeCell ref="E78:F78"/>
    <mergeCell ref="G78:H78"/>
    <mergeCell ref="I78:J78"/>
    <mergeCell ref="K78:L78"/>
    <mergeCell ref="M78:N78"/>
    <mergeCell ref="O78:P78"/>
    <mergeCell ref="Q78:R78"/>
    <mergeCell ref="BM84:BN84"/>
    <mergeCell ref="BO84:BP84"/>
    <mergeCell ref="AY84:AZ84"/>
    <mergeCell ref="BA84:BB84"/>
    <mergeCell ref="BC84:BD84"/>
    <mergeCell ref="BE84:BF84"/>
    <mergeCell ref="BG84:BH84"/>
    <mergeCell ref="BI84:BJ84"/>
    <mergeCell ref="BK84:BL84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I83:AJ83"/>
    <mergeCell ref="AK83:AL83"/>
    <mergeCell ref="AM83:AN83"/>
    <mergeCell ref="AO83:AP83"/>
    <mergeCell ref="AQ83:AR83"/>
    <mergeCell ref="AS83:AT83"/>
    <mergeCell ref="BI83:BJ83"/>
    <mergeCell ref="BK83:BL83"/>
    <mergeCell ref="BM83:BN83"/>
    <mergeCell ref="BO83:BP83"/>
    <mergeCell ref="E83:F83"/>
    <mergeCell ref="G83:H83"/>
    <mergeCell ref="I83:J83"/>
    <mergeCell ref="K83:L83"/>
    <mergeCell ref="M83:N83"/>
    <mergeCell ref="BO75:BP75"/>
    <mergeCell ref="AY75:AZ75"/>
    <mergeCell ref="BA75:BB75"/>
    <mergeCell ref="BC75:BD75"/>
    <mergeCell ref="BE75:BF75"/>
    <mergeCell ref="BG75:BH75"/>
    <mergeCell ref="BI75:BJ75"/>
    <mergeCell ref="BK75:BL75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I74:AJ74"/>
    <mergeCell ref="AK74:AL74"/>
    <mergeCell ref="AM74:AN74"/>
    <mergeCell ref="AO74:AP74"/>
    <mergeCell ref="AQ74:AR74"/>
    <mergeCell ref="AS74:AT74"/>
    <mergeCell ref="BI74:BJ74"/>
    <mergeCell ref="BK74:BL74"/>
    <mergeCell ref="BM74:BN74"/>
    <mergeCell ref="BO74:BP74"/>
    <mergeCell ref="E74:F74"/>
    <mergeCell ref="G74:H74"/>
    <mergeCell ref="I74:J74"/>
    <mergeCell ref="K74:L74"/>
    <mergeCell ref="M74:N74"/>
    <mergeCell ref="O74:P74"/>
    <mergeCell ref="Q74:R74"/>
    <mergeCell ref="S75:T75"/>
    <mergeCell ref="U75:V75"/>
    <mergeCell ref="W75:X75"/>
    <mergeCell ref="Y75:Z75"/>
    <mergeCell ref="AA75:AB75"/>
    <mergeCell ref="AC75:AD75"/>
    <mergeCell ref="AE75:AF75"/>
    <mergeCell ref="AU74:AV74"/>
    <mergeCell ref="AW74:AX74"/>
    <mergeCell ref="AY74:AZ74"/>
    <mergeCell ref="BA74:BB74"/>
    <mergeCell ref="BC74:BD74"/>
    <mergeCell ref="BE74:BF74"/>
    <mergeCell ref="BG74:BH74"/>
    <mergeCell ref="E75:F75"/>
    <mergeCell ref="G75:H75"/>
    <mergeCell ref="I75:J75"/>
    <mergeCell ref="K75:L75"/>
    <mergeCell ref="M75:N75"/>
    <mergeCell ref="O75:P75"/>
    <mergeCell ref="Q75:R75"/>
    <mergeCell ref="BO73:BP73"/>
    <mergeCell ref="AY73:AZ73"/>
    <mergeCell ref="BA73:BB73"/>
    <mergeCell ref="BC73:BD73"/>
    <mergeCell ref="BE73:BF73"/>
    <mergeCell ref="BG73:BH73"/>
    <mergeCell ref="BI73:BJ73"/>
    <mergeCell ref="BK73:BL73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I72:AJ72"/>
    <mergeCell ref="AK72:AL72"/>
    <mergeCell ref="AM72:AN72"/>
    <mergeCell ref="AO72:AP72"/>
    <mergeCell ref="AQ72:AR72"/>
    <mergeCell ref="AS72:AT72"/>
    <mergeCell ref="BI72:BJ72"/>
    <mergeCell ref="BK72:BL72"/>
    <mergeCell ref="BM72:BN72"/>
    <mergeCell ref="BO72:BP72"/>
    <mergeCell ref="E72:F72"/>
    <mergeCell ref="G72:H72"/>
    <mergeCell ref="I72:J72"/>
    <mergeCell ref="K72:L72"/>
    <mergeCell ref="M72:N72"/>
    <mergeCell ref="O72:P72"/>
    <mergeCell ref="Q72:R72"/>
    <mergeCell ref="S73:T73"/>
    <mergeCell ref="U73:V73"/>
    <mergeCell ref="W73:X73"/>
    <mergeCell ref="Y73:Z73"/>
    <mergeCell ref="AA73:AB73"/>
    <mergeCell ref="AC73:AD73"/>
    <mergeCell ref="AE73:AF73"/>
    <mergeCell ref="AU72:AV72"/>
    <mergeCell ref="AW72:AX72"/>
    <mergeCell ref="AY72:AZ72"/>
    <mergeCell ref="BA72:BB72"/>
    <mergeCell ref="BC72:BD72"/>
    <mergeCell ref="BE72:BF72"/>
    <mergeCell ref="BG72:BH72"/>
    <mergeCell ref="E73:F73"/>
    <mergeCell ref="G73:H73"/>
    <mergeCell ref="I73:J73"/>
    <mergeCell ref="K73:L73"/>
    <mergeCell ref="M73:N73"/>
    <mergeCell ref="O73:P73"/>
    <mergeCell ref="Q73:R73"/>
    <mergeCell ref="O76:P76"/>
    <mergeCell ref="Q76:R76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U76:AV76"/>
    <mergeCell ref="AW76:AX76"/>
    <mergeCell ref="AY76:AZ76"/>
    <mergeCell ref="BA76:BB76"/>
    <mergeCell ref="BC76:BD76"/>
    <mergeCell ref="BE76:BF76"/>
    <mergeCell ref="BG76:BH76"/>
    <mergeCell ref="AU73:AV73"/>
    <mergeCell ref="AW73:AX73"/>
    <mergeCell ref="AG73:AH73"/>
    <mergeCell ref="AI73:AJ73"/>
    <mergeCell ref="AK73:AL73"/>
    <mergeCell ref="AM73:AN73"/>
    <mergeCell ref="AO73:AP73"/>
    <mergeCell ref="AQ73:AR73"/>
    <mergeCell ref="AS73:AT73"/>
    <mergeCell ref="BM73:BN73"/>
    <mergeCell ref="AU75:AV75"/>
    <mergeCell ref="AW75:AX75"/>
    <mergeCell ref="AG75:AH75"/>
    <mergeCell ref="AI75:AJ75"/>
    <mergeCell ref="AK75:AL75"/>
    <mergeCell ref="AM75:AN75"/>
    <mergeCell ref="AO75:AP75"/>
    <mergeCell ref="AQ75:AR75"/>
    <mergeCell ref="AS75:AT75"/>
    <mergeCell ref="BM75:BN75"/>
    <mergeCell ref="AU77:AV77"/>
    <mergeCell ref="AW77:AX77"/>
    <mergeCell ref="AG77:AH77"/>
    <mergeCell ref="AI77:AJ77"/>
    <mergeCell ref="AK77:AL77"/>
    <mergeCell ref="AM77:AN77"/>
    <mergeCell ref="AO77:AP77"/>
    <mergeCell ref="AQ77:AR77"/>
    <mergeCell ref="AS77:AT77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I71:AJ71"/>
    <mergeCell ref="AK71:AL71"/>
    <mergeCell ref="AM71:AN71"/>
    <mergeCell ref="AO71:AP71"/>
    <mergeCell ref="AQ71:AR71"/>
    <mergeCell ref="AS71:AT71"/>
    <mergeCell ref="BI71:BJ71"/>
    <mergeCell ref="BK71:BL71"/>
    <mergeCell ref="BM71:BN71"/>
    <mergeCell ref="BO71:BP71"/>
    <mergeCell ref="AU71:AV71"/>
    <mergeCell ref="AW71:AX71"/>
    <mergeCell ref="AY71:AZ71"/>
    <mergeCell ref="BA71:BB71"/>
    <mergeCell ref="BC71:BD71"/>
    <mergeCell ref="BE71:BF71"/>
    <mergeCell ref="BG71:BH71"/>
    <mergeCell ref="E71:F71"/>
    <mergeCell ref="G71:H71"/>
    <mergeCell ref="I71:J71"/>
    <mergeCell ref="K71:L71"/>
    <mergeCell ref="M71:N71"/>
    <mergeCell ref="O71:P71"/>
    <mergeCell ref="Q71:R71"/>
    <mergeCell ref="BM77:BN77"/>
    <mergeCell ref="BO77:BP77"/>
    <mergeCell ref="AY77:AZ77"/>
    <mergeCell ref="BA77:BB77"/>
    <mergeCell ref="BC77:BD77"/>
    <mergeCell ref="BE77:BF77"/>
    <mergeCell ref="BG77:BH77"/>
    <mergeCell ref="BI77:BJ77"/>
    <mergeCell ref="BK77:BL77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I76:AJ76"/>
    <mergeCell ref="AK76:AL76"/>
    <mergeCell ref="AM76:AN76"/>
    <mergeCell ref="AO76:AP76"/>
    <mergeCell ref="AQ76:AR76"/>
    <mergeCell ref="AS76:AT76"/>
    <mergeCell ref="BI76:BJ76"/>
    <mergeCell ref="BK76:BL76"/>
    <mergeCell ref="BM76:BN76"/>
    <mergeCell ref="BO76:BP76"/>
    <mergeCell ref="E76:F76"/>
    <mergeCell ref="G76:H76"/>
    <mergeCell ref="I76:J76"/>
    <mergeCell ref="K76:L76"/>
    <mergeCell ref="M76:N76"/>
    <mergeCell ref="BO65:BP65"/>
    <mergeCell ref="E65:F65"/>
    <mergeCell ref="G65:H65"/>
    <mergeCell ref="I65:J65"/>
    <mergeCell ref="K65:L65"/>
    <mergeCell ref="M65:N65"/>
    <mergeCell ref="O65:P65"/>
    <mergeCell ref="Q65:R65"/>
    <mergeCell ref="S66:T66"/>
    <mergeCell ref="U66:V66"/>
    <mergeCell ref="W66:X66"/>
    <mergeCell ref="Y66:Z66"/>
    <mergeCell ref="AA66:AB66"/>
    <mergeCell ref="AC66:AD66"/>
    <mergeCell ref="AE66:AF66"/>
    <mergeCell ref="AU65:AV65"/>
    <mergeCell ref="AW65:AX65"/>
    <mergeCell ref="AY65:AZ65"/>
    <mergeCell ref="BA65:BB65"/>
    <mergeCell ref="BC65:BD65"/>
    <mergeCell ref="BE65:BF65"/>
    <mergeCell ref="BG65:BH65"/>
    <mergeCell ref="E66:F66"/>
    <mergeCell ref="G66:H66"/>
    <mergeCell ref="I66:J66"/>
    <mergeCell ref="K66:L66"/>
    <mergeCell ref="M66:N66"/>
    <mergeCell ref="O66:P66"/>
    <mergeCell ref="Q66:R66"/>
    <mergeCell ref="AU68:AV68"/>
    <mergeCell ref="AW68:AX68"/>
    <mergeCell ref="AG68:AH68"/>
    <mergeCell ref="AI68:AJ68"/>
    <mergeCell ref="AK68:AL68"/>
    <mergeCell ref="AM68:AN68"/>
    <mergeCell ref="AO68:AP68"/>
    <mergeCell ref="AQ68:AR68"/>
    <mergeCell ref="AS68:AT68"/>
    <mergeCell ref="BO63:BP63"/>
    <mergeCell ref="E63:F63"/>
    <mergeCell ref="G63:H63"/>
    <mergeCell ref="I63:J63"/>
    <mergeCell ref="K63:L63"/>
    <mergeCell ref="M63:N63"/>
    <mergeCell ref="O63:P63"/>
    <mergeCell ref="Q63:R63"/>
    <mergeCell ref="S64:T64"/>
    <mergeCell ref="U64:V64"/>
    <mergeCell ref="W64:X64"/>
    <mergeCell ref="Y64:Z64"/>
    <mergeCell ref="AA64:AB64"/>
    <mergeCell ref="AC64:AD64"/>
    <mergeCell ref="AE64:AF64"/>
    <mergeCell ref="AU63:AV63"/>
    <mergeCell ref="AW63:AX63"/>
    <mergeCell ref="AY63:AZ63"/>
    <mergeCell ref="BA63:BB63"/>
    <mergeCell ref="BC63:BD63"/>
    <mergeCell ref="BE63:BF63"/>
    <mergeCell ref="BG63:BH63"/>
    <mergeCell ref="E64:F64"/>
    <mergeCell ref="G64:H64"/>
    <mergeCell ref="I64:J64"/>
    <mergeCell ref="K64:L64"/>
    <mergeCell ref="M64:N64"/>
    <mergeCell ref="O64:P64"/>
    <mergeCell ref="Q64:R64"/>
    <mergeCell ref="AU66:AV66"/>
    <mergeCell ref="AW66:AX66"/>
    <mergeCell ref="AG66:AH66"/>
    <mergeCell ref="AI66:AJ66"/>
    <mergeCell ref="AK66:AL66"/>
    <mergeCell ref="AM66:AN66"/>
    <mergeCell ref="AO66:AP66"/>
    <mergeCell ref="AQ66:AR66"/>
    <mergeCell ref="AS66:AT66"/>
    <mergeCell ref="BM66:BN66"/>
    <mergeCell ref="BO66:BP66"/>
    <mergeCell ref="AY66:AZ66"/>
    <mergeCell ref="BA66:BB66"/>
    <mergeCell ref="BC66:BD66"/>
    <mergeCell ref="BE66:BF66"/>
    <mergeCell ref="BG66:BH66"/>
    <mergeCell ref="BI66:BJ66"/>
    <mergeCell ref="BK66:BL66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I65:AJ65"/>
    <mergeCell ref="AK65:AL65"/>
    <mergeCell ref="AM65:AN65"/>
    <mergeCell ref="AO65:AP65"/>
    <mergeCell ref="AQ65:AR65"/>
    <mergeCell ref="AS65:AT65"/>
    <mergeCell ref="BI65:BJ65"/>
    <mergeCell ref="BK65:BL65"/>
    <mergeCell ref="BM65:BN65"/>
    <mergeCell ref="BM70:BN70"/>
    <mergeCell ref="BO70:BP70"/>
    <mergeCell ref="AY70:AZ70"/>
    <mergeCell ref="BA70:BB70"/>
    <mergeCell ref="BC70:BD70"/>
    <mergeCell ref="BE70:BF70"/>
    <mergeCell ref="BG70:BH70"/>
    <mergeCell ref="BI70:BJ70"/>
    <mergeCell ref="BK70:BL70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I69:AJ69"/>
    <mergeCell ref="AK69:AL69"/>
    <mergeCell ref="AM69:AN69"/>
    <mergeCell ref="AO69:AP69"/>
    <mergeCell ref="AQ69:AR69"/>
    <mergeCell ref="AS69:AT69"/>
    <mergeCell ref="BI69:BJ69"/>
    <mergeCell ref="BK69:BL69"/>
    <mergeCell ref="BM69:BN69"/>
    <mergeCell ref="BO69:BP69"/>
    <mergeCell ref="E69:F69"/>
    <mergeCell ref="G69:H69"/>
    <mergeCell ref="I69:J69"/>
    <mergeCell ref="K69:L69"/>
    <mergeCell ref="M69:N69"/>
    <mergeCell ref="O69:P69"/>
    <mergeCell ref="Q69:R69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U69:AV69"/>
    <mergeCell ref="AW69:AX69"/>
    <mergeCell ref="AY69:AZ69"/>
    <mergeCell ref="BA69:BB69"/>
    <mergeCell ref="BC69:BD69"/>
    <mergeCell ref="BE69:BF69"/>
    <mergeCell ref="BG69:BH69"/>
    <mergeCell ref="AU70:AV70"/>
    <mergeCell ref="AW70:AX70"/>
    <mergeCell ref="AG70:AH70"/>
    <mergeCell ref="AI70:AJ70"/>
    <mergeCell ref="AK70:AL70"/>
    <mergeCell ref="AM70:AN70"/>
    <mergeCell ref="AO70:AP70"/>
    <mergeCell ref="AQ70:AR70"/>
    <mergeCell ref="AS70:AT70"/>
    <mergeCell ref="BM68:BN68"/>
    <mergeCell ref="BO68:BP68"/>
    <mergeCell ref="AY68:AZ68"/>
    <mergeCell ref="BA68:BB68"/>
    <mergeCell ref="BC68:BD68"/>
    <mergeCell ref="BE68:BF68"/>
    <mergeCell ref="BG68:BH68"/>
    <mergeCell ref="BI68:BJ68"/>
    <mergeCell ref="BK68:BL68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I67:AJ67"/>
    <mergeCell ref="AK67:AL67"/>
    <mergeCell ref="AM67:AN67"/>
    <mergeCell ref="AO67:AP67"/>
    <mergeCell ref="AQ67:AR67"/>
    <mergeCell ref="AS67:AT67"/>
    <mergeCell ref="BI67:BJ67"/>
    <mergeCell ref="BK67:BL67"/>
    <mergeCell ref="BM67:BN67"/>
    <mergeCell ref="BO67:BP67"/>
    <mergeCell ref="E67:F67"/>
    <mergeCell ref="G67:H67"/>
    <mergeCell ref="I67:J67"/>
    <mergeCell ref="K67:L67"/>
    <mergeCell ref="M67:N67"/>
    <mergeCell ref="O67:P67"/>
    <mergeCell ref="Q67:R67"/>
    <mergeCell ref="S68:T68"/>
    <mergeCell ref="U68:V68"/>
    <mergeCell ref="W68:X68"/>
    <mergeCell ref="Y68:Z68"/>
    <mergeCell ref="AA68:AB68"/>
    <mergeCell ref="AC68:AD68"/>
    <mergeCell ref="AE68:AF68"/>
    <mergeCell ref="AU67:AV67"/>
    <mergeCell ref="AW67:AX67"/>
    <mergeCell ref="AY67:AZ67"/>
    <mergeCell ref="BA67:BB67"/>
    <mergeCell ref="BC67:BD67"/>
    <mergeCell ref="BE67:BF67"/>
    <mergeCell ref="BG67:BH67"/>
    <mergeCell ref="E68:F68"/>
    <mergeCell ref="G68:H68"/>
    <mergeCell ref="I68:J68"/>
    <mergeCell ref="K68:L68"/>
    <mergeCell ref="M68:N68"/>
    <mergeCell ref="O68:P68"/>
    <mergeCell ref="Q68:R68"/>
    <mergeCell ref="BO61:BP61"/>
    <mergeCell ref="E61:F61"/>
    <mergeCell ref="G61:H61"/>
    <mergeCell ref="I61:J61"/>
    <mergeCell ref="K61:L61"/>
    <mergeCell ref="M61:N61"/>
    <mergeCell ref="O61:P61"/>
    <mergeCell ref="Q61:R61"/>
    <mergeCell ref="S62:T62"/>
    <mergeCell ref="U62:V62"/>
    <mergeCell ref="W62:X62"/>
    <mergeCell ref="Y62:Z62"/>
    <mergeCell ref="AA62:AB62"/>
    <mergeCell ref="AC62:AD62"/>
    <mergeCell ref="AE62:AF62"/>
    <mergeCell ref="AU61:AV61"/>
    <mergeCell ref="AW61:AX61"/>
    <mergeCell ref="AY61:AZ61"/>
    <mergeCell ref="BA61:BB61"/>
    <mergeCell ref="BC61:BD61"/>
    <mergeCell ref="BE61:BF61"/>
    <mergeCell ref="BG61:BH61"/>
    <mergeCell ref="E62:F62"/>
    <mergeCell ref="G62:H62"/>
    <mergeCell ref="I62:J62"/>
    <mergeCell ref="K62:L62"/>
    <mergeCell ref="M62:N62"/>
    <mergeCell ref="O62:P62"/>
    <mergeCell ref="Q62:R62"/>
    <mergeCell ref="AU64:AV64"/>
    <mergeCell ref="AW64:AX64"/>
    <mergeCell ref="AG64:AH64"/>
    <mergeCell ref="AI64:AJ64"/>
    <mergeCell ref="AK64:AL64"/>
    <mergeCell ref="AM64:AN64"/>
    <mergeCell ref="AO64:AP64"/>
    <mergeCell ref="AQ64:AR64"/>
    <mergeCell ref="AS64:AT64"/>
    <mergeCell ref="BM64:BN64"/>
    <mergeCell ref="BO64:BP64"/>
    <mergeCell ref="AY64:AZ64"/>
    <mergeCell ref="BA64:BB64"/>
    <mergeCell ref="BC64:BD64"/>
    <mergeCell ref="BE64:BF64"/>
    <mergeCell ref="BG64:BH64"/>
    <mergeCell ref="BI64:BJ64"/>
    <mergeCell ref="BK64:BL64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I63:AJ63"/>
    <mergeCell ref="AK63:AL63"/>
    <mergeCell ref="AM63:AN63"/>
    <mergeCell ref="AO63:AP63"/>
    <mergeCell ref="AQ63:AR63"/>
    <mergeCell ref="AS63:AT63"/>
    <mergeCell ref="BI63:BJ63"/>
    <mergeCell ref="BK63:BL63"/>
    <mergeCell ref="BM63:BN63"/>
    <mergeCell ref="BV59:BY59"/>
    <mergeCell ref="E59:F59"/>
    <mergeCell ref="G59:H59"/>
    <mergeCell ref="I59:J59"/>
    <mergeCell ref="K59:L59"/>
    <mergeCell ref="M59:N59"/>
    <mergeCell ref="O59:P59"/>
    <mergeCell ref="Q59:R59"/>
    <mergeCell ref="S60:T60"/>
    <mergeCell ref="U60:V60"/>
    <mergeCell ref="W60:X60"/>
    <mergeCell ref="Y60:Z60"/>
    <mergeCell ref="AA60:AB60"/>
    <mergeCell ref="AC60:AD60"/>
    <mergeCell ref="AE60:AF60"/>
    <mergeCell ref="AU59:AV59"/>
    <mergeCell ref="AW59:AX59"/>
    <mergeCell ref="AY59:AZ59"/>
    <mergeCell ref="BA59:BB59"/>
    <mergeCell ref="BC59:BD59"/>
    <mergeCell ref="BE59:BF59"/>
    <mergeCell ref="BG59:BH59"/>
    <mergeCell ref="E60:F60"/>
    <mergeCell ref="G60:H60"/>
    <mergeCell ref="I60:J60"/>
    <mergeCell ref="K60:L60"/>
    <mergeCell ref="M60:N60"/>
    <mergeCell ref="O60:P60"/>
    <mergeCell ref="Q60:R60"/>
    <mergeCell ref="AU62:AV62"/>
    <mergeCell ref="AW62:AX62"/>
    <mergeCell ref="AG62:AH62"/>
    <mergeCell ref="AI62:AJ62"/>
    <mergeCell ref="AK62:AL62"/>
    <mergeCell ref="AM62:AN62"/>
    <mergeCell ref="AO62:AP62"/>
    <mergeCell ref="AQ62:AR62"/>
    <mergeCell ref="AS62:AT62"/>
    <mergeCell ref="BM62:BN62"/>
    <mergeCell ref="BO62:BP62"/>
    <mergeCell ref="AY62:AZ62"/>
    <mergeCell ref="BA62:BB62"/>
    <mergeCell ref="BC62:BD62"/>
    <mergeCell ref="BE62:BF62"/>
    <mergeCell ref="BG62:BH62"/>
    <mergeCell ref="BI62:BJ62"/>
    <mergeCell ref="BK62:BL62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I61:AJ61"/>
    <mergeCell ref="AK61:AL61"/>
    <mergeCell ref="AM61:AN61"/>
    <mergeCell ref="AO61:AP61"/>
    <mergeCell ref="AQ61:AR61"/>
    <mergeCell ref="AS61:AT61"/>
    <mergeCell ref="BI61:BJ61"/>
    <mergeCell ref="BK61:BL61"/>
    <mergeCell ref="BM61:BN61"/>
    <mergeCell ref="AU60:AV60"/>
    <mergeCell ref="AW60:AX60"/>
    <mergeCell ref="AG60:AH60"/>
    <mergeCell ref="AI60:AJ60"/>
    <mergeCell ref="AK60:AL60"/>
    <mergeCell ref="AM60:AN60"/>
    <mergeCell ref="AO60:AP60"/>
    <mergeCell ref="AQ60:AR60"/>
    <mergeCell ref="AS60:AT60"/>
    <mergeCell ref="BM60:BN60"/>
    <mergeCell ref="BO60:BP60"/>
    <mergeCell ref="AY60:AZ60"/>
    <mergeCell ref="BA60:BB60"/>
    <mergeCell ref="BC60:BD60"/>
    <mergeCell ref="BE60:BF60"/>
    <mergeCell ref="BG60:BH60"/>
    <mergeCell ref="BI60:BJ60"/>
    <mergeCell ref="BK60:BL60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BI59:BJ59"/>
    <mergeCell ref="BK59:BL59"/>
    <mergeCell ref="BM59:BN59"/>
    <mergeCell ref="BO59:BP59"/>
    <mergeCell ref="W49:X49"/>
    <mergeCell ref="Y49:Z49"/>
    <mergeCell ref="AA49:AB49"/>
    <mergeCell ref="AC49:AD49"/>
    <mergeCell ref="AE49:AF49"/>
    <mergeCell ref="AU48:AV48"/>
    <mergeCell ref="AW48:AX48"/>
    <mergeCell ref="AY48:AZ48"/>
    <mergeCell ref="BA48:BB48"/>
    <mergeCell ref="BC48:BD48"/>
    <mergeCell ref="BE48:BF48"/>
    <mergeCell ref="BG48:BH48"/>
    <mergeCell ref="E49:F49"/>
    <mergeCell ref="G49:H49"/>
    <mergeCell ref="I49:J49"/>
    <mergeCell ref="K49:L49"/>
    <mergeCell ref="M49:N49"/>
    <mergeCell ref="O49:P49"/>
    <mergeCell ref="Q49:R49"/>
    <mergeCell ref="AU51:AV51"/>
    <mergeCell ref="AW51:AX51"/>
    <mergeCell ref="AG51:AH51"/>
    <mergeCell ref="AI51:AJ51"/>
    <mergeCell ref="AK51:AL51"/>
    <mergeCell ref="AM51:AN51"/>
    <mergeCell ref="AO51:AP51"/>
    <mergeCell ref="AQ51:AR51"/>
    <mergeCell ref="AS51:AT51"/>
    <mergeCell ref="BM55:BN55"/>
    <mergeCell ref="BO55:BP55"/>
    <mergeCell ref="AY55:AZ55"/>
    <mergeCell ref="BA55:BB55"/>
    <mergeCell ref="BC55:BD55"/>
    <mergeCell ref="BE55:BF55"/>
    <mergeCell ref="BG55:BH55"/>
    <mergeCell ref="BI55:BJ55"/>
    <mergeCell ref="BK55:BL55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K54:AL54"/>
    <mergeCell ref="AM54:AN54"/>
    <mergeCell ref="AO54:AP54"/>
    <mergeCell ref="AQ54:AR54"/>
    <mergeCell ref="AS54:AT54"/>
    <mergeCell ref="BI54:BJ54"/>
    <mergeCell ref="BK54:BL54"/>
    <mergeCell ref="BM54:BN54"/>
    <mergeCell ref="BO54:BP54"/>
    <mergeCell ref="E54:F54"/>
    <mergeCell ref="G54:H54"/>
    <mergeCell ref="I54:J54"/>
    <mergeCell ref="K54:L54"/>
    <mergeCell ref="M54:N54"/>
    <mergeCell ref="O54:P54"/>
    <mergeCell ref="Q54:R54"/>
    <mergeCell ref="S55:T55"/>
    <mergeCell ref="U55:V55"/>
    <mergeCell ref="W47:X47"/>
    <mergeCell ref="Y47:Z47"/>
    <mergeCell ref="AA47:AB47"/>
    <mergeCell ref="AC47:AD47"/>
    <mergeCell ref="AE47:AF47"/>
    <mergeCell ref="AU46:AV46"/>
    <mergeCell ref="AW46:AX46"/>
    <mergeCell ref="AY46:AZ46"/>
    <mergeCell ref="BA46:BB46"/>
    <mergeCell ref="BC46:BD46"/>
    <mergeCell ref="BE46:BF46"/>
    <mergeCell ref="BG46:BH46"/>
    <mergeCell ref="E47:F47"/>
    <mergeCell ref="G47:H47"/>
    <mergeCell ref="I47:J47"/>
    <mergeCell ref="K47:L47"/>
    <mergeCell ref="M47:N47"/>
    <mergeCell ref="O47:P47"/>
    <mergeCell ref="Q47:R47"/>
    <mergeCell ref="AU49:AV49"/>
    <mergeCell ref="AW49:AX49"/>
    <mergeCell ref="AG49:AH49"/>
    <mergeCell ref="AI49:AJ49"/>
    <mergeCell ref="AK49:AL49"/>
    <mergeCell ref="AM49:AN49"/>
    <mergeCell ref="AO49:AP49"/>
    <mergeCell ref="AQ49:AR49"/>
    <mergeCell ref="AS49:AT49"/>
    <mergeCell ref="BM49:BN49"/>
    <mergeCell ref="BO49:BP49"/>
    <mergeCell ref="AY49:AZ49"/>
    <mergeCell ref="BA49:BB49"/>
    <mergeCell ref="BC49:BD49"/>
    <mergeCell ref="BE49:BF49"/>
    <mergeCell ref="BG49:BH49"/>
    <mergeCell ref="BI49:BJ49"/>
    <mergeCell ref="BK49:BL49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P48"/>
    <mergeCell ref="AQ48:AR48"/>
    <mergeCell ref="AS48:AT48"/>
    <mergeCell ref="BI48:BJ48"/>
    <mergeCell ref="BK48:BL48"/>
    <mergeCell ref="BM48:BN48"/>
    <mergeCell ref="BO48:BP48"/>
    <mergeCell ref="E48:F48"/>
    <mergeCell ref="G48:H48"/>
    <mergeCell ref="I48:J48"/>
    <mergeCell ref="K48:L48"/>
    <mergeCell ref="M48:N48"/>
    <mergeCell ref="O48:P48"/>
    <mergeCell ref="Q48:R48"/>
    <mergeCell ref="S49:T49"/>
    <mergeCell ref="U49:V49"/>
    <mergeCell ref="BI45:BJ45"/>
    <mergeCell ref="BK45:BL45"/>
    <mergeCell ref="BM45:BN45"/>
    <mergeCell ref="BO45:BP45"/>
    <mergeCell ref="AU45:AV45"/>
    <mergeCell ref="AW45:AX45"/>
    <mergeCell ref="AY45:AZ45"/>
    <mergeCell ref="BA45:BB45"/>
    <mergeCell ref="BC45:BD45"/>
    <mergeCell ref="BE45:BF45"/>
    <mergeCell ref="BG45:BH45"/>
    <mergeCell ref="E45:F45"/>
    <mergeCell ref="G45:H45"/>
    <mergeCell ref="I45:J45"/>
    <mergeCell ref="K45:L45"/>
    <mergeCell ref="M45:N45"/>
    <mergeCell ref="O45:P45"/>
    <mergeCell ref="Q45:R45"/>
    <mergeCell ref="AU47:AV47"/>
    <mergeCell ref="AW47:AX47"/>
    <mergeCell ref="AG47:AH47"/>
    <mergeCell ref="AI47:AJ47"/>
    <mergeCell ref="AK47:AL47"/>
    <mergeCell ref="AM47:AN47"/>
    <mergeCell ref="AO47:AP47"/>
    <mergeCell ref="AQ47:AR47"/>
    <mergeCell ref="AS47:AT47"/>
    <mergeCell ref="BM47:BN47"/>
    <mergeCell ref="BO47:BP47"/>
    <mergeCell ref="BV47:BY47"/>
    <mergeCell ref="AY47:AZ47"/>
    <mergeCell ref="BA47:BB47"/>
    <mergeCell ref="BC47:BD47"/>
    <mergeCell ref="BE47:BF47"/>
    <mergeCell ref="BG47:BH47"/>
    <mergeCell ref="BI47:BJ47"/>
    <mergeCell ref="BK47:BL47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BI46:BJ46"/>
    <mergeCell ref="BK46:BL46"/>
    <mergeCell ref="BM46:BN46"/>
    <mergeCell ref="BO46:BP46"/>
    <mergeCell ref="E46:F46"/>
    <mergeCell ref="G46:H46"/>
    <mergeCell ref="I46:J46"/>
    <mergeCell ref="K46:L46"/>
    <mergeCell ref="M46:N46"/>
    <mergeCell ref="O46:P46"/>
    <mergeCell ref="Q46:R46"/>
    <mergeCell ref="S47:T47"/>
    <mergeCell ref="U47:V47"/>
    <mergeCell ref="E40:F40"/>
    <mergeCell ref="G40:H40"/>
    <mergeCell ref="I40:J40"/>
    <mergeCell ref="K40:L40"/>
    <mergeCell ref="M40:N40"/>
    <mergeCell ref="O40:P40"/>
    <mergeCell ref="Q40:R40"/>
    <mergeCell ref="AU42:AV42"/>
    <mergeCell ref="AW42:AX42"/>
    <mergeCell ref="AG42:AH42"/>
    <mergeCell ref="AI42:AJ42"/>
    <mergeCell ref="AK42:AL42"/>
    <mergeCell ref="AM42:AN42"/>
    <mergeCell ref="AO42:AP42"/>
    <mergeCell ref="AQ42:AR42"/>
    <mergeCell ref="AS42:AT42"/>
    <mergeCell ref="AU44:AV44"/>
    <mergeCell ref="AW44:AX44"/>
    <mergeCell ref="AG44:AH44"/>
    <mergeCell ref="AI44:AJ44"/>
    <mergeCell ref="AK44:AL44"/>
    <mergeCell ref="AM44:AN44"/>
    <mergeCell ref="AO44:AP44"/>
    <mergeCell ref="AQ44:AR44"/>
    <mergeCell ref="AS44:AT44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N45"/>
    <mergeCell ref="AO45:AP45"/>
    <mergeCell ref="AQ45:AR45"/>
    <mergeCell ref="AS45:AT45"/>
    <mergeCell ref="E37:F37"/>
    <mergeCell ref="G37:H37"/>
    <mergeCell ref="I37:J37"/>
    <mergeCell ref="K37:L37"/>
    <mergeCell ref="M37:N37"/>
    <mergeCell ref="O37:P37"/>
    <mergeCell ref="Q37:R37"/>
    <mergeCell ref="S38:T38"/>
    <mergeCell ref="U38:V38"/>
    <mergeCell ref="W38:X38"/>
    <mergeCell ref="Y38:Z38"/>
    <mergeCell ref="AA38:AB38"/>
    <mergeCell ref="AC38:AD38"/>
    <mergeCell ref="AE38:AF38"/>
    <mergeCell ref="AU37:AV37"/>
    <mergeCell ref="AW37:AX37"/>
    <mergeCell ref="AY37:AZ37"/>
    <mergeCell ref="BA37:BB37"/>
    <mergeCell ref="BC37:BD37"/>
    <mergeCell ref="BE37:BF37"/>
    <mergeCell ref="BG37:BH37"/>
    <mergeCell ref="E38:F38"/>
    <mergeCell ref="G38:H38"/>
    <mergeCell ref="I38:J38"/>
    <mergeCell ref="K38:L38"/>
    <mergeCell ref="M38:N38"/>
    <mergeCell ref="O38:P38"/>
    <mergeCell ref="Q38:R38"/>
    <mergeCell ref="AU40:AV40"/>
    <mergeCell ref="AW40:AX40"/>
    <mergeCell ref="AG40:AH40"/>
    <mergeCell ref="AI40:AJ40"/>
    <mergeCell ref="AK40:AL40"/>
    <mergeCell ref="AM40:AN40"/>
    <mergeCell ref="AO40:AP40"/>
    <mergeCell ref="AQ40:AR40"/>
    <mergeCell ref="AS40:AT40"/>
    <mergeCell ref="AY40:AZ40"/>
    <mergeCell ref="BA40:BB40"/>
    <mergeCell ref="BC40:BD40"/>
    <mergeCell ref="BE40:BF40"/>
    <mergeCell ref="BG40:BH40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E39:F39"/>
    <mergeCell ref="I39:J39"/>
    <mergeCell ref="K39:L39"/>
    <mergeCell ref="M39:N39"/>
    <mergeCell ref="O39:P39"/>
    <mergeCell ref="Q39:R39"/>
    <mergeCell ref="G39:H39"/>
    <mergeCell ref="S40:T40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U43:AV43"/>
    <mergeCell ref="AW43:AX43"/>
    <mergeCell ref="AY43:AZ43"/>
    <mergeCell ref="BA43:BB43"/>
    <mergeCell ref="BC43:BD43"/>
    <mergeCell ref="BE43:BF43"/>
    <mergeCell ref="BG43:BH43"/>
    <mergeCell ref="BM38:BN38"/>
    <mergeCell ref="BO38:BP38"/>
    <mergeCell ref="AY38:AZ38"/>
    <mergeCell ref="BA38:BB38"/>
    <mergeCell ref="BC38:BD38"/>
    <mergeCell ref="BE38:BF38"/>
    <mergeCell ref="BG38:BH38"/>
    <mergeCell ref="BI38:BJ38"/>
    <mergeCell ref="BK38:BL38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BI37:BJ37"/>
    <mergeCell ref="BK37:BL37"/>
    <mergeCell ref="BM37:BN37"/>
    <mergeCell ref="BO37:BP37"/>
    <mergeCell ref="BM40:BN40"/>
    <mergeCell ref="BO40:BP40"/>
    <mergeCell ref="BI40:BJ40"/>
    <mergeCell ref="BK40:BL40"/>
    <mergeCell ref="BI39:BJ39"/>
    <mergeCell ref="BK39:BL39"/>
    <mergeCell ref="BM39:BN39"/>
    <mergeCell ref="BO39:BP39"/>
    <mergeCell ref="U40:V40"/>
    <mergeCell ref="W40:X40"/>
    <mergeCell ref="Y40:Z40"/>
    <mergeCell ref="AA40:AB40"/>
    <mergeCell ref="AC40:AD40"/>
    <mergeCell ref="AE40:AF40"/>
    <mergeCell ref="AU39:AV39"/>
    <mergeCell ref="AW39:AX39"/>
    <mergeCell ref="AY39:AZ39"/>
    <mergeCell ref="BA39:BB39"/>
    <mergeCell ref="E41:F41"/>
    <mergeCell ref="G41:H41"/>
    <mergeCell ref="I41:J41"/>
    <mergeCell ref="K41:L41"/>
    <mergeCell ref="M41:N41"/>
    <mergeCell ref="O41:P41"/>
    <mergeCell ref="Q41:R41"/>
    <mergeCell ref="S42:T42"/>
    <mergeCell ref="U42:V42"/>
    <mergeCell ref="W42:X42"/>
    <mergeCell ref="Y42:Z42"/>
    <mergeCell ref="AA42:AB42"/>
    <mergeCell ref="AC42:AD42"/>
    <mergeCell ref="AE42:AF42"/>
    <mergeCell ref="AU41:AV41"/>
    <mergeCell ref="AW41:AX41"/>
    <mergeCell ref="AY41:AZ41"/>
    <mergeCell ref="BA41:BB41"/>
    <mergeCell ref="BC41:BD41"/>
    <mergeCell ref="BE41:BF41"/>
    <mergeCell ref="BG41:BH41"/>
    <mergeCell ref="E42:F42"/>
    <mergeCell ref="G42:H42"/>
    <mergeCell ref="I42:J42"/>
    <mergeCell ref="K42:L42"/>
    <mergeCell ref="M42:N42"/>
    <mergeCell ref="O42:P42"/>
    <mergeCell ref="Q42:R42"/>
    <mergeCell ref="BM44:BN44"/>
    <mergeCell ref="BO44:BP44"/>
    <mergeCell ref="AY44:AZ44"/>
    <mergeCell ref="BA44:BB44"/>
    <mergeCell ref="BC44:BD44"/>
    <mergeCell ref="BE44:BF44"/>
    <mergeCell ref="BG44:BH44"/>
    <mergeCell ref="BI44:BJ44"/>
    <mergeCell ref="BK44:BL44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N43"/>
    <mergeCell ref="AO43:AP43"/>
    <mergeCell ref="AQ43:AR43"/>
    <mergeCell ref="AS43:AT43"/>
    <mergeCell ref="BI43:BJ43"/>
    <mergeCell ref="BK43:BL43"/>
    <mergeCell ref="BM43:BN43"/>
    <mergeCell ref="BO43:BP43"/>
    <mergeCell ref="E43:F43"/>
    <mergeCell ref="G43:H43"/>
    <mergeCell ref="I43:J43"/>
    <mergeCell ref="K43:L43"/>
    <mergeCell ref="M43:N43"/>
    <mergeCell ref="O43:P43"/>
    <mergeCell ref="Q43:R43"/>
    <mergeCell ref="E44:F44"/>
    <mergeCell ref="G44:H44"/>
    <mergeCell ref="AU38:AV38"/>
    <mergeCell ref="AW38:AX38"/>
    <mergeCell ref="AG38:AH38"/>
    <mergeCell ref="AI38:AJ38"/>
    <mergeCell ref="AK38:AL38"/>
    <mergeCell ref="AM38:AN38"/>
    <mergeCell ref="AO38:AP38"/>
    <mergeCell ref="AQ38:AR38"/>
    <mergeCell ref="AS38:AT38"/>
    <mergeCell ref="BM42:BN42"/>
    <mergeCell ref="BO42:BP42"/>
    <mergeCell ref="AY42:AZ42"/>
    <mergeCell ref="BA42:BB42"/>
    <mergeCell ref="BC42:BD42"/>
    <mergeCell ref="BE42:BF42"/>
    <mergeCell ref="BG42:BH42"/>
    <mergeCell ref="BI42:BJ42"/>
    <mergeCell ref="BK42:BL42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AS41:AT41"/>
    <mergeCell ref="BI41:BJ41"/>
    <mergeCell ref="BK41:BL41"/>
    <mergeCell ref="BM41:BN41"/>
    <mergeCell ref="BO41:BP41"/>
    <mergeCell ref="BC39:BD39"/>
    <mergeCell ref="BE39:BF39"/>
    <mergeCell ref="BG39:BH39"/>
    <mergeCell ref="AM35:AN35"/>
    <mergeCell ref="AO35:AP35"/>
    <mergeCell ref="AQ35:AR35"/>
    <mergeCell ref="AS35:AT35"/>
    <mergeCell ref="BI35:BJ35"/>
    <mergeCell ref="BK35:BL35"/>
    <mergeCell ref="BM35:BN35"/>
    <mergeCell ref="BO35:BP35"/>
    <mergeCell ref="BV35:BY35"/>
    <mergeCell ref="E35:F35"/>
    <mergeCell ref="G35:H35"/>
    <mergeCell ref="I35:J35"/>
    <mergeCell ref="K35:L35"/>
    <mergeCell ref="M35:N35"/>
    <mergeCell ref="O35:P35"/>
    <mergeCell ref="Q35:R35"/>
    <mergeCell ref="S36:T36"/>
    <mergeCell ref="U36:V36"/>
    <mergeCell ref="W36:X36"/>
    <mergeCell ref="Y36:Z36"/>
    <mergeCell ref="AA36:AB36"/>
    <mergeCell ref="AC36:AD36"/>
    <mergeCell ref="AE36:AF36"/>
    <mergeCell ref="AU35:AV35"/>
    <mergeCell ref="AW35:AX35"/>
    <mergeCell ref="AY35:AZ35"/>
    <mergeCell ref="BA35:BB35"/>
    <mergeCell ref="BC35:BD35"/>
    <mergeCell ref="BE35:BF35"/>
    <mergeCell ref="BG35:BH35"/>
    <mergeCell ref="E36:F36"/>
    <mergeCell ref="G36:H36"/>
    <mergeCell ref="I36:J36"/>
    <mergeCell ref="K36:L36"/>
    <mergeCell ref="M36:N36"/>
    <mergeCell ref="O36:P36"/>
    <mergeCell ref="Q36:R36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BI33:BJ33"/>
    <mergeCell ref="BK33:BL33"/>
    <mergeCell ref="BM33:BN33"/>
    <mergeCell ref="BO33:BP33"/>
    <mergeCell ref="E33:F33"/>
    <mergeCell ref="G33:H33"/>
    <mergeCell ref="I33:J33"/>
    <mergeCell ref="K33:L33"/>
    <mergeCell ref="M33:N33"/>
    <mergeCell ref="O33:P33"/>
    <mergeCell ref="Q33:R33"/>
    <mergeCell ref="S34:T34"/>
    <mergeCell ref="U34:V34"/>
    <mergeCell ref="W34:X34"/>
    <mergeCell ref="Y34:Z34"/>
    <mergeCell ref="AA34:AB34"/>
    <mergeCell ref="AC34:AD34"/>
    <mergeCell ref="AE34:AF34"/>
    <mergeCell ref="AU33:AV33"/>
    <mergeCell ref="AW33:AX33"/>
    <mergeCell ref="AY33:AZ33"/>
    <mergeCell ref="BA33:BB33"/>
    <mergeCell ref="BC33:BD33"/>
    <mergeCell ref="BE33:BF33"/>
    <mergeCell ref="BG33:BH33"/>
    <mergeCell ref="E34:F34"/>
    <mergeCell ref="G34:H34"/>
    <mergeCell ref="I34:J34"/>
    <mergeCell ref="K34:L34"/>
    <mergeCell ref="M34:N34"/>
    <mergeCell ref="O34:P34"/>
    <mergeCell ref="Q34:R34"/>
    <mergeCell ref="BI58:BJ58"/>
    <mergeCell ref="BK58:BL58"/>
    <mergeCell ref="BM58:BN58"/>
    <mergeCell ref="BO58:BP58"/>
    <mergeCell ref="AU58:AV58"/>
    <mergeCell ref="AW58:AX58"/>
    <mergeCell ref="AY58:AZ58"/>
    <mergeCell ref="BA58:BB58"/>
    <mergeCell ref="BC58:BD58"/>
    <mergeCell ref="BE58:BF58"/>
    <mergeCell ref="BG58:BH58"/>
    <mergeCell ref="E58:F58"/>
    <mergeCell ref="G58:H58"/>
    <mergeCell ref="I58:J58"/>
    <mergeCell ref="K58:L58"/>
    <mergeCell ref="M58:N58"/>
    <mergeCell ref="O58:P58"/>
    <mergeCell ref="Q58:R58"/>
    <mergeCell ref="AU34:AV34"/>
    <mergeCell ref="AW34:AX34"/>
    <mergeCell ref="AG34:AH34"/>
    <mergeCell ref="AI34:AJ34"/>
    <mergeCell ref="AK34:AL34"/>
    <mergeCell ref="AM34:AN34"/>
    <mergeCell ref="AO34:AP34"/>
    <mergeCell ref="AQ34:AR34"/>
    <mergeCell ref="AS34:AT34"/>
    <mergeCell ref="BM34:BN34"/>
    <mergeCell ref="BO34:BP34"/>
    <mergeCell ref="AY34:AZ34"/>
    <mergeCell ref="BA34:BB34"/>
    <mergeCell ref="BC34:BD34"/>
    <mergeCell ref="BE34:BF34"/>
    <mergeCell ref="BG34:BH34"/>
    <mergeCell ref="BI34:BJ34"/>
    <mergeCell ref="BK34:BL34"/>
    <mergeCell ref="AU36:AV36"/>
    <mergeCell ref="AW36:AX36"/>
    <mergeCell ref="AG36:AH36"/>
    <mergeCell ref="AI36:AJ36"/>
    <mergeCell ref="AK36:AL36"/>
    <mergeCell ref="AM36:AN36"/>
    <mergeCell ref="AO36:AP36"/>
    <mergeCell ref="AQ36:AR36"/>
    <mergeCell ref="AS36:AT36"/>
    <mergeCell ref="BM36:BN36"/>
    <mergeCell ref="BO36:BP36"/>
    <mergeCell ref="AY36:AZ36"/>
    <mergeCell ref="BA36:BB36"/>
    <mergeCell ref="BC36:BD36"/>
    <mergeCell ref="BE36:BF36"/>
    <mergeCell ref="BG36:BH36"/>
    <mergeCell ref="BI36:BJ36"/>
    <mergeCell ref="BK36:BL36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E53:F53"/>
    <mergeCell ref="G53:H53"/>
    <mergeCell ref="I53:J53"/>
    <mergeCell ref="K53:L53"/>
    <mergeCell ref="M53:N53"/>
    <mergeCell ref="O53:P53"/>
    <mergeCell ref="Q53:R53"/>
    <mergeCell ref="AU55:AV55"/>
    <mergeCell ref="AW55:AX55"/>
    <mergeCell ref="AG55:AH55"/>
    <mergeCell ref="AI55:AJ55"/>
    <mergeCell ref="AK55:AL55"/>
    <mergeCell ref="AM55:AN55"/>
    <mergeCell ref="AO55:AP55"/>
    <mergeCell ref="AQ55:AR55"/>
    <mergeCell ref="AS55:AT55"/>
    <mergeCell ref="AU57:AV57"/>
    <mergeCell ref="AW57:AX57"/>
    <mergeCell ref="AG57:AH57"/>
    <mergeCell ref="AI57:AJ57"/>
    <mergeCell ref="AK57:AL57"/>
    <mergeCell ref="AM57:AN57"/>
    <mergeCell ref="AO57:AP57"/>
    <mergeCell ref="AQ57:AR57"/>
    <mergeCell ref="AS57:AT57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W55:X55"/>
    <mergeCell ref="Y55:Z55"/>
    <mergeCell ref="AA55:AB55"/>
    <mergeCell ref="AC55:AD55"/>
    <mergeCell ref="AE55:AF55"/>
    <mergeCell ref="AU54:AV54"/>
    <mergeCell ref="AW54:AX54"/>
    <mergeCell ref="E55:F55"/>
    <mergeCell ref="G55:H55"/>
    <mergeCell ref="I55:J55"/>
    <mergeCell ref="K55:L55"/>
    <mergeCell ref="M55:N55"/>
    <mergeCell ref="O55:P55"/>
    <mergeCell ref="Q55:R55"/>
    <mergeCell ref="E50:F50"/>
    <mergeCell ref="G50:H50"/>
    <mergeCell ref="I50:J50"/>
    <mergeCell ref="K50:L50"/>
    <mergeCell ref="M50:N50"/>
    <mergeCell ref="O50:P50"/>
    <mergeCell ref="Q50:R50"/>
    <mergeCell ref="S51:T51"/>
    <mergeCell ref="U51:V51"/>
    <mergeCell ref="W51:X51"/>
    <mergeCell ref="Y51:Z51"/>
    <mergeCell ref="AA51:AB51"/>
    <mergeCell ref="AC51:AD51"/>
    <mergeCell ref="AE51:AF51"/>
    <mergeCell ref="AU50:AV50"/>
    <mergeCell ref="AW50:AX50"/>
    <mergeCell ref="AY50:AZ50"/>
    <mergeCell ref="BA50:BB50"/>
    <mergeCell ref="BC50:BD50"/>
    <mergeCell ref="BE50:BF50"/>
    <mergeCell ref="BG50:BH50"/>
    <mergeCell ref="E51:F51"/>
    <mergeCell ref="G51:H51"/>
    <mergeCell ref="I51:J51"/>
    <mergeCell ref="K51:L51"/>
    <mergeCell ref="M51:N51"/>
    <mergeCell ref="O51:P51"/>
    <mergeCell ref="Q51:R51"/>
    <mergeCell ref="AU53:AV53"/>
    <mergeCell ref="AW53:AX53"/>
    <mergeCell ref="AG53:AH53"/>
    <mergeCell ref="AI53:AJ53"/>
    <mergeCell ref="AK53:AL53"/>
    <mergeCell ref="AM53:AN53"/>
    <mergeCell ref="AO53:AP53"/>
    <mergeCell ref="AQ53:AR53"/>
    <mergeCell ref="AS53:AT53"/>
    <mergeCell ref="AY53:AZ53"/>
    <mergeCell ref="BA53:BB53"/>
    <mergeCell ref="BC53:BD53"/>
    <mergeCell ref="BE53:BF53"/>
    <mergeCell ref="BG53:BH53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E52:F52"/>
    <mergeCell ref="G52:H52"/>
    <mergeCell ref="I52:J52"/>
    <mergeCell ref="K52:L52"/>
    <mergeCell ref="M52:N52"/>
    <mergeCell ref="O52:P52"/>
    <mergeCell ref="Q52:R52"/>
    <mergeCell ref="S53:T53"/>
    <mergeCell ref="AC57:AD57"/>
    <mergeCell ref="AE57:AF57"/>
    <mergeCell ref="AU56:AV56"/>
    <mergeCell ref="AW56:AX56"/>
    <mergeCell ref="AY56:AZ56"/>
    <mergeCell ref="BA56:BB56"/>
    <mergeCell ref="BC56:BD56"/>
    <mergeCell ref="BE56:BF56"/>
    <mergeCell ref="BG56:BH56"/>
    <mergeCell ref="BM51:BN51"/>
    <mergeCell ref="BO51:BP51"/>
    <mergeCell ref="AY51:AZ51"/>
    <mergeCell ref="BA51:BB51"/>
    <mergeCell ref="BC51:BD51"/>
    <mergeCell ref="BE51:BF51"/>
    <mergeCell ref="BG51:BH51"/>
    <mergeCell ref="BI51:BJ51"/>
    <mergeCell ref="BK51:BL51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N50"/>
    <mergeCell ref="AO50:AP50"/>
    <mergeCell ref="AQ50:AR50"/>
    <mergeCell ref="AS50:AT50"/>
    <mergeCell ref="BI50:BJ50"/>
    <mergeCell ref="BK50:BL50"/>
    <mergeCell ref="BM50:BN50"/>
    <mergeCell ref="BO50:BP50"/>
    <mergeCell ref="BM53:BN53"/>
    <mergeCell ref="BO53:BP53"/>
    <mergeCell ref="BI53:BJ53"/>
    <mergeCell ref="BK53:BL53"/>
    <mergeCell ref="BI52:BJ52"/>
    <mergeCell ref="BK52:BL52"/>
    <mergeCell ref="BM52:BN52"/>
    <mergeCell ref="BO52:BP52"/>
    <mergeCell ref="U53:V53"/>
    <mergeCell ref="W53:X53"/>
    <mergeCell ref="Y53:Z53"/>
    <mergeCell ref="AA53:AB53"/>
    <mergeCell ref="AC53:AD53"/>
    <mergeCell ref="AE53:AF53"/>
    <mergeCell ref="AU52:AV52"/>
    <mergeCell ref="AW52:AX52"/>
    <mergeCell ref="AY52:AZ52"/>
    <mergeCell ref="BA52:BB52"/>
    <mergeCell ref="BC52:BD52"/>
    <mergeCell ref="BE52:BF52"/>
    <mergeCell ref="BG52:BH52"/>
    <mergeCell ref="AY54:AZ54"/>
    <mergeCell ref="BA54:BB54"/>
    <mergeCell ref="BC54:BD54"/>
    <mergeCell ref="BE54:BF54"/>
    <mergeCell ref="BG54:BH54"/>
    <mergeCell ref="BI32:BJ32"/>
    <mergeCell ref="BK32:BL32"/>
    <mergeCell ref="BM32:BN32"/>
    <mergeCell ref="BO32:BP32"/>
    <mergeCell ref="AU32:AV32"/>
    <mergeCell ref="AW32:AX32"/>
    <mergeCell ref="AY32:AZ32"/>
    <mergeCell ref="BA32:BB32"/>
    <mergeCell ref="BC32:BD32"/>
    <mergeCell ref="BE32:BF32"/>
    <mergeCell ref="BG32:BH32"/>
    <mergeCell ref="E32:F32"/>
    <mergeCell ref="G32:H32"/>
    <mergeCell ref="I32:J32"/>
    <mergeCell ref="K32:L32"/>
    <mergeCell ref="M32:N32"/>
    <mergeCell ref="O32:P32"/>
    <mergeCell ref="Q32:R32"/>
    <mergeCell ref="BM57:BN57"/>
    <mergeCell ref="BO57:BP57"/>
    <mergeCell ref="AY57:AZ57"/>
    <mergeCell ref="BA57:BB57"/>
    <mergeCell ref="BC57:BD57"/>
    <mergeCell ref="BE57:BF57"/>
    <mergeCell ref="BG57:BH57"/>
    <mergeCell ref="BI57:BJ57"/>
    <mergeCell ref="BK57:BL57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BI56:BJ56"/>
    <mergeCell ref="BK56:BL56"/>
    <mergeCell ref="BM56:BN56"/>
    <mergeCell ref="BO56:BP56"/>
    <mergeCell ref="E56:F56"/>
    <mergeCell ref="G56:H56"/>
    <mergeCell ref="I56:J56"/>
    <mergeCell ref="K56:L56"/>
    <mergeCell ref="M56:N56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E27:F27"/>
    <mergeCell ref="G27:H27"/>
    <mergeCell ref="I27:J27"/>
    <mergeCell ref="K27:L27"/>
    <mergeCell ref="M27:N27"/>
    <mergeCell ref="O27:P27"/>
    <mergeCell ref="Q27:R27"/>
    <mergeCell ref="AU29:AV29"/>
    <mergeCell ref="AW29:AX29"/>
    <mergeCell ref="AG29:AH29"/>
    <mergeCell ref="AI29:AJ29"/>
    <mergeCell ref="AK29:AL29"/>
    <mergeCell ref="AM29:AN29"/>
    <mergeCell ref="AO29:AP29"/>
    <mergeCell ref="AQ29:AR29"/>
    <mergeCell ref="AS29:AT29"/>
    <mergeCell ref="AU31:AV31"/>
    <mergeCell ref="AW31:AX31"/>
    <mergeCell ref="AG31:AH31"/>
    <mergeCell ref="AI31:AJ31"/>
    <mergeCell ref="AK31:AL31"/>
    <mergeCell ref="AM31:AN31"/>
    <mergeCell ref="AO31:AP31"/>
    <mergeCell ref="AQ31:AR31"/>
    <mergeCell ref="AS31:AT31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E24:F24"/>
    <mergeCell ref="G24:H24"/>
    <mergeCell ref="I24:J24"/>
    <mergeCell ref="K24:L24"/>
    <mergeCell ref="M24:N24"/>
    <mergeCell ref="O24:P24"/>
    <mergeCell ref="Q24:R24"/>
    <mergeCell ref="S25:T25"/>
    <mergeCell ref="U25:V25"/>
    <mergeCell ref="W25:X25"/>
    <mergeCell ref="Y25:Z25"/>
    <mergeCell ref="AA25:AB25"/>
    <mergeCell ref="AC25:AD25"/>
    <mergeCell ref="AE25:AF25"/>
    <mergeCell ref="AU24:AV24"/>
    <mergeCell ref="AW24:AX24"/>
    <mergeCell ref="AY24:AZ24"/>
    <mergeCell ref="BA24:BB24"/>
    <mergeCell ref="BC24:BD24"/>
    <mergeCell ref="BE24:BF24"/>
    <mergeCell ref="BG24:BH24"/>
    <mergeCell ref="E25:F25"/>
    <mergeCell ref="G25:H25"/>
    <mergeCell ref="I25:J25"/>
    <mergeCell ref="K25:L25"/>
    <mergeCell ref="M25:N25"/>
    <mergeCell ref="O25:P25"/>
    <mergeCell ref="Q25:R25"/>
    <mergeCell ref="AU27:AV27"/>
    <mergeCell ref="AW27:AX27"/>
    <mergeCell ref="AG27:AH27"/>
    <mergeCell ref="AI27:AJ27"/>
    <mergeCell ref="AK27:AL27"/>
    <mergeCell ref="AM27:AN27"/>
    <mergeCell ref="AO27:AP27"/>
    <mergeCell ref="AQ27:AR27"/>
    <mergeCell ref="AS27:AT27"/>
    <mergeCell ref="AY27:AZ27"/>
    <mergeCell ref="BA27:BB27"/>
    <mergeCell ref="BC27:BD27"/>
    <mergeCell ref="BE27:BF27"/>
    <mergeCell ref="BG27:BH27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E26:F26"/>
    <mergeCell ref="G26:H26"/>
    <mergeCell ref="I26:J26"/>
    <mergeCell ref="K26:L26"/>
    <mergeCell ref="M26:N26"/>
    <mergeCell ref="O26:P26"/>
    <mergeCell ref="Q26:R26"/>
    <mergeCell ref="S27:T27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U30:AV30"/>
    <mergeCell ref="AW30:AX30"/>
    <mergeCell ref="AY30:AZ30"/>
    <mergeCell ref="BA30:BB30"/>
    <mergeCell ref="BC30:BD30"/>
    <mergeCell ref="BE30:BF30"/>
    <mergeCell ref="BG30:BH30"/>
    <mergeCell ref="BM25:BN25"/>
    <mergeCell ref="BO25:BP25"/>
    <mergeCell ref="AY25:AZ25"/>
    <mergeCell ref="BA25:BB25"/>
    <mergeCell ref="BC25:BD25"/>
    <mergeCell ref="BE25:BF25"/>
    <mergeCell ref="BG25:BH25"/>
    <mergeCell ref="BI25:BJ25"/>
    <mergeCell ref="BK25:BL25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BI24:BJ24"/>
    <mergeCell ref="BK24:BL24"/>
    <mergeCell ref="BM24:BN24"/>
    <mergeCell ref="BO24:BP24"/>
    <mergeCell ref="BM27:BN27"/>
    <mergeCell ref="BO27:BP27"/>
    <mergeCell ref="BI27:BJ27"/>
    <mergeCell ref="BK27:BL27"/>
    <mergeCell ref="BI26:BJ26"/>
    <mergeCell ref="BK26:BL26"/>
    <mergeCell ref="BM26:BN26"/>
    <mergeCell ref="BO26:BP26"/>
    <mergeCell ref="U27:V27"/>
    <mergeCell ref="W27:X27"/>
    <mergeCell ref="Y27:Z27"/>
    <mergeCell ref="AA27:AB27"/>
    <mergeCell ref="AC27:AD27"/>
    <mergeCell ref="AE27:AF27"/>
    <mergeCell ref="AU26:AV26"/>
    <mergeCell ref="AW26:AX26"/>
    <mergeCell ref="AY26:AZ26"/>
    <mergeCell ref="BA26:BB26"/>
    <mergeCell ref="E28:F28"/>
    <mergeCell ref="G28:H28"/>
    <mergeCell ref="I28:J28"/>
    <mergeCell ref="K28:L28"/>
    <mergeCell ref="M28:N28"/>
    <mergeCell ref="O28:P28"/>
    <mergeCell ref="Q28:R28"/>
    <mergeCell ref="S29:T29"/>
    <mergeCell ref="U29:V29"/>
    <mergeCell ref="W29:X29"/>
    <mergeCell ref="Y29:Z29"/>
    <mergeCell ref="AA29:AB29"/>
    <mergeCell ref="AC29:AD29"/>
    <mergeCell ref="AE29:AF29"/>
    <mergeCell ref="AU28:AV28"/>
    <mergeCell ref="AW28:AX28"/>
    <mergeCell ref="AY28:AZ28"/>
    <mergeCell ref="BA28:BB28"/>
    <mergeCell ref="BC28:BD28"/>
    <mergeCell ref="BE28:BF28"/>
    <mergeCell ref="BG28:BH28"/>
    <mergeCell ref="E29:F29"/>
    <mergeCell ref="G29:H29"/>
    <mergeCell ref="I29:J29"/>
    <mergeCell ref="K29:L29"/>
    <mergeCell ref="M29:N29"/>
    <mergeCell ref="O29:P29"/>
    <mergeCell ref="Q29:R29"/>
    <mergeCell ref="BM31:BN31"/>
    <mergeCell ref="BO31:BP31"/>
    <mergeCell ref="AY31:AZ31"/>
    <mergeCell ref="BA31:BB31"/>
    <mergeCell ref="BC31:BD31"/>
    <mergeCell ref="BE31:BF31"/>
    <mergeCell ref="BG31:BH31"/>
    <mergeCell ref="BI31:BJ31"/>
    <mergeCell ref="BK31:BL31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BI30:BJ30"/>
    <mergeCell ref="BK30:BL30"/>
    <mergeCell ref="BM30:BN30"/>
    <mergeCell ref="BO30:BP30"/>
    <mergeCell ref="E30:F30"/>
    <mergeCell ref="G30:H30"/>
    <mergeCell ref="I30:J30"/>
    <mergeCell ref="K30:L30"/>
    <mergeCell ref="M30:N30"/>
    <mergeCell ref="O30:P30"/>
    <mergeCell ref="Q30:R30"/>
    <mergeCell ref="E31:F31"/>
    <mergeCell ref="G31:H31"/>
    <mergeCell ref="AU25:AV25"/>
    <mergeCell ref="AW25:AX25"/>
    <mergeCell ref="AG25:AH25"/>
    <mergeCell ref="AI25:AJ25"/>
    <mergeCell ref="AK25:AL25"/>
    <mergeCell ref="AM25:AN25"/>
    <mergeCell ref="AO25:AP25"/>
    <mergeCell ref="AQ25:AR25"/>
    <mergeCell ref="AS25:AT25"/>
    <mergeCell ref="BM29:BN29"/>
    <mergeCell ref="BO29:BP29"/>
    <mergeCell ref="AY29:AZ29"/>
    <mergeCell ref="BA29:BB29"/>
    <mergeCell ref="BC29:BD29"/>
    <mergeCell ref="BE29:BF29"/>
    <mergeCell ref="BG29:BH29"/>
    <mergeCell ref="BI29:BJ29"/>
    <mergeCell ref="BK29:BL29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BI28:BJ28"/>
    <mergeCell ref="BK28:BL28"/>
    <mergeCell ref="BM28:BN28"/>
    <mergeCell ref="BO28:BP28"/>
    <mergeCell ref="BC26:BD26"/>
    <mergeCell ref="BE26:BF26"/>
    <mergeCell ref="BG26:BH26"/>
    <mergeCell ref="AQ22:AR22"/>
    <mergeCell ref="AS22:AT22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BI23:BJ23"/>
    <mergeCell ref="BK23:BL23"/>
    <mergeCell ref="BM23:BN23"/>
    <mergeCell ref="BO23:BP23"/>
    <mergeCell ref="BV23:BY23"/>
    <mergeCell ref="AU23:AV23"/>
    <mergeCell ref="AW23:AX23"/>
    <mergeCell ref="AY23:AZ23"/>
    <mergeCell ref="BA23:BB23"/>
    <mergeCell ref="BC23:BD23"/>
    <mergeCell ref="BE23:BF23"/>
    <mergeCell ref="BG23:BH23"/>
    <mergeCell ref="E23:F23"/>
    <mergeCell ref="G23:H23"/>
    <mergeCell ref="I23:J23"/>
    <mergeCell ref="K23:L23"/>
    <mergeCell ref="M23:N23"/>
    <mergeCell ref="O23:P23"/>
    <mergeCell ref="Q23:R23"/>
    <mergeCell ref="BM22:BN22"/>
    <mergeCell ref="BO22:BP22"/>
    <mergeCell ref="AY22:AZ22"/>
    <mergeCell ref="BA22:BB22"/>
    <mergeCell ref="BC22:BD22"/>
    <mergeCell ref="BE22:BF22"/>
    <mergeCell ref="BG22:BH22"/>
    <mergeCell ref="BI22:BJ22"/>
    <mergeCell ref="BK22:BL22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BI21:BJ21"/>
    <mergeCell ref="BK21:BL21"/>
    <mergeCell ref="BM21:BN21"/>
    <mergeCell ref="BO21:BP21"/>
    <mergeCell ref="CA21:CB21"/>
    <mergeCell ref="CC21:CD21"/>
    <mergeCell ref="E21:F21"/>
    <mergeCell ref="G21:H21"/>
    <mergeCell ref="I21:J21"/>
    <mergeCell ref="K21:L21"/>
    <mergeCell ref="M21:N21"/>
    <mergeCell ref="O21:P21"/>
    <mergeCell ref="Q21:R21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U21:AV21"/>
    <mergeCell ref="AW21:AX21"/>
    <mergeCell ref="AY21:AZ21"/>
    <mergeCell ref="BA21:BB21"/>
    <mergeCell ref="BC21:BD21"/>
    <mergeCell ref="BE21:BF21"/>
    <mergeCell ref="BG21:BH21"/>
    <mergeCell ref="AU22:AV22"/>
    <mergeCell ref="AW22:AX22"/>
    <mergeCell ref="AG22:AH22"/>
    <mergeCell ref="AI22:AJ22"/>
    <mergeCell ref="AK22:AL22"/>
    <mergeCell ref="AM22:AN22"/>
    <mergeCell ref="AO22:AP22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BI20:BJ20"/>
    <mergeCell ref="BK20:BL20"/>
    <mergeCell ref="BM20:BN20"/>
    <mergeCell ref="BO20:BP20"/>
    <mergeCell ref="CA20:CB20"/>
    <mergeCell ref="CC20:CD20"/>
    <mergeCell ref="AU20:AV20"/>
    <mergeCell ref="AW20:AX20"/>
    <mergeCell ref="AY20:AZ20"/>
    <mergeCell ref="BA20:BB20"/>
    <mergeCell ref="BC20:BD20"/>
    <mergeCell ref="BE20:BF20"/>
    <mergeCell ref="BG20:BH20"/>
    <mergeCell ref="E20:F20"/>
    <mergeCell ref="G20:H20"/>
    <mergeCell ref="I20:J20"/>
    <mergeCell ref="K20:L20"/>
    <mergeCell ref="M20:N20"/>
    <mergeCell ref="O20:P20"/>
    <mergeCell ref="Q20:R20"/>
    <mergeCell ref="CA18:CB18"/>
    <mergeCell ref="CC18:CD18"/>
    <mergeCell ref="CA19:CB19"/>
    <mergeCell ref="CC19:CD19"/>
    <mergeCell ref="E18:F18"/>
    <mergeCell ref="G18:H18"/>
    <mergeCell ref="I18:J18"/>
    <mergeCell ref="K18:L18"/>
    <mergeCell ref="M18:N18"/>
    <mergeCell ref="O18:P18"/>
    <mergeCell ref="Q18:R18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U18:AV18"/>
    <mergeCell ref="AW18:AX18"/>
    <mergeCell ref="AY18:AZ18"/>
    <mergeCell ref="BA18:BB18"/>
    <mergeCell ref="BC18:BD18"/>
    <mergeCell ref="BE18:BF18"/>
    <mergeCell ref="BG18:BH18"/>
    <mergeCell ref="AU19:AV19"/>
    <mergeCell ref="AW19:AX19"/>
    <mergeCell ref="AG19:AH19"/>
    <mergeCell ref="AI19:AJ19"/>
    <mergeCell ref="AK19:AL19"/>
    <mergeCell ref="AM19:AN19"/>
    <mergeCell ref="AO19:AP19"/>
    <mergeCell ref="AQ19:AR19"/>
    <mergeCell ref="AS19:AT19"/>
    <mergeCell ref="E17:F17"/>
    <mergeCell ref="G17:H17"/>
    <mergeCell ref="I17:J17"/>
    <mergeCell ref="K17:L17"/>
    <mergeCell ref="M17:N17"/>
    <mergeCell ref="O17:P17"/>
    <mergeCell ref="Q17:R17"/>
    <mergeCell ref="BM19:BN19"/>
    <mergeCell ref="BO19:BP19"/>
    <mergeCell ref="AY19:AZ19"/>
    <mergeCell ref="BA19:BB19"/>
    <mergeCell ref="BC19:BD19"/>
    <mergeCell ref="BE19:BF19"/>
    <mergeCell ref="BG19:BH19"/>
    <mergeCell ref="BI19:BJ19"/>
    <mergeCell ref="BK19:BL19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BI18:BJ18"/>
    <mergeCell ref="BK18:BL18"/>
    <mergeCell ref="BM18:BN18"/>
    <mergeCell ref="BO18:BP18"/>
    <mergeCell ref="AU16:AV16"/>
    <mergeCell ref="AW16:AX16"/>
    <mergeCell ref="AG16:AH16"/>
    <mergeCell ref="AI16:AJ16"/>
    <mergeCell ref="AK16:AL16"/>
    <mergeCell ref="AM16:AN16"/>
    <mergeCell ref="AO16:AP16"/>
    <mergeCell ref="AQ16:AR16"/>
    <mergeCell ref="AS16:AT16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BI17:BJ17"/>
    <mergeCell ref="BK17:BL17"/>
    <mergeCell ref="BM17:BN17"/>
    <mergeCell ref="BO17:BP17"/>
    <mergeCell ref="CA17:CB17"/>
    <mergeCell ref="CC17:CD17"/>
    <mergeCell ref="AU17:AV17"/>
    <mergeCell ref="AW17:AX17"/>
    <mergeCell ref="AY17:AZ17"/>
    <mergeCell ref="BA17:BB17"/>
    <mergeCell ref="BC17:BD17"/>
    <mergeCell ref="BE17:BF17"/>
    <mergeCell ref="BG17:BH17"/>
    <mergeCell ref="AK13:AL13"/>
    <mergeCell ref="AM13:AN13"/>
    <mergeCell ref="AO13:AP13"/>
    <mergeCell ref="AQ13:AR13"/>
    <mergeCell ref="AS13:AT13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BI14:BJ14"/>
    <mergeCell ref="BK14:BL14"/>
    <mergeCell ref="BM14:BN14"/>
    <mergeCell ref="BO14:BP14"/>
    <mergeCell ref="CA14:CB14"/>
    <mergeCell ref="CC14:CD14"/>
    <mergeCell ref="AU14:AV14"/>
    <mergeCell ref="AW14:AX14"/>
    <mergeCell ref="AY14:AZ14"/>
    <mergeCell ref="BA14:BB14"/>
    <mergeCell ref="BC14:BD14"/>
    <mergeCell ref="BE14:BF14"/>
    <mergeCell ref="BG14:BH14"/>
    <mergeCell ref="E14:F14"/>
    <mergeCell ref="G14:H14"/>
    <mergeCell ref="I14:J14"/>
    <mergeCell ref="K14:L14"/>
    <mergeCell ref="M14:N14"/>
    <mergeCell ref="O14:P14"/>
    <mergeCell ref="Q14:R14"/>
    <mergeCell ref="E10:F10"/>
    <mergeCell ref="G10:H10"/>
    <mergeCell ref="I10:J10"/>
    <mergeCell ref="K10:L10"/>
    <mergeCell ref="M10:N10"/>
    <mergeCell ref="O10:P10"/>
    <mergeCell ref="Q10:R10"/>
    <mergeCell ref="S11:T11"/>
    <mergeCell ref="U11:V11"/>
    <mergeCell ref="W11:X11"/>
    <mergeCell ref="Y11:Z11"/>
    <mergeCell ref="AA11:AB11"/>
    <mergeCell ref="AC11:AD11"/>
    <mergeCell ref="AE11:AF11"/>
    <mergeCell ref="AU10:AV10"/>
    <mergeCell ref="AW10:AX10"/>
    <mergeCell ref="AY10:AZ10"/>
    <mergeCell ref="BA10:BB10"/>
    <mergeCell ref="BC10:BD10"/>
    <mergeCell ref="BE10:BF10"/>
    <mergeCell ref="BG10:BH10"/>
    <mergeCell ref="E11:F11"/>
    <mergeCell ref="G11:H11"/>
    <mergeCell ref="I11:J11"/>
    <mergeCell ref="K11:L11"/>
    <mergeCell ref="M11:N11"/>
    <mergeCell ref="O11:P11"/>
    <mergeCell ref="Q11:R11"/>
    <mergeCell ref="BM13:BN13"/>
    <mergeCell ref="BO13:BP13"/>
    <mergeCell ref="AY13:AZ13"/>
    <mergeCell ref="BA13:BB13"/>
    <mergeCell ref="BC13:BD13"/>
    <mergeCell ref="BE13:BF13"/>
    <mergeCell ref="BG13:BH13"/>
    <mergeCell ref="BI13:BJ13"/>
    <mergeCell ref="BK13:BL13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BI12:BJ12"/>
    <mergeCell ref="BK12:BL12"/>
    <mergeCell ref="BM12:BN12"/>
    <mergeCell ref="BO12:BP12"/>
    <mergeCell ref="E12:F12"/>
    <mergeCell ref="G12:H12"/>
    <mergeCell ref="I12:J12"/>
    <mergeCell ref="K12:L12"/>
    <mergeCell ref="M12:N12"/>
    <mergeCell ref="O12:P12"/>
    <mergeCell ref="Q12:R12"/>
    <mergeCell ref="E13:F13"/>
    <mergeCell ref="G13:H13"/>
    <mergeCell ref="E15:F15"/>
    <mergeCell ref="G15:H15"/>
    <mergeCell ref="I15:J15"/>
    <mergeCell ref="K15:L15"/>
    <mergeCell ref="M15:N15"/>
    <mergeCell ref="O15:P15"/>
    <mergeCell ref="Q15:R15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U15:AV15"/>
    <mergeCell ref="AW15:AX15"/>
    <mergeCell ref="AY15:AZ15"/>
    <mergeCell ref="BA15:BB15"/>
    <mergeCell ref="BC15:BD15"/>
    <mergeCell ref="BE15:BF15"/>
    <mergeCell ref="BG15:BH15"/>
    <mergeCell ref="AU11:AV11"/>
    <mergeCell ref="AW11:AX11"/>
    <mergeCell ref="AG11:AH11"/>
    <mergeCell ref="AI11:AJ11"/>
    <mergeCell ref="AK11:AL11"/>
    <mergeCell ref="AM11:AN11"/>
    <mergeCell ref="AO11:AP11"/>
    <mergeCell ref="AQ11:AR11"/>
    <mergeCell ref="AS11:AT11"/>
    <mergeCell ref="AY11:AZ11"/>
    <mergeCell ref="BA11:BB11"/>
    <mergeCell ref="BC11:BD11"/>
    <mergeCell ref="BE11:BF11"/>
    <mergeCell ref="BG11:BH11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U12:AV12"/>
    <mergeCell ref="AW12:AX12"/>
    <mergeCell ref="AY12:AZ12"/>
    <mergeCell ref="BA12:BB12"/>
    <mergeCell ref="BC12:BD12"/>
    <mergeCell ref="BE12:BF12"/>
    <mergeCell ref="BG12:BH12"/>
    <mergeCell ref="AU13:AV13"/>
    <mergeCell ref="AW13:AX13"/>
    <mergeCell ref="AG13:AH13"/>
    <mergeCell ref="K9:L9"/>
    <mergeCell ref="M9:N9"/>
    <mergeCell ref="O9:P9"/>
    <mergeCell ref="Q9:R9"/>
    <mergeCell ref="BM16:BN16"/>
    <mergeCell ref="BO16:BP16"/>
    <mergeCell ref="AY16:AZ16"/>
    <mergeCell ref="BA16:BB16"/>
    <mergeCell ref="BC16:BD16"/>
    <mergeCell ref="BE16:BF16"/>
    <mergeCell ref="BG16:BH16"/>
    <mergeCell ref="BI16:BJ16"/>
    <mergeCell ref="BK16:BL16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BI15:BJ15"/>
    <mergeCell ref="BK15:BL15"/>
    <mergeCell ref="BM15:BN15"/>
    <mergeCell ref="BO15:BP15"/>
    <mergeCell ref="CA15:CB15"/>
    <mergeCell ref="CC15:CD15"/>
    <mergeCell ref="CA16:CB16"/>
    <mergeCell ref="CC16:CD16"/>
    <mergeCell ref="BM11:BN11"/>
    <mergeCell ref="BO11:BP11"/>
    <mergeCell ref="BV11:BY11"/>
    <mergeCell ref="CA11:CD11"/>
    <mergeCell ref="BI11:BJ11"/>
    <mergeCell ref="BK11:BL11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BI10:BJ10"/>
    <mergeCell ref="BK10:BL10"/>
    <mergeCell ref="BM10:BN10"/>
    <mergeCell ref="BO10:BP10"/>
    <mergeCell ref="CA12:CB12"/>
    <mergeCell ref="CC12:CD12"/>
    <mergeCell ref="CA13:CB13"/>
    <mergeCell ref="CC13:CD13"/>
    <mergeCell ref="AI13:AJ13"/>
    <mergeCell ref="BR7:BS7"/>
    <mergeCell ref="AU7:AV7"/>
    <mergeCell ref="AW7:AX7"/>
    <mergeCell ref="AY7:AZ7"/>
    <mergeCell ref="BA7:BB7"/>
    <mergeCell ref="BC7:BD7"/>
    <mergeCell ref="BE7:BF7"/>
    <mergeCell ref="BG7:BH7"/>
    <mergeCell ref="E7:F7"/>
    <mergeCell ref="G7:H7"/>
    <mergeCell ref="I7:J7"/>
    <mergeCell ref="K7:L7"/>
    <mergeCell ref="M7:N7"/>
    <mergeCell ref="O7:P7"/>
    <mergeCell ref="Q7:R7"/>
    <mergeCell ref="AU9:AV9"/>
    <mergeCell ref="AW9:AX9"/>
    <mergeCell ref="AG9:AH9"/>
    <mergeCell ref="AI9:AJ9"/>
    <mergeCell ref="AK9:AL9"/>
    <mergeCell ref="AM9:AN9"/>
    <mergeCell ref="AO9:AP9"/>
    <mergeCell ref="AQ9:AR9"/>
    <mergeCell ref="AS9:AT9"/>
    <mergeCell ref="BM9:BN9"/>
    <mergeCell ref="BO9:BP9"/>
    <mergeCell ref="BV9:BX9"/>
    <mergeCell ref="AY9:AZ9"/>
    <mergeCell ref="BA9:BB9"/>
    <mergeCell ref="BC9:BD9"/>
    <mergeCell ref="BE9:BF9"/>
    <mergeCell ref="BG9:BH9"/>
    <mergeCell ref="BI9:BJ9"/>
    <mergeCell ref="BK9:BL9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BI8:BJ8"/>
    <mergeCell ref="BK8:BL8"/>
    <mergeCell ref="BM8:BN8"/>
    <mergeCell ref="BO8:BP8"/>
    <mergeCell ref="E8:F8"/>
    <mergeCell ref="G8:H8"/>
    <mergeCell ref="I8:J8"/>
    <mergeCell ref="K8:L8"/>
    <mergeCell ref="M8:N8"/>
    <mergeCell ref="O8:P8"/>
    <mergeCell ref="Q8:R8"/>
    <mergeCell ref="S9:T9"/>
    <mergeCell ref="U9:V9"/>
    <mergeCell ref="W9:X9"/>
    <mergeCell ref="Y9:Z9"/>
    <mergeCell ref="AA9:AB9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BI2:BJ2"/>
    <mergeCell ref="BK2:BL2"/>
    <mergeCell ref="BM2:BN2"/>
    <mergeCell ref="BO2:BP2"/>
    <mergeCell ref="BR2:BS2"/>
    <mergeCell ref="BR3:BS3"/>
    <mergeCell ref="E2:F2"/>
    <mergeCell ref="G2:H2"/>
    <mergeCell ref="I2:J2"/>
    <mergeCell ref="K2:L2"/>
    <mergeCell ref="M2:N2"/>
    <mergeCell ref="O2:P2"/>
    <mergeCell ref="Q2:R2"/>
    <mergeCell ref="S3:T3"/>
    <mergeCell ref="U3:V3"/>
    <mergeCell ref="W3:X3"/>
    <mergeCell ref="Y3:Z3"/>
    <mergeCell ref="AA3:AB3"/>
    <mergeCell ref="AC3:AD3"/>
    <mergeCell ref="AE3:AF3"/>
    <mergeCell ref="AU2:AV2"/>
    <mergeCell ref="AW2:AX2"/>
    <mergeCell ref="AY2:AZ2"/>
    <mergeCell ref="BA2:BB2"/>
    <mergeCell ref="BC2:BD2"/>
    <mergeCell ref="BE2:BF2"/>
    <mergeCell ref="BG2:BH2"/>
    <mergeCell ref="E3:F3"/>
    <mergeCell ref="G3:H3"/>
    <mergeCell ref="I3:J3"/>
    <mergeCell ref="K3:L3"/>
    <mergeCell ref="M3:N3"/>
    <mergeCell ref="O3:P3"/>
    <mergeCell ref="Q3:R3"/>
    <mergeCell ref="AU3:AV3"/>
    <mergeCell ref="AW3:AX3"/>
    <mergeCell ref="AG3:AH3"/>
    <mergeCell ref="AI3:AJ3"/>
    <mergeCell ref="AK3:AL3"/>
    <mergeCell ref="AM3:AN3"/>
    <mergeCell ref="AO3:AP3"/>
    <mergeCell ref="AQ3:AR3"/>
    <mergeCell ref="AS3:AT3"/>
    <mergeCell ref="CD3:CE3"/>
    <mergeCell ref="CF3:CG3"/>
    <mergeCell ref="CH3:CI3"/>
    <mergeCell ref="CJ3:CK3"/>
    <mergeCell ref="BR5:BS5"/>
    <mergeCell ref="BR6:BS6"/>
    <mergeCell ref="AY3:AZ3"/>
    <mergeCell ref="BA3:BB3"/>
    <mergeCell ref="BC3:BD3"/>
    <mergeCell ref="BE3:BF3"/>
    <mergeCell ref="BG3:BH3"/>
    <mergeCell ref="BI3:BJ3"/>
    <mergeCell ref="BK3:BL3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CE4:CF4"/>
    <mergeCell ref="CG4:CH4"/>
    <mergeCell ref="CI4:CJ4"/>
    <mergeCell ref="BI4:BJ4"/>
    <mergeCell ref="BK4:BL4"/>
    <mergeCell ref="BM4:BN4"/>
    <mergeCell ref="BO4:BP4"/>
    <mergeCell ref="BR4:BS4"/>
    <mergeCell ref="CA4:CB4"/>
    <mergeCell ref="CC4:CD4"/>
    <mergeCell ref="S470:T470"/>
    <mergeCell ref="U470:V470"/>
    <mergeCell ref="W470:X470"/>
    <mergeCell ref="Y470:Z470"/>
    <mergeCell ref="AA470:AB470"/>
    <mergeCell ref="AC470:AD470"/>
    <mergeCell ref="AE470:AF470"/>
    <mergeCell ref="AG470:AH470"/>
    <mergeCell ref="AI470:AJ470"/>
    <mergeCell ref="AK470:AL470"/>
    <mergeCell ref="AM470:AN470"/>
    <mergeCell ref="AO470:AP470"/>
    <mergeCell ref="AQ470:AR470"/>
    <mergeCell ref="AS470:AT470"/>
    <mergeCell ref="BI470:BJ470"/>
    <mergeCell ref="BK470:BL470"/>
    <mergeCell ref="BM470:BN470"/>
    <mergeCell ref="BO470:BP470"/>
    <mergeCell ref="AU470:AV470"/>
    <mergeCell ref="AW470:AX470"/>
    <mergeCell ref="AY470:AZ470"/>
    <mergeCell ref="BA470:BB470"/>
    <mergeCell ref="BC470:BD470"/>
    <mergeCell ref="BE470:BF470"/>
    <mergeCell ref="BG470:BH470"/>
    <mergeCell ref="E470:F470"/>
    <mergeCell ref="G470:H470"/>
    <mergeCell ref="I470:J470"/>
    <mergeCell ref="K470:L470"/>
    <mergeCell ref="M470:N470"/>
    <mergeCell ref="O470:P470"/>
    <mergeCell ref="Q470:R470"/>
    <mergeCell ref="BM3:BN3"/>
    <mergeCell ref="BO3:BP3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BI7:BJ7"/>
    <mergeCell ref="BK7:BL7"/>
    <mergeCell ref="BM7:BN7"/>
    <mergeCell ref="BO7:BP7"/>
    <mergeCell ref="AC9:AD9"/>
    <mergeCell ref="AE9:AF9"/>
    <mergeCell ref="AU8:AV8"/>
    <mergeCell ref="AW8:AX8"/>
    <mergeCell ref="AY8:AZ8"/>
    <mergeCell ref="BA8:BB8"/>
    <mergeCell ref="BC8:BD8"/>
    <mergeCell ref="BE8:BF8"/>
    <mergeCell ref="BG8:BH8"/>
    <mergeCell ref="E9:F9"/>
    <mergeCell ref="G9:H9"/>
    <mergeCell ref="I9:J9"/>
    <mergeCell ref="BO467:BP467"/>
    <mergeCell ref="AY467:AZ467"/>
    <mergeCell ref="BA467:BB467"/>
    <mergeCell ref="BC467:BD467"/>
    <mergeCell ref="BE467:BF467"/>
    <mergeCell ref="BG467:BH467"/>
    <mergeCell ref="BI467:BJ467"/>
    <mergeCell ref="BK467:BL467"/>
    <mergeCell ref="S466:T466"/>
    <mergeCell ref="U466:V466"/>
    <mergeCell ref="W466:X466"/>
    <mergeCell ref="Y466:Z466"/>
    <mergeCell ref="AA466:AB466"/>
    <mergeCell ref="AC466:AD466"/>
    <mergeCell ref="AE466:AF466"/>
    <mergeCell ref="AG466:AH466"/>
    <mergeCell ref="AI466:AJ466"/>
    <mergeCell ref="AK466:AL466"/>
    <mergeCell ref="AM466:AN466"/>
    <mergeCell ref="AO466:AP466"/>
    <mergeCell ref="AQ466:AR466"/>
    <mergeCell ref="AS466:AT466"/>
    <mergeCell ref="BI466:BJ466"/>
    <mergeCell ref="BK466:BL466"/>
    <mergeCell ref="BM466:BN466"/>
    <mergeCell ref="BO466:BP466"/>
    <mergeCell ref="E466:F466"/>
    <mergeCell ref="G466:H466"/>
    <mergeCell ref="I466:J466"/>
    <mergeCell ref="K466:L466"/>
    <mergeCell ref="M466:N466"/>
    <mergeCell ref="O466:P466"/>
    <mergeCell ref="Q466:R466"/>
    <mergeCell ref="S467:T467"/>
    <mergeCell ref="U467:V467"/>
    <mergeCell ref="W467:X467"/>
    <mergeCell ref="Y467:Z467"/>
    <mergeCell ref="AA467:AB467"/>
    <mergeCell ref="AC467:AD467"/>
    <mergeCell ref="AE467:AF467"/>
    <mergeCell ref="AU466:AV466"/>
    <mergeCell ref="AW466:AX466"/>
    <mergeCell ref="AY466:AZ466"/>
    <mergeCell ref="BA466:BB466"/>
    <mergeCell ref="BC466:BD466"/>
    <mergeCell ref="BE466:BF466"/>
    <mergeCell ref="BG466:BH466"/>
    <mergeCell ref="E467:F467"/>
    <mergeCell ref="G467:H467"/>
    <mergeCell ref="I467:J467"/>
    <mergeCell ref="K467:L467"/>
    <mergeCell ref="M467:N467"/>
    <mergeCell ref="O467:P467"/>
    <mergeCell ref="Q467:R467"/>
    <mergeCell ref="BO465:BP465"/>
    <mergeCell ref="AY465:AZ465"/>
    <mergeCell ref="BA465:BB465"/>
    <mergeCell ref="BC465:BD465"/>
    <mergeCell ref="BE465:BF465"/>
    <mergeCell ref="BG465:BH465"/>
    <mergeCell ref="BI465:BJ465"/>
    <mergeCell ref="BK465:BL465"/>
    <mergeCell ref="S464:T464"/>
    <mergeCell ref="U464:V464"/>
    <mergeCell ref="W464:X464"/>
    <mergeCell ref="Y464:Z464"/>
    <mergeCell ref="AA464:AB464"/>
    <mergeCell ref="AC464:AD464"/>
    <mergeCell ref="AE464:AF464"/>
    <mergeCell ref="AG464:AH464"/>
    <mergeCell ref="AI464:AJ464"/>
    <mergeCell ref="AK464:AL464"/>
    <mergeCell ref="AM464:AN464"/>
    <mergeCell ref="AO464:AP464"/>
    <mergeCell ref="AQ464:AR464"/>
    <mergeCell ref="AS464:AT464"/>
    <mergeCell ref="BI464:BJ464"/>
    <mergeCell ref="BK464:BL464"/>
    <mergeCell ref="BM464:BN464"/>
    <mergeCell ref="BO464:BP464"/>
    <mergeCell ref="E464:F464"/>
    <mergeCell ref="G464:H464"/>
    <mergeCell ref="I464:J464"/>
    <mergeCell ref="K464:L464"/>
    <mergeCell ref="M464:N464"/>
    <mergeCell ref="O464:P464"/>
    <mergeCell ref="Q464:R464"/>
    <mergeCell ref="S465:T465"/>
    <mergeCell ref="U465:V465"/>
    <mergeCell ref="W465:X465"/>
    <mergeCell ref="Y465:Z465"/>
    <mergeCell ref="AA465:AB465"/>
    <mergeCell ref="AC465:AD465"/>
    <mergeCell ref="AE465:AF465"/>
    <mergeCell ref="AU464:AV464"/>
    <mergeCell ref="AW464:AX464"/>
    <mergeCell ref="AY464:AZ464"/>
    <mergeCell ref="BA464:BB464"/>
    <mergeCell ref="BC464:BD464"/>
    <mergeCell ref="BE464:BF464"/>
    <mergeCell ref="BG464:BH464"/>
    <mergeCell ref="E465:F465"/>
    <mergeCell ref="G465:H465"/>
    <mergeCell ref="I465:J465"/>
    <mergeCell ref="K465:L465"/>
    <mergeCell ref="M465:N465"/>
    <mergeCell ref="O465:P465"/>
    <mergeCell ref="Q465:R465"/>
    <mergeCell ref="O468:P468"/>
    <mergeCell ref="Q468:R468"/>
    <mergeCell ref="E469:F469"/>
    <mergeCell ref="G469:H469"/>
    <mergeCell ref="I469:J469"/>
    <mergeCell ref="K469:L469"/>
    <mergeCell ref="M469:N469"/>
    <mergeCell ref="O469:P469"/>
    <mergeCell ref="Q469:R469"/>
    <mergeCell ref="S469:T469"/>
    <mergeCell ref="U469:V469"/>
    <mergeCell ref="W469:X469"/>
    <mergeCell ref="Y469:Z469"/>
    <mergeCell ref="AA469:AB469"/>
    <mergeCell ref="AC469:AD469"/>
    <mergeCell ref="AE469:AF469"/>
    <mergeCell ref="AU468:AV468"/>
    <mergeCell ref="AW468:AX468"/>
    <mergeCell ref="AY468:AZ468"/>
    <mergeCell ref="BA468:BB468"/>
    <mergeCell ref="BC468:BD468"/>
    <mergeCell ref="BE468:BF468"/>
    <mergeCell ref="BG468:BH468"/>
    <mergeCell ref="AU465:AV465"/>
    <mergeCell ref="AW465:AX465"/>
    <mergeCell ref="AG465:AH465"/>
    <mergeCell ref="AI465:AJ465"/>
    <mergeCell ref="AK465:AL465"/>
    <mergeCell ref="AM465:AN465"/>
    <mergeCell ref="AO465:AP465"/>
    <mergeCell ref="AQ465:AR465"/>
    <mergeCell ref="AS465:AT465"/>
    <mergeCell ref="BM465:BN465"/>
    <mergeCell ref="AU467:AV467"/>
    <mergeCell ref="AW467:AX467"/>
    <mergeCell ref="AG467:AH467"/>
    <mergeCell ref="AI467:AJ467"/>
    <mergeCell ref="AK467:AL467"/>
    <mergeCell ref="AM467:AN467"/>
    <mergeCell ref="AO467:AP467"/>
    <mergeCell ref="AQ467:AR467"/>
    <mergeCell ref="AS467:AT467"/>
    <mergeCell ref="BM467:BN467"/>
    <mergeCell ref="AU469:AV469"/>
    <mergeCell ref="AW469:AX469"/>
    <mergeCell ref="AG469:AH469"/>
    <mergeCell ref="AI469:AJ469"/>
    <mergeCell ref="AK469:AL469"/>
    <mergeCell ref="AM469:AN469"/>
    <mergeCell ref="AO469:AP469"/>
    <mergeCell ref="AQ469:AR469"/>
    <mergeCell ref="AS469:AT469"/>
    <mergeCell ref="S463:T463"/>
    <mergeCell ref="U463:V463"/>
    <mergeCell ref="W463:X463"/>
    <mergeCell ref="Y463:Z463"/>
    <mergeCell ref="AA463:AB463"/>
    <mergeCell ref="AC463:AD463"/>
    <mergeCell ref="AE463:AF463"/>
    <mergeCell ref="AG463:AH463"/>
    <mergeCell ref="AI463:AJ463"/>
    <mergeCell ref="AK463:AL463"/>
    <mergeCell ref="AM463:AN463"/>
    <mergeCell ref="AO463:AP463"/>
    <mergeCell ref="AQ463:AR463"/>
    <mergeCell ref="AS463:AT463"/>
    <mergeCell ref="BI463:BJ463"/>
    <mergeCell ref="BK463:BL463"/>
    <mergeCell ref="BM463:BN463"/>
    <mergeCell ref="BO463:BP463"/>
    <mergeCell ref="AU463:AV463"/>
    <mergeCell ref="AW463:AX463"/>
    <mergeCell ref="AY463:AZ463"/>
    <mergeCell ref="BA463:BB463"/>
    <mergeCell ref="BC463:BD463"/>
    <mergeCell ref="BE463:BF463"/>
    <mergeCell ref="BG463:BH463"/>
    <mergeCell ref="E463:F463"/>
    <mergeCell ref="G463:H463"/>
    <mergeCell ref="I463:J463"/>
    <mergeCell ref="K463:L463"/>
    <mergeCell ref="M463:N463"/>
    <mergeCell ref="O463:P463"/>
    <mergeCell ref="Q463:R463"/>
    <mergeCell ref="BM469:BN469"/>
    <mergeCell ref="BO469:BP469"/>
    <mergeCell ref="AY469:AZ469"/>
    <mergeCell ref="BA469:BB469"/>
    <mergeCell ref="BC469:BD469"/>
    <mergeCell ref="BE469:BF469"/>
    <mergeCell ref="BG469:BH469"/>
    <mergeCell ref="BI469:BJ469"/>
    <mergeCell ref="BK469:BL469"/>
    <mergeCell ref="S468:T468"/>
    <mergeCell ref="U468:V468"/>
    <mergeCell ref="W468:X468"/>
    <mergeCell ref="Y468:Z468"/>
    <mergeCell ref="AA468:AB468"/>
    <mergeCell ref="AC468:AD468"/>
    <mergeCell ref="AE468:AF468"/>
    <mergeCell ref="AG468:AH468"/>
    <mergeCell ref="AI468:AJ468"/>
    <mergeCell ref="AK468:AL468"/>
    <mergeCell ref="AM468:AN468"/>
    <mergeCell ref="AO468:AP468"/>
    <mergeCell ref="AQ468:AR468"/>
    <mergeCell ref="AS468:AT468"/>
    <mergeCell ref="BI468:BJ468"/>
    <mergeCell ref="BK468:BL468"/>
    <mergeCell ref="BM468:BN468"/>
    <mergeCell ref="BO468:BP468"/>
    <mergeCell ref="E468:F468"/>
    <mergeCell ref="G468:H468"/>
    <mergeCell ref="I468:J468"/>
    <mergeCell ref="K468:L468"/>
    <mergeCell ref="M468:N468"/>
    <mergeCell ref="BO460:BP460"/>
    <mergeCell ref="AY460:AZ460"/>
    <mergeCell ref="BA460:BB460"/>
    <mergeCell ref="BC460:BD460"/>
    <mergeCell ref="BE460:BF460"/>
    <mergeCell ref="BG460:BH460"/>
    <mergeCell ref="BI460:BJ460"/>
    <mergeCell ref="BK460:BL460"/>
    <mergeCell ref="S459:T459"/>
    <mergeCell ref="U459:V459"/>
    <mergeCell ref="W459:X459"/>
    <mergeCell ref="Y459:Z459"/>
    <mergeCell ref="AA459:AB459"/>
    <mergeCell ref="AC459:AD459"/>
    <mergeCell ref="AE459:AF459"/>
    <mergeCell ref="AG459:AH459"/>
    <mergeCell ref="AI459:AJ459"/>
    <mergeCell ref="AK459:AL459"/>
    <mergeCell ref="AM459:AN459"/>
    <mergeCell ref="AO459:AP459"/>
    <mergeCell ref="AQ459:AR459"/>
    <mergeCell ref="AS459:AT459"/>
    <mergeCell ref="BI459:BJ459"/>
    <mergeCell ref="BK459:BL459"/>
    <mergeCell ref="BM459:BN459"/>
    <mergeCell ref="BO459:BP459"/>
    <mergeCell ref="E459:F459"/>
    <mergeCell ref="G459:H459"/>
    <mergeCell ref="I459:J459"/>
    <mergeCell ref="K459:L459"/>
    <mergeCell ref="M459:N459"/>
    <mergeCell ref="O459:P459"/>
    <mergeCell ref="Q459:R459"/>
    <mergeCell ref="S460:T460"/>
    <mergeCell ref="U460:V460"/>
    <mergeCell ref="W460:X460"/>
    <mergeCell ref="Y460:Z460"/>
    <mergeCell ref="AA460:AB460"/>
    <mergeCell ref="AC460:AD460"/>
    <mergeCell ref="AE460:AF460"/>
    <mergeCell ref="AU459:AV459"/>
    <mergeCell ref="AW459:AX459"/>
    <mergeCell ref="AY459:AZ459"/>
    <mergeCell ref="BA459:BB459"/>
    <mergeCell ref="BC459:BD459"/>
    <mergeCell ref="BE459:BF459"/>
    <mergeCell ref="BG459:BH459"/>
    <mergeCell ref="E460:F460"/>
    <mergeCell ref="G460:H460"/>
    <mergeCell ref="I460:J460"/>
    <mergeCell ref="K460:L460"/>
    <mergeCell ref="M460:N460"/>
    <mergeCell ref="O460:P460"/>
    <mergeCell ref="Q460:R460"/>
    <mergeCell ref="BO458:BP458"/>
    <mergeCell ref="AY458:AZ458"/>
    <mergeCell ref="BA458:BB458"/>
    <mergeCell ref="BC458:BD458"/>
    <mergeCell ref="BE458:BF458"/>
    <mergeCell ref="BG458:BH458"/>
    <mergeCell ref="BI458:BJ458"/>
    <mergeCell ref="BK458:BL458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I457:AJ457"/>
    <mergeCell ref="AK457:AL457"/>
    <mergeCell ref="AM457:AN457"/>
    <mergeCell ref="AO457:AP457"/>
    <mergeCell ref="AQ457:AR457"/>
    <mergeCell ref="AS457:AT457"/>
    <mergeCell ref="BI457:BJ457"/>
    <mergeCell ref="BK457:BL457"/>
    <mergeCell ref="BM457:BN457"/>
    <mergeCell ref="BO457:BP457"/>
    <mergeCell ref="E457:F457"/>
    <mergeCell ref="G457:H457"/>
    <mergeCell ref="I457:J457"/>
    <mergeCell ref="K457:L457"/>
    <mergeCell ref="M457:N457"/>
    <mergeCell ref="O457:P457"/>
    <mergeCell ref="Q457:R457"/>
    <mergeCell ref="S458:T458"/>
    <mergeCell ref="U458:V458"/>
    <mergeCell ref="W458:X458"/>
    <mergeCell ref="Y458:Z458"/>
    <mergeCell ref="AA458:AB458"/>
    <mergeCell ref="AC458:AD458"/>
    <mergeCell ref="AE458:AF458"/>
    <mergeCell ref="AU457:AV457"/>
    <mergeCell ref="AW457:AX457"/>
    <mergeCell ref="AY457:AZ457"/>
    <mergeCell ref="BA457:BB457"/>
    <mergeCell ref="BC457:BD457"/>
    <mergeCell ref="BE457:BF457"/>
    <mergeCell ref="BG457:BH457"/>
    <mergeCell ref="E458:F458"/>
    <mergeCell ref="G458:H458"/>
    <mergeCell ref="I458:J458"/>
    <mergeCell ref="K458:L458"/>
    <mergeCell ref="M458:N458"/>
    <mergeCell ref="O458:P458"/>
    <mergeCell ref="Q458:R458"/>
    <mergeCell ref="O461:P461"/>
    <mergeCell ref="Q461:R461"/>
    <mergeCell ref="E462:F462"/>
    <mergeCell ref="G462:H462"/>
    <mergeCell ref="I462:J462"/>
    <mergeCell ref="K462:L462"/>
    <mergeCell ref="M462:N462"/>
    <mergeCell ref="O462:P462"/>
    <mergeCell ref="Q462:R462"/>
    <mergeCell ref="S462:T462"/>
    <mergeCell ref="U462:V462"/>
    <mergeCell ref="W462:X462"/>
    <mergeCell ref="Y462:Z462"/>
    <mergeCell ref="AA462:AB462"/>
    <mergeCell ref="AC462:AD462"/>
    <mergeCell ref="AE462:AF462"/>
    <mergeCell ref="AU461:AV461"/>
    <mergeCell ref="AW461:AX461"/>
    <mergeCell ref="AY461:AZ461"/>
    <mergeCell ref="BA461:BB461"/>
    <mergeCell ref="BC461:BD461"/>
    <mergeCell ref="BE461:BF461"/>
    <mergeCell ref="BG461:BH461"/>
    <mergeCell ref="AU458:AV458"/>
    <mergeCell ref="AW458:AX458"/>
    <mergeCell ref="AG458:AH458"/>
    <mergeCell ref="AI458:AJ458"/>
    <mergeCell ref="AK458:AL458"/>
    <mergeCell ref="AM458:AN458"/>
    <mergeCell ref="AO458:AP458"/>
    <mergeCell ref="AQ458:AR458"/>
    <mergeCell ref="AS458:AT458"/>
    <mergeCell ref="BM458:BN458"/>
    <mergeCell ref="AU460:AV460"/>
    <mergeCell ref="AW460:AX460"/>
    <mergeCell ref="AG460:AH460"/>
    <mergeCell ref="AI460:AJ460"/>
    <mergeCell ref="AK460:AL460"/>
    <mergeCell ref="AM460:AN460"/>
    <mergeCell ref="AO460:AP460"/>
    <mergeCell ref="AQ460:AR460"/>
    <mergeCell ref="AS460:AT460"/>
    <mergeCell ref="BM460:BN460"/>
    <mergeCell ref="AU462:AV462"/>
    <mergeCell ref="AW462:AX462"/>
    <mergeCell ref="AG462:AH462"/>
    <mergeCell ref="AI462:AJ462"/>
    <mergeCell ref="AK462:AL462"/>
    <mergeCell ref="AM462:AN462"/>
    <mergeCell ref="AO462:AP462"/>
    <mergeCell ref="AQ462:AR462"/>
    <mergeCell ref="AS462:AT462"/>
    <mergeCell ref="S456:T456"/>
    <mergeCell ref="U456:V456"/>
    <mergeCell ref="W456:X456"/>
    <mergeCell ref="Y456:Z456"/>
    <mergeCell ref="AA456:AB456"/>
    <mergeCell ref="AC456:AD456"/>
    <mergeCell ref="AE456:AF456"/>
    <mergeCell ref="AG456:AH456"/>
    <mergeCell ref="AI456:AJ456"/>
    <mergeCell ref="AK456:AL456"/>
    <mergeCell ref="AM456:AN456"/>
    <mergeCell ref="AO456:AP456"/>
    <mergeCell ref="AQ456:AR456"/>
    <mergeCell ref="AS456:AT456"/>
    <mergeCell ref="BI456:BJ456"/>
    <mergeCell ref="BK456:BL456"/>
    <mergeCell ref="BM456:BN456"/>
    <mergeCell ref="BO456:BP456"/>
    <mergeCell ref="AU456:AV456"/>
    <mergeCell ref="AW456:AX456"/>
    <mergeCell ref="AY456:AZ456"/>
    <mergeCell ref="BA456:BB456"/>
    <mergeCell ref="BC456:BD456"/>
    <mergeCell ref="BE456:BF456"/>
    <mergeCell ref="BG456:BH456"/>
    <mergeCell ref="E456:F456"/>
    <mergeCell ref="G456:H456"/>
    <mergeCell ref="I456:J456"/>
    <mergeCell ref="K456:L456"/>
    <mergeCell ref="M456:N456"/>
    <mergeCell ref="O456:P456"/>
    <mergeCell ref="Q456:R456"/>
    <mergeCell ref="BM462:BN462"/>
    <mergeCell ref="BO462:BP462"/>
    <mergeCell ref="AY462:AZ462"/>
    <mergeCell ref="BA462:BB462"/>
    <mergeCell ref="BC462:BD462"/>
    <mergeCell ref="BE462:BF462"/>
    <mergeCell ref="BG462:BH462"/>
    <mergeCell ref="BI462:BJ462"/>
    <mergeCell ref="BK462:BL462"/>
    <mergeCell ref="S461:T461"/>
    <mergeCell ref="U461:V461"/>
    <mergeCell ref="W461:X461"/>
    <mergeCell ref="Y461:Z461"/>
    <mergeCell ref="AA461:AB461"/>
    <mergeCell ref="AC461:AD461"/>
    <mergeCell ref="AE461:AF461"/>
    <mergeCell ref="AG461:AH461"/>
    <mergeCell ref="AI461:AJ461"/>
    <mergeCell ref="AK461:AL461"/>
    <mergeCell ref="AM461:AN461"/>
    <mergeCell ref="AO461:AP461"/>
    <mergeCell ref="AQ461:AR461"/>
    <mergeCell ref="AS461:AT461"/>
    <mergeCell ref="BI461:BJ461"/>
    <mergeCell ref="BK461:BL461"/>
    <mergeCell ref="BM461:BN461"/>
    <mergeCell ref="BO461:BP461"/>
    <mergeCell ref="E461:F461"/>
    <mergeCell ref="G461:H461"/>
    <mergeCell ref="I461:J461"/>
    <mergeCell ref="K461:L461"/>
    <mergeCell ref="M461:N461"/>
    <mergeCell ref="BO453:BP453"/>
    <mergeCell ref="AY453:AZ453"/>
    <mergeCell ref="BA453:BB453"/>
    <mergeCell ref="BC453:BD453"/>
    <mergeCell ref="BE453:BF453"/>
    <mergeCell ref="BG453:BH453"/>
    <mergeCell ref="BI453:BJ453"/>
    <mergeCell ref="BK453:BL453"/>
    <mergeCell ref="S452:T452"/>
    <mergeCell ref="U452:V452"/>
    <mergeCell ref="W452:X452"/>
    <mergeCell ref="Y452:Z452"/>
    <mergeCell ref="AA452:AB452"/>
    <mergeCell ref="AC452:AD452"/>
    <mergeCell ref="AE452:AF452"/>
    <mergeCell ref="AG452:AH452"/>
    <mergeCell ref="AI452:AJ452"/>
    <mergeCell ref="AK452:AL452"/>
    <mergeCell ref="AM452:AN452"/>
    <mergeCell ref="AO452:AP452"/>
    <mergeCell ref="AQ452:AR452"/>
    <mergeCell ref="AS452:AT452"/>
    <mergeCell ref="BI452:BJ452"/>
    <mergeCell ref="BK452:BL452"/>
    <mergeCell ref="BM452:BN452"/>
    <mergeCell ref="BO452:BP452"/>
    <mergeCell ref="E452:F452"/>
    <mergeCell ref="G452:H452"/>
    <mergeCell ref="I452:J452"/>
    <mergeCell ref="K452:L452"/>
    <mergeCell ref="M452:N452"/>
    <mergeCell ref="O452:P452"/>
    <mergeCell ref="Q452:R452"/>
    <mergeCell ref="S453:T453"/>
    <mergeCell ref="U453:V453"/>
    <mergeCell ref="W453:X453"/>
    <mergeCell ref="Y453:Z453"/>
    <mergeCell ref="AA453:AB453"/>
    <mergeCell ref="AC453:AD453"/>
    <mergeCell ref="AE453:AF453"/>
    <mergeCell ref="AU452:AV452"/>
    <mergeCell ref="AW452:AX452"/>
    <mergeCell ref="AY452:AZ452"/>
    <mergeCell ref="BA452:BB452"/>
    <mergeCell ref="BC452:BD452"/>
    <mergeCell ref="BE452:BF452"/>
    <mergeCell ref="BG452:BH452"/>
    <mergeCell ref="E453:F453"/>
    <mergeCell ref="G453:H453"/>
    <mergeCell ref="I453:J453"/>
    <mergeCell ref="K453:L453"/>
    <mergeCell ref="M453:N453"/>
    <mergeCell ref="O453:P453"/>
    <mergeCell ref="Q453:R453"/>
    <mergeCell ref="BO451:BP451"/>
    <mergeCell ref="AY451:AZ451"/>
    <mergeCell ref="BA451:BB451"/>
    <mergeCell ref="BC451:BD451"/>
    <mergeCell ref="BE451:BF451"/>
    <mergeCell ref="BG451:BH451"/>
    <mergeCell ref="BI451:BJ451"/>
    <mergeCell ref="BK451:BL451"/>
    <mergeCell ref="S450:T450"/>
    <mergeCell ref="U450:V450"/>
    <mergeCell ref="W450:X450"/>
    <mergeCell ref="Y450:Z450"/>
    <mergeCell ref="AA450:AB450"/>
    <mergeCell ref="AC450:AD450"/>
    <mergeCell ref="AE450:AF450"/>
    <mergeCell ref="AG450:AH450"/>
    <mergeCell ref="AI450:AJ450"/>
    <mergeCell ref="AK450:AL450"/>
    <mergeCell ref="AM450:AN450"/>
    <mergeCell ref="AO450:AP450"/>
    <mergeCell ref="AQ450:AR450"/>
    <mergeCell ref="AS450:AT450"/>
    <mergeCell ref="BI450:BJ450"/>
    <mergeCell ref="BK450:BL450"/>
    <mergeCell ref="BM450:BN450"/>
    <mergeCell ref="BO450:BP450"/>
    <mergeCell ref="E450:F450"/>
    <mergeCell ref="G450:H450"/>
    <mergeCell ref="I450:J450"/>
    <mergeCell ref="K450:L450"/>
    <mergeCell ref="M450:N450"/>
    <mergeCell ref="O450:P450"/>
    <mergeCell ref="Q450:R450"/>
    <mergeCell ref="S451:T451"/>
    <mergeCell ref="U451:V451"/>
    <mergeCell ref="W451:X451"/>
    <mergeCell ref="Y451:Z451"/>
    <mergeCell ref="AA451:AB451"/>
    <mergeCell ref="AC451:AD451"/>
    <mergeCell ref="AE451:AF451"/>
    <mergeCell ref="AU450:AV450"/>
    <mergeCell ref="AW450:AX450"/>
    <mergeCell ref="AY450:AZ450"/>
    <mergeCell ref="BA450:BB450"/>
    <mergeCell ref="BC450:BD450"/>
    <mergeCell ref="BE450:BF450"/>
    <mergeCell ref="BG450:BH450"/>
    <mergeCell ref="E451:F451"/>
    <mergeCell ref="G451:H451"/>
    <mergeCell ref="I451:J451"/>
    <mergeCell ref="K451:L451"/>
    <mergeCell ref="M451:N451"/>
    <mergeCell ref="O451:P451"/>
    <mergeCell ref="Q451:R451"/>
    <mergeCell ref="O454:P454"/>
    <mergeCell ref="Q454:R454"/>
    <mergeCell ref="E455:F455"/>
    <mergeCell ref="G455:H455"/>
    <mergeCell ref="I455:J455"/>
    <mergeCell ref="K455:L455"/>
    <mergeCell ref="M455:N455"/>
    <mergeCell ref="O455:P455"/>
    <mergeCell ref="Q455:R455"/>
    <mergeCell ref="S455:T455"/>
    <mergeCell ref="U455:V455"/>
    <mergeCell ref="W455:X455"/>
    <mergeCell ref="Y455:Z455"/>
    <mergeCell ref="AA455:AB455"/>
    <mergeCell ref="AC455:AD455"/>
    <mergeCell ref="AE455:AF455"/>
    <mergeCell ref="AU454:AV454"/>
    <mergeCell ref="AW454:AX454"/>
    <mergeCell ref="AY454:AZ454"/>
    <mergeCell ref="BA454:BB454"/>
    <mergeCell ref="BC454:BD454"/>
    <mergeCell ref="BE454:BF454"/>
    <mergeCell ref="BG454:BH454"/>
    <mergeCell ref="AU451:AV451"/>
    <mergeCell ref="AW451:AX451"/>
    <mergeCell ref="AG451:AH451"/>
    <mergeCell ref="AI451:AJ451"/>
    <mergeCell ref="AK451:AL451"/>
    <mergeCell ref="AM451:AN451"/>
    <mergeCell ref="AO451:AP451"/>
    <mergeCell ref="AQ451:AR451"/>
    <mergeCell ref="AS451:AT451"/>
    <mergeCell ref="BM451:BN451"/>
    <mergeCell ref="AU453:AV453"/>
    <mergeCell ref="AW453:AX453"/>
    <mergeCell ref="AG453:AH453"/>
    <mergeCell ref="AI453:AJ453"/>
    <mergeCell ref="AK453:AL453"/>
    <mergeCell ref="AM453:AN453"/>
    <mergeCell ref="AO453:AP453"/>
    <mergeCell ref="AQ453:AR453"/>
    <mergeCell ref="AS453:AT453"/>
    <mergeCell ref="BM453:BN453"/>
    <mergeCell ref="AU455:AV455"/>
    <mergeCell ref="AW455:AX455"/>
    <mergeCell ref="AG455:AH455"/>
    <mergeCell ref="AI455:AJ455"/>
    <mergeCell ref="AK455:AL455"/>
    <mergeCell ref="AM455:AN455"/>
    <mergeCell ref="AO455:AP455"/>
    <mergeCell ref="AQ455:AR455"/>
    <mergeCell ref="AS455:AT455"/>
    <mergeCell ref="S449:T449"/>
    <mergeCell ref="U449:V449"/>
    <mergeCell ref="W449:X449"/>
    <mergeCell ref="Y449:Z449"/>
    <mergeCell ref="AA449:AB449"/>
    <mergeCell ref="AC449:AD449"/>
    <mergeCell ref="AE449:AF449"/>
    <mergeCell ref="AG449:AH449"/>
    <mergeCell ref="AI449:AJ449"/>
    <mergeCell ref="AK449:AL449"/>
    <mergeCell ref="AM449:AN449"/>
    <mergeCell ref="AO449:AP449"/>
    <mergeCell ref="AQ449:AR449"/>
    <mergeCell ref="AS449:AT449"/>
    <mergeCell ref="BI449:BJ449"/>
    <mergeCell ref="BK449:BL449"/>
    <mergeCell ref="BM449:BN449"/>
    <mergeCell ref="BO449:BP449"/>
    <mergeCell ref="AU449:AV449"/>
    <mergeCell ref="AW449:AX449"/>
    <mergeCell ref="AY449:AZ449"/>
    <mergeCell ref="BA449:BB449"/>
    <mergeCell ref="BC449:BD449"/>
    <mergeCell ref="BE449:BF449"/>
    <mergeCell ref="BG449:BH449"/>
    <mergeCell ref="E449:F449"/>
    <mergeCell ref="G449:H449"/>
    <mergeCell ref="I449:J449"/>
    <mergeCell ref="K449:L449"/>
    <mergeCell ref="M449:N449"/>
    <mergeCell ref="O449:P449"/>
    <mergeCell ref="Q449:R449"/>
    <mergeCell ref="BM455:BN455"/>
    <mergeCell ref="BO455:BP455"/>
    <mergeCell ref="AY455:AZ455"/>
    <mergeCell ref="BA455:BB455"/>
    <mergeCell ref="BC455:BD455"/>
    <mergeCell ref="BE455:BF455"/>
    <mergeCell ref="BG455:BH455"/>
    <mergeCell ref="BI455:BJ455"/>
    <mergeCell ref="BK455:BL455"/>
    <mergeCell ref="S454:T454"/>
    <mergeCell ref="U454:V454"/>
    <mergeCell ref="W454:X454"/>
    <mergeCell ref="Y454:Z454"/>
    <mergeCell ref="AA454:AB454"/>
    <mergeCell ref="AC454:AD454"/>
    <mergeCell ref="AE454:AF454"/>
    <mergeCell ref="AG454:AH454"/>
    <mergeCell ref="AI454:AJ454"/>
    <mergeCell ref="AK454:AL454"/>
    <mergeCell ref="AM454:AN454"/>
    <mergeCell ref="AO454:AP454"/>
    <mergeCell ref="AQ454:AR454"/>
    <mergeCell ref="AS454:AT454"/>
    <mergeCell ref="BI454:BJ454"/>
    <mergeCell ref="BK454:BL454"/>
    <mergeCell ref="BM454:BN454"/>
    <mergeCell ref="BO454:BP454"/>
    <mergeCell ref="E454:F454"/>
    <mergeCell ref="G454:H454"/>
    <mergeCell ref="I454:J454"/>
    <mergeCell ref="K454:L454"/>
    <mergeCell ref="M454:N454"/>
    <mergeCell ref="BO446:BP446"/>
    <mergeCell ref="AY446:AZ446"/>
    <mergeCell ref="BA446:BB446"/>
    <mergeCell ref="BC446:BD446"/>
    <mergeCell ref="BE446:BF446"/>
    <mergeCell ref="BG446:BH446"/>
    <mergeCell ref="BI446:BJ446"/>
    <mergeCell ref="BK446:BL446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I445:AJ445"/>
    <mergeCell ref="AK445:AL445"/>
    <mergeCell ref="AM445:AN445"/>
    <mergeCell ref="AO445:AP445"/>
    <mergeCell ref="AQ445:AR445"/>
    <mergeCell ref="AS445:AT445"/>
    <mergeCell ref="BI445:BJ445"/>
    <mergeCell ref="BK445:BL445"/>
    <mergeCell ref="BM445:BN445"/>
    <mergeCell ref="BO445:BP445"/>
    <mergeCell ref="E445:F445"/>
    <mergeCell ref="G445:H445"/>
    <mergeCell ref="I445:J445"/>
    <mergeCell ref="K445:L445"/>
    <mergeCell ref="M445:N445"/>
    <mergeCell ref="O445:P445"/>
    <mergeCell ref="Q445:R445"/>
    <mergeCell ref="S446:T446"/>
    <mergeCell ref="U446:V446"/>
    <mergeCell ref="W446:X446"/>
    <mergeCell ref="Y446:Z446"/>
    <mergeCell ref="AA446:AB446"/>
    <mergeCell ref="AC446:AD446"/>
    <mergeCell ref="AE446:AF446"/>
    <mergeCell ref="AU445:AV445"/>
    <mergeCell ref="AW445:AX445"/>
    <mergeCell ref="AY445:AZ445"/>
    <mergeCell ref="BA445:BB445"/>
    <mergeCell ref="BC445:BD445"/>
    <mergeCell ref="BE445:BF445"/>
    <mergeCell ref="BG445:BH445"/>
    <mergeCell ref="E446:F446"/>
    <mergeCell ref="G446:H446"/>
    <mergeCell ref="I446:J446"/>
    <mergeCell ref="K446:L446"/>
    <mergeCell ref="M446:N446"/>
    <mergeCell ref="O446:P446"/>
    <mergeCell ref="Q446:R446"/>
    <mergeCell ref="BO444:BP444"/>
    <mergeCell ref="AY444:AZ444"/>
    <mergeCell ref="BA444:BB444"/>
    <mergeCell ref="BC444:BD444"/>
    <mergeCell ref="BE444:BF444"/>
    <mergeCell ref="BG444:BH444"/>
    <mergeCell ref="BI444:BJ444"/>
    <mergeCell ref="BK444:BL444"/>
    <mergeCell ref="S443:T443"/>
    <mergeCell ref="U443:V443"/>
    <mergeCell ref="W443:X443"/>
    <mergeCell ref="Y443:Z443"/>
    <mergeCell ref="AA443:AB443"/>
    <mergeCell ref="AC443:AD443"/>
    <mergeCell ref="AE443:AF443"/>
    <mergeCell ref="AG443:AH443"/>
    <mergeCell ref="AI443:AJ443"/>
    <mergeCell ref="AK443:AL443"/>
    <mergeCell ref="AM443:AN443"/>
    <mergeCell ref="AO443:AP443"/>
    <mergeCell ref="AQ443:AR443"/>
    <mergeCell ref="AS443:AT443"/>
    <mergeCell ref="BI443:BJ443"/>
    <mergeCell ref="BK443:BL443"/>
    <mergeCell ref="BM443:BN443"/>
    <mergeCell ref="BO443:BP443"/>
    <mergeCell ref="E443:F443"/>
    <mergeCell ref="G443:H443"/>
    <mergeCell ref="I443:J443"/>
    <mergeCell ref="K443:L443"/>
    <mergeCell ref="M443:N443"/>
    <mergeCell ref="O443:P443"/>
    <mergeCell ref="Q443:R443"/>
    <mergeCell ref="S444:T444"/>
    <mergeCell ref="U444:V444"/>
    <mergeCell ref="W444:X444"/>
    <mergeCell ref="Y444:Z444"/>
    <mergeCell ref="AA444:AB444"/>
    <mergeCell ref="AC444:AD444"/>
    <mergeCell ref="AE444:AF444"/>
    <mergeCell ref="AU443:AV443"/>
    <mergeCell ref="AW443:AX443"/>
    <mergeCell ref="AY443:AZ443"/>
    <mergeCell ref="BA443:BB443"/>
    <mergeCell ref="BC443:BD443"/>
    <mergeCell ref="BE443:BF443"/>
    <mergeCell ref="BG443:BH443"/>
    <mergeCell ref="E444:F444"/>
    <mergeCell ref="G444:H444"/>
    <mergeCell ref="I444:J444"/>
    <mergeCell ref="K444:L444"/>
    <mergeCell ref="M444:N444"/>
    <mergeCell ref="O444:P444"/>
    <mergeCell ref="Q444:R444"/>
    <mergeCell ref="O447:P447"/>
    <mergeCell ref="Q447:R447"/>
    <mergeCell ref="E448:F448"/>
    <mergeCell ref="G448:H448"/>
    <mergeCell ref="I448:J448"/>
    <mergeCell ref="K448:L448"/>
    <mergeCell ref="M448:N448"/>
    <mergeCell ref="O448:P448"/>
    <mergeCell ref="Q448:R448"/>
    <mergeCell ref="S448:T448"/>
    <mergeCell ref="U448:V448"/>
    <mergeCell ref="W448:X448"/>
    <mergeCell ref="Y448:Z448"/>
    <mergeCell ref="AA448:AB448"/>
    <mergeCell ref="AC448:AD448"/>
    <mergeCell ref="AE448:AF448"/>
    <mergeCell ref="AU447:AV447"/>
    <mergeCell ref="AW447:AX447"/>
    <mergeCell ref="AY447:AZ447"/>
    <mergeCell ref="BA447:BB447"/>
    <mergeCell ref="BC447:BD447"/>
    <mergeCell ref="BE447:BF447"/>
    <mergeCell ref="BG447:BH447"/>
    <mergeCell ref="AU444:AV444"/>
    <mergeCell ref="AW444:AX444"/>
    <mergeCell ref="AG444:AH444"/>
    <mergeCell ref="AI444:AJ444"/>
    <mergeCell ref="AK444:AL444"/>
    <mergeCell ref="AM444:AN444"/>
    <mergeCell ref="AO444:AP444"/>
    <mergeCell ref="AQ444:AR444"/>
    <mergeCell ref="AS444:AT444"/>
    <mergeCell ref="BM444:BN444"/>
    <mergeCell ref="AU446:AV446"/>
    <mergeCell ref="AW446:AX446"/>
    <mergeCell ref="AG446:AH446"/>
    <mergeCell ref="AI446:AJ446"/>
    <mergeCell ref="AK446:AL446"/>
    <mergeCell ref="AM446:AN446"/>
    <mergeCell ref="AO446:AP446"/>
    <mergeCell ref="AQ446:AR446"/>
    <mergeCell ref="AS446:AT446"/>
    <mergeCell ref="BM446:BN446"/>
    <mergeCell ref="AU448:AV448"/>
    <mergeCell ref="AW448:AX448"/>
    <mergeCell ref="AG448:AH448"/>
    <mergeCell ref="AI448:AJ448"/>
    <mergeCell ref="AK448:AL448"/>
    <mergeCell ref="AM448:AN448"/>
    <mergeCell ref="AO448:AP448"/>
    <mergeCell ref="AQ448:AR448"/>
    <mergeCell ref="AS448:AT448"/>
    <mergeCell ref="S442:T442"/>
    <mergeCell ref="U442:V442"/>
    <mergeCell ref="W442:X442"/>
    <mergeCell ref="Y442:Z442"/>
    <mergeCell ref="AA442:AB442"/>
    <mergeCell ref="AC442:AD442"/>
    <mergeCell ref="AE442:AF442"/>
    <mergeCell ref="AG442:AH442"/>
    <mergeCell ref="AI442:AJ442"/>
    <mergeCell ref="AK442:AL442"/>
    <mergeCell ref="AM442:AN442"/>
    <mergeCell ref="AO442:AP442"/>
    <mergeCell ref="AQ442:AR442"/>
    <mergeCell ref="AS442:AT442"/>
    <mergeCell ref="BI442:BJ442"/>
    <mergeCell ref="BK442:BL442"/>
    <mergeCell ref="BM442:BN442"/>
    <mergeCell ref="BO442:BP442"/>
    <mergeCell ref="AU442:AV442"/>
    <mergeCell ref="AW442:AX442"/>
    <mergeCell ref="AY442:AZ442"/>
    <mergeCell ref="BA442:BB442"/>
    <mergeCell ref="BC442:BD442"/>
    <mergeCell ref="BE442:BF442"/>
    <mergeCell ref="BG442:BH442"/>
    <mergeCell ref="E442:F442"/>
    <mergeCell ref="G442:H442"/>
    <mergeCell ref="I442:J442"/>
    <mergeCell ref="K442:L442"/>
    <mergeCell ref="M442:N442"/>
    <mergeCell ref="O442:P442"/>
    <mergeCell ref="Q442:R442"/>
    <mergeCell ref="BM448:BN448"/>
    <mergeCell ref="BO448:BP448"/>
    <mergeCell ref="AY448:AZ448"/>
    <mergeCell ref="BA448:BB448"/>
    <mergeCell ref="BC448:BD448"/>
    <mergeCell ref="BE448:BF448"/>
    <mergeCell ref="BG448:BH448"/>
    <mergeCell ref="BI448:BJ448"/>
    <mergeCell ref="BK448:BL448"/>
    <mergeCell ref="S447:T447"/>
    <mergeCell ref="U447:V447"/>
    <mergeCell ref="W447:X447"/>
    <mergeCell ref="Y447:Z447"/>
    <mergeCell ref="AA447:AB447"/>
    <mergeCell ref="AC447:AD447"/>
    <mergeCell ref="AE447:AF447"/>
    <mergeCell ref="AG447:AH447"/>
    <mergeCell ref="AI447:AJ447"/>
    <mergeCell ref="AK447:AL447"/>
    <mergeCell ref="AM447:AN447"/>
    <mergeCell ref="AO447:AP447"/>
    <mergeCell ref="AQ447:AR447"/>
    <mergeCell ref="AS447:AT447"/>
    <mergeCell ref="BI447:BJ447"/>
    <mergeCell ref="BK447:BL447"/>
    <mergeCell ref="BM447:BN447"/>
    <mergeCell ref="BO447:BP447"/>
    <mergeCell ref="E447:F447"/>
    <mergeCell ref="G447:H447"/>
    <mergeCell ref="I447:J447"/>
    <mergeCell ref="K447:L447"/>
    <mergeCell ref="M447:N447"/>
    <mergeCell ref="BO439:BP439"/>
    <mergeCell ref="AY439:AZ439"/>
    <mergeCell ref="BA439:BB439"/>
    <mergeCell ref="BC439:BD439"/>
    <mergeCell ref="BE439:BF439"/>
    <mergeCell ref="BG439:BH439"/>
    <mergeCell ref="BI439:BJ439"/>
    <mergeCell ref="BK439:BL439"/>
    <mergeCell ref="S438:T438"/>
    <mergeCell ref="U438:V438"/>
    <mergeCell ref="W438:X438"/>
    <mergeCell ref="Y438:Z438"/>
    <mergeCell ref="AA438:AB438"/>
    <mergeCell ref="AC438:AD438"/>
    <mergeCell ref="AE438:AF438"/>
    <mergeCell ref="AG438:AH438"/>
    <mergeCell ref="AI438:AJ438"/>
    <mergeCell ref="AK438:AL438"/>
    <mergeCell ref="AM438:AN438"/>
    <mergeCell ref="AO438:AP438"/>
    <mergeCell ref="AQ438:AR438"/>
    <mergeCell ref="AS438:AT438"/>
    <mergeCell ref="BI438:BJ438"/>
    <mergeCell ref="BK438:BL438"/>
    <mergeCell ref="BM438:BN438"/>
    <mergeCell ref="BO438:BP438"/>
    <mergeCell ref="E438:F438"/>
    <mergeCell ref="G438:H438"/>
    <mergeCell ref="I438:J438"/>
    <mergeCell ref="K438:L438"/>
    <mergeCell ref="M438:N438"/>
    <mergeCell ref="O438:P438"/>
    <mergeCell ref="Q438:R438"/>
    <mergeCell ref="S439:T439"/>
    <mergeCell ref="U439:V439"/>
    <mergeCell ref="W439:X439"/>
    <mergeCell ref="Y439:Z439"/>
    <mergeCell ref="AA439:AB439"/>
    <mergeCell ref="AC439:AD439"/>
    <mergeCell ref="AE439:AF439"/>
    <mergeCell ref="AU438:AV438"/>
    <mergeCell ref="AW438:AX438"/>
    <mergeCell ref="AY438:AZ438"/>
    <mergeCell ref="BA438:BB438"/>
    <mergeCell ref="BC438:BD438"/>
    <mergeCell ref="BE438:BF438"/>
    <mergeCell ref="BG438:BH438"/>
    <mergeCell ref="E439:F439"/>
    <mergeCell ref="G439:H439"/>
    <mergeCell ref="I439:J439"/>
    <mergeCell ref="K439:L439"/>
    <mergeCell ref="M439:N439"/>
    <mergeCell ref="O439:P439"/>
    <mergeCell ref="Q439:R439"/>
    <mergeCell ref="BO437:BP437"/>
    <mergeCell ref="AY437:AZ437"/>
    <mergeCell ref="BA437:BB437"/>
    <mergeCell ref="BC437:BD437"/>
    <mergeCell ref="BE437:BF437"/>
    <mergeCell ref="BG437:BH437"/>
    <mergeCell ref="BI437:BJ437"/>
    <mergeCell ref="BK437:BL437"/>
    <mergeCell ref="S436:T436"/>
    <mergeCell ref="U436:V436"/>
    <mergeCell ref="W436:X436"/>
    <mergeCell ref="Y436:Z436"/>
    <mergeCell ref="AA436:AB436"/>
    <mergeCell ref="AC436:AD436"/>
    <mergeCell ref="AE436:AF436"/>
    <mergeCell ref="AG436:AH436"/>
    <mergeCell ref="AI436:AJ436"/>
    <mergeCell ref="AK436:AL436"/>
    <mergeCell ref="AM436:AN436"/>
    <mergeCell ref="AO436:AP436"/>
    <mergeCell ref="AQ436:AR436"/>
    <mergeCell ref="AS436:AT436"/>
    <mergeCell ref="BI436:BJ436"/>
    <mergeCell ref="BK436:BL436"/>
    <mergeCell ref="BM436:BN436"/>
    <mergeCell ref="BO436:BP436"/>
    <mergeCell ref="E436:F436"/>
    <mergeCell ref="G436:H436"/>
    <mergeCell ref="I436:J436"/>
    <mergeCell ref="K436:L436"/>
    <mergeCell ref="M436:N436"/>
    <mergeCell ref="O436:P436"/>
    <mergeCell ref="Q436:R436"/>
    <mergeCell ref="S437:T437"/>
    <mergeCell ref="U437:V437"/>
    <mergeCell ref="W437:X437"/>
    <mergeCell ref="Y437:Z437"/>
    <mergeCell ref="AA437:AB437"/>
    <mergeCell ref="AC437:AD437"/>
    <mergeCell ref="AE437:AF437"/>
    <mergeCell ref="AU436:AV436"/>
    <mergeCell ref="AW436:AX436"/>
    <mergeCell ref="AY436:AZ436"/>
    <mergeCell ref="BA436:BB436"/>
    <mergeCell ref="BC436:BD436"/>
    <mergeCell ref="BE436:BF436"/>
    <mergeCell ref="BG436:BH436"/>
    <mergeCell ref="E437:F437"/>
    <mergeCell ref="G437:H437"/>
    <mergeCell ref="I437:J437"/>
    <mergeCell ref="K437:L437"/>
    <mergeCell ref="M437:N437"/>
    <mergeCell ref="O437:P437"/>
    <mergeCell ref="Q437:R437"/>
    <mergeCell ref="O440:P440"/>
    <mergeCell ref="Q440:R440"/>
    <mergeCell ref="E441:F441"/>
    <mergeCell ref="G441:H441"/>
    <mergeCell ref="I441:J441"/>
    <mergeCell ref="K441:L441"/>
    <mergeCell ref="M441:N441"/>
    <mergeCell ref="O441:P441"/>
    <mergeCell ref="Q441:R441"/>
    <mergeCell ref="S441:T441"/>
    <mergeCell ref="U441:V441"/>
    <mergeCell ref="W441:X441"/>
    <mergeCell ref="Y441:Z441"/>
    <mergeCell ref="AA441:AB441"/>
    <mergeCell ref="AC441:AD441"/>
    <mergeCell ref="AE441:AF441"/>
    <mergeCell ref="AU440:AV440"/>
    <mergeCell ref="AW440:AX440"/>
    <mergeCell ref="AY440:AZ440"/>
    <mergeCell ref="BA440:BB440"/>
    <mergeCell ref="BC440:BD440"/>
    <mergeCell ref="BE440:BF440"/>
    <mergeCell ref="BG440:BH440"/>
    <mergeCell ref="AU437:AV437"/>
    <mergeCell ref="AW437:AX437"/>
    <mergeCell ref="AG437:AH437"/>
    <mergeCell ref="AI437:AJ437"/>
    <mergeCell ref="AK437:AL437"/>
    <mergeCell ref="AM437:AN437"/>
    <mergeCell ref="AO437:AP437"/>
    <mergeCell ref="AQ437:AR437"/>
    <mergeCell ref="AS437:AT437"/>
    <mergeCell ref="BM437:BN437"/>
    <mergeCell ref="AU439:AV439"/>
    <mergeCell ref="AW439:AX439"/>
    <mergeCell ref="AG439:AH439"/>
    <mergeCell ref="AI439:AJ439"/>
    <mergeCell ref="AK439:AL439"/>
    <mergeCell ref="AM439:AN439"/>
    <mergeCell ref="AO439:AP439"/>
    <mergeCell ref="AQ439:AR439"/>
    <mergeCell ref="AS439:AT439"/>
    <mergeCell ref="BM439:BN439"/>
    <mergeCell ref="AU441:AV441"/>
    <mergeCell ref="AW441:AX441"/>
    <mergeCell ref="AG441:AH441"/>
    <mergeCell ref="AI441:AJ441"/>
    <mergeCell ref="AK441:AL441"/>
    <mergeCell ref="AM441:AN441"/>
    <mergeCell ref="AO441:AP441"/>
    <mergeCell ref="AQ441:AR441"/>
    <mergeCell ref="AS441:AT441"/>
    <mergeCell ref="S435:T435"/>
    <mergeCell ref="U435:V435"/>
    <mergeCell ref="W435:X435"/>
    <mergeCell ref="Y435:Z435"/>
    <mergeCell ref="AA435:AB435"/>
    <mergeCell ref="AC435:AD435"/>
    <mergeCell ref="AE435:AF435"/>
    <mergeCell ref="AG435:AH435"/>
    <mergeCell ref="AI435:AJ435"/>
    <mergeCell ref="AK435:AL435"/>
    <mergeCell ref="AM435:AN435"/>
    <mergeCell ref="AO435:AP435"/>
    <mergeCell ref="AQ435:AR435"/>
    <mergeCell ref="AS435:AT435"/>
    <mergeCell ref="BI435:BJ435"/>
    <mergeCell ref="BK435:BL435"/>
    <mergeCell ref="BM435:BN435"/>
    <mergeCell ref="BO435:BP435"/>
    <mergeCell ref="AU435:AV435"/>
    <mergeCell ref="AW435:AX435"/>
    <mergeCell ref="AY435:AZ435"/>
    <mergeCell ref="BA435:BB435"/>
    <mergeCell ref="BC435:BD435"/>
    <mergeCell ref="BE435:BF435"/>
    <mergeCell ref="BG435:BH435"/>
    <mergeCell ref="E435:F435"/>
    <mergeCell ref="G435:H435"/>
    <mergeCell ref="I435:J435"/>
    <mergeCell ref="K435:L435"/>
    <mergeCell ref="M435:N435"/>
    <mergeCell ref="O435:P435"/>
    <mergeCell ref="Q435:R435"/>
    <mergeCell ref="BM441:BN441"/>
    <mergeCell ref="BO441:BP441"/>
    <mergeCell ref="AY441:AZ441"/>
    <mergeCell ref="BA441:BB441"/>
    <mergeCell ref="BC441:BD441"/>
    <mergeCell ref="BE441:BF441"/>
    <mergeCell ref="BG441:BH441"/>
    <mergeCell ref="BI441:BJ441"/>
    <mergeCell ref="BK441:BL441"/>
    <mergeCell ref="S440:T440"/>
    <mergeCell ref="U440:V440"/>
    <mergeCell ref="W440:X440"/>
    <mergeCell ref="Y440:Z440"/>
    <mergeCell ref="AA440:AB440"/>
    <mergeCell ref="AC440:AD440"/>
    <mergeCell ref="AE440:AF440"/>
    <mergeCell ref="AG440:AH440"/>
    <mergeCell ref="AI440:AJ440"/>
    <mergeCell ref="AK440:AL440"/>
    <mergeCell ref="AM440:AN440"/>
    <mergeCell ref="AO440:AP440"/>
    <mergeCell ref="AQ440:AR440"/>
    <mergeCell ref="AS440:AT440"/>
    <mergeCell ref="BI440:BJ440"/>
    <mergeCell ref="BK440:BL440"/>
    <mergeCell ref="BM440:BN440"/>
    <mergeCell ref="BO440:BP440"/>
    <mergeCell ref="E440:F440"/>
    <mergeCell ref="G440:H440"/>
    <mergeCell ref="I440:J440"/>
    <mergeCell ref="K440:L440"/>
    <mergeCell ref="M440:N440"/>
    <mergeCell ref="E431:F431"/>
    <mergeCell ref="G431:H431"/>
    <mergeCell ref="I431:J431"/>
    <mergeCell ref="K431:L431"/>
    <mergeCell ref="M431:N431"/>
    <mergeCell ref="O431:P431"/>
    <mergeCell ref="Q431:R431"/>
    <mergeCell ref="S432:T432"/>
    <mergeCell ref="U432:V432"/>
    <mergeCell ref="W432:X432"/>
    <mergeCell ref="Y432:Z432"/>
    <mergeCell ref="AA432:AB432"/>
    <mergeCell ref="AC432:AD432"/>
    <mergeCell ref="AE432:AF432"/>
    <mergeCell ref="AU431:AV431"/>
    <mergeCell ref="AW431:AX431"/>
    <mergeCell ref="AY431:AZ431"/>
    <mergeCell ref="BA431:BB431"/>
    <mergeCell ref="BC431:BD431"/>
    <mergeCell ref="BE431:BF431"/>
    <mergeCell ref="BG431:BH431"/>
    <mergeCell ref="E432:F432"/>
    <mergeCell ref="G432:H432"/>
    <mergeCell ref="I432:J432"/>
    <mergeCell ref="K432:L432"/>
    <mergeCell ref="M432:N432"/>
    <mergeCell ref="O432:P432"/>
    <mergeCell ref="Q432:R432"/>
    <mergeCell ref="AU434:AV434"/>
    <mergeCell ref="AW434:AX434"/>
    <mergeCell ref="AG434:AH434"/>
    <mergeCell ref="AI434:AJ434"/>
    <mergeCell ref="AK434:AL434"/>
    <mergeCell ref="AM434:AN434"/>
    <mergeCell ref="AO434:AP434"/>
    <mergeCell ref="AQ434:AR434"/>
    <mergeCell ref="AS434:AT434"/>
    <mergeCell ref="AU432:AV432"/>
    <mergeCell ref="AW432:AX432"/>
    <mergeCell ref="AG432:AH432"/>
    <mergeCell ref="AI432:AJ432"/>
    <mergeCell ref="AK432:AL432"/>
    <mergeCell ref="AM432:AN432"/>
    <mergeCell ref="AO432:AP432"/>
    <mergeCell ref="AQ432:AR432"/>
    <mergeCell ref="AS432:AT432"/>
    <mergeCell ref="BM432:BN432"/>
    <mergeCell ref="BO432:BP432"/>
    <mergeCell ref="AY432:AZ432"/>
    <mergeCell ref="BA432:BB432"/>
    <mergeCell ref="BC432:BD432"/>
    <mergeCell ref="BE432:BF432"/>
    <mergeCell ref="BG432:BH432"/>
    <mergeCell ref="BI432:BJ432"/>
    <mergeCell ref="BK432:BL432"/>
    <mergeCell ref="S431:T431"/>
    <mergeCell ref="U431:V431"/>
    <mergeCell ref="W431:X431"/>
    <mergeCell ref="Y431:Z431"/>
    <mergeCell ref="AA431:AB431"/>
    <mergeCell ref="AC431:AD431"/>
    <mergeCell ref="AE431:AF431"/>
    <mergeCell ref="AG431:AH431"/>
    <mergeCell ref="AI431:AJ431"/>
    <mergeCell ref="AK431:AL431"/>
    <mergeCell ref="AM431:AN431"/>
    <mergeCell ref="AO431:AP431"/>
    <mergeCell ref="AQ431:AR431"/>
    <mergeCell ref="AS431:AT431"/>
    <mergeCell ref="BI431:BJ431"/>
    <mergeCell ref="BK431:BL431"/>
    <mergeCell ref="BM431:BN431"/>
    <mergeCell ref="BO431:BP431"/>
    <mergeCell ref="AQ430:AR430"/>
    <mergeCell ref="AS430:AT430"/>
    <mergeCell ref="BM430:BN430"/>
    <mergeCell ref="BO430:BP430"/>
    <mergeCell ref="AY430:AZ430"/>
    <mergeCell ref="BA430:BB430"/>
    <mergeCell ref="BC430:BD430"/>
    <mergeCell ref="BE430:BF430"/>
    <mergeCell ref="BG430:BH430"/>
    <mergeCell ref="BI430:BJ430"/>
    <mergeCell ref="BK430:BL430"/>
    <mergeCell ref="S429:T429"/>
    <mergeCell ref="U429:V429"/>
    <mergeCell ref="W429:X429"/>
    <mergeCell ref="Y429:Z429"/>
    <mergeCell ref="AA429:AB429"/>
    <mergeCell ref="AC429:AD429"/>
    <mergeCell ref="AE429:AF429"/>
    <mergeCell ref="AG429:AH429"/>
    <mergeCell ref="AI429:AJ429"/>
    <mergeCell ref="AK429:AL429"/>
    <mergeCell ref="AM429:AN429"/>
    <mergeCell ref="AO429:AP429"/>
    <mergeCell ref="AQ429:AR429"/>
    <mergeCell ref="AS429:AT429"/>
    <mergeCell ref="BI429:BJ429"/>
    <mergeCell ref="BK429:BL429"/>
    <mergeCell ref="BM429:BN429"/>
    <mergeCell ref="BO429:BP429"/>
    <mergeCell ref="E429:F429"/>
    <mergeCell ref="G429:H429"/>
    <mergeCell ref="I429:J429"/>
    <mergeCell ref="K429:L429"/>
    <mergeCell ref="M429:N429"/>
    <mergeCell ref="O429:P429"/>
    <mergeCell ref="Q429:R429"/>
    <mergeCell ref="S430:T430"/>
    <mergeCell ref="U430:V430"/>
    <mergeCell ref="W430:X430"/>
    <mergeCell ref="Y430:Z430"/>
    <mergeCell ref="AA430:AB430"/>
    <mergeCell ref="AC430:AD430"/>
    <mergeCell ref="AE430:AF430"/>
    <mergeCell ref="AU429:AV429"/>
    <mergeCell ref="AW429:AX429"/>
    <mergeCell ref="AY429:AZ429"/>
    <mergeCell ref="BA429:BB429"/>
    <mergeCell ref="BC429:BD429"/>
    <mergeCell ref="BE429:BF429"/>
    <mergeCell ref="BG429:BH429"/>
    <mergeCell ref="E430:F430"/>
    <mergeCell ref="G430:H430"/>
    <mergeCell ref="I430:J430"/>
    <mergeCell ref="K430:L430"/>
    <mergeCell ref="M430:N430"/>
    <mergeCell ref="O430:P430"/>
    <mergeCell ref="Q430:R430"/>
    <mergeCell ref="E428:F428"/>
    <mergeCell ref="G428:H428"/>
    <mergeCell ref="I428:J428"/>
    <mergeCell ref="K428:L428"/>
    <mergeCell ref="M428:N428"/>
    <mergeCell ref="O428:P428"/>
    <mergeCell ref="Q428:R428"/>
    <mergeCell ref="BM434:BN434"/>
    <mergeCell ref="BO434:BP434"/>
    <mergeCell ref="AY434:AZ434"/>
    <mergeCell ref="BA434:BB434"/>
    <mergeCell ref="BC434:BD434"/>
    <mergeCell ref="BE434:BF434"/>
    <mergeCell ref="BG434:BH434"/>
    <mergeCell ref="BI434:BJ434"/>
    <mergeCell ref="BK434:BL434"/>
    <mergeCell ref="S433:T433"/>
    <mergeCell ref="U433:V433"/>
    <mergeCell ref="W433:X433"/>
    <mergeCell ref="Y433:Z433"/>
    <mergeCell ref="AA433:AB433"/>
    <mergeCell ref="AC433:AD433"/>
    <mergeCell ref="AE433:AF433"/>
    <mergeCell ref="AG433:AH433"/>
    <mergeCell ref="AI433:AJ433"/>
    <mergeCell ref="AK433:AL433"/>
    <mergeCell ref="AM433:AN433"/>
    <mergeCell ref="AO433:AP433"/>
    <mergeCell ref="AQ433:AR433"/>
    <mergeCell ref="AS433:AT433"/>
    <mergeCell ref="BI433:BJ433"/>
    <mergeCell ref="BK433:BL433"/>
    <mergeCell ref="BM433:BN433"/>
    <mergeCell ref="BO433:BP433"/>
    <mergeCell ref="E433:F433"/>
    <mergeCell ref="G433:H433"/>
    <mergeCell ref="I433:J433"/>
    <mergeCell ref="K433:L433"/>
    <mergeCell ref="M433:N433"/>
    <mergeCell ref="O433:P433"/>
    <mergeCell ref="Q433:R433"/>
    <mergeCell ref="E434:F434"/>
    <mergeCell ref="G434:H434"/>
    <mergeCell ref="I434:J434"/>
    <mergeCell ref="K434:L434"/>
    <mergeCell ref="M434:N434"/>
    <mergeCell ref="O434:P434"/>
    <mergeCell ref="Q434:R434"/>
    <mergeCell ref="S434:T434"/>
    <mergeCell ref="U434:V434"/>
    <mergeCell ref="W434:X434"/>
    <mergeCell ref="Y434:Z434"/>
    <mergeCell ref="AA434:AB434"/>
    <mergeCell ref="AC434:AD434"/>
    <mergeCell ref="AE434:AF434"/>
    <mergeCell ref="AU433:AV433"/>
    <mergeCell ref="AW433:AX433"/>
    <mergeCell ref="AY433:AZ433"/>
    <mergeCell ref="BA433:BB433"/>
    <mergeCell ref="BC433:BD433"/>
    <mergeCell ref="BE433:BF433"/>
    <mergeCell ref="BG433:BH433"/>
    <mergeCell ref="AU430:AV430"/>
    <mergeCell ref="AW430:AX430"/>
    <mergeCell ref="BM425:BN425"/>
    <mergeCell ref="BO425:BP425"/>
    <mergeCell ref="AY425:AZ425"/>
    <mergeCell ref="BA425:BB425"/>
    <mergeCell ref="BC425:BD425"/>
    <mergeCell ref="BE425:BF425"/>
    <mergeCell ref="BG425:BH425"/>
    <mergeCell ref="BI425:BJ425"/>
    <mergeCell ref="BK425:BL425"/>
    <mergeCell ref="S424:T424"/>
    <mergeCell ref="U424:V424"/>
    <mergeCell ref="W424:X424"/>
    <mergeCell ref="Y424:Z424"/>
    <mergeCell ref="AA424:AB424"/>
    <mergeCell ref="AC424:AD424"/>
    <mergeCell ref="AE424:AF424"/>
    <mergeCell ref="AG424:AH424"/>
    <mergeCell ref="AI424:AJ424"/>
    <mergeCell ref="AK424:AL424"/>
    <mergeCell ref="AM424:AN424"/>
    <mergeCell ref="AO424:AP424"/>
    <mergeCell ref="AQ424:AR424"/>
    <mergeCell ref="AS424:AT424"/>
    <mergeCell ref="BI424:BJ424"/>
    <mergeCell ref="BK424:BL424"/>
    <mergeCell ref="BM424:BN424"/>
    <mergeCell ref="BO424:BP424"/>
    <mergeCell ref="E424:F424"/>
    <mergeCell ref="G424:H424"/>
    <mergeCell ref="I424:J424"/>
    <mergeCell ref="K424:L424"/>
    <mergeCell ref="M424:N424"/>
    <mergeCell ref="O424:P424"/>
    <mergeCell ref="Q424:R424"/>
    <mergeCell ref="S425:T425"/>
    <mergeCell ref="U425:V425"/>
    <mergeCell ref="W425:X425"/>
    <mergeCell ref="Y425:Z425"/>
    <mergeCell ref="AA425:AB425"/>
    <mergeCell ref="AC425:AD425"/>
    <mergeCell ref="AE425:AF425"/>
    <mergeCell ref="AU424:AV424"/>
    <mergeCell ref="AW424:AX424"/>
    <mergeCell ref="AY424:AZ424"/>
    <mergeCell ref="BA424:BB424"/>
    <mergeCell ref="BC424:BD424"/>
    <mergeCell ref="BE424:BF424"/>
    <mergeCell ref="BG424:BH424"/>
    <mergeCell ref="E425:F425"/>
    <mergeCell ref="G425:H425"/>
    <mergeCell ref="I425:J425"/>
    <mergeCell ref="K425:L425"/>
    <mergeCell ref="M425:N425"/>
    <mergeCell ref="O425:P425"/>
    <mergeCell ref="Q425:R425"/>
    <mergeCell ref="BM423:BN423"/>
    <mergeCell ref="BO423:BP423"/>
    <mergeCell ref="AY423:AZ423"/>
    <mergeCell ref="BA423:BB423"/>
    <mergeCell ref="BC423:BD423"/>
    <mergeCell ref="BE423:BF423"/>
    <mergeCell ref="BG423:BH423"/>
    <mergeCell ref="BI423:BJ423"/>
    <mergeCell ref="BK423:BL423"/>
    <mergeCell ref="S422:T422"/>
    <mergeCell ref="U422:V422"/>
    <mergeCell ref="W422:X422"/>
    <mergeCell ref="Y422:Z422"/>
    <mergeCell ref="AA422:AB422"/>
    <mergeCell ref="AC422:AD422"/>
    <mergeCell ref="AE422:AF422"/>
    <mergeCell ref="AG422:AH422"/>
    <mergeCell ref="AI422:AJ422"/>
    <mergeCell ref="AK422:AL422"/>
    <mergeCell ref="AM422:AN422"/>
    <mergeCell ref="AO422:AP422"/>
    <mergeCell ref="AQ422:AR422"/>
    <mergeCell ref="AS422:AT422"/>
    <mergeCell ref="BI422:BJ422"/>
    <mergeCell ref="BK422:BL422"/>
    <mergeCell ref="BM422:BN422"/>
    <mergeCell ref="BO422:BP422"/>
    <mergeCell ref="E422:F422"/>
    <mergeCell ref="G422:H422"/>
    <mergeCell ref="I422:J422"/>
    <mergeCell ref="K422:L422"/>
    <mergeCell ref="M422:N422"/>
    <mergeCell ref="O422:P422"/>
    <mergeCell ref="Q422:R422"/>
    <mergeCell ref="S423:T423"/>
    <mergeCell ref="U423:V423"/>
    <mergeCell ref="W423:X423"/>
    <mergeCell ref="Y423:Z423"/>
    <mergeCell ref="AA423:AB423"/>
    <mergeCell ref="AC423:AD423"/>
    <mergeCell ref="AE423:AF423"/>
    <mergeCell ref="AU422:AV422"/>
    <mergeCell ref="AW422:AX422"/>
    <mergeCell ref="AY422:AZ422"/>
    <mergeCell ref="BA422:BB422"/>
    <mergeCell ref="BC422:BD422"/>
    <mergeCell ref="BE422:BF422"/>
    <mergeCell ref="BG422:BH422"/>
    <mergeCell ref="E423:F423"/>
    <mergeCell ref="G423:H423"/>
    <mergeCell ref="I423:J423"/>
    <mergeCell ref="K423:L423"/>
    <mergeCell ref="M423:N423"/>
    <mergeCell ref="O423:P423"/>
    <mergeCell ref="Q423:R423"/>
    <mergeCell ref="E426:F426"/>
    <mergeCell ref="G426:H426"/>
    <mergeCell ref="I426:J426"/>
    <mergeCell ref="K426:L426"/>
    <mergeCell ref="M426:N426"/>
    <mergeCell ref="O426:P426"/>
    <mergeCell ref="Q426:R426"/>
    <mergeCell ref="E427:F427"/>
    <mergeCell ref="G427:H427"/>
    <mergeCell ref="I427:J427"/>
    <mergeCell ref="K427:L427"/>
    <mergeCell ref="M427:N427"/>
    <mergeCell ref="O427:P427"/>
    <mergeCell ref="Q427:R427"/>
    <mergeCell ref="S427:T427"/>
    <mergeCell ref="U427:V427"/>
    <mergeCell ref="W427:X427"/>
    <mergeCell ref="Y427:Z427"/>
    <mergeCell ref="AA427:AB427"/>
    <mergeCell ref="AC427:AD427"/>
    <mergeCell ref="AE427:AF427"/>
    <mergeCell ref="AU426:AV426"/>
    <mergeCell ref="AW426:AX426"/>
    <mergeCell ref="AY426:AZ426"/>
    <mergeCell ref="BA426:BB426"/>
    <mergeCell ref="BC426:BD426"/>
    <mergeCell ref="BE426:BF426"/>
    <mergeCell ref="BG426:BH426"/>
    <mergeCell ref="AU423:AV423"/>
    <mergeCell ref="AW423:AX423"/>
    <mergeCell ref="AG423:AH423"/>
    <mergeCell ref="AI423:AJ423"/>
    <mergeCell ref="AK423:AL423"/>
    <mergeCell ref="AM423:AN423"/>
    <mergeCell ref="AO423:AP423"/>
    <mergeCell ref="AQ423:AR423"/>
    <mergeCell ref="AS423:AT423"/>
    <mergeCell ref="AU425:AV425"/>
    <mergeCell ref="AW425:AX425"/>
    <mergeCell ref="AG425:AH425"/>
    <mergeCell ref="AI425:AJ425"/>
    <mergeCell ref="AK425:AL425"/>
    <mergeCell ref="AM425:AN425"/>
    <mergeCell ref="AO425:AP425"/>
    <mergeCell ref="AQ425:AR425"/>
    <mergeCell ref="AS425:AT425"/>
    <mergeCell ref="AU427:AV427"/>
    <mergeCell ref="AW427:AX427"/>
    <mergeCell ref="AG427:AH427"/>
    <mergeCell ref="AI427:AJ427"/>
    <mergeCell ref="AK427:AL427"/>
    <mergeCell ref="AM427:AN427"/>
    <mergeCell ref="AO427:AP427"/>
    <mergeCell ref="AQ427:AR427"/>
    <mergeCell ref="AS427:AT427"/>
    <mergeCell ref="AU499:AV499"/>
    <mergeCell ref="AW499:AX499"/>
    <mergeCell ref="AY499:AZ499"/>
    <mergeCell ref="BA499:BB499"/>
    <mergeCell ref="BC499:BD499"/>
    <mergeCell ref="BE499:BF499"/>
    <mergeCell ref="BG499:BH499"/>
    <mergeCell ref="BM427:BN427"/>
    <mergeCell ref="BO427:BP427"/>
    <mergeCell ref="AY427:AZ427"/>
    <mergeCell ref="BA427:BB427"/>
    <mergeCell ref="BC427:BD427"/>
    <mergeCell ref="BE427:BF427"/>
    <mergeCell ref="BG427:BH427"/>
    <mergeCell ref="BI427:BJ427"/>
    <mergeCell ref="BK427:BL427"/>
    <mergeCell ref="S426:T426"/>
    <mergeCell ref="U426:V426"/>
    <mergeCell ref="W426:X426"/>
    <mergeCell ref="Y426:Z426"/>
    <mergeCell ref="AA426:AB426"/>
    <mergeCell ref="AC426:AD426"/>
    <mergeCell ref="AE426:AF426"/>
    <mergeCell ref="AG426:AH426"/>
    <mergeCell ref="AI426:AJ426"/>
    <mergeCell ref="AK426:AL426"/>
    <mergeCell ref="AM426:AN426"/>
    <mergeCell ref="AO426:AP426"/>
    <mergeCell ref="AQ426:AR426"/>
    <mergeCell ref="AS426:AT426"/>
    <mergeCell ref="BI426:BJ426"/>
    <mergeCell ref="BK426:BL426"/>
    <mergeCell ref="BM426:BN426"/>
    <mergeCell ref="BO426:BP426"/>
    <mergeCell ref="S428:T428"/>
    <mergeCell ref="U428:V428"/>
    <mergeCell ref="W428:X428"/>
    <mergeCell ref="Y428:Z428"/>
    <mergeCell ref="AA428:AB428"/>
    <mergeCell ref="AC428:AD428"/>
    <mergeCell ref="AE428:AF428"/>
    <mergeCell ref="AG428:AH428"/>
    <mergeCell ref="AI428:AJ428"/>
    <mergeCell ref="AK428:AL428"/>
    <mergeCell ref="AM428:AN428"/>
    <mergeCell ref="AO428:AP428"/>
    <mergeCell ref="AQ428:AR428"/>
    <mergeCell ref="AS428:AT428"/>
    <mergeCell ref="BI428:BJ428"/>
    <mergeCell ref="BK428:BL428"/>
    <mergeCell ref="BM428:BN428"/>
    <mergeCell ref="BO428:BP428"/>
    <mergeCell ref="AU428:AV428"/>
    <mergeCell ref="AW428:AX428"/>
    <mergeCell ref="AY428:AZ428"/>
    <mergeCell ref="BA428:BB428"/>
    <mergeCell ref="BC428:BD428"/>
    <mergeCell ref="BE428:BF428"/>
    <mergeCell ref="BG428:BH428"/>
    <mergeCell ref="AG430:AH430"/>
    <mergeCell ref="AI430:AJ430"/>
    <mergeCell ref="AK430:AL430"/>
    <mergeCell ref="AM430:AN430"/>
    <mergeCell ref="AO430:AP430"/>
    <mergeCell ref="E106:F106"/>
    <mergeCell ref="G106:H106"/>
    <mergeCell ref="I106:J106"/>
    <mergeCell ref="K106:L106"/>
    <mergeCell ref="M106:N106"/>
    <mergeCell ref="O106:P106"/>
    <mergeCell ref="Q106:R106"/>
    <mergeCell ref="AU500:AV500"/>
    <mergeCell ref="AW500:AX500"/>
    <mergeCell ref="AG500:AH500"/>
    <mergeCell ref="AI500:AJ500"/>
    <mergeCell ref="AK500:AL500"/>
    <mergeCell ref="AM500:AN500"/>
    <mergeCell ref="AO500:AP500"/>
    <mergeCell ref="AQ500:AR500"/>
    <mergeCell ref="AS500:AT500"/>
    <mergeCell ref="BM500:BN500"/>
    <mergeCell ref="BO500:BP500"/>
    <mergeCell ref="AY500:AZ500"/>
    <mergeCell ref="BA500:BB500"/>
    <mergeCell ref="BC500:BD500"/>
    <mergeCell ref="BE500:BF500"/>
    <mergeCell ref="BG500:BH500"/>
    <mergeCell ref="BI500:BJ500"/>
    <mergeCell ref="BK500:BL500"/>
    <mergeCell ref="S499:T499"/>
    <mergeCell ref="U499:V499"/>
    <mergeCell ref="W499:X499"/>
    <mergeCell ref="Y499:Z499"/>
    <mergeCell ref="AA499:AB499"/>
    <mergeCell ref="AC499:AD499"/>
    <mergeCell ref="AE499:AF499"/>
    <mergeCell ref="AG499:AH499"/>
    <mergeCell ref="AI499:AJ499"/>
    <mergeCell ref="AK499:AL499"/>
    <mergeCell ref="AM499:AN499"/>
    <mergeCell ref="AO499:AP499"/>
    <mergeCell ref="AQ499:AR499"/>
    <mergeCell ref="AS499:AT499"/>
    <mergeCell ref="BI499:BJ499"/>
    <mergeCell ref="BK499:BL499"/>
    <mergeCell ref="BM499:BN499"/>
    <mergeCell ref="BO499:BP499"/>
    <mergeCell ref="E499:F499"/>
    <mergeCell ref="G499:H499"/>
    <mergeCell ref="I499:J499"/>
    <mergeCell ref="K499:L499"/>
    <mergeCell ref="M499:N499"/>
    <mergeCell ref="O499:P499"/>
    <mergeCell ref="Q499:R499"/>
    <mergeCell ref="E500:F500"/>
    <mergeCell ref="G500:H500"/>
    <mergeCell ref="I500:J500"/>
    <mergeCell ref="K500:L500"/>
    <mergeCell ref="M500:N500"/>
    <mergeCell ref="O500:P500"/>
    <mergeCell ref="Q500:R500"/>
    <mergeCell ref="S500:T500"/>
    <mergeCell ref="U500:V500"/>
    <mergeCell ref="W500:X500"/>
    <mergeCell ref="Y500:Z500"/>
    <mergeCell ref="AA500:AB500"/>
    <mergeCell ref="AC500:AD500"/>
    <mergeCell ref="AE500:AF500"/>
    <mergeCell ref="AU105:AV105"/>
    <mergeCell ref="AW105:AX105"/>
    <mergeCell ref="AG105:AH105"/>
    <mergeCell ref="AI105:AJ105"/>
    <mergeCell ref="AK105:AL105"/>
    <mergeCell ref="AM105:AN105"/>
    <mergeCell ref="AO105:AP105"/>
    <mergeCell ref="AQ105:AR105"/>
    <mergeCell ref="AS105:AT105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I106:AJ106"/>
    <mergeCell ref="AK106:AL106"/>
    <mergeCell ref="AM106:AN106"/>
    <mergeCell ref="AO106:AP106"/>
    <mergeCell ref="AQ106:AR106"/>
    <mergeCell ref="AS106:AT106"/>
    <mergeCell ref="BI106:BJ106"/>
    <mergeCell ref="BK106:BL106"/>
    <mergeCell ref="BM106:BN106"/>
    <mergeCell ref="BO106:BP106"/>
    <mergeCell ref="AU106:AV106"/>
    <mergeCell ref="AW106:AX106"/>
    <mergeCell ref="AY106:AZ106"/>
    <mergeCell ref="BA106:BB106"/>
    <mergeCell ref="BC106:BD106"/>
    <mergeCell ref="BE106:BF106"/>
    <mergeCell ref="BG106:BH106"/>
    <mergeCell ref="BM103:BN103"/>
    <mergeCell ref="BO103:BP103"/>
    <mergeCell ref="AY103:AZ103"/>
    <mergeCell ref="BA103:BB103"/>
    <mergeCell ref="BC103:BD103"/>
    <mergeCell ref="BE103:BF103"/>
    <mergeCell ref="BG103:BH103"/>
    <mergeCell ref="BI103:BJ103"/>
    <mergeCell ref="BK103:BL103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I102:AJ102"/>
    <mergeCell ref="AK102:AL102"/>
    <mergeCell ref="AM102:AN102"/>
    <mergeCell ref="AO102:AP102"/>
    <mergeCell ref="AQ102:AR102"/>
    <mergeCell ref="AS102:AT102"/>
    <mergeCell ref="BI102:BJ102"/>
    <mergeCell ref="BK102:BL102"/>
    <mergeCell ref="BM102:BN102"/>
    <mergeCell ref="BO102:BP102"/>
    <mergeCell ref="E102:F102"/>
    <mergeCell ref="G102:H102"/>
    <mergeCell ref="I102:J102"/>
    <mergeCell ref="K102:L102"/>
    <mergeCell ref="M102:N102"/>
    <mergeCell ref="O102:P102"/>
    <mergeCell ref="Q102:R102"/>
    <mergeCell ref="S103:T103"/>
    <mergeCell ref="U103:V103"/>
    <mergeCell ref="W103:X103"/>
    <mergeCell ref="Y103:Z103"/>
    <mergeCell ref="AA103:AB103"/>
    <mergeCell ref="AC103:AD103"/>
    <mergeCell ref="AE103:AF103"/>
    <mergeCell ref="AU102:AV102"/>
    <mergeCell ref="AW102:AX102"/>
    <mergeCell ref="AY102:AZ102"/>
    <mergeCell ref="BA102:BB102"/>
    <mergeCell ref="BC102:BD102"/>
    <mergeCell ref="BE102:BF102"/>
    <mergeCell ref="BG102:BH102"/>
    <mergeCell ref="E103:F103"/>
    <mergeCell ref="G103:H103"/>
    <mergeCell ref="I103:J103"/>
    <mergeCell ref="K103:L103"/>
    <mergeCell ref="M103:N103"/>
    <mergeCell ref="O103:P103"/>
    <mergeCell ref="Q103:R103"/>
    <mergeCell ref="E100:F100"/>
    <mergeCell ref="G100:H100"/>
    <mergeCell ref="I100:J100"/>
    <mergeCell ref="K100:L100"/>
    <mergeCell ref="M100:N100"/>
    <mergeCell ref="O100:P100"/>
    <mergeCell ref="Q100:R100"/>
    <mergeCell ref="S101:T101"/>
    <mergeCell ref="U101:V101"/>
    <mergeCell ref="W101:X101"/>
    <mergeCell ref="Y101:Z101"/>
    <mergeCell ref="AA101:AB101"/>
    <mergeCell ref="AC101:AD101"/>
    <mergeCell ref="AE101:AF101"/>
    <mergeCell ref="AU100:AV100"/>
    <mergeCell ref="AW100:AX100"/>
    <mergeCell ref="AY100:AZ100"/>
    <mergeCell ref="BA100:BB100"/>
    <mergeCell ref="BC100:BD100"/>
    <mergeCell ref="BE100:BF100"/>
    <mergeCell ref="BG100:BH100"/>
    <mergeCell ref="E101:F101"/>
    <mergeCell ref="G101:H101"/>
    <mergeCell ref="I101:J101"/>
    <mergeCell ref="K101:L101"/>
    <mergeCell ref="M101:N101"/>
    <mergeCell ref="O101:P101"/>
    <mergeCell ref="Q101:R101"/>
    <mergeCell ref="AU103:AV103"/>
    <mergeCell ref="AW103:AX103"/>
    <mergeCell ref="AG103:AH103"/>
    <mergeCell ref="AI103:AJ103"/>
    <mergeCell ref="AK103:AL103"/>
    <mergeCell ref="AM103:AN103"/>
    <mergeCell ref="AO103:AP103"/>
    <mergeCell ref="AQ103:AR103"/>
    <mergeCell ref="AS103:AT103"/>
    <mergeCell ref="AG101:AH101"/>
    <mergeCell ref="AI101:AJ101"/>
    <mergeCell ref="AK101:AL101"/>
    <mergeCell ref="AM101:AN101"/>
    <mergeCell ref="AO101:AP101"/>
    <mergeCell ref="AQ101:AR101"/>
    <mergeCell ref="AS101:AT101"/>
    <mergeCell ref="BM101:BN101"/>
    <mergeCell ref="BO101:BP101"/>
    <mergeCell ref="AY101:AZ101"/>
    <mergeCell ref="BA101:BB101"/>
    <mergeCell ref="BC101:BD101"/>
    <mergeCell ref="BE101:BF101"/>
    <mergeCell ref="BG101:BH101"/>
    <mergeCell ref="BI101:BJ101"/>
    <mergeCell ref="BK101:BL101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I100:AJ100"/>
    <mergeCell ref="AK100:AL100"/>
    <mergeCell ref="AM100:AN100"/>
    <mergeCell ref="AO100:AP100"/>
    <mergeCell ref="AQ100:AR100"/>
    <mergeCell ref="AS100:AT100"/>
    <mergeCell ref="BI100:BJ100"/>
    <mergeCell ref="BK100:BL100"/>
    <mergeCell ref="BM100:BN100"/>
    <mergeCell ref="BO100:BP100"/>
    <mergeCell ref="E99:F99"/>
    <mergeCell ref="G99:H99"/>
    <mergeCell ref="I99:J99"/>
    <mergeCell ref="K99:L99"/>
    <mergeCell ref="M99:N99"/>
    <mergeCell ref="O99:P99"/>
    <mergeCell ref="Q99:R99"/>
    <mergeCell ref="BM105:BN105"/>
    <mergeCell ref="BO105:BP105"/>
    <mergeCell ref="AY105:AZ105"/>
    <mergeCell ref="BA105:BB105"/>
    <mergeCell ref="BC105:BD105"/>
    <mergeCell ref="BE105:BF105"/>
    <mergeCell ref="BG105:BH105"/>
    <mergeCell ref="BI105:BJ105"/>
    <mergeCell ref="BK105:BL105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I104:AJ104"/>
    <mergeCell ref="AK104:AL104"/>
    <mergeCell ref="AM104:AN104"/>
    <mergeCell ref="AO104:AP104"/>
    <mergeCell ref="AQ104:AR104"/>
    <mergeCell ref="AS104:AT104"/>
    <mergeCell ref="BI104:BJ104"/>
    <mergeCell ref="BK104:BL104"/>
    <mergeCell ref="BM104:BN104"/>
    <mergeCell ref="BO104:BP104"/>
    <mergeCell ref="E104:F104"/>
    <mergeCell ref="G104:H104"/>
    <mergeCell ref="I104:J104"/>
    <mergeCell ref="K104:L104"/>
    <mergeCell ref="M104:N104"/>
    <mergeCell ref="O104:P104"/>
    <mergeCell ref="Q104:R104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U104:AV104"/>
    <mergeCell ref="AW104:AX104"/>
    <mergeCell ref="AY104:AZ104"/>
    <mergeCell ref="BA104:BB104"/>
    <mergeCell ref="BC104:BD104"/>
    <mergeCell ref="BE104:BF104"/>
    <mergeCell ref="BG104:BH104"/>
    <mergeCell ref="AU101:AV101"/>
    <mergeCell ref="AW101:AX101"/>
    <mergeCell ref="AU98:AV98"/>
    <mergeCell ref="AW98:AX98"/>
    <mergeCell ref="AG98:AH98"/>
    <mergeCell ref="AI98:AJ98"/>
    <mergeCell ref="AK98:AL98"/>
    <mergeCell ref="AM98:AN98"/>
    <mergeCell ref="AO98:AP98"/>
    <mergeCell ref="AQ98:AR98"/>
    <mergeCell ref="AS98:AT98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I99:AJ99"/>
    <mergeCell ref="AK99:AL99"/>
    <mergeCell ref="AM99:AN99"/>
    <mergeCell ref="AO99:AP99"/>
    <mergeCell ref="AQ99:AR99"/>
    <mergeCell ref="AS99:AT99"/>
    <mergeCell ref="BI99:BJ99"/>
    <mergeCell ref="BK99:BL99"/>
    <mergeCell ref="BM99:BN99"/>
    <mergeCell ref="BO99:BP99"/>
    <mergeCell ref="AU99:AV99"/>
    <mergeCell ref="AW99:AX99"/>
    <mergeCell ref="AY99:AZ99"/>
    <mergeCell ref="BA99:BB99"/>
    <mergeCell ref="BC99:BD99"/>
    <mergeCell ref="BE99:BF99"/>
    <mergeCell ref="BG99:BH99"/>
    <mergeCell ref="BM96:BN96"/>
    <mergeCell ref="BO96:BP96"/>
    <mergeCell ref="AY96:AZ96"/>
    <mergeCell ref="BA96:BB96"/>
    <mergeCell ref="BC96:BD96"/>
    <mergeCell ref="BE96:BF96"/>
    <mergeCell ref="BG96:BH96"/>
    <mergeCell ref="BI96:BJ96"/>
    <mergeCell ref="BK96:BL96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AK95:AL95"/>
    <mergeCell ref="AM95:AN95"/>
    <mergeCell ref="AO95:AP95"/>
    <mergeCell ref="AQ95:AR95"/>
    <mergeCell ref="AS95:AT95"/>
    <mergeCell ref="BI95:BJ95"/>
    <mergeCell ref="BK95:BL95"/>
    <mergeCell ref="BM95:BN95"/>
    <mergeCell ref="BO95:BP95"/>
    <mergeCell ref="E95:F95"/>
    <mergeCell ref="G95:H95"/>
    <mergeCell ref="I95:J95"/>
    <mergeCell ref="K95:L95"/>
    <mergeCell ref="M95:N95"/>
    <mergeCell ref="O95:P95"/>
    <mergeCell ref="Q95:R95"/>
    <mergeCell ref="S96:T96"/>
    <mergeCell ref="U96:V96"/>
    <mergeCell ref="W96:X96"/>
    <mergeCell ref="Y96:Z96"/>
    <mergeCell ref="AA96:AB96"/>
    <mergeCell ref="AC96:AD96"/>
    <mergeCell ref="AE96:AF96"/>
    <mergeCell ref="AU95:AV95"/>
    <mergeCell ref="AW95:AX95"/>
    <mergeCell ref="AY95:AZ95"/>
    <mergeCell ref="BA95:BB95"/>
    <mergeCell ref="BC95:BD95"/>
    <mergeCell ref="BE95:BF95"/>
    <mergeCell ref="BG95:BH95"/>
    <mergeCell ref="E96:F96"/>
    <mergeCell ref="G96:H96"/>
    <mergeCell ref="I96:J96"/>
    <mergeCell ref="K96:L96"/>
    <mergeCell ref="M96:N96"/>
    <mergeCell ref="O96:P96"/>
    <mergeCell ref="Q96:R96"/>
    <mergeCell ref="E93:F93"/>
    <mergeCell ref="G93:H93"/>
    <mergeCell ref="I93:J93"/>
    <mergeCell ref="K93:L93"/>
    <mergeCell ref="M93:N93"/>
    <mergeCell ref="O93:P93"/>
    <mergeCell ref="Q93:R93"/>
    <mergeCell ref="S94:T94"/>
    <mergeCell ref="U94:V94"/>
    <mergeCell ref="W94:X94"/>
    <mergeCell ref="Y94:Z94"/>
    <mergeCell ref="AA94:AB94"/>
    <mergeCell ref="AC94:AD94"/>
    <mergeCell ref="AE94:AF94"/>
    <mergeCell ref="AU93:AV93"/>
    <mergeCell ref="AW93:AX93"/>
    <mergeCell ref="AY93:AZ93"/>
    <mergeCell ref="BA93:BB93"/>
    <mergeCell ref="BC93:BD93"/>
    <mergeCell ref="BE93:BF93"/>
    <mergeCell ref="BG93:BH93"/>
    <mergeCell ref="E94:F94"/>
    <mergeCell ref="G94:H94"/>
    <mergeCell ref="I94:J94"/>
    <mergeCell ref="K94:L94"/>
    <mergeCell ref="M94:N94"/>
    <mergeCell ref="O94:P94"/>
    <mergeCell ref="Q94:R94"/>
    <mergeCell ref="AU96:AV96"/>
    <mergeCell ref="AW96:AX96"/>
    <mergeCell ref="AG96:AH96"/>
    <mergeCell ref="AI96:AJ96"/>
    <mergeCell ref="AK96:AL96"/>
    <mergeCell ref="AM96:AN96"/>
    <mergeCell ref="AO96:AP96"/>
    <mergeCell ref="AQ96:AR96"/>
    <mergeCell ref="AS96:AT96"/>
    <mergeCell ref="AU94:AV94"/>
    <mergeCell ref="AW94:AX94"/>
    <mergeCell ref="AG94:AH94"/>
    <mergeCell ref="AI94:AJ94"/>
    <mergeCell ref="AK94:AL94"/>
    <mergeCell ref="AM94:AN94"/>
    <mergeCell ref="AO94:AP94"/>
    <mergeCell ref="AQ94:AR94"/>
    <mergeCell ref="AS94:AT94"/>
    <mergeCell ref="BM94:BN94"/>
    <mergeCell ref="BO94:BP94"/>
    <mergeCell ref="AY94:AZ94"/>
    <mergeCell ref="BA94:BB94"/>
    <mergeCell ref="BC94:BD94"/>
    <mergeCell ref="BE94:BF94"/>
    <mergeCell ref="BG94:BH94"/>
    <mergeCell ref="BI94:BJ94"/>
    <mergeCell ref="BK94:BL94"/>
    <mergeCell ref="S93:T93"/>
    <mergeCell ref="U93:V93"/>
    <mergeCell ref="W93:X93"/>
    <mergeCell ref="Y93:Z93"/>
    <mergeCell ref="AA93:AB93"/>
    <mergeCell ref="AC93:AD93"/>
    <mergeCell ref="AE93:AF93"/>
    <mergeCell ref="AG93:AH93"/>
    <mergeCell ref="AI93:AJ93"/>
    <mergeCell ref="AK93:AL93"/>
    <mergeCell ref="AM93:AN93"/>
    <mergeCell ref="AO93:AP93"/>
    <mergeCell ref="AQ93:AR93"/>
    <mergeCell ref="AS93:AT93"/>
    <mergeCell ref="BI93:BJ93"/>
    <mergeCell ref="BK93:BL93"/>
    <mergeCell ref="BM93:BN93"/>
    <mergeCell ref="BO93:BP93"/>
    <mergeCell ref="BE92:BF92"/>
    <mergeCell ref="BG92:BH92"/>
    <mergeCell ref="E92:F92"/>
    <mergeCell ref="G92:H92"/>
    <mergeCell ref="I92:J92"/>
    <mergeCell ref="K92:L92"/>
    <mergeCell ref="M92:N92"/>
    <mergeCell ref="O92:P92"/>
    <mergeCell ref="Q92:R92"/>
    <mergeCell ref="BM98:BN98"/>
    <mergeCell ref="BO98:BP98"/>
    <mergeCell ref="AY98:AZ98"/>
    <mergeCell ref="BA98:BB98"/>
    <mergeCell ref="BC98:BD98"/>
    <mergeCell ref="BE98:BF98"/>
    <mergeCell ref="BG98:BH98"/>
    <mergeCell ref="BI98:BJ98"/>
    <mergeCell ref="BK98:BL98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I97:AJ97"/>
    <mergeCell ref="AK97:AL97"/>
    <mergeCell ref="AM97:AN97"/>
    <mergeCell ref="AO97:AP97"/>
    <mergeCell ref="AQ97:AR97"/>
    <mergeCell ref="AS97:AT97"/>
    <mergeCell ref="BI97:BJ97"/>
    <mergeCell ref="BK97:BL97"/>
    <mergeCell ref="BM97:BN97"/>
    <mergeCell ref="BO97:BP97"/>
    <mergeCell ref="E97:F97"/>
    <mergeCell ref="G97:H97"/>
    <mergeCell ref="I97:J97"/>
    <mergeCell ref="K97:L97"/>
    <mergeCell ref="M97:N97"/>
    <mergeCell ref="O97:P97"/>
    <mergeCell ref="Q97:R97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U97:AV97"/>
    <mergeCell ref="AW97:AX97"/>
    <mergeCell ref="AY97:AZ97"/>
    <mergeCell ref="BA97:BB97"/>
    <mergeCell ref="BC97:BD97"/>
    <mergeCell ref="BE97:BF97"/>
    <mergeCell ref="BG97:BH97"/>
    <mergeCell ref="BM89:BN89"/>
    <mergeCell ref="BO89:BP89"/>
    <mergeCell ref="AY89:AZ89"/>
    <mergeCell ref="BA89:BB89"/>
    <mergeCell ref="BC89:BD89"/>
    <mergeCell ref="BE89:BF89"/>
    <mergeCell ref="BG89:BH89"/>
    <mergeCell ref="BI89:BJ89"/>
    <mergeCell ref="BK89:BL89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I88:AJ88"/>
    <mergeCell ref="AK88:AL88"/>
    <mergeCell ref="AM88:AN88"/>
    <mergeCell ref="AO88:AP88"/>
    <mergeCell ref="AQ88:AR88"/>
    <mergeCell ref="AS88:AT88"/>
    <mergeCell ref="BI88:BJ88"/>
    <mergeCell ref="BK88:BL88"/>
    <mergeCell ref="BM88:BN88"/>
    <mergeCell ref="BO88:BP88"/>
    <mergeCell ref="E88:F88"/>
    <mergeCell ref="G88:H88"/>
    <mergeCell ref="I88:J88"/>
    <mergeCell ref="K88:L88"/>
    <mergeCell ref="M88:N88"/>
    <mergeCell ref="O88:P88"/>
    <mergeCell ref="Q88:R88"/>
    <mergeCell ref="S89:T89"/>
    <mergeCell ref="U89:V89"/>
    <mergeCell ref="W89:X89"/>
    <mergeCell ref="Y89:Z89"/>
    <mergeCell ref="AA89:AB89"/>
    <mergeCell ref="AC89:AD89"/>
    <mergeCell ref="AE89:AF89"/>
    <mergeCell ref="AU88:AV88"/>
    <mergeCell ref="AW88:AX88"/>
    <mergeCell ref="AY88:AZ88"/>
    <mergeCell ref="BA88:BB88"/>
    <mergeCell ref="BC88:BD88"/>
    <mergeCell ref="BE88:BF88"/>
    <mergeCell ref="BG88:BH88"/>
    <mergeCell ref="E89:F89"/>
    <mergeCell ref="G89:H89"/>
    <mergeCell ref="I89:J89"/>
    <mergeCell ref="K89:L89"/>
    <mergeCell ref="M89:N89"/>
    <mergeCell ref="O89:P89"/>
    <mergeCell ref="Q89:R89"/>
    <mergeCell ref="E86:F86"/>
    <mergeCell ref="G86:H86"/>
    <mergeCell ref="I86:J86"/>
    <mergeCell ref="K86:L86"/>
    <mergeCell ref="M86:N86"/>
    <mergeCell ref="O86:P86"/>
    <mergeCell ref="Q86:R86"/>
    <mergeCell ref="S87:T87"/>
    <mergeCell ref="U87:V87"/>
    <mergeCell ref="W87:X87"/>
    <mergeCell ref="Y87:Z87"/>
    <mergeCell ref="AA87:AB87"/>
    <mergeCell ref="AC87:AD87"/>
    <mergeCell ref="AE87:AF87"/>
    <mergeCell ref="AU86:AV86"/>
    <mergeCell ref="AW86:AX86"/>
    <mergeCell ref="AY86:AZ86"/>
    <mergeCell ref="BA86:BB86"/>
    <mergeCell ref="BC86:BD86"/>
    <mergeCell ref="BE86:BF86"/>
    <mergeCell ref="BG86:BH86"/>
    <mergeCell ref="E87:F87"/>
    <mergeCell ref="G87:H87"/>
    <mergeCell ref="I87:J87"/>
    <mergeCell ref="K87:L87"/>
    <mergeCell ref="M87:N87"/>
    <mergeCell ref="O87:P87"/>
    <mergeCell ref="Q87:R87"/>
    <mergeCell ref="AU89:AV89"/>
    <mergeCell ref="AW89:AX89"/>
    <mergeCell ref="AG89:AH89"/>
    <mergeCell ref="AI89:AJ89"/>
    <mergeCell ref="AK89:AL89"/>
    <mergeCell ref="AM89:AN89"/>
    <mergeCell ref="AO89:AP89"/>
    <mergeCell ref="AQ89:AR89"/>
    <mergeCell ref="AS89:AT89"/>
    <mergeCell ref="AU87:AV87"/>
    <mergeCell ref="AW87:AX87"/>
    <mergeCell ref="AG87:AH87"/>
    <mergeCell ref="AI87:AJ87"/>
    <mergeCell ref="AK87:AL87"/>
    <mergeCell ref="AM87:AN87"/>
    <mergeCell ref="AO87:AP87"/>
    <mergeCell ref="AQ87:AR87"/>
    <mergeCell ref="AS87:AT87"/>
    <mergeCell ref="BM87:BN87"/>
    <mergeCell ref="BO87:BP87"/>
    <mergeCell ref="AY87:AZ87"/>
    <mergeCell ref="BA87:BB87"/>
    <mergeCell ref="BC87:BD87"/>
    <mergeCell ref="BE87:BF87"/>
    <mergeCell ref="BG87:BH87"/>
    <mergeCell ref="BI87:BJ87"/>
    <mergeCell ref="BK87:BL87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I86:AJ86"/>
    <mergeCell ref="AK86:AL86"/>
    <mergeCell ref="AM86:AN86"/>
    <mergeCell ref="AO86:AP86"/>
    <mergeCell ref="AQ86:AR86"/>
    <mergeCell ref="AS86:AT86"/>
    <mergeCell ref="BI86:BJ86"/>
    <mergeCell ref="BK86:BL86"/>
    <mergeCell ref="BM86:BN86"/>
    <mergeCell ref="BO86:BP86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I90:AJ90"/>
    <mergeCell ref="AK90:AL90"/>
    <mergeCell ref="AM90:AN90"/>
    <mergeCell ref="AO90:AP90"/>
    <mergeCell ref="AQ90:AR90"/>
    <mergeCell ref="AS90:AT90"/>
    <mergeCell ref="BI90:BJ90"/>
    <mergeCell ref="BK90:BL90"/>
    <mergeCell ref="BM90:BN90"/>
    <mergeCell ref="BO90:BP90"/>
    <mergeCell ref="E90:F90"/>
    <mergeCell ref="G90:H90"/>
    <mergeCell ref="I90:J90"/>
    <mergeCell ref="K90:L90"/>
    <mergeCell ref="M90:N90"/>
    <mergeCell ref="O90:P90"/>
    <mergeCell ref="Q90:R90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AC91:AD91"/>
    <mergeCell ref="AE91:AF91"/>
    <mergeCell ref="AU90:AV90"/>
    <mergeCell ref="AW90:AX90"/>
    <mergeCell ref="AY90:AZ90"/>
    <mergeCell ref="BA90:BB90"/>
    <mergeCell ref="BC90:BD90"/>
    <mergeCell ref="BE90:BF90"/>
    <mergeCell ref="BG90:BH90"/>
    <mergeCell ref="AU91:AV91"/>
    <mergeCell ref="AW91:AX91"/>
    <mergeCell ref="AG91:AH91"/>
    <mergeCell ref="AI91:AJ91"/>
    <mergeCell ref="AK91:AL91"/>
    <mergeCell ref="AM91:AN91"/>
    <mergeCell ref="AO91:AP91"/>
    <mergeCell ref="AQ91:AR91"/>
    <mergeCell ref="AS91:AT91"/>
    <mergeCell ref="S498:T498"/>
    <mergeCell ref="U498:V498"/>
    <mergeCell ref="W498:X498"/>
    <mergeCell ref="Y498:Z498"/>
    <mergeCell ref="AA498:AB498"/>
    <mergeCell ref="AC498:AD498"/>
    <mergeCell ref="AE498:AF498"/>
    <mergeCell ref="AG498:AH498"/>
    <mergeCell ref="AI498:AJ498"/>
    <mergeCell ref="AK498:AL498"/>
    <mergeCell ref="AM498:AN498"/>
    <mergeCell ref="AO498:AP498"/>
    <mergeCell ref="AQ498:AR498"/>
    <mergeCell ref="AS498:AT498"/>
    <mergeCell ref="BI498:BJ498"/>
    <mergeCell ref="BK498:BL498"/>
    <mergeCell ref="BM498:BN498"/>
    <mergeCell ref="BO498:BP498"/>
    <mergeCell ref="AU498:AV498"/>
    <mergeCell ref="AW498:AX498"/>
    <mergeCell ref="AY498:AZ498"/>
    <mergeCell ref="BA498:BB498"/>
    <mergeCell ref="BC498:BD498"/>
    <mergeCell ref="BE498:BF498"/>
    <mergeCell ref="BG498:BH498"/>
    <mergeCell ref="E498:F498"/>
    <mergeCell ref="G498:H498"/>
    <mergeCell ref="I498:J498"/>
    <mergeCell ref="K498:L498"/>
    <mergeCell ref="M498:N498"/>
    <mergeCell ref="O498:P498"/>
    <mergeCell ref="Q498:R498"/>
    <mergeCell ref="BM91:BN91"/>
    <mergeCell ref="BO91:BP91"/>
    <mergeCell ref="AY91:AZ91"/>
    <mergeCell ref="BA91:BB91"/>
    <mergeCell ref="BC91:BD91"/>
    <mergeCell ref="BE91:BF91"/>
    <mergeCell ref="BG91:BH91"/>
    <mergeCell ref="BI91:BJ91"/>
    <mergeCell ref="BK91:BL91"/>
    <mergeCell ref="S92:T92"/>
    <mergeCell ref="U92:V92"/>
    <mergeCell ref="W92:X92"/>
    <mergeCell ref="Y92:Z92"/>
    <mergeCell ref="AA92:AB92"/>
    <mergeCell ref="AC92:AD92"/>
    <mergeCell ref="AE92:AF92"/>
    <mergeCell ref="AG92:AH92"/>
    <mergeCell ref="AI92:AJ92"/>
    <mergeCell ref="AK92:AL92"/>
    <mergeCell ref="AM92:AN92"/>
    <mergeCell ref="AO92:AP92"/>
    <mergeCell ref="AQ92:AR92"/>
    <mergeCell ref="AS92:AT92"/>
    <mergeCell ref="BI92:BJ92"/>
    <mergeCell ref="BK92:BL92"/>
    <mergeCell ref="BM92:BN92"/>
    <mergeCell ref="BO92:BP92"/>
    <mergeCell ref="AU92:AV92"/>
    <mergeCell ref="AW92:AX92"/>
    <mergeCell ref="AY92:AZ92"/>
    <mergeCell ref="BA92:BB92"/>
    <mergeCell ref="BC92:BD92"/>
    <mergeCell ref="BO495:BP495"/>
    <mergeCell ref="AY495:AZ495"/>
    <mergeCell ref="BA495:BB495"/>
    <mergeCell ref="BC495:BD495"/>
    <mergeCell ref="BE495:BF495"/>
    <mergeCell ref="BG495:BH495"/>
    <mergeCell ref="BI495:BJ495"/>
    <mergeCell ref="BK495:BL495"/>
    <mergeCell ref="S494:T494"/>
    <mergeCell ref="U494:V494"/>
    <mergeCell ref="W494:X494"/>
    <mergeCell ref="Y494:Z494"/>
    <mergeCell ref="AA494:AB494"/>
    <mergeCell ref="AC494:AD494"/>
    <mergeCell ref="AE494:AF494"/>
    <mergeCell ref="AG494:AH494"/>
    <mergeCell ref="AI494:AJ494"/>
    <mergeCell ref="AK494:AL494"/>
    <mergeCell ref="AM494:AN494"/>
    <mergeCell ref="AO494:AP494"/>
    <mergeCell ref="AQ494:AR494"/>
    <mergeCell ref="AS494:AT494"/>
    <mergeCell ref="BI494:BJ494"/>
    <mergeCell ref="BK494:BL494"/>
    <mergeCell ref="BM494:BN494"/>
    <mergeCell ref="BO494:BP494"/>
    <mergeCell ref="E494:F494"/>
    <mergeCell ref="G494:H494"/>
    <mergeCell ref="I494:J494"/>
    <mergeCell ref="K494:L494"/>
    <mergeCell ref="M494:N494"/>
    <mergeCell ref="O494:P494"/>
    <mergeCell ref="Q494:R494"/>
    <mergeCell ref="S495:T495"/>
    <mergeCell ref="U495:V495"/>
    <mergeCell ref="W495:X495"/>
    <mergeCell ref="Y495:Z495"/>
    <mergeCell ref="AA495:AB495"/>
    <mergeCell ref="AC495:AD495"/>
    <mergeCell ref="AE495:AF495"/>
    <mergeCell ref="AU494:AV494"/>
    <mergeCell ref="AW494:AX494"/>
    <mergeCell ref="AY494:AZ494"/>
    <mergeCell ref="BA494:BB494"/>
    <mergeCell ref="BC494:BD494"/>
    <mergeCell ref="BE494:BF494"/>
    <mergeCell ref="BG494:BH494"/>
    <mergeCell ref="E495:F495"/>
    <mergeCell ref="G495:H495"/>
    <mergeCell ref="I495:J495"/>
    <mergeCell ref="K495:L495"/>
    <mergeCell ref="M495:N495"/>
    <mergeCell ref="O495:P495"/>
    <mergeCell ref="Q495:R495"/>
    <mergeCell ref="BO493:BP493"/>
    <mergeCell ref="AY493:AZ493"/>
    <mergeCell ref="BA493:BB493"/>
    <mergeCell ref="BC493:BD493"/>
    <mergeCell ref="BE493:BF493"/>
    <mergeCell ref="BG493:BH493"/>
    <mergeCell ref="BI493:BJ493"/>
    <mergeCell ref="BK493:BL493"/>
    <mergeCell ref="S492:T492"/>
    <mergeCell ref="U492:V492"/>
    <mergeCell ref="W492:X492"/>
    <mergeCell ref="Y492:Z492"/>
    <mergeCell ref="AA492:AB492"/>
    <mergeCell ref="AC492:AD492"/>
    <mergeCell ref="AE492:AF492"/>
    <mergeCell ref="AG492:AH492"/>
    <mergeCell ref="AI492:AJ492"/>
    <mergeCell ref="AK492:AL492"/>
    <mergeCell ref="AM492:AN492"/>
    <mergeCell ref="AO492:AP492"/>
    <mergeCell ref="AQ492:AR492"/>
    <mergeCell ref="AS492:AT492"/>
    <mergeCell ref="BI492:BJ492"/>
    <mergeCell ref="BK492:BL492"/>
    <mergeCell ref="BM492:BN492"/>
    <mergeCell ref="BO492:BP492"/>
    <mergeCell ref="E492:F492"/>
    <mergeCell ref="G492:H492"/>
    <mergeCell ref="I492:J492"/>
    <mergeCell ref="K492:L492"/>
    <mergeCell ref="M492:N492"/>
    <mergeCell ref="O492:P492"/>
    <mergeCell ref="Q492:R492"/>
    <mergeCell ref="S493:T493"/>
    <mergeCell ref="U493:V493"/>
    <mergeCell ref="W493:X493"/>
    <mergeCell ref="Y493:Z493"/>
    <mergeCell ref="AA493:AB493"/>
    <mergeCell ref="AC493:AD493"/>
    <mergeCell ref="AE493:AF493"/>
    <mergeCell ref="AU492:AV492"/>
    <mergeCell ref="AW492:AX492"/>
    <mergeCell ref="AY492:AZ492"/>
    <mergeCell ref="BA492:BB492"/>
    <mergeCell ref="BC492:BD492"/>
    <mergeCell ref="BE492:BF492"/>
    <mergeCell ref="BG492:BH492"/>
    <mergeCell ref="E493:F493"/>
    <mergeCell ref="G493:H493"/>
    <mergeCell ref="I493:J493"/>
    <mergeCell ref="K493:L493"/>
    <mergeCell ref="M493:N493"/>
    <mergeCell ref="O493:P493"/>
    <mergeCell ref="Q493:R493"/>
    <mergeCell ref="O496:P496"/>
    <mergeCell ref="Q496:R496"/>
    <mergeCell ref="E497:F497"/>
    <mergeCell ref="G497:H497"/>
    <mergeCell ref="I497:J497"/>
    <mergeCell ref="K497:L497"/>
    <mergeCell ref="M497:N497"/>
    <mergeCell ref="O497:P497"/>
    <mergeCell ref="Q497:R497"/>
    <mergeCell ref="S497:T497"/>
    <mergeCell ref="U497:V497"/>
    <mergeCell ref="W497:X497"/>
    <mergeCell ref="Y497:Z497"/>
    <mergeCell ref="AA497:AB497"/>
    <mergeCell ref="AC497:AD497"/>
    <mergeCell ref="AE497:AF497"/>
    <mergeCell ref="AU496:AV496"/>
    <mergeCell ref="AW496:AX496"/>
    <mergeCell ref="AY496:AZ496"/>
    <mergeCell ref="BA496:BB496"/>
    <mergeCell ref="BC496:BD496"/>
    <mergeCell ref="BE496:BF496"/>
    <mergeCell ref="BG496:BH496"/>
    <mergeCell ref="AU493:AV493"/>
    <mergeCell ref="AW493:AX493"/>
    <mergeCell ref="AG493:AH493"/>
    <mergeCell ref="AI493:AJ493"/>
    <mergeCell ref="AK493:AL493"/>
    <mergeCell ref="AM493:AN493"/>
    <mergeCell ref="AO493:AP493"/>
    <mergeCell ref="AQ493:AR493"/>
    <mergeCell ref="AS493:AT493"/>
    <mergeCell ref="BM493:BN493"/>
    <mergeCell ref="AU495:AV495"/>
    <mergeCell ref="AW495:AX495"/>
    <mergeCell ref="AG495:AH495"/>
    <mergeCell ref="AI495:AJ495"/>
    <mergeCell ref="AK495:AL495"/>
    <mergeCell ref="AM495:AN495"/>
    <mergeCell ref="AO495:AP495"/>
    <mergeCell ref="AQ495:AR495"/>
    <mergeCell ref="AS495:AT495"/>
    <mergeCell ref="BM495:BN495"/>
    <mergeCell ref="AU497:AV497"/>
    <mergeCell ref="AW497:AX497"/>
    <mergeCell ref="AG497:AH497"/>
    <mergeCell ref="AI497:AJ497"/>
    <mergeCell ref="AK497:AL497"/>
    <mergeCell ref="AM497:AN497"/>
    <mergeCell ref="AO497:AP497"/>
    <mergeCell ref="AQ497:AR497"/>
    <mergeCell ref="AS497:AT497"/>
    <mergeCell ref="S491:T491"/>
    <mergeCell ref="U491:V491"/>
    <mergeCell ref="W491:X491"/>
    <mergeCell ref="Y491:Z491"/>
    <mergeCell ref="AA491:AB491"/>
    <mergeCell ref="AC491:AD491"/>
    <mergeCell ref="AE491:AF491"/>
    <mergeCell ref="AG491:AH491"/>
    <mergeCell ref="AI491:AJ491"/>
    <mergeCell ref="AK491:AL491"/>
    <mergeCell ref="AM491:AN491"/>
    <mergeCell ref="AO491:AP491"/>
    <mergeCell ref="AQ491:AR491"/>
    <mergeCell ref="AS491:AT491"/>
    <mergeCell ref="BI491:BJ491"/>
    <mergeCell ref="BK491:BL491"/>
    <mergeCell ref="BM491:BN491"/>
    <mergeCell ref="BO491:BP491"/>
    <mergeCell ref="AU491:AV491"/>
    <mergeCell ref="AW491:AX491"/>
    <mergeCell ref="AY491:AZ491"/>
    <mergeCell ref="BA491:BB491"/>
    <mergeCell ref="BC491:BD491"/>
    <mergeCell ref="BE491:BF491"/>
    <mergeCell ref="BG491:BH491"/>
    <mergeCell ref="E491:F491"/>
    <mergeCell ref="G491:H491"/>
    <mergeCell ref="I491:J491"/>
    <mergeCell ref="K491:L491"/>
    <mergeCell ref="M491:N491"/>
    <mergeCell ref="O491:P491"/>
    <mergeCell ref="Q491:R491"/>
    <mergeCell ref="BM497:BN497"/>
    <mergeCell ref="BO497:BP497"/>
    <mergeCell ref="AY497:AZ497"/>
    <mergeCell ref="BA497:BB497"/>
    <mergeCell ref="BC497:BD497"/>
    <mergeCell ref="BE497:BF497"/>
    <mergeCell ref="BG497:BH497"/>
    <mergeCell ref="BI497:BJ497"/>
    <mergeCell ref="BK497:BL497"/>
    <mergeCell ref="S496:T496"/>
    <mergeCell ref="U496:V496"/>
    <mergeCell ref="W496:X496"/>
    <mergeCell ref="Y496:Z496"/>
    <mergeCell ref="AA496:AB496"/>
    <mergeCell ref="AC496:AD496"/>
    <mergeCell ref="AE496:AF496"/>
    <mergeCell ref="AG496:AH496"/>
    <mergeCell ref="AI496:AJ496"/>
    <mergeCell ref="AK496:AL496"/>
    <mergeCell ref="AM496:AN496"/>
    <mergeCell ref="AO496:AP496"/>
    <mergeCell ref="AQ496:AR496"/>
    <mergeCell ref="AS496:AT496"/>
    <mergeCell ref="BI496:BJ496"/>
    <mergeCell ref="BK496:BL496"/>
    <mergeCell ref="BM496:BN496"/>
    <mergeCell ref="BO496:BP496"/>
    <mergeCell ref="E496:F496"/>
    <mergeCell ref="G496:H496"/>
    <mergeCell ref="I496:J496"/>
    <mergeCell ref="K496:L496"/>
    <mergeCell ref="M496:N496"/>
    <mergeCell ref="BO488:BP488"/>
    <mergeCell ref="AY488:AZ488"/>
    <mergeCell ref="BA488:BB488"/>
    <mergeCell ref="BC488:BD488"/>
    <mergeCell ref="BE488:BF488"/>
    <mergeCell ref="BG488:BH488"/>
    <mergeCell ref="BI488:BJ488"/>
    <mergeCell ref="BK488:BL488"/>
    <mergeCell ref="S487:T487"/>
    <mergeCell ref="U487:V487"/>
    <mergeCell ref="W487:X487"/>
    <mergeCell ref="Y487:Z487"/>
    <mergeCell ref="AA487:AB487"/>
    <mergeCell ref="AC487:AD487"/>
    <mergeCell ref="AE487:AF487"/>
    <mergeCell ref="AG487:AH487"/>
    <mergeCell ref="AI487:AJ487"/>
    <mergeCell ref="AK487:AL487"/>
    <mergeCell ref="AM487:AN487"/>
    <mergeCell ref="AO487:AP487"/>
    <mergeCell ref="AQ487:AR487"/>
    <mergeCell ref="AS487:AT487"/>
    <mergeCell ref="BI487:BJ487"/>
    <mergeCell ref="BK487:BL487"/>
    <mergeCell ref="BM487:BN487"/>
    <mergeCell ref="BO487:BP487"/>
    <mergeCell ref="E487:F487"/>
    <mergeCell ref="G487:H487"/>
    <mergeCell ref="I487:J487"/>
    <mergeCell ref="K487:L487"/>
    <mergeCell ref="M487:N487"/>
    <mergeCell ref="O487:P487"/>
    <mergeCell ref="Q487:R487"/>
    <mergeCell ref="S488:T488"/>
    <mergeCell ref="U488:V488"/>
    <mergeCell ref="W488:X488"/>
    <mergeCell ref="Y488:Z488"/>
    <mergeCell ref="AA488:AB488"/>
    <mergeCell ref="AC488:AD488"/>
    <mergeCell ref="AE488:AF488"/>
    <mergeCell ref="AU487:AV487"/>
    <mergeCell ref="AW487:AX487"/>
    <mergeCell ref="AY487:AZ487"/>
    <mergeCell ref="BA487:BB487"/>
    <mergeCell ref="BC487:BD487"/>
    <mergeCell ref="BE487:BF487"/>
    <mergeCell ref="BG487:BH487"/>
    <mergeCell ref="E488:F488"/>
    <mergeCell ref="G488:H488"/>
    <mergeCell ref="I488:J488"/>
    <mergeCell ref="K488:L488"/>
    <mergeCell ref="M488:N488"/>
    <mergeCell ref="O488:P488"/>
    <mergeCell ref="Q488:R488"/>
    <mergeCell ref="BO486:BP486"/>
    <mergeCell ref="AY486:AZ486"/>
    <mergeCell ref="BA486:BB486"/>
    <mergeCell ref="BC486:BD486"/>
    <mergeCell ref="BE486:BF486"/>
    <mergeCell ref="BG486:BH486"/>
    <mergeCell ref="BI486:BJ486"/>
    <mergeCell ref="BK486:BL486"/>
    <mergeCell ref="S485:T485"/>
    <mergeCell ref="U485:V485"/>
    <mergeCell ref="W485:X485"/>
    <mergeCell ref="Y485:Z485"/>
    <mergeCell ref="AA485:AB485"/>
    <mergeCell ref="AC485:AD485"/>
    <mergeCell ref="AE485:AF485"/>
    <mergeCell ref="AG485:AH485"/>
    <mergeCell ref="AI485:AJ485"/>
    <mergeCell ref="AK485:AL485"/>
    <mergeCell ref="AM485:AN485"/>
    <mergeCell ref="AO485:AP485"/>
    <mergeCell ref="AQ485:AR485"/>
    <mergeCell ref="AS485:AT485"/>
    <mergeCell ref="BI485:BJ485"/>
    <mergeCell ref="BK485:BL485"/>
    <mergeCell ref="BM485:BN485"/>
    <mergeCell ref="BO485:BP485"/>
    <mergeCell ref="E485:F485"/>
    <mergeCell ref="G485:H485"/>
    <mergeCell ref="I485:J485"/>
    <mergeCell ref="K485:L485"/>
    <mergeCell ref="M485:N485"/>
    <mergeCell ref="O485:P485"/>
    <mergeCell ref="Q485:R485"/>
    <mergeCell ref="S486:T486"/>
    <mergeCell ref="U486:V486"/>
    <mergeCell ref="W486:X486"/>
    <mergeCell ref="Y486:Z486"/>
    <mergeCell ref="AA486:AB486"/>
    <mergeCell ref="AC486:AD486"/>
    <mergeCell ref="AE486:AF486"/>
    <mergeCell ref="AU485:AV485"/>
    <mergeCell ref="AW485:AX485"/>
    <mergeCell ref="AY485:AZ485"/>
    <mergeCell ref="BA485:BB485"/>
    <mergeCell ref="BC485:BD485"/>
    <mergeCell ref="BE485:BF485"/>
    <mergeCell ref="BG485:BH485"/>
    <mergeCell ref="E486:F486"/>
    <mergeCell ref="G486:H486"/>
    <mergeCell ref="I486:J486"/>
    <mergeCell ref="K486:L486"/>
    <mergeCell ref="M486:N486"/>
    <mergeCell ref="O486:P486"/>
    <mergeCell ref="Q486:R486"/>
    <mergeCell ref="O489:P489"/>
    <mergeCell ref="Q489:R489"/>
    <mergeCell ref="E490:F490"/>
    <mergeCell ref="G490:H490"/>
    <mergeCell ref="I490:J490"/>
    <mergeCell ref="K490:L490"/>
    <mergeCell ref="M490:N490"/>
    <mergeCell ref="O490:P490"/>
    <mergeCell ref="Q490:R490"/>
    <mergeCell ref="S490:T490"/>
    <mergeCell ref="U490:V490"/>
    <mergeCell ref="W490:X490"/>
    <mergeCell ref="Y490:Z490"/>
    <mergeCell ref="AA490:AB490"/>
    <mergeCell ref="AC490:AD490"/>
    <mergeCell ref="AE490:AF490"/>
    <mergeCell ref="AU489:AV489"/>
    <mergeCell ref="AW489:AX489"/>
    <mergeCell ref="AY489:AZ489"/>
    <mergeCell ref="BA489:BB489"/>
    <mergeCell ref="BC489:BD489"/>
    <mergeCell ref="BE489:BF489"/>
    <mergeCell ref="BG489:BH489"/>
    <mergeCell ref="AU486:AV486"/>
    <mergeCell ref="AW486:AX486"/>
    <mergeCell ref="AG486:AH486"/>
    <mergeCell ref="AI486:AJ486"/>
    <mergeCell ref="AK486:AL486"/>
    <mergeCell ref="AM486:AN486"/>
    <mergeCell ref="AO486:AP486"/>
    <mergeCell ref="AQ486:AR486"/>
    <mergeCell ref="AS486:AT486"/>
    <mergeCell ref="BM486:BN486"/>
    <mergeCell ref="AU488:AV488"/>
    <mergeCell ref="AW488:AX488"/>
    <mergeCell ref="AG488:AH488"/>
    <mergeCell ref="AI488:AJ488"/>
    <mergeCell ref="AK488:AL488"/>
    <mergeCell ref="AM488:AN488"/>
    <mergeCell ref="AO488:AP488"/>
    <mergeCell ref="AQ488:AR488"/>
    <mergeCell ref="AS488:AT488"/>
    <mergeCell ref="BM488:BN488"/>
    <mergeCell ref="AU490:AV490"/>
    <mergeCell ref="AW490:AX490"/>
    <mergeCell ref="AG490:AH490"/>
    <mergeCell ref="AI490:AJ490"/>
    <mergeCell ref="AK490:AL490"/>
    <mergeCell ref="AM490:AN490"/>
    <mergeCell ref="AO490:AP490"/>
    <mergeCell ref="AQ490:AR490"/>
    <mergeCell ref="AS490:AT490"/>
    <mergeCell ref="S484:T484"/>
    <mergeCell ref="U484:V484"/>
    <mergeCell ref="W484:X484"/>
    <mergeCell ref="Y484:Z484"/>
    <mergeCell ref="AA484:AB484"/>
    <mergeCell ref="AC484:AD484"/>
    <mergeCell ref="AE484:AF484"/>
    <mergeCell ref="AG484:AH484"/>
    <mergeCell ref="AI484:AJ484"/>
    <mergeCell ref="AK484:AL484"/>
    <mergeCell ref="AM484:AN484"/>
    <mergeCell ref="AO484:AP484"/>
    <mergeCell ref="AQ484:AR484"/>
    <mergeCell ref="AS484:AT484"/>
    <mergeCell ref="BI484:BJ484"/>
    <mergeCell ref="BK484:BL484"/>
    <mergeCell ref="BM484:BN484"/>
    <mergeCell ref="BO484:BP484"/>
    <mergeCell ref="AU484:AV484"/>
    <mergeCell ref="AW484:AX484"/>
    <mergeCell ref="AY484:AZ484"/>
    <mergeCell ref="BA484:BB484"/>
    <mergeCell ref="BC484:BD484"/>
    <mergeCell ref="BE484:BF484"/>
    <mergeCell ref="BG484:BH484"/>
    <mergeCell ref="E484:F484"/>
    <mergeCell ref="G484:H484"/>
    <mergeCell ref="I484:J484"/>
    <mergeCell ref="K484:L484"/>
    <mergeCell ref="M484:N484"/>
    <mergeCell ref="O484:P484"/>
    <mergeCell ref="Q484:R484"/>
    <mergeCell ref="BM490:BN490"/>
    <mergeCell ref="BO490:BP490"/>
    <mergeCell ref="AY490:AZ490"/>
    <mergeCell ref="BA490:BB490"/>
    <mergeCell ref="BC490:BD490"/>
    <mergeCell ref="BE490:BF490"/>
    <mergeCell ref="BG490:BH490"/>
    <mergeCell ref="BI490:BJ490"/>
    <mergeCell ref="BK490:BL490"/>
    <mergeCell ref="S489:T489"/>
    <mergeCell ref="U489:V489"/>
    <mergeCell ref="W489:X489"/>
    <mergeCell ref="Y489:Z489"/>
    <mergeCell ref="AA489:AB489"/>
    <mergeCell ref="AC489:AD489"/>
    <mergeCell ref="AE489:AF489"/>
    <mergeCell ref="AG489:AH489"/>
    <mergeCell ref="AI489:AJ489"/>
    <mergeCell ref="AK489:AL489"/>
    <mergeCell ref="AM489:AN489"/>
    <mergeCell ref="AO489:AP489"/>
    <mergeCell ref="AQ489:AR489"/>
    <mergeCell ref="AS489:AT489"/>
    <mergeCell ref="BI489:BJ489"/>
    <mergeCell ref="BK489:BL489"/>
    <mergeCell ref="BM489:BN489"/>
    <mergeCell ref="BO489:BP489"/>
    <mergeCell ref="E489:F489"/>
    <mergeCell ref="G489:H489"/>
    <mergeCell ref="I489:J489"/>
    <mergeCell ref="K489:L489"/>
    <mergeCell ref="M489:N489"/>
    <mergeCell ref="BO481:BP481"/>
    <mergeCell ref="AY481:AZ481"/>
    <mergeCell ref="BA481:BB481"/>
    <mergeCell ref="BC481:BD481"/>
    <mergeCell ref="BE481:BF481"/>
    <mergeCell ref="BG481:BH481"/>
    <mergeCell ref="BI481:BJ481"/>
    <mergeCell ref="BK481:BL481"/>
    <mergeCell ref="S480:T480"/>
    <mergeCell ref="U480:V480"/>
    <mergeCell ref="W480:X480"/>
    <mergeCell ref="Y480:Z480"/>
    <mergeCell ref="AA480:AB480"/>
    <mergeCell ref="AC480:AD480"/>
    <mergeCell ref="AE480:AF480"/>
    <mergeCell ref="AG480:AH480"/>
    <mergeCell ref="AI480:AJ480"/>
    <mergeCell ref="AK480:AL480"/>
    <mergeCell ref="AM480:AN480"/>
    <mergeCell ref="AO480:AP480"/>
    <mergeCell ref="AQ480:AR480"/>
    <mergeCell ref="AS480:AT480"/>
    <mergeCell ref="BI480:BJ480"/>
    <mergeCell ref="BK480:BL480"/>
    <mergeCell ref="BM480:BN480"/>
    <mergeCell ref="BO480:BP480"/>
    <mergeCell ref="E480:F480"/>
    <mergeCell ref="G480:H480"/>
    <mergeCell ref="I480:J480"/>
    <mergeCell ref="K480:L480"/>
    <mergeCell ref="M480:N480"/>
    <mergeCell ref="O480:P480"/>
    <mergeCell ref="Q480:R480"/>
    <mergeCell ref="S481:T481"/>
    <mergeCell ref="U481:V481"/>
    <mergeCell ref="W481:X481"/>
    <mergeCell ref="Y481:Z481"/>
    <mergeCell ref="AA481:AB481"/>
    <mergeCell ref="AC481:AD481"/>
    <mergeCell ref="AE481:AF481"/>
    <mergeCell ref="AU480:AV480"/>
    <mergeCell ref="AW480:AX480"/>
    <mergeCell ref="AY480:AZ480"/>
    <mergeCell ref="BA480:BB480"/>
    <mergeCell ref="BC480:BD480"/>
    <mergeCell ref="BE480:BF480"/>
    <mergeCell ref="BG480:BH480"/>
    <mergeCell ref="E481:F481"/>
    <mergeCell ref="G481:H481"/>
    <mergeCell ref="I481:J481"/>
    <mergeCell ref="K481:L481"/>
    <mergeCell ref="M481:N481"/>
    <mergeCell ref="O481:P481"/>
    <mergeCell ref="Q481:R481"/>
    <mergeCell ref="BO479:BP479"/>
    <mergeCell ref="AY479:AZ479"/>
    <mergeCell ref="BA479:BB479"/>
    <mergeCell ref="BC479:BD479"/>
    <mergeCell ref="BE479:BF479"/>
    <mergeCell ref="BG479:BH479"/>
    <mergeCell ref="BI479:BJ479"/>
    <mergeCell ref="BK479:BL479"/>
    <mergeCell ref="S478:T478"/>
    <mergeCell ref="U478:V478"/>
    <mergeCell ref="W478:X478"/>
    <mergeCell ref="Y478:Z478"/>
    <mergeCell ref="AA478:AB478"/>
    <mergeCell ref="AC478:AD478"/>
    <mergeCell ref="AE478:AF478"/>
    <mergeCell ref="AG478:AH478"/>
    <mergeCell ref="AI478:AJ478"/>
    <mergeCell ref="AK478:AL478"/>
    <mergeCell ref="AM478:AN478"/>
    <mergeCell ref="AO478:AP478"/>
    <mergeCell ref="AQ478:AR478"/>
    <mergeCell ref="AS478:AT478"/>
    <mergeCell ref="BI478:BJ478"/>
    <mergeCell ref="BK478:BL478"/>
    <mergeCell ref="BM478:BN478"/>
    <mergeCell ref="BO478:BP478"/>
    <mergeCell ref="E478:F478"/>
    <mergeCell ref="G478:H478"/>
    <mergeCell ref="I478:J478"/>
    <mergeCell ref="K478:L478"/>
    <mergeCell ref="M478:N478"/>
    <mergeCell ref="O478:P478"/>
    <mergeCell ref="Q478:R478"/>
    <mergeCell ref="S479:T479"/>
    <mergeCell ref="U479:V479"/>
    <mergeCell ref="W479:X479"/>
    <mergeCell ref="Y479:Z479"/>
    <mergeCell ref="AA479:AB479"/>
    <mergeCell ref="AC479:AD479"/>
    <mergeCell ref="AE479:AF479"/>
    <mergeCell ref="AU478:AV478"/>
    <mergeCell ref="AW478:AX478"/>
    <mergeCell ref="AY478:AZ478"/>
    <mergeCell ref="BA478:BB478"/>
    <mergeCell ref="BC478:BD478"/>
    <mergeCell ref="BE478:BF478"/>
    <mergeCell ref="BG478:BH478"/>
    <mergeCell ref="E479:F479"/>
    <mergeCell ref="G479:H479"/>
    <mergeCell ref="I479:J479"/>
    <mergeCell ref="K479:L479"/>
    <mergeCell ref="M479:N479"/>
    <mergeCell ref="O479:P479"/>
    <mergeCell ref="Q479:R479"/>
    <mergeCell ref="O482:P482"/>
    <mergeCell ref="Q482:R482"/>
    <mergeCell ref="E483:F483"/>
    <mergeCell ref="G483:H483"/>
    <mergeCell ref="I483:J483"/>
    <mergeCell ref="K483:L483"/>
    <mergeCell ref="M483:N483"/>
    <mergeCell ref="O483:P483"/>
    <mergeCell ref="Q483:R483"/>
    <mergeCell ref="S483:T483"/>
    <mergeCell ref="U483:V483"/>
    <mergeCell ref="W483:X483"/>
    <mergeCell ref="Y483:Z483"/>
    <mergeCell ref="AA483:AB483"/>
    <mergeCell ref="AC483:AD483"/>
    <mergeCell ref="AE483:AF483"/>
    <mergeCell ref="AU482:AV482"/>
    <mergeCell ref="AW482:AX482"/>
    <mergeCell ref="AY482:AZ482"/>
    <mergeCell ref="BA482:BB482"/>
    <mergeCell ref="BC482:BD482"/>
    <mergeCell ref="BE482:BF482"/>
    <mergeCell ref="BG482:BH482"/>
    <mergeCell ref="AU479:AV479"/>
    <mergeCell ref="AW479:AX479"/>
    <mergeCell ref="AG479:AH479"/>
    <mergeCell ref="AI479:AJ479"/>
    <mergeCell ref="AK479:AL479"/>
    <mergeCell ref="AM479:AN479"/>
    <mergeCell ref="AO479:AP479"/>
    <mergeCell ref="AQ479:AR479"/>
    <mergeCell ref="AS479:AT479"/>
    <mergeCell ref="BM479:BN479"/>
    <mergeCell ref="AU481:AV481"/>
    <mergeCell ref="AW481:AX481"/>
    <mergeCell ref="AG481:AH481"/>
    <mergeCell ref="AI481:AJ481"/>
    <mergeCell ref="AK481:AL481"/>
    <mergeCell ref="AM481:AN481"/>
    <mergeCell ref="AO481:AP481"/>
    <mergeCell ref="AQ481:AR481"/>
    <mergeCell ref="AS481:AT481"/>
    <mergeCell ref="BM481:BN481"/>
    <mergeCell ref="AU483:AV483"/>
    <mergeCell ref="AW483:AX483"/>
    <mergeCell ref="AG483:AH483"/>
    <mergeCell ref="AI483:AJ483"/>
    <mergeCell ref="AK483:AL483"/>
    <mergeCell ref="AM483:AN483"/>
    <mergeCell ref="AO483:AP483"/>
    <mergeCell ref="AQ483:AR483"/>
    <mergeCell ref="AS483:AT483"/>
    <mergeCell ref="S477:T477"/>
    <mergeCell ref="U477:V477"/>
    <mergeCell ref="W477:X477"/>
    <mergeCell ref="Y477:Z477"/>
    <mergeCell ref="AA477:AB477"/>
    <mergeCell ref="AC477:AD477"/>
    <mergeCell ref="AE477:AF477"/>
    <mergeCell ref="AG477:AH477"/>
    <mergeCell ref="AI477:AJ477"/>
    <mergeCell ref="AK477:AL477"/>
    <mergeCell ref="AM477:AN477"/>
    <mergeCell ref="AO477:AP477"/>
    <mergeCell ref="AQ477:AR477"/>
    <mergeCell ref="AS477:AT477"/>
    <mergeCell ref="BI477:BJ477"/>
    <mergeCell ref="BK477:BL477"/>
    <mergeCell ref="BM477:BN477"/>
    <mergeCell ref="BO477:BP477"/>
    <mergeCell ref="AU477:AV477"/>
    <mergeCell ref="AW477:AX477"/>
    <mergeCell ref="AY477:AZ477"/>
    <mergeCell ref="BA477:BB477"/>
    <mergeCell ref="BC477:BD477"/>
    <mergeCell ref="BE477:BF477"/>
    <mergeCell ref="BG477:BH477"/>
    <mergeCell ref="E477:F477"/>
    <mergeCell ref="G477:H477"/>
    <mergeCell ref="I477:J477"/>
    <mergeCell ref="K477:L477"/>
    <mergeCell ref="M477:N477"/>
    <mergeCell ref="O477:P477"/>
    <mergeCell ref="Q477:R477"/>
    <mergeCell ref="BM483:BN483"/>
    <mergeCell ref="BO483:BP483"/>
    <mergeCell ref="AY483:AZ483"/>
    <mergeCell ref="BA483:BB483"/>
    <mergeCell ref="BC483:BD483"/>
    <mergeCell ref="BE483:BF483"/>
    <mergeCell ref="BG483:BH483"/>
    <mergeCell ref="BI483:BJ483"/>
    <mergeCell ref="BK483:BL483"/>
    <mergeCell ref="S482:T482"/>
    <mergeCell ref="U482:V482"/>
    <mergeCell ref="W482:X482"/>
    <mergeCell ref="Y482:Z482"/>
    <mergeCell ref="AA482:AB482"/>
    <mergeCell ref="AC482:AD482"/>
    <mergeCell ref="AE482:AF482"/>
    <mergeCell ref="AG482:AH482"/>
    <mergeCell ref="AI482:AJ482"/>
    <mergeCell ref="AK482:AL482"/>
    <mergeCell ref="AM482:AN482"/>
    <mergeCell ref="AO482:AP482"/>
    <mergeCell ref="AQ482:AR482"/>
    <mergeCell ref="AS482:AT482"/>
    <mergeCell ref="BI482:BJ482"/>
    <mergeCell ref="BK482:BL482"/>
    <mergeCell ref="BM482:BN482"/>
    <mergeCell ref="BO482:BP482"/>
    <mergeCell ref="E482:F482"/>
    <mergeCell ref="G482:H482"/>
    <mergeCell ref="I482:J482"/>
    <mergeCell ref="K482:L482"/>
    <mergeCell ref="M482:N482"/>
    <mergeCell ref="BM474:BN474"/>
    <mergeCell ref="BO474:BP474"/>
    <mergeCell ref="AY474:AZ474"/>
    <mergeCell ref="BA474:BB474"/>
    <mergeCell ref="BC474:BD474"/>
    <mergeCell ref="BE474:BF474"/>
    <mergeCell ref="BG474:BH474"/>
    <mergeCell ref="BI474:BJ474"/>
    <mergeCell ref="BK474:BL474"/>
    <mergeCell ref="S473:T473"/>
    <mergeCell ref="U473:V473"/>
    <mergeCell ref="W473:X473"/>
    <mergeCell ref="Y473:Z473"/>
    <mergeCell ref="AA473:AB473"/>
    <mergeCell ref="AC473:AD473"/>
    <mergeCell ref="AE473:AF473"/>
    <mergeCell ref="AG473:AH473"/>
    <mergeCell ref="AI473:AJ473"/>
    <mergeCell ref="AK473:AL473"/>
    <mergeCell ref="AM473:AN473"/>
    <mergeCell ref="AO473:AP473"/>
    <mergeCell ref="AQ473:AR473"/>
    <mergeCell ref="AS473:AT473"/>
    <mergeCell ref="BI473:BJ473"/>
    <mergeCell ref="BK473:BL473"/>
    <mergeCell ref="BM473:BN473"/>
    <mergeCell ref="BO473:BP473"/>
    <mergeCell ref="E473:F473"/>
    <mergeCell ref="G473:H473"/>
    <mergeCell ref="I473:J473"/>
    <mergeCell ref="K473:L473"/>
    <mergeCell ref="M473:N473"/>
    <mergeCell ref="O473:P473"/>
    <mergeCell ref="Q473:R473"/>
    <mergeCell ref="S474:T474"/>
    <mergeCell ref="U474:V474"/>
    <mergeCell ref="W474:X474"/>
    <mergeCell ref="Y474:Z474"/>
    <mergeCell ref="AA474:AB474"/>
    <mergeCell ref="AC474:AD474"/>
    <mergeCell ref="AE474:AF474"/>
    <mergeCell ref="AU473:AV473"/>
    <mergeCell ref="AW473:AX473"/>
    <mergeCell ref="AY473:AZ473"/>
    <mergeCell ref="BA473:BB473"/>
    <mergeCell ref="BC473:BD473"/>
    <mergeCell ref="BE473:BF473"/>
    <mergeCell ref="BG473:BH473"/>
    <mergeCell ref="E474:F474"/>
    <mergeCell ref="G474:H474"/>
    <mergeCell ref="I474:J474"/>
    <mergeCell ref="K474:L474"/>
    <mergeCell ref="M474:N474"/>
    <mergeCell ref="O474:P474"/>
    <mergeCell ref="Q474:R474"/>
    <mergeCell ref="E471:F471"/>
    <mergeCell ref="G471:H471"/>
    <mergeCell ref="I471:J471"/>
    <mergeCell ref="K471:L471"/>
    <mergeCell ref="M471:N471"/>
    <mergeCell ref="O471:P471"/>
    <mergeCell ref="Q471:R471"/>
    <mergeCell ref="S472:T472"/>
    <mergeCell ref="U472:V472"/>
    <mergeCell ref="W472:X472"/>
    <mergeCell ref="Y472:Z472"/>
    <mergeCell ref="AA472:AB472"/>
    <mergeCell ref="AC472:AD472"/>
    <mergeCell ref="AE472:AF472"/>
    <mergeCell ref="AU471:AV471"/>
    <mergeCell ref="AW471:AX471"/>
    <mergeCell ref="AY471:AZ471"/>
    <mergeCell ref="BA471:BB471"/>
    <mergeCell ref="BC471:BD471"/>
    <mergeCell ref="BE471:BF471"/>
    <mergeCell ref="BG471:BH471"/>
    <mergeCell ref="E472:F472"/>
    <mergeCell ref="G472:H472"/>
    <mergeCell ref="I472:J472"/>
    <mergeCell ref="K472:L472"/>
    <mergeCell ref="M472:N472"/>
    <mergeCell ref="O472:P472"/>
    <mergeCell ref="Q472:R472"/>
    <mergeCell ref="AU474:AV474"/>
    <mergeCell ref="AW474:AX474"/>
    <mergeCell ref="AG474:AH474"/>
    <mergeCell ref="AI474:AJ474"/>
    <mergeCell ref="AK474:AL474"/>
    <mergeCell ref="AM474:AN474"/>
    <mergeCell ref="AO474:AP474"/>
    <mergeCell ref="AQ474:AR474"/>
    <mergeCell ref="AS474:AT474"/>
    <mergeCell ref="AU472:AV472"/>
    <mergeCell ref="AW472:AX472"/>
    <mergeCell ref="AG472:AH472"/>
    <mergeCell ref="AI472:AJ472"/>
    <mergeCell ref="AK472:AL472"/>
    <mergeCell ref="AM472:AN472"/>
    <mergeCell ref="AO472:AP472"/>
    <mergeCell ref="AQ472:AR472"/>
    <mergeCell ref="AS472:AT472"/>
    <mergeCell ref="BM472:BN472"/>
    <mergeCell ref="BO472:BP472"/>
    <mergeCell ref="AY472:AZ472"/>
    <mergeCell ref="BA472:BB472"/>
    <mergeCell ref="BC472:BD472"/>
    <mergeCell ref="BE472:BF472"/>
    <mergeCell ref="BG472:BH472"/>
    <mergeCell ref="BI472:BJ472"/>
    <mergeCell ref="BK472:BL472"/>
    <mergeCell ref="S471:T471"/>
    <mergeCell ref="U471:V471"/>
    <mergeCell ref="W471:X471"/>
    <mergeCell ref="Y471:Z471"/>
    <mergeCell ref="AA471:AB471"/>
    <mergeCell ref="AC471:AD471"/>
    <mergeCell ref="AE471:AF471"/>
    <mergeCell ref="AG471:AH471"/>
    <mergeCell ref="AI471:AJ471"/>
    <mergeCell ref="AK471:AL471"/>
    <mergeCell ref="AM471:AN471"/>
    <mergeCell ref="AO471:AP471"/>
    <mergeCell ref="AQ471:AR471"/>
    <mergeCell ref="AS471:AT471"/>
    <mergeCell ref="BI471:BJ471"/>
    <mergeCell ref="BK471:BL471"/>
    <mergeCell ref="BM471:BN471"/>
    <mergeCell ref="BO471:BP471"/>
    <mergeCell ref="BM476:BN476"/>
    <mergeCell ref="BO476:BP476"/>
    <mergeCell ref="AY476:AZ476"/>
    <mergeCell ref="BA476:BB476"/>
    <mergeCell ref="BC476:BD476"/>
    <mergeCell ref="BE476:BF476"/>
    <mergeCell ref="BG476:BH476"/>
    <mergeCell ref="BI476:BJ476"/>
    <mergeCell ref="BK476:BL476"/>
    <mergeCell ref="S475:T475"/>
    <mergeCell ref="U475:V475"/>
    <mergeCell ref="W475:X475"/>
    <mergeCell ref="Y475:Z475"/>
    <mergeCell ref="AA475:AB475"/>
    <mergeCell ref="AC475:AD475"/>
    <mergeCell ref="AE475:AF475"/>
    <mergeCell ref="AG475:AH475"/>
    <mergeCell ref="AI475:AJ475"/>
    <mergeCell ref="AK475:AL475"/>
    <mergeCell ref="AM475:AN475"/>
    <mergeCell ref="AO475:AP475"/>
    <mergeCell ref="AQ475:AR475"/>
    <mergeCell ref="AS475:AT475"/>
    <mergeCell ref="BI475:BJ475"/>
    <mergeCell ref="BK475:BL475"/>
    <mergeCell ref="BM475:BN475"/>
    <mergeCell ref="BO475:BP475"/>
    <mergeCell ref="E475:F475"/>
    <mergeCell ref="G475:H475"/>
    <mergeCell ref="I475:J475"/>
    <mergeCell ref="K475:L475"/>
    <mergeCell ref="M475:N475"/>
    <mergeCell ref="O475:P475"/>
    <mergeCell ref="Q475:R475"/>
    <mergeCell ref="E476:F476"/>
    <mergeCell ref="G476:H476"/>
    <mergeCell ref="I476:J476"/>
    <mergeCell ref="K476:L476"/>
    <mergeCell ref="M476:N476"/>
    <mergeCell ref="O476:P476"/>
    <mergeCell ref="Q476:R476"/>
    <mergeCell ref="S476:T476"/>
    <mergeCell ref="U476:V476"/>
    <mergeCell ref="W476:X476"/>
    <mergeCell ref="Y476:Z476"/>
    <mergeCell ref="AA476:AB476"/>
    <mergeCell ref="AC476:AD476"/>
    <mergeCell ref="AE476:AF476"/>
    <mergeCell ref="AU475:AV475"/>
    <mergeCell ref="AW475:AX475"/>
    <mergeCell ref="AY475:AZ475"/>
    <mergeCell ref="BA475:BB475"/>
    <mergeCell ref="BC475:BD475"/>
    <mergeCell ref="BE475:BF475"/>
    <mergeCell ref="BG475:BH475"/>
    <mergeCell ref="AU476:AV476"/>
    <mergeCell ref="AW476:AX476"/>
    <mergeCell ref="AG476:AH476"/>
    <mergeCell ref="AI476:AJ476"/>
    <mergeCell ref="AK476:AL476"/>
    <mergeCell ref="AM476:AN476"/>
    <mergeCell ref="AO476:AP476"/>
    <mergeCell ref="AQ476:AR476"/>
    <mergeCell ref="AS476:AT476"/>
  </mergeCells>
  <phoneticPr fontId="31" type="noConversion"/>
  <conditionalFormatting sqref="B8:B166">
    <cfRule type="expression" dxfId="7" priority="1">
      <formula>COUNTIF(D:D,D:D)&gt;1</formula>
    </cfRule>
  </conditionalFormatting>
  <conditionalFormatting sqref="B8:B500">
    <cfRule type="containsBlanks" dxfId="6" priority="2">
      <formula>LEN(TRIM(B8))=0</formula>
    </cfRule>
  </conditionalFormatting>
  <conditionalFormatting sqref="B52:B55 B60:B61 B63:B72">
    <cfRule type="colorScale" priority="3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  <pageSetUpPr fitToPage="1"/>
  </sheetPr>
  <dimension ref="A1:Z46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5703125" defaultRowHeight="15.75" customHeight="1"/>
  <cols>
    <col min="1" max="1" width="5.140625" customWidth="1"/>
    <col min="2" max="2" width="9.140625" customWidth="1"/>
    <col min="3" max="3" width="7.5703125" customWidth="1"/>
    <col min="4" max="4" width="14.42578125" customWidth="1"/>
    <col min="5" max="5" width="13.85546875" customWidth="1"/>
    <col min="9" max="10" width="8.140625" customWidth="1"/>
    <col min="11" max="11" width="10.28515625" customWidth="1"/>
    <col min="12" max="12" width="10" customWidth="1"/>
    <col min="13" max="13" width="11.140625" customWidth="1"/>
    <col min="14" max="17" width="9.7109375" customWidth="1"/>
    <col min="18" max="18" width="3.85546875" customWidth="1"/>
    <col min="19" max="19" width="9.7109375" customWidth="1"/>
    <col min="20" max="20" width="3.85546875" customWidth="1"/>
    <col min="21" max="21" width="9.7109375" customWidth="1"/>
    <col min="22" max="22" width="3.85546875" customWidth="1"/>
    <col min="23" max="23" width="9.7109375" customWidth="1"/>
    <col min="24" max="24" width="3.85546875" customWidth="1"/>
    <col min="25" max="25" width="9.7109375" customWidth="1"/>
    <col min="26" max="26" width="87.5703125" customWidth="1"/>
  </cols>
  <sheetData>
    <row r="1" spans="1:26">
      <c r="A1" s="1"/>
      <c r="B1" s="2"/>
      <c r="C1" s="2"/>
      <c r="D1" s="2"/>
      <c r="E1" s="2"/>
      <c r="F1" s="2"/>
      <c r="G1" s="2"/>
      <c r="H1" s="2"/>
      <c r="I1" s="3"/>
      <c r="J1" s="3"/>
      <c r="K1" s="4"/>
      <c r="L1" s="4"/>
      <c r="M1" s="3"/>
      <c r="N1" s="5"/>
      <c r="O1" s="5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spans="1:26">
      <c r="A2" s="1"/>
      <c r="B2" s="199" t="s">
        <v>371</v>
      </c>
      <c r="C2" s="7" t="s">
        <v>2</v>
      </c>
      <c r="D2" s="7" t="s">
        <v>3</v>
      </c>
      <c r="E2" s="8" t="s">
        <v>4</v>
      </c>
      <c r="F2" s="9" t="s">
        <v>5</v>
      </c>
      <c r="G2" s="10" t="s">
        <v>3</v>
      </c>
      <c r="H2" s="11" t="s">
        <v>4</v>
      </c>
      <c r="I2" s="3"/>
      <c r="J2" s="3"/>
      <c r="K2" s="4"/>
      <c r="L2" s="6"/>
      <c r="M2" s="6"/>
      <c r="N2" s="2"/>
      <c r="O2" s="2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2"/>
      <c r="B3" s="200"/>
      <c r="C3" s="13">
        <f>COUNTIF($K:$K,"유효")</f>
        <v>151</v>
      </c>
      <c r="D3" s="13">
        <f>COUNTIFS($K:$K,"유효",$C:$C,"남")</f>
        <v>33</v>
      </c>
      <c r="E3" s="14">
        <f>COUNTIFS($K:$K,"유효",$C:$C,"여")</f>
        <v>118</v>
      </c>
      <c r="F3" s="15">
        <f>COUNTIF($L:$L,"만료")</f>
        <v>6</v>
      </c>
      <c r="G3" s="16">
        <f>COUNTIFS($L:$L,"만료",$C:$C,"남")</f>
        <v>0</v>
      </c>
      <c r="H3" s="17">
        <f>COUNTIFS($L:$L,"만료",$C:$C,"여")</f>
        <v>6</v>
      </c>
      <c r="I3" s="3"/>
      <c r="J3" s="3"/>
      <c r="K3" s="4"/>
      <c r="L3" s="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1"/>
      <c r="B4" s="2"/>
      <c r="C4" s="2"/>
      <c r="D4" s="2"/>
      <c r="E4" s="2"/>
      <c r="F4" s="2"/>
      <c r="G4" s="2"/>
      <c r="H4" s="2"/>
      <c r="I4" s="2"/>
      <c r="J4" s="2"/>
      <c r="K4" s="166">
        <v>45992</v>
      </c>
      <c r="L4" s="166">
        <v>46022</v>
      </c>
      <c r="M4" s="2"/>
      <c r="N4" s="19"/>
      <c r="O4" s="19"/>
      <c r="P4" s="19"/>
      <c r="Q4" s="19"/>
      <c r="R4" s="20"/>
      <c r="S4" s="6"/>
      <c r="T4" s="6"/>
      <c r="U4" s="6"/>
      <c r="V4" s="6"/>
      <c r="W4" s="6"/>
      <c r="X4" s="6"/>
      <c r="Y4" s="6"/>
      <c r="Z4" s="6"/>
    </row>
    <row r="5" spans="1:26">
      <c r="A5" s="21"/>
      <c r="B5" s="22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2</v>
      </c>
      <c r="L5" s="23" t="s">
        <v>5</v>
      </c>
      <c r="M5" s="24" t="s">
        <v>15</v>
      </c>
      <c r="N5" s="25" t="s">
        <v>372</v>
      </c>
      <c r="O5" s="25" t="s">
        <v>16</v>
      </c>
      <c r="P5" s="25" t="s">
        <v>17</v>
      </c>
      <c r="Q5" s="26" t="s">
        <v>18</v>
      </c>
      <c r="R5" s="27"/>
      <c r="S5" s="26" t="s">
        <v>19</v>
      </c>
      <c r="T5" s="27"/>
      <c r="U5" s="26" t="s">
        <v>20</v>
      </c>
      <c r="V5" s="27"/>
      <c r="W5" s="26" t="s">
        <v>21</v>
      </c>
      <c r="X5" s="27"/>
      <c r="Y5" s="26" t="s">
        <v>22</v>
      </c>
      <c r="Z5" s="28" t="s">
        <v>23</v>
      </c>
    </row>
    <row r="6" spans="1:26">
      <c r="A6" s="29"/>
      <c r="B6" s="30" t="s">
        <v>27</v>
      </c>
      <c r="C6" s="30" t="s">
        <v>4</v>
      </c>
      <c r="D6" s="31" t="s">
        <v>28</v>
      </c>
      <c r="E6" s="32" t="s">
        <v>373</v>
      </c>
      <c r="F6" s="50">
        <v>45834</v>
      </c>
      <c r="G6" s="33">
        <v>45951</v>
      </c>
      <c r="H6" s="33">
        <v>46162</v>
      </c>
      <c r="I6" s="34">
        <f>VLOOKUP(B6,'25년 12월 출석표'!$B$7:$D$509,3,0)</f>
        <v>4</v>
      </c>
      <c r="J6" s="35" t="e">
        <f t="shared" ref="J6:J465" ca="1" si="0">ifna(I6/20,0)</f>
        <v>#NAME?</v>
      </c>
      <c r="K6" s="36" t="str">
        <f t="shared" ref="K6:K94" si="1">IF(AND(G6&lt;=$L$4,H6&gt;=$K$4),"유효","")</f>
        <v>유효</v>
      </c>
      <c r="L6" s="37" t="str">
        <f t="shared" ref="L6:L94" si="2">IF(AND(H6&gt;=$K$4,H6&lt;=$L$4),"만료","")</f>
        <v/>
      </c>
      <c r="M6" s="30" t="s">
        <v>374</v>
      </c>
      <c r="N6" s="38" t="b">
        <v>0</v>
      </c>
      <c r="O6" s="38" t="b">
        <v>0</v>
      </c>
      <c r="P6" s="38" t="b">
        <v>0</v>
      </c>
      <c r="Q6" s="39">
        <f>VLOOKUP($B6,'25년 12월 출석표'!$B$2:$BQ$497,16,0)/5</f>
        <v>0.6</v>
      </c>
      <c r="R6" s="40"/>
      <c r="S6" s="41">
        <f>VLOOKUP($B6,'25년 12월 출석표'!$B$2:$BQ$497,30,0)/5</f>
        <v>0.2</v>
      </c>
      <c r="T6" s="40"/>
      <c r="U6" s="41">
        <f>VLOOKUP($B6,'25년 12월 출석표'!$B$2:$BQ$497,44,0)/5</f>
        <v>0</v>
      </c>
      <c r="V6" s="40"/>
      <c r="W6" s="41">
        <f>VLOOKUP($B6,'25년 12월 출석표'!$B$2:$BQ$497,58,0)/5</f>
        <v>0</v>
      </c>
      <c r="X6" s="42"/>
      <c r="Y6" s="41">
        <f>VLOOKUP($B6,'25년 12월 출석표'!$B$2:$BQ$503,66,0)/5</f>
        <v>0</v>
      </c>
      <c r="Z6" s="43"/>
    </row>
    <row r="7" spans="1:26">
      <c r="A7" s="29"/>
      <c r="B7" s="30" t="s">
        <v>24</v>
      </c>
      <c r="C7" s="30" t="s">
        <v>4</v>
      </c>
      <c r="D7" s="31" t="s">
        <v>25</v>
      </c>
      <c r="E7" s="32" t="s">
        <v>373</v>
      </c>
      <c r="F7" s="50">
        <v>45834</v>
      </c>
      <c r="G7" s="33">
        <v>45859</v>
      </c>
      <c r="H7" s="33">
        <v>46112</v>
      </c>
      <c r="I7" s="34">
        <f>VLOOKUP(B7,'25년 12월 출석표'!$B$7:$D$509,3,0)</f>
        <v>10</v>
      </c>
      <c r="J7" s="35" t="e">
        <f t="shared" ca="1" si="0"/>
        <v>#NAME?</v>
      </c>
      <c r="K7" s="36" t="str">
        <f t="shared" si="1"/>
        <v>유효</v>
      </c>
      <c r="L7" s="37" t="str">
        <f t="shared" si="2"/>
        <v/>
      </c>
      <c r="M7" s="30" t="s">
        <v>375</v>
      </c>
      <c r="N7" s="44" t="b">
        <v>1</v>
      </c>
      <c r="O7" s="38" t="b">
        <v>0</v>
      </c>
      <c r="P7" s="38" t="b">
        <v>0</v>
      </c>
      <c r="Q7" s="39">
        <f>VLOOKUP($B7,'25년 12월 출석표'!$B$2:$BQ$497,16,0)/5</f>
        <v>0.2</v>
      </c>
      <c r="R7" s="40"/>
      <c r="S7" s="41">
        <f>VLOOKUP($B7,'25년 12월 출석표'!$B$2:$BQ$497,30,0)/5</f>
        <v>0.4</v>
      </c>
      <c r="T7" s="40"/>
      <c r="U7" s="41">
        <f>VLOOKUP($B7,'25년 12월 출석표'!$B$2:$BQ$497,44,0)/5</f>
        <v>0.8</v>
      </c>
      <c r="V7" s="40"/>
      <c r="W7" s="41">
        <f>VLOOKUP($B7,'25년 12월 출석표'!$B$2:$BQ$497,58,0)/5</f>
        <v>0.2</v>
      </c>
      <c r="X7" s="42"/>
      <c r="Y7" s="41">
        <f>VLOOKUP($B7,'25년 12월 출석표'!$B$2:$BQ$503,66,0)/5</f>
        <v>0.4</v>
      </c>
      <c r="Z7" s="43"/>
    </row>
    <row r="8" spans="1:26">
      <c r="A8" s="29"/>
      <c r="B8" s="30" t="s">
        <v>29</v>
      </c>
      <c r="C8" s="30" t="s">
        <v>4</v>
      </c>
      <c r="D8" s="31" t="s">
        <v>30</v>
      </c>
      <c r="E8" s="32" t="s">
        <v>376</v>
      </c>
      <c r="F8" s="50">
        <v>45834</v>
      </c>
      <c r="G8" s="33">
        <v>45962</v>
      </c>
      <c r="H8" s="33">
        <v>46249</v>
      </c>
      <c r="I8" s="34">
        <f>VLOOKUP(B8,'25년 12월 출석표'!$B$7:$D$509,3,0)</f>
        <v>14</v>
      </c>
      <c r="J8" s="35" t="e">
        <f t="shared" ca="1" si="0"/>
        <v>#NAME?</v>
      </c>
      <c r="K8" s="36" t="str">
        <f t="shared" si="1"/>
        <v>유효</v>
      </c>
      <c r="L8" s="37" t="str">
        <f t="shared" si="2"/>
        <v/>
      </c>
      <c r="M8" s="30" t="s">
        <v>374</v>
      </c>
      <c r="N8" s="38" t="b">
        <v>0</v>
      </c>
      <c r="O8" s="38" t="b">
        <v>0</v>
      </c>
      <c r="P8" s="38" t="b">
        <v>0</v>
      </c>
      <c r="Q8" s="39">
        <f>VLOOKUP($B8,'25년 12월 출석표'!$B$2:$BQ$497,16,0)/5</f>
        <v>0.6</v>
      </c>
      <c r="R8" s="40"/>
      <c r="S8" s="41">
        <f>VLOOKUP($B8,'25년 12월 출석표'!$B$2:$BQ$497,30,0)/5</f>
        <v>0.6</v>
      </c>
      <c r="T8" s="40"/>
      <c r="U8" s="41">
        <f>VLOOKUP($B8,'25년 12월 출석표'!$B$2:$BQ$497,44,0)/5</f>
        <v>0.6</v>
      </c>
      <c r="V8" s="40"/>
      <c r="W8" s="41">
        <f>VLOOKUP($B8,'25년 12월 출석표'!$B$2:$BQ$497,58,0)/5</f>
        <v>0.6</v>
      </c>
      <c r="X8" s="42"/>
      <c r="Y8" s="41">
        <f>VLOOKUP($B8,'25년 12월 출석표'!$B$2:$BQ$503,66,0)/5</f>
        <v>0.4</v>
      </c>
      <c r="Z8" s="43"/>
    </row>
    <row r="9" spans="1:26">
      <c r="A9" s="29"/>
      <c r="B9" s="30" t="s">
        <v>35</v>
      </c>
      <c r="C9" s="30" t="s">
        <v>3</v>
      </c>
      <c r="D9" s="31" t="s">
        <v>36</v>
      </c>
      <c r="E9" s="32" t="s">
        <v>377</v>
      </c>
      <c r="F9" s="50">
        <v>45835</v>
      </c>
      <c r="G9" s="33">
        <v>45859</v>
      </c>
      <c r="H9" s="45">
        <v>46223</v>
      </c>
      <c r="I9" s="34">
        <f>VLOOKUP(B9,'25년 12월 출석표'!$B$7:$D$509,3,0)</f>
        <v>1</v>
      </c>
      <c r="J9" s="35" t="e">
        <f t="shared" ca="1" si="0"/>
        <v>#NAME?</v>
      </c>
      <c r="K9" s="36" t="str">
        <f t="shared" si="1"/>
        <v>유효</v>
      </c>
      <c r="L9" s="37" t="str">
        <f t="shared" si="2"/>
        <v/>
      </c>
      <c r="M9" s="30" t="s">
        <v>374</v>
      </c>
      <c r="N9" s="38" t="b">
        <v>0</v>
      </c>
      <c r="O9" s="38" t="b">
        <v>0</v>
      </c>
      <c r="P9" s="38" t="b">
        <v>0</v>
      </c>
      <c r="Q9" s="39">
        <f>VLOOKUP($B9,'25년 12월 출석표'!$B$2:$BQ$497,16,0)/5</f>
        <v>0</v>
      </c>
      <c r="R9" s="40"/>
      <c r="S9" s="41">
        <f>VLOOKUP($B9,'25년 12월 출석표'!$B$2:$BQ$497,30,0)/5</f>
        <v>0</v>
      </c>
      <c r="T9" s="40"/>
      <c r="U9" s="41">
        <f>VLOOKUP($B9,'25년 12월 출석표'!$B$2:$BQ$497,44,0)/5</f>
        <v>0</v>
      </c>
      <c r="V9" s="40"/>
      <c r="W9" s="41">
        <f>VLOOKUP($B9,'25년 12월 출석표'!$B$2:$BQ$497,58,0)/5</f>
        <v>0.2</v>
      </c>
      <c r="X9" s="42"/>
      <c r="Y9" s="41">
        <f>VLOOKUP($B9,'25년 12월 출석표'!$B$2:$BQ$503,66,0)/5</f>
        <v>0</v>
      </c>
      <c r="Z9" s="43"/>
    </row>
    <row r="10" spans="1:26">
      <c r="A10" s="29"/>
      <c r="B10" s="30" t="s">
        <v>32</v>
      </c>
      <c r="C10" s="30" t="s">
        <v>4</v>
      </c>
      <c r="D10" s="31" t="s">
        <v>33</v>
      </c>
      <c r="E10" s="32" t="s">
        <v>377</v>
      </c>
      <c r="F10" s="50">
        <v>45835</v>
      </c>
      <c r="G10" s="33">
        <v>45946</v>
      </c>
      <c r="H10" s="33">
        <v>46223</v>
      </c>
      <c r="I10" s="34">
        <f>VLOOKUP(B10,'25년 12월 출석표'!$B$7:$D$509,3,0)</f>
        <v>1</v>
      </c>
      <c r="J10" s="35" t="e">
        <f t="shared" ca="1" si="0"/>
        <v>#NAME?</v>
      </c>
      <c r="K10" s="36" t="str">
        <f t="shared" si="1"/>
        <v>유효</v>
      </c>
      <c r="L10" s="37" t="str">
        <f t="shared" si="2"/>
        <v/>
      </c>
      <c r="M10" s="30" t="s">
        <v>374</v>
      </c>
      <c r="N10" s="38" t="b">
        <v>0</v>
      </c>
      <c r="O10" s="38" t="b">
        <v>0</v>
      </c>
      <c r="P10" s="38" t="b">
        <v>0</v>
      </c>
      <c r="Q10" s="39">
        <f>VLOOKUP($B10,'25년 12월 출석표'!$B$2:$BQ$497,16,0)/5</f>
        <v>0</v>
      </c>
      <c r="R10" s="40"/>
      <c r="S10" s="41">
        <f>VLOOKUP($B10,'25년 12월 출석표'!$B$2:$BQ$497,30,0)/5</f>
        <v>0</v>
      </c>
      <c r="T10" s="40"/>
      <c r="U10" s="41">
        <f>VLOOKUP($B10,'25년 12월 출석표'!$B$2:$BQ$497,44,0)/5</f>
        <v>0</v>
      </c>
      <c r="V10" s="40"/>
      <c r="W10" s="41">
        <f>VLOOKUP($B10,'25년 12월 출석표'!$B$2:$BQ$497,58,0)/5</f>
        <v>0.2</v>
      </c>
      <c r="X10" s="42"/>
      <c r="Y10" s="41">
        <f>VLOOKUP($B10,'25년 12월 출석표'!$B$2:$BQ$503,66,0)/5</f>
        <v>0</v>
      </c>
      <c r="Z10" s="43"/>
    </row>
    <row r="11" spans="1:26">
      <c r="A11" s="29"/>
      <c r="B11" s="30" t="s">
        <v>37</v>
      </c>
      <c r="C11" s="30" t="s">
        <v>4</v>
      </c>
      <c r="D11" s="31" t="s">
        <v>38</v>
      </c>
      <c r="E11" s="32" t="s">
        <v>373</v>
      </c>
      <c r="F11" s="167">
        <v>45838</v>
      </c>
      <c r="G11" s="33">
        <v>45859</v>
      </c>
      <c r="H11" s="33">
        <v>46132</v>
      </c>
      <c r="I11" s="34">
        <f>VLOOKUP(B11,'25년 12월 출석표'!$B$7:$D$509,3,0)</f>
        <v>0</v>
      </c>
      <c r="J11" s="35" t="e">
        <f t="shared" ca="1" si="0"/>
        <v>#NAME?</v>
      </c>
      <c r="K11" s="36" t="str">
        <f t="shared" si="1"/>
        <v>유효</v>
      </c>
      <c r="L11" s="37" t="str">
        <f t="shared" si="2"/>
        <v/>
      </c>
      <c r="M11" s="30" t="s">
        <v>378</v>
      </c>
      <c r="N11" s="44" t="b">
        <v>1</v>
      </c>
      <c r="O11" s="38" t="b">
        <v>0</v>
      </c>
      <c r="P11" s="38" t="b">
        <v>0</v>
      </c>
      <c r="Q11" s="39">
        <f>VLOOKUP($B11,'25년 12월 출석표'!$B$2:$BQ$497,16,0)/5</f>
        <v>0</v>
      </c>
      <c r="R11" s="40"/>
      <c r="S11" s="41">
        <f>VLOOKUP($B11,'25년 12월 출석표'!$B$2:$BQ$497,30,0)/5</f>
        <v>0</v>
      </c>
      <c r="T11" s="40"/>
      <c r="U11" s="41">
        <f>VLOOKUP($B11,'25년 12월 출석표'!$B$2:$BQ$497,44,0)/5</f>
        <v>0</v>
      </c>
      <c r="V11" s="40"/>
      <c r="W11" s="41">
        <f>VLOOKUP($B11,'25년 12월 출석표'!$B$2:$BQ$497,58,0)/5</f>
        <v>0</v>
      </c>
      <c r="X11" s="42"/>
      <c r="Y11" s="41">
        <f>VLOOKUP($B11,'25년 12월 출석표'!$B$2:$BQ$503,66,0)/5</f>
        <v>0</v>
      </c>
      <c r="Z11" s="43"/>
    </row>
    <row r="12" spans="1:26">
      <c r="A12" s="29"/>
      <c r="B12" s="30" t="s">
        <v>39</v>
      </c>
      <c r="C12" s="30" t="s">
        <v>4</v>
      </c>
      <c r="D12" s="31" t="s">
        <v>40</v>
      </c>
      <c r="E12" s="32" t="s">
        <v>377</v>
      </c>
      <c r="F12" s="50">
        <v>45838</v>
      </c>
      <c r="G12" s="33">
        <v>45859</v>
      </c>
      <c r="H12" s="33">
        <v>46268</v>
      </c>
      <c r="I12" s="34">
        <f>VLOOKUP(B12,'25년 12월 출석표'!$B$7:$D$509,3,0)</f>
        <v>11</v>
      </c>
      <c r="J12" s="35" t="e">
        <f t="shared" ca="1" si="0"/>
        <v>#NAME?</v>
      </c>
      <c r="K12" s="36" t="str">
        <f t="shared" si="1"/>
        <v>유효</v>
      </c>
      <c r="L12" s="37" t="str">
        <f t="shared" si="2"/>
        <v/>
      </c>
      <c r="M12" s="30" t="s">
        <v>378</v>
      </c>
      <c r="N12" s="44" t="b">
        <v>1</v>
      </c>
      <c r="O12" s="38" t="b">
        <v>0</v>
      </c>
      <c r="P12" s="38" t="b">
        <v>0</v>
      </c>
      <c r="Q12" s="39">
        <f>VLOOKUP($B12,'25년 12월 출석표'!$B$2:$BQ$497,16,0)/5</f>
        <v>0.6</v>
      </c>
      <c r="R12" s="40"/>
      <c r="S12" s="41">
        <f>VLOOKUP($B12,'25년 12월 출석표'!$B$2:$BQ$497,30,0)/5</f>
        <v>0.6</v>
      </c>
      <c r="T12" s="40"/>
      <c r="U12" s="41">
        <f>VLOOKUP($B12,'25년 12월 출석표'!$B$2:$BQ$497,44,0)/5</f>
        <v>0.4</v>
      </c>
      <c r="V12" s="40"/>
      <c r="W12" s="41">
        <f>VLOOKUP($B12,'25년 12월 출석표'!$B$2:$BQ$497,58,0)/5</f>
        <v>0.6</v>
      </c>
      <c r="X12" s="42"/>
      <c r="Y12" s="41">
        <f>VLOOKUP($B12,'25년 12월 출석표'!$B$2:$BQ$503,66,0)/5</f>
        <v>0</v>
      </c>
      <c r="Z12" s="43"/>
    </row>
    <row r="13" spans="1:26">
      <c r="A13" s="29"/>
      <c r="B13" s="30" t="s">
        <v>45</v>
      </c>
      <c r="C13" s="30" t="s">
        <v>3</v>
      </c>
      <c r="D13" s="31" t="s">
        <v>46</v>
      </c>
      <c r="E13" s="32" t="s">
        <v>377</v>
      </c>
      <c r="F13" s="50">
        <v>45839</v>
      </c>
      <c r="G13" s="33">
        <v>45875</v>
      </c>
      <c r="H13" s="33">
        <v>46239</v>
      </c>
      <c r="I13" s="34">
        <f>VLOOKUP(B13,'25년 12월 출석표'!$B$7:$D$509,3,0)</f>
        <v>0</v>
      </c>
      <c r="J13" s="35" t="e">
        <f t="shared" ca="1" si="0"/>
        <v>#NAME?</v>
      </c>
      <c r="K13" s="36" t="str">
        <f t="shared" si="1"/>
        <v>유효</v>
      </c>
      <c r="L13" s="37" t="str">
        <f t="shared" si="2"/>
        <v/>
      </c>
      <c r="M13" s="30" t="s">
        <v>378</v>
      </c>
      <c r="N13" s="44" t="b">
        <v>1</v>
      </c>
      <c r="O13" s="38" t="b">
        <v>0</v>
      </c>
      <c r="P13" s="38" t="b">
        <v>0</v>
      </c>
      <c r="Q13" s="39">
        <f>VLOOKUP($B13,'25년 12월 출석표'!$B$2:$BQ$497,16,0)/5</f>
        <v>0</v>
      </c>
      <c r="R13" s="40"/>
      <c r="S13" s="41">
        <f>VLOOKUP($B13,'25년 12월 출석표'!$B$2:$BQ$497,30,0)/5</f>
        <v>0</v>
      </c>
      <c r="T13" s="40"/>
      <c r="U13" s="41">
        <f>VLOOKUP($B13,'25년 12월 출석표'!$B$2:$BQ$497,44,0)/5</f>
        <v>0</v>
      </c>
      <c r="V13" s="40"/>
      <c r="W13" s="41">
        <f>VLOOKUP($B13,'25년 12월 출석표'!$B$2:$BQ$497,58,0)/5</f>
        <v>0</v>
      </c>
      <c r="X13" s="42"/>
      <c r="Y13" s="41">
        <f>VLOOKUP($B13,'25년 12월 출석표'!$B$2:$BQ$503,66,0)/5</f>
        <v>0</v>
      </c>
      <c r="Z13" s="43"/>
    </row>
    <row r="14" spans="1:26">
      <c r="A14" s="29"/>
      <c r="B14" s="30" t="s">
        <v>41</v>
      </c>
      <c r="C14" s="30" t="s">
        <v>3</v>
      </c>
      <c r="D14" s="31" t="s">
        <v>42</v>
      </c>
      <c r="E14" s="32" t="s">
        <v>373</v>
      </c>
      <c r="F14" s="50">
        <v>45839</v>
      </c>
      <c r="G14" s="33">
        <v>45859</v>
      </c>
      <c r="H14" s="33">
        <v>46057</v>
      </c>
      <c r="I14" s="34">
        <f>VLOOKUP(B14,'25년 12월 출석표'!$B$7:$D$509,3,0)</f>
        <v>3</v>
      </c>
      <c r="J14" s="35" t="e">
        <f t="shared" ca="1" si="0"/>
        <v>#NAME?</v>
      </c>
      <c r="K14" s="36" t="str">
        <f t="shared" si="1"/>
        <v>유효</v>
      </c>
      <c r="L14" s="37" t="str">
        <f t="shared" si="2"/>
        <v/>
      </c>
      <c r="M14" s="30" t="s">
        <v>374</v>
      </c>
      <c r="N14" s="38" t="b">
        <v>0</v>
      </c>
      <c r="O14" s="38" t="b">
        <v>0</v>
      </c>
      <c r="P14" s="38" t="b">
        <v>0</v>
      </c>
      <c r="Q14" s="39">
        <f>VLOOKUP($B14,'25년 12월 출석표'!$B$2:$BQ$497,16,0)/5</f>
        <v>0</v>
      </c>
      <c r="R14" s="40"/>
      <c r="S14" s="41">
        <f>VLOOKUP($B14,'25년 12월 출석표'!$B$2:$BQ$497,30,0)/5</f>
        <v>0</v>
      </c>
      <c r="T14" s="40"/>
      <c r="U14" s="41">
        <f>VLOOKUP($B14,'25년 12월 출석표'!$B$2:$BQ$497,44,0)/5</f>
        <v>0</v>
      </c>
      <c r="V14" s="40"/>
      <c r="W14" s="41">
        <f>VLOOKUP($B14,'25년 12월 출석표'!$B$2:$BQ$497,58,0)/5</f>
        <v>0.2</v>
      </c>
      <c r="X14" s="42"/>
      <c r="Y14" s="41">
        <f>VLOOKUP($B14,'25년 12월 출석표'!$B$2:$BQ$503,66,0)/5</f>
        <v>0.4</v>
      </c>
      <c r="Z14" s="43"/>
    </row>
    <row r="15" spans="1:26">
      <c r="A15" s="29"/>
      <c r="B15" s="30" t="s">
        <v>49</v>
      </c>
      <c r="C15" s="30" t="s">
        <v>4</v>
      </c>
      <c r="D15" s="31" t="s">
        <v>50</v>
      </c>
      <c r="E15" s="32" t="s">
        <v>377</v>
      </c>
      <c r="F15" s="50">
        <v>45839</v>
      </c>
      <c r="G15" s="33">
        <v>45859</v>
      </c>
      <c r="H15" s="33">
        <v>46300</v>
      </c>
      <c r="I15" s="34">
        <f>VLOOKUP(B15,'25년 12월 출석표'!$B$7:$D$509,3,0)</f>
        <v>3</v>
      </c>
      <c r="J15" s="35" t="e">
        <f t="shared" ca="1" si="0"/>
        <v>#NAME?</v>
      </c>
      <c r="K15" s="36" t="str">
        <f t="shared" si="1"/>
        <v>유효</v>
      </c>
      <c r="L15" s="37" t="str">
        <f t="shared" si="2"/>
        <v/>
      </c>
      <c r="M15" s="30" t="s">
        <v>378</v>
      </c>
      <c r="N15" s="44" t="b">
        <v>1</v>
      </c>
      <c r="O15" s="38" t="b">
        <v>0</v>
      </c>
      <c r="P15" s="38" t="b">
        <v>0</v>
      </c>
      <c r="Q15" s="39">
        <f>VLOOKUP($B15,'25년 12월 출석표'!$B$2:$BQ$497,16,0)/5</f>
        <v>0</v>
      </c>
      <c r="R15" s="40"/>
      <c r="S15" s="41">
        <f>VLOOKUP($B15,'25년 12월 출석표'!$B$2:$BQ$497,30,0)/5</f>
        <v>0.2</v>
      </c>
      <c r="T15" s="40"/>
      <c r="U15" s="41">
        <f>VLOOKUP($B15,'25년 12월 출석표'!$B$2:$BQ$497,44,0)/5</f>
        <v>0.2</v>
      </c>
      <c r="V15" s="40"/>
      <c r="W15" s="41">
        <f>VLOOKUP($B15,'25년 12월 출석표'!$B$2:$BQ$497,58,0)/5</f>
        <v>0.2</v>
      </c>
      <c r="X15" s="42"/>
      <c r="Y15" s="41">
        <f>VLOOKUP($B15,'25년 12월 출석표'!$B$2:$BQ$503,66,0)/5</f>
        <v>0</v>
      </c>
      <c r="Z15" s="43"/>
    </row>
    <row r="16" spans="1:26">
      <c r="A16" s="29"/>
      <c r="B16" s="30" t="s">
        <v>47</v>
      </c>
      <c r="C16" s="30" t="s">
        <v>4</v>
      </c>
      <c r="D16" s="31" t="s">
        <v>48</v>
      </c>
      <c r="E16" s="32" t="s">
        <v>377</v>
      </c>
      <c r="F16" s="50">
        <v>45839</v>
      </c>
      <c r="G16" s="33">
        <v>45859</v>
      </c>
      <c r="H16" s="33">
        <v>46240</v>
      </c>
      <c r="I16" s="34">
        <f>VLOOKUP(B16,'25년 12월 출석표'!$B$7:$D$509,3,0)</f>
        <v>8</v>
      </c>
      <c r="J16" s="35" t="e">
        <f t="shared" ca="1" si="0"/>
        <v>#NAME?</v>
      </c>
      <c r="K16" s="36" t="str">
        <f t="shared" si="1"/>
        <v>유효</v>
      </c>
      <c r="L16" s="37" t="str">
        <f t="shared" si="2"/>
        <v/>
      </c>
      <c r="M16" s="30" t="s">
        <v>378</v>
      </c>
      <c r="N16" s="44" t="b">
        <v>1</v>
      </c>
      <c r="O16" s="38" t="b">
        <v>0</v>
      </c>
      <c r="P16" s="38" t="b">
        <v>0</v>
      </c>
      <c r="Q16" s="39">
        <f>VLOOKUP($B16,'25년 12월 출석표'!$B$2:$BQ$497,16,0)/5</f>
        <v>0.6</v>
      </c>
      <c r="R16" s="40"/>
      <c r="S16" s="41">
        <f>VLOOKUP($B16,'25년 12월 출석표'!$B$2:$BQ$497,30,0)/5</f>
        <v>0.6</v>
      </c>
      <c r="T16" s="40"/>
      <c r="U16" s="41">
        <f>VLOOKUP($B16,'25년 12월 출석표'!$B$2:$BQ$497,44,0)/5</f>
        <v>0.2</v>
      </c>
      <c r="V16" s="40"/>
      <c r="W16" s="41">
        <f>VLOOKUP($B16,'25년 12월 출석표'!$B$2:$BQ$497,58,0)/5</f>
        <v>0.2</v>
      </c>
      <c r="X16" s="42"/>
      <c r="Y16" s="41">
        <f>VLOOKUP($B16,'25년 12월 출석표'!$B$2:$BQ$503,66,0)/5</f>
        <v>0</v>
      </c>
      <c r="Z16" s="43"/>
    </row>
    <row r="17" spans="1:26">
      <c r="A17" s="29"/>
      <c r="B17" s="30" t="s">
        <v>51</v>
      </c>
      <c r="C17" s="30" t="s">
        <v>4</v>
      </c>
      <c r="D17" s="31" t="s">
        <v>52</v>
      </c>
      <c r="E17" s="32" t="s">
        <v>377</v>
      </c>
      <c r="F17" s="50">
        <v>45839</v>
      </c>
      <c r="G17" s="33">
        <v>45859</v>
      </c>
      <c r="H17" s="33">
        <v>46325</v>
      </c>
      <c r="I17" s="34">
        <f>VLOOKUP(B17,'25년 12월 출석표'!$B$7:$D$509,3,0)</f>
        <v>8</v>
      </c>
      <c r="J17" s="35" t="e">
        <f t="shared" ca="1" si="0"/>
        <v>#NAME?</v>
      </c>
      <c r="K17" s="36" t="str">
        <f t="shared" si="1"/>
        <v>유효</v>
      </c>
      <c r="L17" s="37" t="str">
        <f t="shared" si="2"/>
        <v/>
      </c>
      <c r="M17" s="30" t="s">
        <v>374</v>
      </c>
      <c r="N17" s="38" t="b">
        <v>0</v>
      </c>
      <c r="O17" s="38" t="b">
        <v>0</v>
      </c>
      <c r="P17" s="38" t="b">
        <v>0</v>
      </c>
      <c r="Q17" s="39">
        <f>VLOOKUP($B17,'25년 12월 출석표'!$B$2:$BQ$497,16,0)/5</f>
        <v>0.4</v>
      </c>
      <c r="R17" s="40"/>
      <c r="S17" s="41">
        <f>VLOOKUP($B17,'25년 12월 출석표'!$B$2:$BQ$497,30,0)/5</f>
        <v>0.2</v>
      </c>
      <c r="T17" s="40"/>
      <c r="U17" s="41">
        <f>VLOOKUP($B17,'25년 12월 출석표'!$B$2:$BQ$497,44,0)/5</f>
        <v>0.4</v>
      </c>
      <c r="V17" s="40"/>
      <c r="W17" s="41">
        <f>VLOOKUP($B17,'25년 12월 출석표'!$B$2:$BQ$497,58,0)/5</f>
        <v>0.4</v>
      </c>
      <c r="X17" s="42"/>
      <c r="Y17" s="41">
        <f>VLOOKUP($B17,'25년 12월 출석표'!$B$2:$BQ$503,66,0)/5</f>
        <v>0.2</v>
      </c>
      <c r="Z17" s="43"/>
    </row>
    <row r="18" spans="1:26">
      <c r="A18" s="29"/>
      <c r="B18" s="30" t="s">
        <v>43</v>
      </c>
      <c r="C18" s="30" t="s">
        <v>4</v>
      </c>
      <c r="D18" s="31" t="s">
        <v>44</v>
      </c>
      <c r="E18" s="32" t="s">
        <v>377</v>
      </c>
      <c r="F18" s="50">
        <v>45839</v>
      </c>
      <c r="G18" s="33">
        <v>45859</v>
      </c>
      <c r="H18" s="33">
        <v>46223</v>
      </c>
      <c r="I18" s="34">
        <f>VLOOKUP(B18,'25년 12월 출석표'!$B$7:$D$509,3,0)</f>
        <v>18</v>
      </c>
      <c r="J18" s="35" t="e">
        <f t="shared" ca="1" si="0"/>
        <v>#NAME?</v>
      </c>
      <c r="K18" s="36" t="str">
        <f t="shared" si="1"/>
        <v>유효</v>
      </c>
      <c r="L18" s="37" t="str">
        <f t="shared" si="2"/>
        <v/>
      </c>
      <c r="M18" s="30" t="s">
        <v>375</v>
      </c>
      <c r="N18" s="44" t="b">
        <v>1</v>
      </c>
      <c r="O18" s="38" t="b">
        <v>0</v>
      </c>
      <c r="P18" s="38" t="b">
        <v>0</v>
      </c>
      <c r="Q18" s="39">
        <f>VLOOKUP($B18,'25년 12월 출석표'!$B$2:$BQ$497,16,0)/5</f>
        <v>0.8</v>
      </c>
      <c r="R18" s="40"/>
      <c r="S18" s="41">
        <f>VLOOKUP($B18,'25년 12월 출석표'!$B$2:$BQ$497,30,0)/5</f>
        <v>1</v>
      </c>
      <c r="T18" s="40"/>
      <c r="U18" s="41">
        <f>VLOOKUP($B18,'25년 12월 출석표'!$B$2:$BQ$497,44,0)/5</f>
        <v>1</v>
      </c>
      <c r="V18" s="40"/>
      <c r="W18" s="41">
        <f>VLOOKUP($B18,'25년 12월 출석표'!$B$2:$BQ$497,58,0)/5</f>
        <v>0.6</v>
      </c>
      <c r="X18" s="42"/>
      <c r="Y18" s="41">
        <f>VLOOKUP($B18,'25년 12월 출석표'!$B$2:$BQ$503,66,0)/5</f>
        <v>0.2</v>
      </c>
      <c r="Z18" s="43"/>
    </row>
    <row r="19" spans="1:26">
      <c r="A19" s="29"/>
      <c r="B19" s="30" t="s">
        <v>53</v>
      </c>
      <c r="C19" s="30" t="s">
        <v>4</v>
      </c>
      <c r="D19" s="31" t="s">
        <v>54</v>
      </c>
      <c r="E19" s="32" t="s">
        <v>373</v>
      </c>
      <c r="F19" s="50">
        <v>45842</v>
      </c>
      <c r="G19" s="33">
        <v>45859</v>
      </c>
      <c r="H19" s="33">
        <v>46042</v>
      </c>
      <c r="I19" s="34">
        <f>VLOOKUP(B19,'25년 12월 출석표'!$B$7:$D$509,3,0)</f>
        <v>0</v>
      </c>
      <c r="J19" s="35" t="e">
        <f t="shared" ca="1" si="0"/>
        <v>#NAME?</v>
      </c>
      <c r="K19" s="36" t="str">
        <f t="shared" si="1"/>
        <v>유효</v>
      </c>
      <c r="L19" s="37" t="str">
        <f t="shared" si="2"/>
        <v/>
      </c>
      <c r="M19" s="30" t="s">
        <v>374</v>
      </c>
      <c r="N19" s="38" t="b">
        <v>0</v>
      </c>
      <c r="O19" s="38" t="b">
        <v>0</v>
      </c>
      <c r="P19" s="38" t="b">
        <v>0</v>
      </c>
      <c r="Q19" s="39">
        <f>VLOOKUP($B19,'25년 12월 출석표'!$B$2:$BQ$497,16,0)/5</f>
        <v>0</v>
      </c>
      <c r="R19" s="40"/>
      <c r="S19" s="41">
        <f>VLOOKUP($B19,'25년 12월 출석표'!$B$2:$BQ$497,30,0)/5</f>
        <v>0</v>
      </c>
      <c r="T19" s="40"/>
      <c r="U19" s="41">
        <f>VLOOKUP($B19,'25년 12월 출석표'!$B$2:$BQ$497,44,0)/5</f>
        <v>0</v>
      </c>
      <c r="V19" s="40"/>
      <c r="W19" s="41">
        <f>VLOOKUP($B19,'25년 12월 출석표'!$B$2:$BQ$497,58,0)/5</f>
        <v>0</v>
      </c>
      <c r="X19" s="42"/>
      <c r="Y19" s="41">
        <f>VLOOKUP($B19,'25년 12월 출석표'!$B$2:$BQ$503,66,0)/5</f>
        <v>0</v>
      </c>
      <c r="Z19" s="43"/>
    </row>
    <row r="20" spans="1:26">
      <c r="A20" s="29"/>
      <c r="B20" s="30" t="s">
        <v>58</v>
      </c>
      <c r="C20" s="30" t="s">
        <v>4</v>
      </c>
      <c r="D20" s="31" t="s">
        <v>59</v>
      </c>
      <c r="E20" s="32" t="s">
        <v>373</v>
      </c>
      <c r="F20" s="50">
        <v>45842</v>
      </c>
      <c r="G20" s="33">
        <v>45969</v>
      </c>
      <c r="H20" s="33">
        <v>46149</v>
      </c>
      <c r="I20" s="34">
        <f>VLOOKUP(B20,'25년 12월 출석표'!$B$7:$D$509,3,0)</f>
        <v>2</v>
      </c>
      <c r="J20" s="35" t="e">
        <f t="shared" ca="1" si="0"/>
        <v>#NAME?</v>
      </c>
      <c r="K20" s="36" t="str">
        <f t="shared" si="1"/>
        <v>유효</v>
      </c>
      <c r="L20" s="37" t="str">
        <f t="shared" si="2"/>
        <v/>
      </c>
      <c r="M20" s="30" t="s">
        <v>374</v>
      </c>
      <c r="N20" s="38" t="b">
        <v>0</v>
      </c>
      <c r="O20" s="38" t="b">
        <v>0</v>
      </c>
      <c r="P20" s="38" t="b">
        <v>0</v>
      </c>
      <c r="Q20" s="39">
        <f>VLOOKUP($B20,'25년 12월 출석표'!$B$2:$BQ$497,16,0)/5</f>
        <v>0.4</v>
      </c>
      <c r="R20" s="40"/>
      <c r="S20" s="41">
        <f>VLOOKUP($B20,'25년 12월 출석표'!$B$2:$BQ$497,30,0)/5</f>
        <v>0</v>
      </c>
      <c r="T20" s="40"/>
      <c r="U20" s="41">
        <f>VLOOKUP($B20,'25년 12월 출석표'!$B$2:$BQ$497,44,0)/5</f>
        <v>0</v>
      </c>
      <c r="V20" s="40"/>
      <c r="W20" s="41">
        <f>VLOOKUP($B20,'25년 12월 출석표'!$B$2:$BQ$497,58,0)/5</f>
        <v>0</v>
      </c>
      <c r="X20" s="42"/>
      <c r="Y20" s="41">
        <f>VLOOKUP($B20,'25년 12월 출석표'!$B$2:$BQ$503,66,0)/5</f>
        <v>0</v>
      </c>
      <c r="Z20" s="43"/>
    </row>
    <row r="21" spans="1:26">
      <c r="A21" s="29"/>
      <c r="B21" s="30" t="s">
        <v>60</v>
      </c>
      <c r="C21" s="30" t="s">
        <v>4</v>
      </c>
      <c r="D21" s="31" t="s">
        <v>61</v>
      </c>
      <c r="E21" s="32" t="s">
        <v>377</v>
      </c>
      <c r="F21" s="50">
        <v>45843</v>
      </c>
      <c r="G21" s="33">
        <v>45859</v>
      </c>
      <c r="H21" s="33">
        <v>46261</v>
      </c>
      <c r="I21" s="34">
        <f>VLOOKUP(B21,'25년 12월 출석표'!$B$7:$D$509,3,0)</f>
        <v>4</v>
      </c>
      <c r="J21" s="35" t="e">
        <f t="shared" ca="1" si="0"/>
        <v>#NAME?</v>
      </c>
      <c r="K21" s="36" t="str">
        <f t="shared" si="1"/>
        <v>유효</v>
      </c>
      <c r="L21" s="37" t="str">
        <f t="shared" si="2"/>
        <v/>
      </c>
      <c r="M21" s="30" t="s">
        <v>374</v>
      </c>
      <c r="N21" s="38" t="b">
        <v>0</v>
      </c>
      <c r="O21" s="38" t="b">
        <v>0</v>
      </c>
      <c r="P21" s="38" t="b">
        <v>0</v>
      </c>
      <c r="Q21" s="39">
        <f>VLOOKUP($B21,'25년 12월 출석표'!$B$2:$BQ$497,16,0)/5</f>
        <v>0.4</v>
      </c>
      <c r="R21" s="40"/>
      <c r="S21" s="41">
        <f>VLOOKUP($B21,'25년 12월 출석표'!$B$2:$BQ$497,30,0)/5</f>
        <v>0.2</v>
      </c>
      <c r="T21" s="40"/>
      <c r="U21" s="41">
        <f>VLOOKUP($B21,'25년 12월 출석표'!$B$2:$BQ$497,44,0)/5</f>
        <v>0</v>
      </c>
      <c r="V21" s="40"/>
      <c r="W21" s="41">
        <f>VLOOKUP($B21,'25년 12월 출석표'!$B$2:$BQ$497,58,0)/5</f>
        <v>0</v>
      </c>
      <c r="X21" s="42"/>
      <c r="Y21" s="41">
        <f>VLOOKUP($B21,'25년 12월 출석표'!$B$2:$BQ$503,66,0)/5</f>
        <v>0.2</v>
      </c>
      <c r="Z21" s="43"/>
    </row>
    <row r="22" spans="1:26">
      <c r="A22" s="29"/>
      <c r="B22" s="30" t="s">
        <v>62</v>
      </c>
      <c r="C22" s="30" t="s">
        <v>4</v>
      </c>
      <c r="D22" s="31" t="s">
        <v>63</v>
      </c>
      <c r="E22" s="32" t="s">
        <v>379</v>
      </c>
      <c r="F22" s="50">
        <v>45843</v>
      </c>
      <c r="G22" s="33">
        <v>45859</v>
      </c>
      <c r="H22" s="33">
        <v>46588</v>
      </c>
      <c r="I22" s="34">
        <f>VLOOKUP(B22,'25년 12월 출석표'!$B$7:$D$509,3,0)</f>
        <v>21</v>
      </c>
      <c r="J22" s="35" t="e">
        <f t="shared" ca="1" si="0"/>
        <v>#NAME?</v>
      </c>
      <c r="K22" s="36" t="str">
        <f t="shared" si="1"/>
        <v>유효</v>
      </c>
      <c r="L22" s="37" t="str">
        <f t="shared" si="2"/>
        <v/>
      </c>
      <c r="M22" s="30" t="s">
        <v>374</v>
      </c>
      <c r="N22" s="38" t="b">
        <v>0</v>
      </c>
      <c r="O22" s="38" t="b">
        <v>0</v>
      </c>
      <c r="P22" s="38" t="b">
        <v>0</v>
      </c>
      <c r="Q22" s="39">
        <f>VLOOKUP($B22,'25년 12월 출석표'!$B$2:$BQ$497,16,0)/5</f>
        <v>1</v>
      </c>
      <c r="R22" s="40"/>
      <c r="S22" s="41">
        <f>VLOOKUP($B22,'25년 12월 출석표'!$B$2:$BQ$497,30,0)/5</f>
        <v>1</v>
      </c>
      <c r="T22" s="40"/>
      <c r="U22" s="41">
        <f>VLOOKUP($B22,'25년 12월 출석표'!$B$2:$BQ$497,44,0)/5</f>
        <v>1</v>
      </c>
      <c r="V22" s="40"/>
      <c r="W22" s="41">
        <f>VLOOKUP($B22,'25년 12월 출석표'!$B$2:$BQ$497,58,0)/5</f>
        <v>0.6</v>
      </c>
      <c r="X22" s="42"/>
      <c r="Y22" s="41">
        <f>VLOOKUP($B22,'25년 12월 출석표'!$B$2:$BQ$503,66,0)/5</f>
        <v>0.6</v>
      </c>
      <c r="Z22" s="43"/>
    </row>
    <row r="23" spans="1:26">
      <c r="A23" s="29"/>
      <c r="B23" s="30" t="s">
        <v>64</v>
      </c>
      <c r="C23" s="30" t="s">
        <v>4</v>
      </c>
      <c r="D23" s="31" t="s">
        <v>65</v>
      </c>
      <c r="E23" s="32" t="s">
        <v>373</v>
      </c>
      <c r="F23" s="33">
        <v>45846</v>
      </c>
      <c r="G23" s="33">
        <v>45859</v>
      </c>
      <c r="H23" s="33">
        <v>46042</v>
      </c>
      <c r="I23" s="34">
        <f>VLOOKUP(B23,'25년 12월 출석표'!$B$7:$D$509,3,0)</f>
        <v>2</v>
      </c>
      <c r="J23" s="35" t="e">
        <f t="shared" ca="1" si="0"/>
        <v>#NAME?</v>
      </c>
      <c r="K23" s="36" t="str">
        <f t="shared" si="1"/>
        <v>유효</v>
      </c>
      <c r="L23" s="37" t="str">
        <f t="shared" si="2"/>
        <v/>
      </c>
      <c r="M23" s="30" t="s">
        <v>378</v>
      </c>
      <c r="N23" s="44" t="b">
        <v>1</v>
      </c>
      <c r="O23" s="38" t="b">
        <v>0</v>
      </c>
      <c r="P23" s="38" t="b">
        <v>0</v>
      </c>
      <c r="Q23" s="39">
        <f>VLOOKUP($B23,'25년 12월 출석표'!$B$2:$BQ$497,16,0)/5</f>
        <v>0</v>
      </c>
      <c r="R23" s="40"/>
      <c r="S23" s="41">
        <f>VLOOKUP($B23,'25년 12월 출석표'!$B$2:$BQ$497,30,0)/5</f>
        <v>0</v>
      </c>
      <c r="T23" s="40"/>
      <c r="U23" s="41">
        <f>VLOOKUP($B23,'25년 12월 출석표'!$B$2:$BQ$497,44,0)/5</f>
        <v>0</v>
      </c>
      <c r="V23" s="40"/>
      <c r="W23" s="41">
        <f>VLOOKUP($B23,'25년 12월 출석표'!$B$2:$BQ$497,58,0)/5</f>
        <v>0.2</v>
      </c>
      <c r="X23" s="42"/>
      <c r="Y23" s="41">
        <f>VLOOKUP($B23,'25년 12월 출석표'!$B$2:$BQ$503,66,0)/5</f>
        <v>0.2</v>
      </c>
      <c r="Z23" s="43"/>
    </row>
    <row r="24" spans="1:26">
      <c r="A24" s="29"/>
      <c r="B24" s="30" t="s">
        <v>66</v>
      </c>
      <c r="C24" s="30" t="s">
        <v>4</v>
      </c>
      <c r="D24" s="31" t="s">
        <v>67</v>
      </c>
      <c r="E24" s="32" t="s">
        <v>376</v>
      </c>
      <c r="F24" s="50">
        <v>45848</v>
      </c>
      <c r="G24" s="33">
        <v>45874</v>
      </c>
      <c r="H24" s="33">
        <v>46146</v>
      </c>
      <c r="I24" s="34">
        <f>VLOOKUP(B24,'25년 12월 출석표'!$B$7:$D$509,3,0)</f>
        <v>10</v>
      </c>
      <c r="J24" s="35" t="e">
        <f t="shared" ca="1" si="0"/>
        <v>#NAME?</v>
      </c>
      <c r="K24" s="36" t="str">
        <f t="shared" si="1"/>
        <v>유효</v>
      </c>
      <c r="L24" s="37" t="str">
        <f t="shared" si="2"/>
        <v/>
      </c>
      <c r="M24" s="30" t="s">
        <v>374</v>
      </c>
      <c r="N24" s="38" t="b">
        <v>0</v>
      </c>
      <c r="O24" s="38" t="b">
        <v>0</v>
      </c>
      <c r="P24" s="38" t="b">
        <v>0</v>
      </c>
      <c r="Q24" s="39">
        <f>VLOOKUP($B24,'25년 12월 출석표'!$B$2:$BQ$497,16,0)/5</f>
        <v>0.6</v>
      </c>
      <c r="R24" s="40"/>
      <c r="S24" s="41">
        <f>VLOOKUP($B24,'25년 12월 출석표'!$B$2:$BQ$497,30,0)/5</f>
        <v>0.4</v>
      </c>
      <c r="T24" s="40"/>
      <c r="U24" s="41">
        <f>VLOOKUP($B24,'25년 12월 출석표'!$B$2:$BQ$497,44,0)/5</f>
        <v>0</v>
      </c>
      <c r="V24" s="40"/>
      <c r="W24" s="41">
        <f>VLOOKUP($B24,'25년 12월 출석표'!$B$2:$BQ$497,58,0)/5</f>
        <v>0.4</v>
      </c>
      <c r="X24" s="42"/>
      <c r="Y24" s="41">
        <f>VLOOKUP($B24,'25년 12월 출석표'!$B$2:$BQ$503,66,0)/5</f>
        <v>0.6</v>
      </c>
      <c r="Z24" s="43"/>
    </row>
    <row r="25" spans="1:26">
      <c r="A25" s="29"/>
      <c r="B25" s="30" t="s">
        <v>70</v>
      </c>
      <c r="C25" s="30" t="s">
        <v>4</v>
      </c>
      <c r="D25" s="31" t="s">
        <v>71</v>
      </c>
      <c r="E25" s="32" t="s">
        <v>377</v>
      </c>
      <c r="F25" s="50">
        <v>45850</v>
      </c>
      <c r="G25" s="33">
        <v>45866</v>
      </c>
      <c r="H25" s="33">
        <v>46356</v>
      </c>
      <c r="I25" s="34">
        <f>VLOOKUP(B25,'25년 12월 출석표'!$B$7:$D$509,3,0)</f>
        <v>0</v>
      </c>
      <c r="J25" s="35" t="e">
        <f t="shared" ca="1" si="0"/>
        <v>#NAME?</v>
      </c>
      <c r="K25" s="36" t="str">
        <f t="shared" si="1"/>
        <v>유효</v>
      </c>
      <c r="L25" s="37" t="str">
        <f t="shared" si="2"/>
        <v/>
      </c>
      <c r="M25" s="30" t="s">
        <v>374</v>
      </c>
      <c r="N25" s="38" t="b">
        <v>0</v>
      </c>
      <c r="O25" s="38" t="b">
        <v>0</v>
      </c>
      <c r="P25" s="38" t="b">
        <v>0</v>
      </c>
      <c r="Q25" s="39">
        <f>VLOOKUP($B25,'25년 12월 출석표'!$B$2:$BQ$497,16,0)/5</f>
        <v>0</v>
      </c>
      <c r="R25" s="40"/>
      <c r="S25" s="41">
        <f>VLOOKUP($B25,'25년 12월 출석표'!$B$2:$BQ$497,30,0)/5</f>
        <v>0</v>
      </c>
      <c r="T25" s="40"/>
      <c r="U25" s="41">
        <f>VLOOKUP($B25,'25년 12월 출석표'!$B$2:$BQ$497,44,0)/5</f>
        <v>0</v>
      </c>
      <c r="V25" s="40"/>
      <c r="W25" s="41">
        <f>VLOOKUP($B25,'25년 12월 출석표'!$B$2:$BQ$497,58,0)/5</f>
        <v>0</v>
      </c>
      <c r="X25" s="42"/>
      <c r="Y25" s="41">
        <f>VLOOKUP($B25,'25년 12월 출석표'!$B$2:$BQ$503,66,0)/5</f>
        <v>0</v>
      </c>
      <c r="Z25" s="43"/>
    </row>
    <row r="26" spans="1:26">
      <c r="A26" s="29"/>
      <c r="B26" s="30" t="s">
        <v>68</v>
      </c>
      <c r="C26" s="30" t="s">
        <v>3</v>
      </c>
      <c r="D26" s="31" t="s">
        <v>69</v>
      </c>
      <c r="E26" s="32" t="s">
        <v>373</v>
      </c>
      <c r="F26" s="50">
        <v>45850</v>
      </c>
      <c r="G26" s="33">
        <v>45989</v>
      </c>
      <c r="H26" s="33">
        <v>46169</v>
      </c>
      <c r="I26" s="34">
        <f>VLOOKUP(B26,'25년 12월 출석표'!$B$7:$D$509,3,0)</f>
        <v>8</v>
      </c>
      <c r="J26" s="35" t="e">
        <f t="shared" ca="1" si="0"/>
        <v>#NAME?</v>
      </c>
      <c r="K26" s="36" t="str">
        <f t="shared" si="1"/>
        <v>유효</v>
      </c>
      <c r="L26" s="37" t="str">
        <f t="shared" si="2"/>
        <v/>
      </c>
      <c r="M26" s="30" t="s">
        <v>374</v>
      </c>
      <c r="N26" s="38" t="b">
        <v>0</v>
      </c>
      <c r="O26" s="38" t="b">
        <v>0</v>
      </c>
      <c r="P26" s="38" t="b">
        <v>0</v>
      </c>
      <c r="Q26" s="39">
        <f>VLOOKUP($B26,'25년 12월 출석표'!$B$2:$BQ$497,16,0)/5</f>
        <v>0.4</v>
      </c>
      <c r="R26" s="40"/>
      <c r="S26" s="41">
        <f>VLOOKUP($B26,'25년 12월 출석표'!$B$2:$BQ$497,30,0)/5</f>
        <v>0.2</v>
      </c>
      <c r="T26" s="40"/>
      <c r="U26" s="41">
        <f>VLOOKUP($B26,'25년 12월 출석표'!$B$2:$BQ$497,44,0)/5</f>
        <v>0.4</v>
      </c>
      <c r="V26" s="40"/>
      <c r="W26" s="41">
        <f>VLOOKUP($B26,'25년 12월 출석표'!$B$2:$BQ$497,58,0)/5</f>
        <v>0.2</v>
      </c>
      <c r="X26" s="42"/>
      <c r="Y26" s="41">
        <f>VLOOKUP($B26,'25년 12월 출석표'!$B$2:$BQ$503,66,0)/5</f>
        <v>0.4</v>
      </c>
      <c r="Z26" s="43"/>
    </row>
    <row r="27" spans="1:26">
      <c r="A27" s="29"/>
      <c r="B27" s="30" t="s">
        <v>72</v>
      </c>
      <c r="C27" s="30" t="s">
        <v>4</v>
      </c>
      <c r="D27" s="31" t="s">
        <v>73</v>
      </c>
      <c r="E27" s="32" t="s">
        <v>373</v>
      </c>
      <c r="F27" s="50">
        <v>45852</v>
      </c>
      <c r="G27" s="33">
        <v>45860</v>
      </c>
      <c r="H27" s="33">
        <v>46043</v>
      </c>
      <c r="I27" s="34">
        <f>VLOOKUP(B27,'25년 12월 출석표'!$B$7:$D$509,3,0)</f>
        <v>0</v>
      </c>
      <c r="J27" s="35" t="e">
        <f t="shared" ca="1" si="0"/>
        <v>#NAME?</v>
      </c>
      <c r="K27" s="36" t="str">
        <f t="shared" si="1"/>
        <v>유효</v>
      </c>
      <c r="L27" s="37" t="str">
        <f t="shared" si="2"/>
        <v/>
      </c>
      <c r="M27" s="30" t="s">
        <v>374</v>
      </c>
      <c r="N27" s="38" t="b">
        <v>0</v>
      </c>
      <c r="O27" s="38" t="b">
        <v>0</v>
      </c>
      <c r="P27" s="38" t="b">
        <v>0</v>
      </c>
      <c r="Q27" s="39">
        <f>VLOOKUP($B27,'25년 12월 출석표'!$B$2:$BQ$497,16,0)/5</f>
        <v>0</v>
      </c>
      <c r="R27" s="40"/>
      <c r="S27" s="41">
        <f>VLOOKUP($B27,'25년 12월 출석표'!$B$2:$BQ$497,30,0)/5</f>
        <v>0</v>
      </c>
      <c r="T27" s="40"/>
      <c r="U27" s="41">
        <f>VLOOKUP($B27,'25년 12월 출석표'!$B$2:$BQ$497,44,0)/5</f>
        <v>0</v>
      </c>
      <c r="V27" s="40"/>
      <c r="W27" s="41">
        <f>VLOOKUP($B27,'25년 12월 출석표'!$B$2:$BQ$497,58,0)/5</f>
        <v>0</v>
      </c>
      <c r="X27" s="42"/>
      <c r="Y27" s="41">
        <f>VLOOKUP($B27,'25년 12월 출석표'!$B$2:$BQ$503,66,0)/5</f>
        <v>0</v>
      </c>
      <c r="Z27" s="43"/>
    </row>
    <row r="28" spans="1:26">
      <c r="A28" s="29"/>
      <c r="B28" s="30" t="s">
        <v>74</v>
      </c>
      <c r="C28" s="30" t="s">
        <v>4</v>
      </c>
      <c r="D28" s="31" t="s">
        <v>75</v>
      </c>
      <c r="E28" s="32" t="s">
        <v>377</v>
      </c>
      <c r="F28" s="50">
        <v>45852</v>
      </c>
      <c r="G28" s="33">
        <v>45868</v>
      </c>
      <c r="H28" s="33">
        <v>46232</v>
      </c>
      <c r="I28" s="34">
        <f>VLOOKUP(B28,'25년 12월 출석표'!$B$7:$D$509,3,0)</f>
        <v>8</v>
      </c>
      <c r="J28" s="35" t="e">
        <f t="shared" ca="1" si="0"/>
        <v>#NAME?</v>
      </c>
      <c r="K28" s="36" t="str">
        <f t="shared" si="1"/>
        <v>유효</v>
      </c>
      <c r="L28" s="37" t="str">
        <f t="shared" si="2"/>
        <v/>
      </c>
      <c r="M28" s="30" t="s">
        <v>378</v>
      </c>
      <c r="N28" s="44" t="b">
        <v>1</v>
      </c>
      <c r="O28" s="38" t="b">
        <v>0</v>
      </c>
      <c r="P28" s="38" t="b">
        <v>0</v>
      </c>
      <c r="Q28" s="39">
        <f>VLOOKUP($B28,'25년 12월 출석표'!$B$2:$BQ$497,16,0)/5</f>
        <v>0.6</v>
      </c>
      <c r="R28" s="40"/>
      <c r="S28" s="41">
        <f>VLOOKUP($B28,'25년 12월 출석표'!$B$2:$BQ$497,30,0)/5</f>
        <v>0.8</v>
      </c>
      <c r="T28" s="40"/>
      <c r="U28" s="41">
        <f>VLOOKUP($B28,'25년 12월 출석표'!$B$2:$BQ$497,44,0)/5</f>
        <v>0.2</v>
      </c>
      <c r="V28" s="40"/>
      <c r="W28" s="41">
        <f>VLOOKUP($B28,'25년 12월 출석표'!$B$2:$BQ$497,58,0)/5</f>
        <v>0</v>
      </c>
      <c r="X28" s="42"/>
      <c r="Y28" s="41">
        <f>VLOOKUP($B28,'25년 12월 출석표'!$B$2:$BQ$503,66,0)/5</f>
        <v>0</v>
      </c>
      <c r="Z28" s="43"/>
    </row>
    <row r="29" spans="1:26">
      <c r="A29" s="29"/>
      <c r="B29" s="30" t="s">
        <v>380</v>
      </c>
      <c r="C29" s="30" t="s">
        <v>4</v>
      </c>
      <c r="D29" s="31" t="s">
        <v>381</v>
      </c>
      <c r="E29" s="32" t="s">
        <v>373</v>
      </c>
      <c r="F29" s="50">
        <v>45853</v>
      </c>
      <c r="G29" s="33">
        <v>45859</v>
      </c>
      <c r="H29" s="33">
        <v>46099</v>
      </c>
      <c r="I29" s="34">
        <f>VLOOKUP(B29,'25년 12월 출석표'!$B$7:$D$509,3,0)</f>
        <v>0</v>
      </c>
      <c r="J29" s="35" t="e">
        <f t="shared" ca="1" si="0"/>
        <v>#NAME?</v>
      </c>
      <c r="K29" s="36" t="str">
        <f t="shared" si="1"/>
        <v>유효</v>
      </c>
      <c r="L29" s="37" t="str">
        <f t="shared" si="2"/>
        <v/>
      </c>
      <c r="M29" s="30" t="s">
        <v>378</v>
      </c>
      <c r="N29" s="44" t="b">
        <v>1</v>
      </c>
      <c r="O29" s="38" t="b">
        <v>0</v>
      </c>
      <c r="P29" s="38" t="b">
        <v>0</v>
      </c>
      <c r="Q29" s="39">
        <f>VLOOKUP($B29,'25년 12월 출석표'!$B$2:$BQ$497,16,0)/5</f>
        <v>0</v>
      </c>
      <c r="R29" s="40"/>
      <c r="S29" s="41">
        <f>VLOOKUP($B29,'25년 12월 출석표'!$B$2:$BQ$497,30,0)/5</f>
        <v>0</v>
      </c>
      <c r="T29" s="40"/>
      <c r="U29" s="41">
        <f>VLOOKUP($B29,'25년 12월 출석표'!$B$2:$BQ$497,44,0)/5</f>
        <v>0</v>
      </c>
      <c r="V29" s="40"/>
      <c r="W29" s="41">
        <f>VLOOKUP($B29,'25년 12월 출석표'!$B$2:$BQ$497,58,0)/5</f>
        <v>0</v>
      </c>
      <c r="X29" s="42"/>
      <c r="Y29" s="41">
        <f>VLOOKUP($B29,'25년 12월 출석표'!$B$2:$BQ$503,66,0)/5</f>
        <v>0</v>
      </c>
      <c r="Z29" s="43"/>
    </row>
    <row r="30" spans="1:26">
      <c r="A30" s="29"/>
      <c r="B30" s="30" t="s">
        <v>78</v>
      </c>
      <c r="C30" s="30" t="s">
        <v>4</v>
      </c>
      <c r="D30" s="31" t="s">
        <v>79</v>
      </c>
      <c r="E30" s="32" t="s">
        <v>373</v>
      </c>
      <c r="F30" s="50">
        <v>45853</v>
      </c>
      <c r="G30" s="167">
        <v>45965</v>
      </c>
      <c r="H30" s="33">
        <v>46145</v>
      </c>
      <c r="I30" s="34">
        <f>VLOOKUP(B30,'25년 12월 출석표'!$B$7:$D$509,3,0)</f>
        <v>5</v>
      </c>
      <c r="J30" s="35" t="e">
        <f t="shared" ca="1" si="0"/>
        <v>#NAME?</v>
      </c>
      <c r="K30" s="36" t="str">
        <f t="shared" si="1"/>
        <v>유효</v>
      </c>
      <c r="L30" s="37" t="str">
        <f t="shared" si="2"/>
        <v/>
      </c>
      <c r="M30" s="30" t="s">
        <v>374</v>
      </c>
      <c r="N30" s="38" t="b">
        <v>0</v>
      </c>
      <c r="O30" s="38" t="b">
        <v>0</v>
      </c>
      <c r="P30" s="38" t="b">
        <v>0</v>
      </c>
      <c r="Q30" s="39">
        <f>VLOOKUP($B30,'25년 12월 출석표'!$B$2:$BQ$497,16,0)/5</f>
        <v>0.2</v>
      </c>
      <c r="R30" s="40"/>
      <c r="S30" s="41">
        <f>VLOOKUP($B30,'25년 12월 출석표'!$B$2:$BQ$497,30,0)/5</f>
        <v>0.2</v>
      </c>
      <c r="T30" s="40"/>
      <c r="U30" s="41">
        <f>VLOOKUP($B30,'25년 12월 출석표'!$B$2:$BQ$497,44,0)/5</f>
        <v>0.2</v>
      </c>
      <c r="V30" s="40"/>
      <c r="W30" s="41">
        <f>VLOOKUP($B30,'25년 12월 출석표'!$B$2:$BQ$497,58,0)/5</f>
        <v>0.2</v>
      </c>
      <c r="X30" s="42"/>
      <c r="Y30" s="41">
        <f>VLOOKUP($B30,'25년 12월 출석표'!$B$2:$BQ$503,66,0)/5</f>
        <v>0.2</v>
      </c>
      <c r="Z30" s="43"/>
    </row>
    <row r="31" spans="1:26">
      <c r="A31" s="29"/>
      <c r="B31" s="30" t="s">
        <v>382</v>
      </c>
      <c r="C31" s="30" t="s">
        <v>4</v>
      </c>
      <c r="D31" s="31" t="s">
        <v>77</v>
      </c>
      <c r="E31" s="32" t="s">
        <v>373</v>
      </c>
      <c r="F31" s="50">
        <v>45853</v>
      </c>
      <c r="G31" s="33">
        <v>45859</v>
      </c>
      <c r="H31" s="33">
        <v>46049</v>
      </c>
      <c r="I31" s="34">
        <f>VLOOKUP(B31,'25년 12월 출석표'!$B$7:$D$509,3,0)</f>
        <v>6</v>
      </c>
      <c r="J31" s="35" t="e">
        <f t="shared" ca="1" si="0"/>
        <v>#NAME?</v>
      </c>
      <c r="K31" s="36" t="str">
        <f t="shared" si="1"/>
        <v>유효</v>
      </c>
      <c r="L31" s="37" t="str">
        <f t="shared" si="2"/>
        <v/>
      </c>
      <c r="M31" s="30" t="s">
        <v>378</v>
      </c>
      <c r="N31" s="44" t="b">
        <v>1</v>
      </c>
      <c r="O31" s="38" t="b">
        <v>0</v>
      </c>
      <c r="P31" s="38" t="b">
        <v>0</v>
      </c>
      <c r="Q31" s="39">
        <f>VLOOKUP($B31,'25년 12월 출석표'!$B$2:$BQ$497,16,0)/5</f>
        <v>0.4</v>
      </c>
      <c r="R31" s="40"/>
      <c r="S31" s="41">
        <f>VLOOKUP($B31,'25년 12월 출석표'!$B$2:$BQ$497,30,0)/5</f>
        <v>0.2</v>
      </c>
      <c r="T31" s="40"/>
      <c r="U31" s="41">
        <f>VLOOKUP($B31,'25년 12월 출석표'!$B$2:$BQ$497,44,0)/5</f>
        <v>0.4</v>
      </c>
      <c r="V31" s="40"/>
      <c r="W31" s="41">
        <f>VLOOKUP($B31,'25년 12월 출석표'!$B$2:$BQ$497,58,0)/5</f>
        <v>0.2</v>
      </c>
      <c r="X31" s="42"/>
      <c r="Y31" s="41">
        <f>VLOOKUP($B31,'25년 12월 출석표'!$B$2:$BQ$503,66,0)/5</f>
        <v>0</v>
      </c>
      <c r="Z31" s="43"/>
    </row>
    <row r="32" spans="1:26">
      <c r="A32" s="29"/>
      <c r="B32" s="30" t="s">
        <v>82</v>
      </c>
      <c r="C32" s="30" t="s">
        <v>4</v>
      </c>
      <c r="D32" s="31" t="s">
        <v>83</v>
      </c>
      <c r="E32" s="32" t="s">
        <v>377</v>
      </c>
      <c r="F32" s="50">
        <v>45853</v>
      </c>
      <c r="G32" s="33">
        <v>45859</v>
      </c>
      <c r="H32" s="33">
        <v>46267</v>
      </c>
      <c r="I32" s="34">
        <f>VLOOKUP(B32,'25년 12월 출석표'!$B$7:$D$509,3,0)</f>
        <v>7</v>
      </c>
      <c r="J32" s="35" t="e">
        <f t="shared" ca="1" si="0"/>
        <v>#NAME?</v>
      </c>
      <c r="K32" s="36" t="str">
        <f t="shared" si="1"/>
        <v>유효</v>
      </c>
      <c r="L32" s="37" t="str">
        <f t="shared" si="2"/>
        <v/>
      </c>
      <c r="M32" s="30" t="s">
        <v>378</v>
      </c>
      <c r="N32" s="44" t="b">
        <v>1</v>
      </c>
      <c r="O32" s="38" t="b">
        <v>0</v>
      </c>
      <c r="P32" s="38" t="b">
        <v>0</v>
      </c>
      <c r="Q32" s="39">
        <f>VLOOKUP($B32,'25년 12월 출석표'!$B$2:$BQ$497,16,0)/5</f>
        <v>0.4</v>
      </c>
      <c r="R32" s="40"/>
      <c r="S32" s="41">
        <f>VLOOKUP($B32,'25년 12월 출석표'!$B$2:$BQ$497,30,0)/5</f>
        <v>0.2</v>
      </c>
      <c r="T32" s="40"/>
      <c r="U32" s="41">
        <f>VLOOKUP($B32,'25년 12월 출석표'!$B$2:$BQ$497,44,0)/5</f>
        <v>0.6</v>
      </c>
      <c r="V32" s="40"/>
      <c r="W32" s="41">
        <f>VLOOKUP($B32,'25년 12월 출석표'!$B$2:$BQ$497,58,0)/5</f>
        <v>0</v>
      </c>
      <c r="X32" s="42"/>
      <c r="Y32" s="41">
        <f>VLOOKUP($B32,'25년 12월 출석표'!$B$2:$BQ$503,66,0)/5</f>
        <v>0.2</v>
      </c>
      <c r="Z32" s="43"/>
    </row>
    <row r="33" spans="1:26">
      <c r="A33" s="29"/>
      <c r="B33" s="30" t="s">
        <v>80</v>
      </c>
      <c r="C33" s="30" t="s">
        <v>4</v>
      </c>
      <c r="D33" s="31" t="s">
        <v>81</v>
      </c>
      <c r="E33" s="32" t="s">
        <v>377</v>
      </c>
      <c r="F33" s="50">
        <v>45853</v>
      </c>
      <c r="G33" s="167">
        <v>45863</v>
      </c>
      <c r="H33" s="33">
        <v>46227</v>
      </c>
      <c r="I33" s="34">
        <f>VLOOKUP(B33,'25년 12월 출석표'!$B$7:$D$509,3,0)</f>
        <v>12</v>
      </c>
      <c r="J33" s="35" t="e">
        <f t="shared" ca="1" si="0"/>
        <v>#NAME?</v>
      </c>
      <c r="K33" s="36" t="str">
        <f t="shared" si="1"/>
        <v>유효</v>
      </c>
      <c r="L33" s="37" t="str">
        <f t="shared" si="2"/>
        <v/>
      </c>
      <c r="M33" s="30" t="s">
        <v>378</v>
      </c>
      <c r="N33" s="44" t="b">
        <v>1</v>
      </c>
      <c r="O33" s="38" t="b">
        <v>0</v>
      </c>
      <c r="P33" s="38" t="b">
        <v>0</v>
      </c>
      <c r="Q33" s="39">
        <f>VLOOKUP($B33,'25년 12월 출석표'!$B$2:$BQ$497,16,0)/5</f>
        <v>0.6</v>
      </c>
      <c r="R33" s="40"/>
      <c r="S33" s="41">
        <f>VLOOKUP($B33,'25년 12월 출석표'!$B$2:$BQ$497,30,0)/5</f>
        <v>0.2</v>
      </c>
      <c r="T33" s="40"/>
      <c r="U33" s="41">
        <f>VLOOKUP($B33,'25년 12월 출석표'!$B$2:$BQ$497,44,0)/5</f>
        <v>0.8</v>
      </c>
      <c r="V33" s="40"/>
      <c r="W33" s="41">
        <f>VLOOKUP($B33,'25년 12월 출석표'!$B$2:$BQ$497,58,0)/5</f>
        <v>0.4</v>
      </c>
      <c r="X33" s="42"/>
      <c r="Y33" s="41">
        <f>VLOOKUP($B33,'25년 12월 출석표'!$B$2:$BQ$503,66,0)/5</f>
        <v>0.4</v>
      </c>
      <c r="Z33" s="43"/>
    </row>
    <row r="34" spans="1:26">
      <c r="A34" s="29"/>
      <c r="B34" s="30" t="s">
        <v>84</v>
      </c>
      <c r="C34" s="30" t="s">
        <v>4</v>
      </c>
      <c r="D34" s="31" t="s">
        <v>85</v>
      </c>
      <c r="E34" s="32" t="s">
        <v>377</v>
      </c>
      <c r="F34" s="50">
        <v>45857</v>
      </c>
      <c r="G34" s="33">
        <v>45876</v>
      </c>
      <c r="H34" s="33">
        <v>46240</v>
      </c>
      <c r="I34" s="34">
        <f>VLOOKUP(B34,'25년 12월 출석표'!$B$7:$D$509,3,0)</f>
        <v>10</v>
      </c>
      <c r="J34" s="35" t="e">
        <f t="shared" ca="1" si="0"/>
        <v>#NAME?</v>
      </c>
      <c r="K34" s="36" t="str">
        <f t="shared" si="1"/>
        <v>유효</v>
      </c>
      <c r="L34" s="37" t="str">
        <f t="shared" si="2"/>
        <v/>
      </c>
      <c r="M34" s="30" t="s">
        <v>374</v>
      </c>
      <c r="N34" s="38" t="b">
        <v>0</v>
      </c>
      <c r="O34" s="38" t="b">
        <v>0</v>
      </c>
      <c r="P34" s="38" t="b">
        <v>0</v>
      </c>
      <c r="Q34" s="39">
        <f>VLOOKUP($B34,'25년 12월 출석표'!$B$2:$BQ$497,16,0)/5</f>
        <v>0.6</v>
      </c>
      <c r="R34" s="40"/>
      <c r="S34" s="41">
        <f>VLOOKUP($B34,'25년 12월 출석표'!$B$2:$BQ$497,30,0)/5</f>
        <v>0.6</v>
      </c>
      <c r="T34" s="40"/>
      <c r="U34" s="41">
        <f>VLOOKUP($B34,'25년 12월 출석표'!$B$2:$BQ$497,44,0)/5</f>
        <v>0.2</v>
      </c>
      <c r="V34" s="40"/>
      <c r="W34" s="41">
        <f>VLOOKUP($B34,'25년 12월 출석표'!$B$2:$BQ$497,58,0)/5</f>
        <v>0.4</v>
      </c>
      <c r="X34" s="42"/>
      <c r="Y34" s="41">
        <f>VLOOKUP($B34,'25년 12월 출석표'!$B$2:$BQ$503,66,0)/5</f>
        <v>0.2</v>
      </c>
      <c r="Z34" s="43"/>
    </row>
    <row r="35" spans="1:26">
      <c r="A35" s="29"/>
      <c r="B35" s="30" t="s">
        <v>86</v>
      </c>
      <c r="C35" s="30" t="s">
        <v>4</v>
      </c>
      <c r="D35" s="31" t="s">
        <v>87</v>
      </c>
      <c r="E35" s="32" t="s">
        <v>373</v>
      </c>
      <c r="F35" s="50">
        <v>45859</v>
      </c>
      <c r="G35" s="33">
        <v>45890</v>
      </c>
      <c r="H35" s="33">
        <v>46073</v>
      </c>
      <c r="I35" s="34">
        <f>VLOOKUP(B35,'25년 12월 출석표'!$B$7:$D$509,3,0)</f>
        <v>0</v>
      </c>
      <c r="J35" s="35" t="e">
        <f t="shared" ca="1" si="0"/>
        <v>#NAME?</v>
      </c>
      <c r="K35" s="36" t="str">
        <f t="shared" si="1"/>
        <v>유효</v>
      </c>
      <c r="L35" s="37" t="str">
        <f t="shared" si="2"/>
        <v/>
      </c>
      <c r="M35" s="30" t="s">
        <v>374</v>
      </c>
      <c r="N35" s="38" t="b">
        <v>0</v>
      </c>
      <c r="O35" s="38" t="b">
        <v>0</v>
      </c>
      <c r="P35" s="38" t="b">
        <v>0</v>
      </c>
      <c r="Q35" s="39">
        <f>VLOOKUP($B35,'25년 12월 출석표'!$B$2:$BQ$497,16,0)/5</f>
        <v>0</v>
      </c>
      <c r="R35" s="40"/>
      <c r="S35" s="41">
        <f>VLOOKUP($B35,'25년 12월 출석표'!$B$2:$BQ$497,30,0)/5</f>
        <v>0</v>
      </c>
      <c r="T35" s="40"/>
      <c r="U35" s="41">
        <f>VLOOKUP($B35,'25년 12월 출석표'!$B$2:$BQ$497,44,0)/5</f>
        <v>0</v>
      </c>
      <c r="V35" s="40"/>
      <c r="W35" s="41">
        <f>VLOOKUP($B35,'25년 12월 출석표'!$B$2:$BQ$497,58,0)/5</f>
        <v>0</v>
      </c>
      <c r="X35" s="42"/>
      <c r="Y35" s="41">
        <f>VLOOKUP($B35,'25년 12월 출석표'!$B$2:$BQ$503,66,0)/5</f>
        <v>0</v>
      </c>
      <c r="Z35" s="43"/>
    </row>
    <row r="36" spans="1:26">
      <c r="A36" s="29"/>
      <c r="B36" s="30" t="s">
        <v>88</v>
      </c>
      <c r="C36" s="30" t="s">
        <v>4</v>
      </c>
      <c r="D36" s="31" t="s">
        <v>89</v>
      </c>
      <c r="E36" s="32" t="s">
        <v>383</v>
      </c>
      <c r="F36" s="50">
        <v>45861</v>
      </c>
      <c r="G36" s="33">
        <v>45988</v>
      </c>
      <c r="H36" s="33">
        <v>46352</v>
      </c>
      <c r="I36" s="34">
        <f>VLOOKUP(B36,'25년 12월 출석표'!$B$7:$D$509,3,0)</f>
        <v>10</v>
      </c>
      <c r="J36" s="35" t="e">
        <f t="shared" ca="1" si="0"/>
        <v>#NAME?</v>
      </c>
      <c r="K36" s="36" t="str">
        <f t="shared" si="1"/>
        <v>유효</v>
      </c>
      <c r="L36" s="37" t="str">
        <f t="shared" si="2"/>
        <v/>
      </c>
      <c r="M36" s="30" t="s">
        <v>378</v>
      </c>
      <c r="N36" s="44" t="b">
        <v>1</v>
      </c>
      <c r="O36" s="38" t="b">
        <v>0</v>
      </c>
      <c r="P36" s="38" t="b">
        <v>0</v>
      </c>
      <c r="Q36" s="39">
        <f>VLOOKUP($B36,'25년 12월 출석표'!$B$2:$BQ$497,16,0)/5</f>
        <v>1</v>
      </c>
      <c r="R36" s="40"/>
      <c r="S36" s="41">
        <f>VLOOKUP($B36,'25년 12월 출석표'!$B$2:$BQ$497,30,0)/5</f>
        <v>0.4</v>
      </c>
      <c r="T36" s="40"/>
      <c r="U36" s="41">
        <f>VLOOKUP($B36,'25년 12월 출석표'!$B$2:$BQ$497,44,0)/5</f>
        <v>0</v>
      </c>
      <c r="V36" s="40"/>
      <c r="W36" s="41">
        <f>VLOOKUP($B36,'25년 12월 출석표'!$B$2:$BQ$497,58,0)/5</f>
        <v>0.4</v>
      </c>
      <c r="X36" s="42"/>
      <c r="Y36" s="41">
        <f>VLOOKUP($B36,'25년 12월 출석표'!$B$2:$BQ$503,66,0)/5</f>
        <v>0.2</v>
      </c>
      <c r="Z36" s="43"/>
    </row>
    <row r="37" spans="1:26">
      <c r="A37" s="29"/>
      <c r="B37" s="30" t="s">
        <v>93</v>
      </c>
      <c r="C37" s="30" t="s">
        <v>3</v>
      </c>
      <c r="D37" s="31" t="s">
        <v>94</v>
      </c>
      <c r="E37" s="32" t="s">
        <v>377</v>
      </c>
      <c r="F37" s="50">
        <v>45862</v>
      </c>
      <c r="G37" s="33">
        <v>45861</v>
      </c>
      <c r="H37" s="33">
        <v>46347</v>
      </c>
      <c r="I37" s="34">
        <f>VLOOKUP(B37,'25년 12월 출석표'!$B$7:$D$509,3,0)</f>
        <v>0</v>
      </c>
      <c r="J37" s="35" t="e">
        <f t="shared" ca="1" si="0"/>
        <v>#NAME?</v>
      </c>
      <c r="K37" s="36" t="str">
        <f t="shared" si="1"/>
        <v>유효</v>
      </c>
      <c r="L37" s="37" t="str">
        <f t="shared" si="2"/>
        <v/>
      </c>
      <c r="M37" s="30" t="s">
        <v>374</v>
      </c>
      <c r="N37" s="38" t="b">
        <v>0</v>
      </c>
      <c r="O37" s="38" t="b">
        <v>0</v>
      </c>
      <c r="P37" s="38" t="b">
        <v>0</v>
      </c>
      <c r="Q37" s="39">
        <f>VLOOKUP($B37,'25년 12월 출석표'!$B$2:$BQ$497,16,0)/5</f>
        <v>0</v>
      </c>
      <c r="R37" s="40"/>
      <c r="S37" s="41">
        <f>VLOOKUP($B37,'25년 12월 출석표'!$B$2:$BQ$497,30,0)/5</f>
        <v>0</v>
      </c>
      <c r="T37" s="40"/>
      <c r="U37" s="41">
        <f>VLOOKUP($B37,'25년 12월 출석표'!$B$2:$BQ$497,44,0)/5</f>
        <v>0</v>
      </c>
      <c r="V37" s="40"/>
      <c r="W37" s="41">
        <f>VLOOKUP($B37,'25년 12월 출석표'!$B$2:$BQ$497,58,0)/5</f>
        <v>0</v>
      </c>
      <c r="X37" s="42"/>
      <c r="Y37" s="41">
        <f>VLOOKUP($B37,'25년 12월 출석표'!$B$2:$BQ$503,66,0)/5</f>
        <v>0</v>
      </c>
      <c r="Z37" s="43"/>
    </row>
    <row r="38" spans="1:26">
      <c r="A38" s="29"/>
      <c r="B38" s="30" t="s">
        <v>95</v>
      </c>
      <c r="C38" s="30" t="s">
        <v>4</v>
      </c>
      <c r="D38" s="31" t="s">
        <v>96</v>
      </c>
      <c r="E38" s="32" t="s">
        <v>376</v>
      </c>
      <c r="F38" s="50">
        <v>45862</v>
      </c>
      <c r="G38" s="33">
        <v>45954</v>
      </c>
      <c r="H38" s="33">
        <v>46957</v>
      </c>
      <c r="I38" s="34">
        <f>VLOOKUP(B38,'25년 12월 출석표'!$B$7:$D$509,3,0)</f>
        <v>10</v>
      </c>
      <c r="J38" s="35" t="e">
        <f t="shared" ca="1" si="0"/>
        <v>#NAME?</v>
      </c>
      <c r="K38" s="36" t="str">
        <f t="shared" si="1"/>
        <v>유효</v>
      </c>
      <c r="L38" s="37" t="str">
        <f t="shared" si="2"/>
        <v/>
      </c>
      <c r="M38" s="30" t="s">
        <v>378</v>
      </c>
      <c r="N38" s="44" t="b">
        <v>1</v>
      </c>
      <c r="O38" s="38" t="b">
        <v>0</v>
      </c>
      <c r="P38" s="38" t="b">
        <v>0</v>
      </c>
      <c r="Q38" s="39">
        <f>VLOOKUP($B38,'25년 12월 출석표'!$B$2:$BQ$497,16,0)/5</f>
        <v>0.4</v>
      </c>
      <c r="R38" s="40"/>
      <c r="S38" s="41">
        <f>VLOOKUP($B38,'25년 12월 출석표'!$B$2:$BQ$497,30,0)/5</f>
        <v>0</v>
      </c>
      <c r="T38" s="40"/>
      <c r="U38" s="41">
        <f>VLOOKUP($B38,'25년 12월 출석표'!$B$2:$BQ$497,44,0)/5</f>
        <v>0.4</v>
      </c>
      <c r="V38" s="40"/>
      <c r="W38" s="41">
        <f>VLOOKUP($B38,'25년 12월 출석표'!$B$2:$BQ$497,58,0)/5</f>
        <v>0.6</v>
      </c>
      <c r="X38" s="42"/>
      <c r="Y38" s="41">
        <f>VLOOKUP($B38,'25년 12월 출석표'!$B$2:$BQ$503,66,0)/5</f>
        <v>0.6</v>
      </c>
      <c r="Z38" s="43"/>
    </row>
    <row r="39" spans="1:26">
      <c r="A39" s="29"/>
      <c r="B39" s="30" t="s">
        <v>91</v>
      </c>
      <c r="C39" s="30" t="s">
        <v>4</v>
      </c>
      <c r="D39" s="31" t="s">
        <v>92</v>
      </c>
      <c r="E39" s="32" t="s">
        <v>373</v>
      </c>
      <c r="F39" s="50">
        <v>45862</v>
      </c>
      <c r="G39" s="33">
        <v>45862</v>
      </c>
      <c r="H39" s="33">
        <v>46059</v>
      </c>
      <c r="I39" s="34">
        <f>VLOOKUP(B39,'25년 12월 출석표'!$B$7:$D$509,3,0)</f>
        <v>12</v>
      </c>
      <c r="J39" s="35" t="e">
        <f t="shared" ca="1" si="0"/>
        <v>#NAME?</v>
      </c>
      <c r="K39" s="36" t="str">
        <f t="shared" si="1"/>
        <v>유효</v>
      </c>
      <c r="L39" s="37" t="str">
        <f t="shared" si="2"/>
        <v/>
      </c>
      <c r="M39" s="30" t="s">
        <v>374</v>
      </c>
      <c r="N39" s="38" t="b">
        <v>0</v>
      </c>
      <c r="O39" s="38" t="b">
        <v>0</v>
      </c>
      <c r="P39" s="38" t="b">
        <v>0</v>
      </c>
      <c r="Q39" s="39">
        <f>VLOOKUP($B39,'25년 12월 출석표'!$B$2:$BQ$497,16,0)/5</f>
        <v>0.6</v>
      </c>
      <c r="R39" s="40"/>
      <c r="S39" s="41">
        <f>VLOOKUP($B39,'25년 12월 출석표'!$B$2:$BQ$497,30,0)/5</f>
        <v>0.4</v>
      </c>
      <c r="T39" s="40"/>
      <c r="U39" s="41">
        <f>VLOOKUP($B39,'25년 12월 출석표'!$B$2:$BQ$497,44,0)/5</f>
        <v>0.8</v>
      </c>
      <c r="V39" s="40"/>
      <c r="W39" s="41">
        <f>VLOOKUP($B39,'25년 12월 출석표'!$B$2:$BQ$497,58,0)/5</f>
        <v>0.2</v>
      </c>
      <c r="X39" s="42"/>
      <c r="Y39" s="41">
        <f>VLOOKUP($B39,'25년 12월 출석표'!$B$2:$BQ$503,66,0)/5</f>
        <v>0.4</v>
      </c>
      <c r="Z39" s="43"/>
    </row>
    <row r="40" spans="1:26">
      <c r="A40" s="29"/>
      <c r="B40" s="30" t="s">
        <v>97</v>
      </c>
      <c r="C40" s="30" t="s">
        <v>4</v>
      </c>
      <c r="D40" s="31" t="s">
        <v>98</v>
      </c>
      <c r="E40" s="32" t="s">
        <v>373</v>
      </c>
      <c r="F40" s="50">
        <v>45864</v>
      </c>
      <c r="G40" s="33">
        <v>45866</v>
      </c>
      <c r="H40" s="33">
        <v>46079</v>
      </c>
      <c r="I40" s="34">
        <f>VLOOKUP(B40,'25년 12월 출석표'!$B$7:$D$509,3,0)</f>
        <v>12</v>
      </c>
      <c r="J40" s="35" t="e">
        <f t="shared" ca="1" si="0"/>
        <v>#NAME?</v>
      </c>
      <c r="K40" s="36" t="str">
        <f t="shared" si="1"/>
        <v>유효</v>
      </c>
      <c r="L40" s="37" t="str">
        <f t="shared" si="2"/>
        <v/>
      </c>
      <c r="M40" s="30" t="s">
        <v>378</v>
      </c>
      <c r="N40" s="44" t="b">
        <v>1</v>
      </c>
      <c r="O40" s="38" t="b">
        <v>0</v>
      </c>
      <c r="P40" s="38" t="b">
        <v>0</v>
      </c>
      <c r="Q40" s="39">
        <f>VLOOKUP($B40,'25년 12월 출석표'!$B$2:$BQ$497,16,0)/5</f>
        <v>0.8</v>
      </c>
      <c r="R40" s="40"/>
      <c r="S40" s="41">
        <f>VLOOKUP($B40,'25년 12월 출석표'!$B$2:$BQ$497,30,0)/5</f>
        <v>0.8</v>
      </c>
      <c r="T40" s="40"/>
      <c r="U40" s="41">
        <f>VLOOKUP($B40,'25년 12월 출석표'!$B$2:$BQ$497,44,0)/5</f>
        <v>0.4</v>
      </c>
      <c r="V40" s="40"/>
      <c r="W40" s="41">
        <f>VLOOKUP($B40,'25년 12월 출석표'!$B$2:$BQ$497,58,0)/5</f>
        <v>0.4</v>
      </c>
      <c r="X40" s="42"/>
      <c r="Y40" s="41">
        <f>VLOOKUP($B40,'25년 12월 출석표'!$B$2:$BQ$503,66,0)/5</f>
        <v>0</v>
      </c>
      <c r="Z40" s="43"/>
    </row>
    <row r="41" spans="1:26">
      <c r="A41" s="29"/>
      <c r="B41" s="30" t="s">
        <v>99</v>
      </c>
      <c r="C41" s="30" t="s">
        <v>4</v>
      </c>
      <c r="D41" s="31" t="s">
        <v>100</v>
      </c>
      <c r="E41" s="32" t="s">
        <v>373</v>
      </c>
      <c r="F41" s="50">
        <v>45867</v>
      </c>
      <c r="G41" s="33">
        <v>45868</v>
      </c>
      <c r="H41" s="33">
        <v>46020</v>
      </c>
      <c r="I41" s="34">
        <f>VLOOKUP(B41,'25년 12월 출석표'!$B$7:$D$509,3,0)</f>
        <v>3</v>
      </c>
      <c r="J41" s="35" t="e">
        <f t="shared" ca="1" si="0"/>
        <v>#NAME?</v>
      </c>
      <c r="K41" s="36" t="str">
        <f t="shared" si="1"/>
        <v>유효</v>
      </c>
      <c r="L41" s="37" t="str">
        <f t="shared" si="2"/>
        <v>만료</v>
      </c>
      <c r="M41" s="30" t="s">
        <v>378</v>
      </c>
      <c r="N41" s="44" t="b">
        <v>1</v>
      </c>
      <c r="O41" s="38" t="b">
        <v>0</v>
      </c>
      <c r="P41" s="38" t="b">
        <v>0</v>
      </c>
      <c r="Q41" s="39">
        <f>VLOOKUP($B41,'25년 12월 출석표'!$B$2:$BQ$497,16,0)/5</f>
        <v>0.2</v>
      </c>
      <c r="R41" s="40"/>
      <c r="S41" s="41">
        <f>VLOOKUP($B41,'25년 12월 출석표'!$B$2:$BQ$497,30,0)/5</f>
        <v>0.2</v>
      </c>
      <c r="T41" s="40"/>
      <c r="U41" s="41">
        <f>VLOOKUP($B41,'25년 12월 출석표'!$B$2:$BQ$497,44,0)/5</f>
        <v>0</v>
      </c>
      <c r="V41" s="40"/>
      <c r="W41" s="41">
        <f>VLOOKUP($B41,'25년 12월 출석표'!$B$2:$BQ$497,58,0)/5</f>
        <v>0</v>
      </c>
      <c r="X41" s="42"/>
      <c r="Y41" s="41">
        <f>VLOOKUP($B41,'25년 12월 출석표'!$B$2:$BQ$503,66,0)/5</f>
        <v>0.2</v>
      </c>
      <c r="Z41" s="43"/>
    </row>
    <row r="42" spans="1:26">
      <c r="A42" s="29"/>
      <c r="B42" s="30" t="s">
        <v>102</v>
      </c>
      <c r="C42" s="30" t="s">
        <v>4</v>
      </c>
      <c r="D42" s="31" t="s">
        <v>103</v>
      </c>
      <c r="E42" s="32" t="s">
        <v>377</v>
      </c>
      <c r="F42" s="50">
        <v>45868</v>
      </c>
      <c r="G42" s="33">
        <v>45868</v>
      </c>
      <c r="H42" s="33">
        <v>46263</v>
      </c>
      <c r="I42" s="34">
        <f>VLOOKUP(B42,'25년 12월 출석표'!$B$7:$D$509,3,0)</f>
        <v>1</v>
      </c>
      <c r="J42" s="35" t="e">
        <f t="shared" ca="1" si="0"/>
        <v>#NAME?</v>
      </c>
      <c r="K42" s="36" t="str">
        <f t="shared" si="1"/>
        <v>유효</v>
      </c>
      <c r="L42" s="37" t="str">
        <f t="shared" si="2"/>
        <v/>
      </c>
      <c r="M42" s="30" t="s">
        <v>374</v>
      </c>
      <c r="N42" s="38" t="b">
        <v>0</v>
      </c>
      <c r="O42" s="38" t="b">
        <v>0</v>
      </c>
      <c r="P42" s="38" t="b">
        <v>0</v>
      </c>
      <c r="Q42" s="39">
        <f>VLOOKUP($B42,'25년 12월 출석표'!$B$2:$BQ$497,16,0)/5</f>
        <v>0</v>
      </c>
      <c r="R42" s="40"/>
      <c r="S42" s="41">
        <f>VLOOKUP($B42,'25년 12월 출석표'!$B$2:$BQ$497,30,0)/5</f>
        <v>0.2</v>
      </c>
      <c r="T42" s="40"/>
      <c r="U42" s="41">
        <f>VLOOKUP($B42,'25년 12월 출석표'!$B$2:$BQ$497,44,0)/5</f>
        <v>0</v>
      </c>
      <c r="V42" s="40"/>
      <c r="W42" s="41">
        <f>VLOOKUP($B42,'25년 12월 출석표'!$B$2:$BQ$497,58,0)/5</f>
        <v>0</v>
      </c>
      <c r="X42" s="42"/>
      <c r="Y42" s="41">
        <f>VLOOKUP($B42,'25년 12월 출석표'!$B$2:$BQ$503,66,0)/5</f>
        <v>0</v>
      </c>
      <c r="Z42" s="43"/>
    </row>
    <row r="43" spans="1:26">
      <c r="A43" s="29"/>
      <c r="B43" s="30" t="s">
        <v>106</v>
      </c>
      <c r="C43" s="30" t="s">
        <v>3</v>
      </c>
      <c r="D43" s="31" t="s">
        <v>107</v>
      </c>
      <c r="E43" s="32" t="s">
        <v>377</v>
      </c>
      <c r="F43" s="50">
        <v>45870</v>
      </c>
      <c r="G43" s="33">
        <v>45873</v>
      </c>
      <c r="H43" s="33">
        <v>46328</v>
      </c>
      <c r="I43" s="34">
        <f>VLOOKUP(B43,'25년 12월 출석표'!$B$7:$D$509,3,0)</f>
        <v>0</v>
      </c>
      <c r="J43" s="35" t="e">
        <f t="shared" ca="1" si="0"/>
        <v>#NAME?</v>
      </c>
      <c r="K43" s="36" t="str">
        <f t="shared" si="1"/>
        <v>유효</v>
      </c>
      <c r="L43" s="37" t="str">
        <f t="shared" si="2"/>
        <v/>
      </c>
      <c r="M43" s="30" t="s">
        <v>374</v>
      </c>
      <c r="N43" s="38" t="b">
        <v>0</v>
      </c>
      <c r="O43" s="38" t="b">
        <v>0</v>
      </c>
      <c r="P43" s="38" t="b">
        <v>0</v>
      </c>
      <c r="Q43" s="39">
        <f>VLOOKUP($B43,'25년 12월 출석표'!$B$2:$BQ$497,16,0)/5</f>
        <v>0</v>
      </c>
      <c r="R43" s="40"/>
      <c r="S43" s="41">
        <f>VLOOKUP($B43,'25년 12월 출석표'!$B$2:$BQ$497,30,0)/5</f>
        <v>0</v>
      </c>
      <c r="T43" s="40"/>
      <c r="U43" s="41">
        <f>VLOOKUP($B43,'25년 12월 출석표'!$B$2:$BQ$497,44,0)/5</f>
        <v>0</v>
      </c>
      <c r="V43" s="40"/>
      <c r="W43" s="41">
        <f>VLOOKUP($B43,'25년 12월 출석표'!$B$2:$BQ$497,58,0)/5</f>
        <v>0</v>
      </c>
      <c r="X43" s="42"/>
      <c r="Y43" s="41">
        <f>VLOOKUP($B43,'25년 12월 출석표'!$B$2:$BQ$503,66,0)/5</f>
        <v>0</v>
      </c>
      <c r="Z43" s="43"/>
    </row>
    <row r="44" spans="1:26">
      <c r="A44" s="29"/>
      <c r="B44" s="30" t="s">
        <v>104</v>
      </c>
      <c r="C44" s="30" t="s">
        <v>4</v>
      </c>
      <c r="D44" s="31" t="s">
        <v>105</v>
      </c>
      <c r="E44" s="32" t="s">
        <v>377</v>
      </c>
      <c r="F44" s="50">
        <v>45870</v>
      </c>
      <c r="G44" s="33">
        <v>45874</v>
      </c>
      <c r="H44" s="33">
        <v>46290</v>
      </c>
      <c r="I44" s="34">
        <f>VLOOKUP(B44,'25년 12월 출석표'!$B$7:$D$509,3,0)</f>
        <v>1</v>
      </c>
      <c r="J44" s="35" t="e">
        <f t="shared" ca="1" si="0"/>
        <v>#NAME?</v>
      </c>
      <c r="K44" s="36" t="str">
        <f t="shared" si="1"/>
        <v>유효</v>
      </c>
      <c r="L44" s="37" t="str">
        <f t="shared" si="2"/>
        <v/>
      </c>
      <c r="M44" s="30" t="s">
        <v>374</v>
      </c>
      <c r="N44" s="38" t="b">
        <v>0</v>
      </c>
      <c r="O44" s="38" t="b">
        <v>0</v>
      </c>
      <c r="P44" s="38" t="b">
        <v>0</v>
      </c>
      <c r="Q44" s="39">
        <f>VLOOKUP($B44,'25년 12월 출석표'!$B$2:$BQ$497,16,0)/5</f>
        <v>0.2</v>
      </c>
      <c r="R44" s="40"/>
      <c r="S44" s="41">
        <f>VLOOKUP($B44,'25년 12월 출석표'!$B$2:$BQ$497,30,0)/5</f>
        <v>0</v>
      </c>
      <c r="T44" s="40"/>
      <c r="U44" s="41">
        <f>VLOOKUP($B44,'25년 12월 출석표'!$B$2:$BQ$497,44,0)/5</f>
        <v>0</v>
      </c>
      <c r="V44" s="40"/>
      <c r="W44" s="41">
        <f>VLOOKUP($B44,'25년 12월 출석표'!$B$2:$BQ$497,58,0)/5</f>
        <v>0</v>
      </c>
      <c r="X44" s="42"/>
      <c r="Y44" s="41">
        <f>VLOOKUP($B44,'25년 12월 출석표'!$B$2:$BQ$503,66,0)/5</f>
        <v>0</v>
      </c>
      <c r="Z44" s="43"/>
    </row>
    <row r="45" spans="1:26">
      <c r="A45" s="29"/>
      <c r="B45" s="30" t="s">
        <v>108</v>
      </c>
      <c r="C45" s="30" t="s">
        <v>4</v>
      </c>
      <c r="D45" s="31" t="s">
        <v>109</v>
      </c>
      <c r="E45" s="32" t="s">
        <v>377</v>
      </c>
      <c r="F45" s="50">
        <v>45870</v>
      </c>
      <c r="G45" s="33">
        <v>45899</v>
      </c>
      <c r="H45" s="33">
        <v>46359</v>
      </c>
      <c r="I45" s="34">
        <f>VLOOKUP(B45,'25년 12월 출석표'!$B$7:$D$509,3,0)</f>
        <v>6</v>
      </c>
      <c r="J45" s="35" t="e">
        <f t="shared" ca="1" si="0"/>
        <v>#NAME?</v>
      </c>
      <c r="K45" s="36" t="str">
        <f t="shared" si="1"/>
        <v>유효</v>
      </c>
      <c r="L45" s="37" t="str">
        <f t="shared" si="2"/>
        <v/>
      </c>
      <c r="M45" s="30" t="s">
        <v>374</v>
      </c>
      <c r="N45" s="38" t="b">
        <v>0</v>
      </c>
      <c r="O45" s="38" t="b">
        <v>0</v>
      </c>
      <c r="P45" s="38" t="b">
        <v>0</v>
      </c>
      <c r="Q45" s="39">
        <f>VLOOKUP($B45,'25년 12월 출석표'!$B$2:$BQ$497,16,0)/5</f>
        <v>0.4</v>
      </c>
      <c r="R45" s="40"/>
      <c r="S45" s="41">
        <f>VLOOKUP($B45,'25년 12월 출석표'!$B$2:$BQ$497,30,0)/5</f>
        <v>0.2</v>
      </c>
      <c r="T45" s="40"/>
      <c r="U45" s="41">
        <f>VLOOKUP($B45,'25년 12월 출석표'!$B$2:$BQ$497,44,0)/5</f>
        <v>0.4</v>
      </c>
      <c r="V45" s="40"/>
      <c r="W45" s="41">
        <f>VLOOKUP($B45,'25년 12월 출석표'!$B$2:$BQ$497,58,0)/5</f>
        <v>0.2</v>
      </c>
      <c r="X45" s="42"/>
      <c r="Y45" s="41">
        <f>VLOOKUP($B45,'25년 12월 출석표'!$B$2:$BQ$503,66,0)/5</f>
        <v>0</v>
      </c>
      <c r="Z45" s="43"/>
    </row>
    <row r="46" spans="1:26">
      <c r="A46" s="29"/>
      <c r="B46" s="30" t="s">
        <v>110</v>
      </c>
      <c r="C46" s="30" t="s">
        <v>4</v>
      </c>
      <c r="D46" s="31" t="s">
        <v>111</v>
      </c>
      <c r="E46" s="32" t="s">
        <v>376</v>
      </c>
      <c r="F46" s="50">
        <v>45874</v>
      </c>
      <c r="G46" s="33">
        <v>45874</v>
      </c>
      <c r="H46" s="33">
        <v>46146</v>
      </c>
      <c r="I46" s="34">
        <f>VLOOKUP(B46,'25년 12월 출석표'!$B$7:$D$509,3,0)</f>
        <v>0</v>
      </c>
      <c r="J46" s="35" t="e">
        <f t="shared" ca="1" si="0"/>
        <v>#NAME?</v>
      </c>
      <c r="K46" s="36" t="str">
        <f t="shared" si="1"/>
        <v>유효</v>
      </c>
      <c r="L46" s="37" t="str">
        <f t="shared" si="2"/>
        <v/>
      </c>
      <c r="M46" s="30" t="s">
        <v>374</v>
      </c>
      <c r="N46" s="38" t="b">
        <v>0</v>
      </c>
      <c r="O46" s="38" t="b">
        <v>0</v>
      </c>
      <c r="P46" s="38" t="b">
        <v>0</v>
      </c>
      <c r="Q46" s="39">
        <f>VLOOKUP($B46,'25년 12월 출석표'!$B$2:$BQ$497,16,0)/5</f>
        <v>0</v>
      </c>
      <c r="R46" s="40"/>
      <c r="S46" s="41">
        <f>VLOOKUP($B46,'25년 12월 출석표'!$B$2:$BQ$497,30,0)/5</f>
        <v>0</v>
      </c>
      <c r="T46" s="40"/>
      <c r="U46" s="41">
        <f>VLOOKUP($B46,'25년 12월 출석표'!$B$2:$BQ$497,44,0)/5</f>
        <v>0</v>
      </c>
      <c r="V46" s="40"/>
      <c r="W46" s="41">
        <f>VLOOKUP($B46,'25년 12월 출석표'!$B$2:$BQ$497,58,0)/5</f>
        <v>0</v>
      </c>
      <c r="X46" s="42"/>
      <c r="Y46" s="41">
        <f>VLOOKUP($B46,'25년 12월 출석표'!$B$2:$BQ$503,66,0)/5</f>
        <v>0</v>
      </c>
      <c r="Z46" s="43"/>
    </row>
    <row r="47" spans="1:26">
      <c r="A47" s="29"/>
      <c r="B47" s="30" t="s">
        <v>112</v>
      </c>
      <c r="C47" s="30" t="s">
        <v>3</v>
      </c>
      <c r="D47" s="31" t="s">
        <v>113</v>
      </c>
      <c r="E47" s="32" t="s">
        <v>376</v>
      </c>
      <c r="F47" s="50">
        <v>45874</v>
      </c>
      <c r="G47" s="33">
        <v>45891</v>
      </c>
      <c r="H47" s="33">
        <v>46163</v>
      </c>
      <c r="I47" s="34">
        <f>VLOOKUP(B47,'25년 12월 출석표'!$B$7:$D$509,3,0)</f>
        <v>0</v>
      </c>
      <c r="J47" s="35" t="e">
        <f t="shared" ca="1" si="0"/>
        <v>#NAME?</v>
      </c>
      <c r="K47" s="36" t="str">
        <f t="shared" si="1"/>
        <v>유효</v>
      </c>
      <c r="L47" s="37" t="str">
        <f t="shared" si="2"/>
        <v/>
      </c>
      <c r="M47" s="30" t="s">
        <v>374</v>
      </c>
      <c r="N47" s="38" t="b">
        <v>0</v>
      </c>
      <c r="O47" s="38" t="b">
        <v>0</v>
      </c>
      <c r="P47" s="38" t="b">
        <v>0</v>
      </c>
      <c r="Q47" s="39">
        <f>VLOOKUP($B47,'25년 12월 출석표'!$B$2:$BQ$497,16,0)/5</f>
        <v>0</v>
      </c>
      <c r="R47" s="40"/>
      <c r="S47" s="41">
        <f>VLOOKUP($B47,'25년 12월 출석표'!$B$2:$BQ$497,30,0)/5</f>
        <v>0</v>
      </c>
      <c r="T47" s="40"/>
      <c r="U47" s="41">
        <f>VLOOKUP($B47,'25년 12월 출석표'!$B$2:$BQ$497,44,0)/5</f>
        <v>0</v>
      </c>
      <c r="V47" s="40"/>
      <c r="W47" s="41">
        <f>VLOOKUP($B47,'25년 12월 출석표'!$B$2:$BQ$497,58,0)/5</f>
        <v>0</v>
      </c>
      <c r="X47" s="42"/>
      <c r="Y47" s="41">
        <f>VLOOKUP($B47,'25년 12월 출석표'!$B$2:$BQ$503,66,0)/5</f>
        <v>0</v>
      </c>
      <c r="Z47" s="43"/>
    </row>
    <row r="48" spans="1:26">
      <c r="A48" s="29"/>
      <c r="B48" s="30" t="s">
        <v>114</v>
      </c>
      <c r="C48" s="30" t="s">
        <v>4</v>
      </c>
      <c r="D48" s="31" t="s">
        <v>115</v>
      </c>
      <c r="E48" s="32" t="s">
        <v>373</v>
      </c>
      <c r="F48" s="50">
        <v>45876</v>
      </c>
      <c r="G48" s="33">
        <v>45877</v>
      </c>
      <c r="H48" s="33">
        <v>46098</v>
      </c>
      <c r="I48" s="34">
        <f>VLOOKUP(B48,'25년 12월 출석표'!$B$7:$D$509,3,0)</f>
        <v>9</v>
      </c>
      <c r="J48" s="35" t="e">
        <f t="shared" ca="1" si="0"/>
        <v>#NAME?</v>
      </c>
      <c r="K48" s="36" t="str">
        <f t="shared" si="1"/>
        <v>유효</v>
      </c>
      <c r="L48" s="37" t="str">
        <f t="shared" si="2"/>
        <v/>
      </c>
      <c r="M48" s="30" t="s">
        <v>378</v>
      </c>
      <c r="N48" s="44" t="b">
        <v>1</v>
      </c>
      <c r="O48" s="38" t="b">
        <v>0</v>
      </c>
      <c r="P48" s="38" t="b">
        <v>0</v>
      </c>
      <c r="Q48" s="39">
        <f>VLOOKUP($B48,'25년 12월 출석표'!$B$2:$BQ$497,16,0)/5</f>
        <v>0.2</v>
      </c>
      <c r="R48" s="40"/>
      <c r="S48" s="41">
        <f>VLOOKUP($B48,'25년 12월 출석표'!$B$2:$BQ$497,30,0)/5</f>
        <v>0.4</v>
      </c>
      <c r="T48" s="40"/>
      <c r="U48" s="41">
        <f>VLOOKUP($B48,'25년 12월 출석표'!$B$2:$BQ$497,44,0)/5</f>
        <v>0.4</v>
      </c>
      <c r="V48" s="40"/>
      <c r="W48" s="41">
        <f>VLOOKUP($B48,'25년 12월 출석표'!$B$2:$BQ$497,58,0)/5</f>
        <v>0.4</v>
      </c>
      <c r="X48" s="42"/>
      <c r="Y48" s="41">
        <f>VLOOKUP($B48,'25년 12월 출석표'!$B$2:$BQ$503,66,0)/5</f>
        <v>0.4</v>
      </c>
      <c r="Z48" s="43"/>
    </row>
    <row r="49" spans="1:26">
      <c r="A49" s="29"/>
      <c r="B49" s="30" t="s">
        <v>116</v>
      </c>
      <c r="C49" s="30" t="s">
        <v>4</v>
      </c>
      <c r="D49" s="31" t="s">
        <v>117</v>
      </c>
      <c r="E49" s="32" t="s">
        <v>377</v>
      </c>
      <c r="F49" s="50">
        <v>45877</v>
      </c>
      <c r="G49" s="33">
        <v>45881</v>
      </c>
      <c r="H49" s="33">
        <v>46317</v>
      </c>
      <c r="I49" s="34">
        <f>VLOOKUP(B49,'25년 12월 출석표'!$B$7:$D$509,3,0)</f>
        <v>1</v>
      </c>
      <c r="J49" s="35" t="e">
        <f t="shared" ca="1" si="0"/>
        <v>#NAME?</v>
      </c>
      <c r="K49" s="36" t="str">
        <f t="shared" si="1"/>
        <v>유효</v>
      </c>
      <c r="L49" s="37" t="str">
        <f t="shared" si="2"/>
        <v/>
      </c>
      <c r="M49" s="30" t="s">
        <v>378</v>
      </c>
      <c r="N49" s="44" t="b">
        <v>1</v>
      </c>
      <c r="O49" s="38" t="b">
        <v>0</v>
      </c>
      <c r="P49" s="38" t="b">
        <v>0</v>
      </c>
      <c r="Q49" s="39">
        <f>VLOOKUP($B49,'25년 12월 출석표'!$B$2:$BQ$497,16,0)/5</f>
        <v>0</v>
      </c>
      <c r="R49" s="40"/>
      <c r="S49" s="41">
        <f>VLOOKUP($B49,'25년 12월 출석표'!$B$2:$BQ$497,30,0)/5</f>
        <v>0</v>
      </c>
      <c r="T49" s="40"/>
      <c r="U49" s="41">
        <f>VLOOKUP($B49,'25년 12월 출석표'!$B$2:$BQ$497,44,0)/5</f>
        <v>0</v>
      </c>
      <c r="V49" s="40"/>
      <c r="W49" s="41">
        <f>VLOOKUP($B49,'25년 12월 출석표'!$B$2:$BQ$497,58,0)/5</f>
        <v>0.2</v>
      </c>
      <c r="X49" s="42"/>
      <c r="Y49" s="41">
        <f>VLOOKUP($B49,'25년 12월 출석표'!$B$2:$BQ$503,66,0)/5</f>
        <v>0</v>
      </c>
      <c r="Z49" s="43"/>
    </row>
    <row r="50" spans="1:26">
      <c r="A50" s="29"/>
      <c r="B50" s="30" t="s">
        <v>118</v>
      </c>
      <c r="C50" s="30" t="s">
        <v>4</v>
      </c>
      <c r="D50" s="31" t="s">
        <v>119</v>
      </c>
      <c r="E50" s="32" t="s">
        <v>377</v>
      </c>
      <c r="F50" s="50">
        <v>45881</v>
      </c>
      <c r="G50" s="33">
        <v>45882</v>
      </c>
      <c r="H50" s="33">
        <v>46246</v>
      </c>
      <c r="I50" s="34">
        <f>VLOOKUP(B50,'25년 12월 출석표'!$B$7:$D$509,3,0)</f>
        <v>18</v>
      </c>
      <c r="J50" s="35" t="e">
        <f t="shared" ca="1" si="0"/>
        <v>#NAME?</v>
      </c>
      <c r="K50" s="36" t="str">
        <f t="shared" si="1"/>
        <v>유효</v>
      </c>
      <c r="L50" s="37" t="str">
        <f t="shared" si="2"/>
        <v/>
      </c>
      <c r="M50" s="30" t="s">
        <v>375</v>
      </c>
      <c r="N50" s="44" t="b">
        <v>1</v>
      </c>
      <c r="O50" s="38" t="b">
        <v>0</v>
      </c>
      <c r="P50" s="38" t="b">
        <v>0</v>
      </c>
      <c r="Q50" s="39">
        <f>VLOOKUP($B50,'25년 12월 출석표'!$B$2:$BQ$497,16,0)/5</f>
        <v>0.8</v>
      </c>
      <c r="R50" s="40"/>
      <c r="S50" s="41">
        <f>VLOOKUP($B50,'25년 12월 출석표'!$B$2:$BQ$497,30,0)/5</f>
        <v>1</v>
      </c>
      <c r="T50" s="40"/>
      <c r="U50" s="41">
        <f>VLOOKUP($B50,'25년 12월 출석표'!$B$2:$BQ$497,44,0)/5</f>
        <v>1</v>
      </c>
      <c r="V50" s="40"/>
      <c r="W50" s="41">
        <f>VLOOKUP($B50,'25년 12월 출석표'!$B$2:$BQ$497,58,0)/5</f>
        <v>0.4</v>
      </c>
      <c r="X50" s="42"/>
      <c r="Y50" s="41">
        <f>VLOOKUP($B50,'25년 12월 출석표'!$B$2:$BQ$503,66,0)/5</f>
        <v>0.4</v>
      </c>
      <c r="Z50" s="43"/>
    </row>
    <row r="51" spans="1:26">
      <c r="A51" s="29"/>
      <c r="B51" s="30" t="s">
        <v>120</v>
      </c>
      <c r="C51" s="30" t="s">
        <v>3</v>
      </c>
      <c r="D51" s="31" t="s">
        <v>121</v>
      </c>
      <c r="E51" s="32" t="s">
        <v>373</v>
      </c>
      <c r="F51" s="50">
        <v>45883</v>
      </c>
      <c r="G51" s="33">
        <v>45883</v>
      </c>
      <c r="H51" s="33">
        <v>46050</v>
      </c>
      <c r="I51" s="34">
        <f>VLOOKUP(B51,'25년 12월 출석표'!$B$7:$D$509,3,0)</f>
        <v>16</v>
      </c>
      <c r="J51" s="35" t="e">
        <f t="shared" ca="1" si="0"/>
        <v>#NAME?</v>
      </c>
      <c r="K51" s="36" t="str">
        <f t="shared" si="1"/>
        <v>유효</v>
      </c>
      <c r="L51" s="37" t="str">
        <f t="shared" si="2"/>
        <v/>
      </c>
      <c r="M51" s="30" t="s">
        <v>374</v>
      </c>
      <c r="N51" s="38" t="b">
        <v>0</v>
      </c>
      <c r="O51" s="38" t="b">
        <v>0</v>
      </c>
      <c r="P51" s="38" t="b">
        <v>0</v>
      </c>
      <c r="Q51" s="39">
        <f>VLOOKUP($B51,'25년 12월 출석표'!$B$2:$BQ$497,16,0)/5</f>
        <v>0.6</v>
      </c>
      <c r="R51" s="40"/>
      <c r="S51" s="41">
        <f>VLOOKUP($B51,'25년 12월 출석표'!$B$2:$BQ$497,30,0)/5</f>
        <v>0.8</v>
      </c>
      <c r="T51" s="40"/>
      <c r="U51" s="41">
        <f>VLOOKUP($B51,'25년 12월 출석표'!$B$2:$BQ$497,44,0)/5</f>
        <v>0.6</v>
      </c>
      <c r="V51" s="40"/>
      <c r="W51" s="41">
        <f>VLOOKUP($B51,'25년 12월 출석표'!$B$2:$BQ$497,58,0)/5</f>
        <v>0.8</v>
      </c>
      <c r="X51" s="42"/>
      <c r="Y51" s="41">
        <f>VLOOKUP($B51,'25년 12월 출석표'!$B$2:$BQ$503,66,0)/5</f>
        <v>0.4</v>
      </c>
      <c r="Z51" s="43"/>
    </row>
    <row r="52" spans="1:26">
      <c r="A52" s="29"/>
      <c r="B52" s="30" t="s">
        <v>122</v>
      </c>
      <c r="C52" s="30" t="s">
        <v>4</v>
      </c>
      <c r="D52" s="31" t="s">
        <v>123</v>
      </c>
      <c r="E52" s="32" t="s">
        <v>373</v>
      </c>
      <c r="F52" s="50">
        <v>45884</v>
      </c>
      <c r="G52" s="33">
        <v>45887</v>
      </c>
      <c r="H52" s="33">
        <v>46070</v>
      </c>
      <c r="I52" s="34">
        <f>VLOOKUP(B52,'25년 12월 출석표'!$B$7:$D$509,3,0)</f>
        <v>11</v>
      </c>
      <c r="J52" s="35" t="e">
        <f t="shared" ca="1" si="0"/>
        <v>#NAME?</v>
      </c>
      <c r="K52" s="36" t="str">
        <f t="shared" si="1"/>
        <v>유효</v>
      </c>
      <c r="L52" s="37" t="str">
        <f t="shared" si="2"/>
        <v/>
      </c>
      <c r="M52" s="30" t="s">
        <v>374</v>
      </c>
      <c r="N52" s="38" t="b">
        <v>0</v>
      </c>
      <c r="O52" s="38" t="b">
        <v>0</v>
      </c>
      <c r="P52" s="38" t="b">
        <v>0</v>
      </c>
      <c r="Q52" s="39">
        <f>VLOOKUP($B52,'25년 12월 출석표'!$B$2:$BQ$497,16,0)/5</f>
        <v>0.8</v>
      </c>
      <c r="R52" s="40"/>
      <c r="S52" s="41">
        <f>VLOOKUP($B52,'25년 12월 출석표'!$B$2:$BQ$497,30,0)/5</f>
        <v>0.4</v>
      </c>
      <c r="T52" s="40"/>
      <c r="U52" s="41">
        <f>VLOOKUP($B52,'25년 12월 출석표'!$B$2:$BQ$497,44,0)/5</f>
        <v>0.6</v>
      </c>
      <c r="V52" s="40"/>
      <c r="W52" s="41">
        <f>VLOOKUP($B52,'25년 12월 출석표'!$B$2:$BQ$497,58,0)/5</f>
        <v>0.2</v>
      </c>
      <c r="X52" s="42"/>
      <c r="Y52" s="41">
        <f>VLOOKUP($B52,'25년 12월 출석표'!$B$2:$BQ$503,66,0)/5</f>
        <v>0.2</v>
      </c>
      <c r="Z52" s="43"/>
    </row>
    <row r="53" spans="1:26">
      <c r="A53" s="29"/>
      <c r="B53" s="30" t="s">
        <v>126</v>
      </c>
      <c r="C53" s="30" t="s">
        <v>4</v>
      </c>
      <c r="D53" s="31" t="s">
        <v>127</v>
      </c>
      <c r="E53" s="32" t="s">
        <v>377</v>
      </c>
      <c r="F53" s="50">
        <v>45885</v>
      </c>
      <c r="G53" s="33">
        <v>45889</v>
      </c>
      <c r="H53" s="33">
        <v>46253</v>
      </c>
      <c r="I53" s="34">
        <f>VLOOKUP(B53,'25년 12월 출석표'!$B$7:$D$509,3,0)</f>
        <v>0</v>
      </c>
      <c r="J53" s="35" t="e">
        <f t="shared" ca="1" si="0"/>
        <v>#NAME?</v>
      </c>
      <c r="K53" s="36" t="str">
        <f t="shared" si="1"/>
        <v>유효</v>
      </c>
      <c r="L53" s="37" t="str">
        <f t="shared" si="2"/>
        <v/>
      </c>
      <c r="M53" s="30" t="s">
        <v>374</v>
      </c>
      <c r="N53" s="38" t="b">
        <v>0</v>
      </c>
      <c r="O53" s="38" t="b">
        <v>0</v>
      </c>
      <c r="P53" s="38" t="b">
        <v>0</v>
      </c>
      <c r="Q53" s="39">
        <f>VLOOKUP($B53,'25년 12월 출석표'!$B$2:$BQ$497,16,0)/5</f>
        <v>0</v>
      </c>
      <c r="R53" s="40"/>
      <c r="S53" s="41">
        <f>VLOOKUP($B53,'25년 12월 출석표'!$B$2:$BQ$497,30,0)/5</f>
        <v>0</v>
      </c>
      <c r="T53" s="40"/>
      <c r="U53" s="41">
        <f>VLOOKUP($B53,'25년 12월 출석표'!$B$2:$BQ$497,44,0)/5</f>
        <v>0</v>
      </c>
      <c r="V53" s="40"/>
      <c r="W53" s="41">
        <f>VLOOKUP($B53,'25년 12월 출석표'!$B$2:$BQ$497,58,0)/5</f>
        <v>0</v>
      </c>
      <c r="X53" s="42"/>
      <c r="Y53" s="41">
        <f>VLOOKUP($B53,'25년 12월 출석표'!$B$2:$BQ$503,66,0)/5</f>
        <v>0</v>
      </c>
      <c r="Z53" s="43"/>
    </row>
    <row r="54" spans="1:26">
      <c r="A54" s="29"/>
      <c r="B54" s="30" t="s">
        <v>124</v>
      </c>
      <c r="C54" s="30" t="s">
        <v>3</v>
      </c>
      <c r="D54" s="31" t="s">
        <v>125</v>
      </c>
      <c r="E54" s="32" t="s">
        <v>376</v>
      </c>
      <c r="F54" s="50">
        <v>45885</v>
      </c>
      <c r="G54" s="33">
        <v>45887</v>
      </c>
      <c r="H54" s="33">
        <v>46159</v>
      </c>
      <c r="I54" s="34">
        <f>VLOOKUP(B54,'25년 12월 출석표'!$B$7:$D$509,3,0)</f>
        <v>15</v>
      </c>
      <c r="J54" s="35" t="e">
        <f t="shared" ca="1" si="0"/>
        <v>#NAME?</v>
      </c>
      <c r="K54" s="36" t="str">
        <f t="shared" si="1"/>
        <v>유효</v>
      </c>
      <c r="L54" s="37" t="str">
        <f t="shared" si="2"/>
        <v/>
      </c>
      <c r="M54" s="30" t="s">
        <v>378</v>
      </c>
      <c r="N54" s="44" t="b">
        <v>1</v>
      </c>
      <c r="O54" s="38" t="b">
        <v>0</v>
      </c>
      <c r="P54" s="38" t="b">
        <v>0</v>
      </c>
      <c r="Q54" s="39">
        <f>VLOOKUP($B54,'25년 12월 출석표'!$B$2:$BQ$497,16,0)/5</f>
        <v>0.8</v>
      </c>
      <c r="R54" s="40"/>
      <c r="S54" s="41">
        <f>VLOOKUP($B54,'25년 12월 출석표'!$B$2:$BQ$497,30,0)/5</f>
        <v>0.6</v>
      </c>
      <c r="T54" s="40"/>
      <c r="U54" s="41">
        <f>VLOOKUP($B54,'25년 12월 출석표'!$B$2:$BQ$497,44,0)/5</f>
        <v>0.6</v>
      </c>
      <c r="V54" s="40"/>
      <c r="W54" s="41">
        <f>VLOOKUP($B54,'25년 12월 출석표'!$B$2:$BQ$497,58,0)/5</f>
        <v>0.6</v>
      </c>
      <c r="X54" s="42"/>
      <c r="Y54" s="41">
        <f>VLOOKUP($B54,'25년 12월 출석표'!$B$2:$BQ$503,66,0)/5</f>
        <v>0.4</v>
      </c>
      <c r="Z54" s="43"/>
    </row>
    <row r="55" spans="1:26">
      <c r="A55" s="29"/>
      <c r="B55" s="30" t="s">
        <v>128</v>
      </c>
      <c r="C55" s="30" t="s">
        <v>4</v>
      </c>
      <c r="D55" s="31" t="s">
        <v>129</v>
      </c>
      <c r="E55" s="32" t="s">
        <v>373</v>
      </c>
      <c r="F55" s="50">
        <v>45888</v>
      </c>
      <c r="G55" s="33">
        <v>45890</v>
      </c>
      <c r="H55" s="33">
        <v>46169</v>
      </c>
      <c r="I55" s="34">
        <f>VLOOKUP(B55,'25년 12월 출석표'!$B$7:$D$509,3,0)</f>
        <v>0</v>
      </c>
      <c r="J55" s="35" t="e">
        <f t="shared" ca="1" si="0"/>
        <v>#NAME?</v>
      </c>
      <c r="K55" s="36" t="str">
        <f t="shared" si="1"/>
        <v>유효</v>
      </c>
      <c r="L55" s="37" t="str">
        <f t="shared" si="2"/>
        <v/>
      </c>
      <c r="M55" s="30" t="s">
        <v>374</v>
      </c>
      <c r="N55" s="38" t="b">
        <v>0</v>
      </c>
      <c r="O55" s="38" t="b">
        <v>0</v>
      </c>
      <c r="P55" s="38" t="b">
        <v>0</v>
      </c>
      <c r="Q55" s="39">
        <f>VLOOKUP($B55,'25년 12월 출석표'!$B$2:$BQ$497,16,0)/5</f>
        <v>0</v>
      </c>
      <c r="R55" s="40"/>
      <c r="S55" s="41">
        <f>VLOOKUP($B55,'25년 12월 출석표'!$B$2:$BQ$497,30,0)/5</f>
        <v>0</v>
      </c>
      <c r="T55" s="40"/>
      <c r="U55" s="41">
        <f>VLOOKUP($B55,'25년 12월 출석표'!$B$2:$BQ$497,44,0)/5</f>
        <v>0</v>
      </c>
      <c r="V55" s="40"/>
      <c r="W55" s="41">
        <f>VLOOKUP($B55,'25년 12월 출석표'!$B$2:$BQ$497,58,0)/5</f>
        <v>0</v>
      </c>
      <c r="X55" s="42"/>
      <c r="Y55" s="41">
        <f>VLOOKUP($B55,'25년 12월 출석표'!$B$2:$BQ$503,66,0)/5</f>
        <v>0</v>
      </c>
      <c r="Z55" s="43"/>
    </row>
    <row r="56" spans="1:26">
      <c r="A56" s="29"/>
      <c r="B56" s="30" t="s">
        <v>134</v>
      </c>
      <c r="C56" s="30" t="s">
        <v>4</v>
      </c>
      <c r="D56" s="31" t="s">
        <v>135</v>
      </c>
      <c r="E56" s="32" t="s">
        <v>376</v>
      </c>
      <c r="F56" s="50">
        <v>45889</v>
      </c>
      <c r="G56" s="33">
        <v>45901</v>
      </c>
      <c r="H56" s="33">
        <v>46386</v>
      </c>
      <c r="I56" s="34">
        <f>VLOOKUP(B56,'25년 12월 출석표'!$B$7:$D$509,3,0)</f>
        <v>1</v>
      </c>
      <c r="J56" s="35" t="e">
        <f t="shared" ca="1" si="0"/>
        <v>#NAME?</v>
      </c>
      <c r="K56" s="36" t="str">
        <f t="shared" si="1"/>
        <v>유효</v>
      </c>
      <c r="L56" s="37" t="str">
        <f t="shared" si="2"/>
        <v/>
      </c>
      <c r="M56" s="30" t="s">
        <v>374</v>
      </c>
      <c r="N56" s="38" t="b">
        <v>0</v>
      </c>
      <c r="O56" s="38" t="b">
        <v>0</v>
      </c>
      <c r="P56" s="38" t="b">
        <v>0</v>
      </c>
      <c r="Q56" s="39">
        <f>VLOOKUP($B56,'25년 12월 출석표'!$B$2:$BQ$497,16,0)/5</f>
        <v>0</v>
      </c>
      <c r="R56" s="40"/>
      <c r="S56" s="41">
        <f>VLOOKUP($B56,'25년 12월 출석표'!$B$2:$BQ$497,30,0)/5</f>
        <v>0</v>
      </c>
      <c r="T56" s="40"/>
      <c r="U56" s="41">
        <f>VLOOKUP($B56,'25년 12월 출석표'!$B$2:$BQ$497,44,0)/5</f>
        <v>0</v>
      </c>
      <c r="V56" s="40"/>
      <c r="W56" s="41">
        <f>VLOOKUP($B56,'25년 12월 출석표'!$B$2:$BQ$497,58,0)/5</f>
        <v>0.2</v>
      </c>
      <c r="X56" s="42"/>
      <c r="Y56" s="41">
        <f>VLOOKUP($B56,'25년 12월 출석표'!$B$2:$BQ$503,66,0)/5</f>
        <v>0</v>
      </c>
      <c r="Z56" s="43"/>
    </row>
    <row r="57" spans="1:26">
      <c r="A57" s="29"/>
      <c r="B57" s="30" t="s">
        <v>130</v>
      </c>
      <c r="C57" s="30" t="s">
        <v>4</v>
      </c>
      <c r="D57" s="31" t="s">
        <v>131</v>
      </c>
      <c r="E57" s="32" t="s">
        <v>377</v>
      </c>
      <c r="F57" s="50">
        <v>45889</v>
      </c>
      <c r="G57" s="33">
        <v>45894</v>
      </c>
      <c r="H57" s="33">
        <v>46289</v>
      </c>
      <c r="I57" s="34">
        <f>VLOOKUP(B57,'25년 12월 출석표'!$B$7:$D$509,3,0)</f>
        <v>12</v>
      </c>
      <c r="J57" s="35" t="e">
        <f t="shared" ca="1" si="0"/>
        <v>#NAME?</v>
      </c>
      <c r="K57" s="36" t="str">
        <f t="shared" si="1"/>
        <v>유효</v>
      </c>
      <c r="L57" s="37" t="str">
        <f t="shared" si="2"/>
        <v/>
      </c>
      <c r="M57" s="30" t="s">
        <v>374</v>
      </c>
      <c r="N57" s="38" t="b">
        <v>0</v>
      </c>
      <c r="O57" s="38" t="b">
        <v>0</v>
      </c>
      <c r="P57" s="38" t="b">
        <v>0</v>
      </c>
      <c r="Q57" s="39">
        <f>VLOOKUP($B57,'25년 12월 출석표'!$B$2:$BQ$497,16,0)/5</f>
        <v>0.6</v>
      </c>
      <c r="R57" s="40"/>
      <c r="S57" s="41">
        <f>VLOOKUP($B57,'25년 12월 출석표'!$B$2:$BQ$497,30,0)/5</f>
        <v>0.6</v>
      </c>
      <c r="T57" s="40"/>
      <c r="U57" s="41">
        <f>VLOOKUP($B57,'25년 12월 출석표'!$B$2:$BQ$497,44,0)/5</f>
        <v>0.6</v>
      </c>
      <c r="V57" s="40"/>
      <c r="W57" s="41">
        <f>VLOOKUP($B57,'25년 12월 출석표'!$B$2:$BQ$497,58,0)/5</f>
        <v>0.4</v>
      </c>
      <c r="X57" s="42"/>
      <c r="Y57" s="41">
        <f>VLOOKUP($B57,'25년 12월 출석표'!$B$2:$BQ$503,66,0)/5</f>
        <v>0.2</v>
      </c>
      <c r="Z57" s="43"/>
    </row>
    <row r="58" spans="1:26">
      <c r="A58" s="29"/>
      <c r="B58" s="30" t="s">
        <v>132</v>
      </c>
      <c r="C58" s="30" t="s">
        <v>4</v>
      </c>
      <c r="D58" s="31" t="s">
        <v>133</v>
      </c>
      <c r="E58" s="32" t="s">
        <v>377</v>
      </c>
      <c r="F58" s="50">
        <v>45889</v>
      </c>
      <c r="G58" s="33">
        <v>45894</v>
      </c>
      <c r="H58" s="33">
        <v>46289</v>
      </c>
      <c r="I58" s="34">
        <f>VLOOKUP(B58,'25년 12월 출석표'!$B$7:$D$509,3,0)</f>
        <v>13</v>
      </c>
      <c r="J58" s="35" t="e">
        <f t="shared" ca="1" si="0"/>
        <v>#NAME?</v>
      </c>
      <c r="K58" s="36" t="str">
        <f t="shared" si="1"/>
        <v>유효</v>
      </c>
      <c r="L58" s="37" t="str">
        <f t="shared" si="2"/>
        <v/>
      </c>
      <c r="M58" s="30" t="s">
        <v>374</v>
      </c>
      <c r="N58" s="38" t="b">
        <v>0</v>
      </c>
      <c r="O58" s="38" t="b">
        <v>0</v>
      </c>
      <c r="P58" s="38" t="b">
        <v>0</v>
      </c>
      <c r="Q58" s="39">
        <f>VLOOKUP($B58,'25년 12월 출석표'!$B$2:$BQ$497,16,0)/5</f>
        <v>0.6</v>
      </c>
      <c r="R58" s="40"/>
      <c r="S58" s="41">
        <f>VLOOKUP($B58,'25년 12월 출석표'!$B$2:$BQ$497,30,0)/5</f>
        <v>0.6</v>
      </c>
      <c r="T58" s="40"/>
      <c r="U58" s="41">
        <f>VLOOKUP($B58,'25년 12월 출석표'!$B$2:$BQ$497,44,0)/5</f>
        <v>0.4</v>
      </c>
      <c r="V58" s="40"/>
      <c r="W58" s="41">
        <f>VLOOKUP($B58,'25년 12월 출석표'!$B$2:$BQ$497,58,0)/5</f>
        <v>0.6</v>
      </c>
      <c r="X58" s="42"/>
      <c r="Y58" s="41">
        <f>VLOOKUP($B58,'25년 12월 출석표'!$B$2:$BQ$503,66,0)/5</f>
        <v>0.4</v>
      </c>
      <c r="Z58" s="43"/>
    </row>
    <row r="59" spans="1:26">
      <c r="A59" s="29"/>
      <c r="B59" s="30" t="s">
        <v>136</v>
      </c>
      <c r="C59" s="30" t="s">
        <v>4</v>
      </c>
      <c r="D59" s="31" t="s">
        <v>137</v>
      </c>
      <c r="E59" s="32" t="s">
        <v>377</v>
      </c>
      <c r="F59" s="50">
        <v>45890</v>
      </c>
      <c r="G59" s="33">
        <v>45904</v>
      </c>
      <c r="H59" s="33">
        <v>46362</v>
      </c>
      <c r="I59" s="34">
        <f>VLOOKUP(B59,'25년 12월 출석표'!$B$7:$D$509,3,0)</f>
        <v>3</v>
      </c>
      <c r="J59" s="35" t="e">
        <f t="shared" ca="1" si="0"/>
        <v>#NAME?</v>
      </c>
      <c r="K59" s="36" t="str">
        <f t="shared" si="1"/>
        <v>유효</v>
      </c>
      <c r="L59" s="37" t="str">
        <f t="shared" si="2"/>
        <v/>
      </c>
      <c r="M59" s="30" t="s">
        <v>378</v>
      </c>
      <c r="N59" s="44" t="b">
        <v>1</v>
      </c>
      <c r="O59" s="38" t="b">
        <v>0</v>
      </c>
      <c r="P59" s="38" t="b">
        <v>0</v>
      </c>
      <c r="Q59" s="39">
        <f>VLOOKUP($B59,'25년 12월 출석표'!$B$2:$BQ$497,16,0)/5</f>
        <v>0.2</v>
      </c>
      <c r="R59" s="40"/>
      <c r="S59" s="41">
        <f>VLOOKUP($B59,'25년 12월 출석표'!$B$2:$BQ$497,30,0)/5</f>
        <v>0.4</v>
      </c>
      <c r="T59" s="40"/>
      <c r="U59" s="41">
        <f>VLOOKUP($B59,'25년 12월 출석표'!$B$2:$BQ$497,44,0)/5</f>
        <v>0</v>
      </c>
      <c r="V59" s="40"/>
      <c r="W59" s="41">
        <f>VLOOKUP($B59,'25년 12월 출석표'!$B$2:$BQ$497,58,0)/5</f>
        <v>0</v>
      </c>
      <c r="X59" s="42"/>
      <c r="Y59" s="41">
        <f>VLOOKUP($B59,'25년 12월 출석표'!$B$2:$BQ$503,66,0)/5</f>
        <v>0</v>
      </c>
      <c r="Z59" s="43"/>
    </row>
    <row r="60" spans="1:26">
      <c r="A60" s="29"/>
      <c r="B60" s="30" t="s">
        <v>144</v>
      </c>
      <c r="C60" s="30" t="s">
        <v>4</v>
      </c>
      <c r="D60" s="31" t="s">
        <v>145</v>
      </c>
      <c r="E60" s="32" t="s">
        <v>377</v>
      </c>
      <c r="F60" s="50">
        <v>45894</v>
      </c>
      <c r="G60" s="33">
        <v>45957</v>
      </c>
      <c r="H60" s="33">
        <v>46321</v>
      </c>
      <c r="I60" s="34">
        <f>VLOOKUP(B60,'25년 12월 출석표'!$B$7:$D$509,3,0)</f>
        <v>0</v>
      </c>
      <c r="J60" s="35" t="e">
        <f t="shared" ca="1" si="0"/>
        <v>#NAME?</v>
      </c>
      <c r="K60" s="36" t="str">
        <f t="shared" si="1"/>
        <v>유효</v>
      </c>
      <c r="L60" s="37" t="str">
        <f t="shared" si="2"/>
        <v/>
      </c>
      <c r="M60" s="30" t="s">
        <v>374</v>
      </c>
      <c r="N60" s="38" t="b">
        <v>0</v>
      </c>
      <c r="O60" s="38" t="b">
        <v>0</v>
      </c>
      <c r="P60" s="38" t="b">
        <v>0</v>
      </c>
      <c r="Q60" s="39">
        <f>VLOOKUP($B60,'25년 12월 출석표'!$B$2:$BQ$497,16,0)/5</f>
        <v>0</v>
      </c>
      <c r="R60" s="40"/>
      <c r="S60" s="41">
        <f>VLOOKUP($B60,'25년 12월 출석표'!$B$2:$BQ$497,30,0)/5</f>
        <v>0</v>
      </c>
      <c r="T60" s="40"/>
      <c r="U60" s="41">
        <f>VLOOKUP($B60,'25년 12월 출석표'!$B$2:$BQ$497,44,0)/5</f>
        <v>0</v>
      </c>
      <c r="V60" s="40"/>
      <c r="W60" s="41">
        <f>VLOOKUP($B60,'25년 12월 출석표'!$B$2:$BQ$497,58,0)/5</f>
        <v>0</v>
      </c>
      <c r="X60" s="42"/>
      <c r="Y60" s="41">
        <f>VLOOKUP($B60,'25년 12월 출석표'!$B$2:$BQ$503,66,0)/5</f>
        <v>0</v>
      </c>
      <c r="Z60" s="43"/>
    </row>
    <row r="61" spans="1:26">
      <c r="A61" s="29"/>
      <c r="B61" s="30" t="s">
        <v>140</v>
      </c>
      <c r="C61" s="30" t="s">
        <v>4</v>
      </c>
      <c r="D61" s="31" t="s">
        <v>141</v>
      </c>
      <c r="E61" s="32" t="s">
        <v>377</v>
      </c>
      <c r="F61" s="50">
        <v>45894</v>
      </c>
      <c r="G61" s="33">
        <v>45894</v>
      </c>
      <c r="H61" s="33">
        <v>46319</v>
      </c>
      <c r="I61" s="34">
        <f>VLOOKUP(B61,'25년 12월 출석표'!$B$7:$D$509,3,0)</f>
        <v>1</v>
      </c>
      <c r="J61" s="35" t="e">
        <f t="shared" ca="1" si="0"/>
        <v>#NAME?</v>
      </c>
      <c r="K61" s="36" t="str">
        <f t="shared" si="1"/>
        <v>유효</v>
      </c>
      <c r="L61" s="37" t="str">
        <f t="shared" si="2"/>
        <v/>
      </c>
      <c r="M61" s="30" t="s">
        <v>378</v>
      </c>
      <c r="N61" s="44" t="b">
        <v>1</v>
      </c>
      <c r="O61" s="38" t="b">
        <v>0</v>
      </c>
      <c r="P61" s="38" t="b">
        <v>0</v>
      </c>
      <c r="Q61" s="39">
        <f>VLOOKUP($B61,'25년 12월 출석표'!$B$2:$BQ$497,16,0)/5</f>
        <v>0</v>
      </c>
      <c r="R61" s="40"/>
      <c r="S61" s="41">
        <f>VLOOKUP($B61,'25년 12월 출석표'!$B$2:$BQ$497,30,0)/5</f>
        <v>0.2</v>
      </c>
      <c r="T61" s="40"/>
      <c r="U61" s="41">
        <f>VLOOKUP($B61,'25년 12월 출석표'!$B$2:$BQ$497,44,0)/5</f>
        <v>0</v>
      </c>
      <c r="V61" s="40"/>
      <c r="W61" s="41">
        <f>VLOOKUP($B61,'25년 12월 출석표'!$B$2:$BQ$497,58,0)/5</f>
        <v>0</v>
      </c>
      <c r="X61" s="42"/>
      <c r="Y61" s="41">
        <f>VLOOKUP($B61,'25년 12월 출석표'!$B$2:$BQ$503,66,0)/5</f>
        <v>0</v>
      </c>
      <c r="Z61" s="43"/>
    </row>
    <row r="62" spans="1:26">
      <c r="A62" s="29"/>
      <c r="B62" s="30" t="s">
        <v>138</v>
      </c>
      <c r="C62" s="30" t="s">
        <v>4</v>
      </c>
      <c r="D62" s="31" t="s">
        <v>139</v>
      </c>
      <c r="E62" s="32" t="s">
        <v>377</v>
      </c>
      <c r="F62" s="50">
        <v>45894</v>
      </c>
      <c r="G62" s="33">
        <v>45955</v>
      </c>
      <c r="H62" s="33">
        <v>46319</v>
      </c>
      <c r="I62" s="34">
        <f>VLOOKUP(B62,'25년 12월 출석표'!$B$7:$D$509,3,0)</f>
        <v>1</v>
      </c>
      <c r="J62" s="35" t="e">
        <f t="shared" ca="1" si="0"/>
        <v>#NAME?</v>
      </c>
      <c r="K62" s="36" t="str">
        <f t="shared" si="1"/>
        <v>유효</v>
      </c>
      <c r="L62" s="37" t="str">
        <f t="shared" si="2"/>
        <v/>
      </c>
      <c r="M62" s="30" t="s">
        <v>374</v>
      </c>
      <c r="N62" s="38" t="b">
        <v>0</v>
      </c>
      <c r="O62" s="38" t="b">
        <v>0</v>
      </c>
      <c r="P62" s="38" t="b">
        <v>0</v>
      </c>
      <c r="Q62" s="39">
        <f>VLOOKUP($B62,'25년 12월 출석표'!$B$2:$BQ$497,16,0)/5</f>
        <v>0</v>
      </c>
      <c r="R62" s="40"/>
      <c r="S62" s="41">
        <f>VLOOKUP($B62,'25년 12월 출석표'!$B$2:$BQ$497,30,0)/5</f>
        <v>0</v>
      </c>
      <c r="T62" s="40"/>
      <c r="U62" s="41">
        <f>VLOOKUP($B62,'25년 12월 출석표'!$B$2:$BQ$497,44,0)/5</f>
        <v>0</v>
      </c>
      <c r="V62" s="40"/>
      <c r="W62" s="41">
        <f>VLOOKUP($B62,'25년 12월 출석표'!$B$2:$BQ$497,58,0)/5</f>
        <v>0</v>
      </c>
      <c r="X62" s="42"/>
      <c r="Y62" s="41">
        <f>VLOOKUP($B62,'25년 12월 출석표'!$B$2:$BQ$503,66,0)/5</f>
        <v>0.2</v>
      </c>
      <c r="Z62" s="43"/>
    </row>
    <row r="63" spans="1:26">
      <c r="A63" s="29"/>
      <c r="B63" s="30" t="s">
        <v>142</v>
      </c>
      <c r="C63" s="30" t="s">
        <v>4</v>
      </c>
      <c r="D63" s="31" t="s">
        <v>143</v>
      </c>
      <c r="E63" s="32" t="s">
        <v>376</v>
      </c>
      <c r="F63" s="50">
        <v>45894</v>
      </c>
      <c r="G63" s="33">
        <v>46000</v>
      </c>
      <c r="H63" s="33">
        <v>46335</v>
      </c>
      <c r="I63" s="34">
        <f>VLOOKUP(B63,'25년 12월 출석표'!$B$7:$D$509,3,0)</f>
        <v>1</v>
      </c>
      <c r="J63" s="35" t="e">
        <f t="shared" ca="1" si="0"/>
        <v>#NAME?</v>
      </c>
      <c r="K63" s="36" t="str">
        <f t="shared" si="1"/>
        <v>유효</v>
      </c>
      <c r="L63" s="37" t="str">
        <f t="shared" si="2"/>
        <v/>
      </c>
      <c r="M63" s="30" t="s">
        <v>378</v>
      </c>
      <c r="N63" s="44" t="b">
        <v>1</v>
      </c>
      <c r="O63" s="38" t="b">
        <v>0</v>
      </c>
      <c r="P63" s="38" t="b">
        <v>0</v>
      </c>
      <c r="Q63" s="39">
        <f>VLOOKUP($B63,'25년 12월 출석표'!$B$2:$BQ$497,16,0)/5</f>
        <v>0.2</v>
      </c>
      <c r="R63" s="40"/>
      <c r="S63" s="41">
        <f>VLOOKUP($B63,'25년 12월 출석표'!$B$2:$BQ$497,30,0)/5</f>
        <v>0</v>
      </c>
      <c r="T63" s="40"/>
      <c r="U63" s="41">
        <f>VLOOKUP($B63,'25년 12월 출석표'!$B$2:$BQ$497,44,0)/5</f>
        <v>0</v>
      </c>
      <c r="V63" s="40"/>
      <c r="W63" s="41">
        <f>VLOOKUP($B63,'25년 12월 출석표'!$B$2:$BQ$497,58,0)/5</f>
        <v>0</v>
      </c>
      <c r="X63" s="42"/>
      <c r="Y63" s="41">
        <f>VLOOKUP($B63,'25년 12월 출석표'!$B$2:$BQ$503,66,0)/5</f>
        <v>0</v>
      </c>
      <c r="Z63" s="43"/>
    </row>
    <row r="64" spans="1:26">
      <c r="A64" s="29"/>
      <c r="B64" s="30" t="s">
        <v>150</v>
      </c>
      <c r="C64" s="30" t="s">
        <v>3</v>
      </c>
      <c r="D64" s="31" t="s">
        <v>151</v>
      </c>
      <c r="E64" s="32" t="s">
        <v>377</v>
      </c>
      <c r="F64" s="50">
        <v>45895</v>
      </c>
      <c r="G64" s="33">
        <v>45902</v>
      </c>
      <c r="H64" s="33">
        <v>46447</v>
      </c>
      <c r="I64" s="34">
        <f>VLOOKUP(B64,'25년 12월 출석표'!$B$7:$D$509,3,0)</f>
        <v>4</v>
      </c>
      <c r="J64" s="35" t="e">
        <f t="shared" ca="1" si="0"/>
        <v>#NAME?</v>
      </c>
      <c r="K64" s="36" t="str">
        <f t="shared" si="1"/>
        <v>유효</v>
      </c>
      <c r="L64" s="37" t="str">
        <f t="shared" si="2"/>
        <v/>
      </c>
      <c r="M64" s="30" t="s">
        <v>378</v>
      </c>
      <c r="N64" s="44" t="b">
        <v>1</v>
      </c>
      <c r="O64" s="38" t="b">
        <v>0</v>
      </c>
      <c r="P64" s="38" t="b">
        <v>0</v>
      </c>
      <c r="Q64" s="39">
        <f>VLOOKUP($B64,'25년 12월 출석표'!$B$2:$BQ$497,16,0)/5</f>
        <v>0.2</v>
      </c>
      <c r="R64" s="40"/>
      <c r="S64" s="41">
        <f>VLOOKUP($B64,'25년 12월 출석표'!$B$2:$BQ$497,30,0)/5</f>
        <v>0.2</v>
      </c>
      <c r="T64" s="40"/>
      <c r="U64" s="41">
        <f>VLOOKUP($B64,'25년 12월 출석표'!$B$2:$BQ$497,44,0)/5</f>
        <v>0.2</v>
      </c>
      <c r="V64" s="40"/>
      <c r="W64" s="41">
        <f>VLOOKUP($B64,'25년 12월 출석표'!$B$2:$BQ$497,58,0)/5</f>
        <v>0.2</v>
      </c>
      <c r="X64" s="42"/>
      <c r="Y64" s="41">
        <f>VLOOKUP($B64,'25년 12월 출석표'!$B$2:$BQ$503,66,0)/5</f>
        <v>0</v>
      </c>
      <c r="Z64" s="43"/>
    </row>
    <row r="65" spans="1:26">
      <c r="A65" s="29"/>
      <c r="B65" s="30" t="s">
        <v>146</v>
      </c>
      <c r="C65" s="30" t="s">
        <v>4</v>
      </c>
      <c r="D65" s="31" t="s">
        <v>147</v>
      </c>
      <c r="E65" s="32" t="s">
        <v>376</v>
      </c>
      <c r="F65" s="50">
        <v>45895</v>
      </c>
      <c r="G65" s="33">
        <v>45922</v>
      </c>
      <c r="H65" s="33">
        <v>46251</v>
      </c>
      <c r="I65" s="34">
        <f>VLOOKUP(B65,'25년 12월 출석표'!$B$7:$D$509,3,0)</f>
        <v>6</v>
      </c>
      <c r="J65" s="35" t="e">
        <f t="shared" ca="1" si="0"/>
        <v>#NAME?</v>
      </c>
      <c r="K65" s="36" t="str">
        <f t="shared" si="1"/>
        <v>유효</v>
      </c>
      <c r="L65" s="37" t="str">
        <f t="shared" si="2"/>
        <v/>
      </c>
      <c r="M65" s="30" t="s">
        <v>374</v>
      </c>
      <c r="N65" s="38" t="b">
        <v>0</v>
      </c>
      <c r="O65" s="38" t="b">
        <v>0</v>
      </c>
      <c r="P65" s="38" t="b">
        <v>0</v>
      </c>
      <c r="Q65" s="39">
        <f>VLOOKUP($B65,'25년 12월 출석표'!$B$2:$BQ$497,16,0)/5</f>
        <v>0.4</v>
      </c>
      <c r="R65" s="40"/>
      <c r="S65" s="41">
        <f>VLOOKUP($B65,'25년 12월 출석표'!$B$2:$BQ$497,30,0)/5</f>
        <v>0.6</v>
      </c>
      <c r="T65" s="40"/>
      <c r="U65" s="41">
        <f>VLOOKUP($B65,'25년 12월 출석표'!$B$2:$BQ$497,44,0)/5</f>
        <v>0.2</v>
      </c>
      <c r="V65" s="40"/>
      <c r="W65" s="41">
        <f>VLOOKUP($B65,'25년 12월 출석표'!$B$2:$BQ$497,58,0)/5</f>
        <v>0</v>
      </c>
      <c r="X65" s="42"/>
      <c r="Y65" s="41">
        <f>VLOOKUP($B65,'25년 12월 출석표'!$B$2:$BQ$503,66,0)/5</f>
        <v>0</v>
      </c>
      <c r="Z65" s="43"/>
    </row>
    <row r="66" spans="1:26">
      <c r="A66" s="29"/>
      <c r="B66" s="30" t="s">
        <v>148</v>
      </c>
      <c r="C66" s="30" t="s">
        <v>3</v>
      </c>
      <c r="D66" s="31" t="s">
        <v>149</v>
      </c>
      <c r="E66" s="32" t="s">
        <v>376</v>
      </c>
      <c r="F66" s="50">
        <v>45895</v>
      </c>
      <c r="G66" s="33">
        <v>45922</v>
      </c>
      <c r="H66" s="33">
        <v>46251</v>
      </c>
      <c r="I66" s="34">
        <f>VLOOKUP(B66,'25년 12월 출석표'!$B$7:$D$509,3,0)</f>
        <v>7</v>
      </c>
      <c r="J66" s="35" t="e">
        <f t="shared" ca="1" si="0"/>
        <v>#NAME?</v>
      </c>
      <c r="K66" s="36" t="str">
        <f t="shared" si="1"/>
        <v>유효</v>
      </c>
      <c r="L66" s="37" t="str">
        <f t="shared" si="2"/>
        <v/>
      </c>
      <c r="M66" s="30" t="s">
        <v>374</v>
      </c>
      <c r="N66" s="38" t="b">
        <v>0</v>
      </c>
      <c r="O66" s="38" t="b">
        <v>0</v>
      </c>
      <c r="P66" s="38" t="b">
        <v>0</v>
      </c>
      <c r="Q66" s="39">
        <f>VLOOKUP($B66,'25년 12월 출석표'!$B$2:$BQ$497,16,0)/5</f>
        <v>0.4</v>
      </c>
      <c r="R66" s="40"/>
      <c r="S66" s="41">
        <f>VLOOKUP($B66,'25년 12월 출석표'!$B$2:$BQ$497,30,0)/5</f>
        <v>0.6</v>
      </c>
      <c r="T66" s="40"/>
      <c r="U66" s="41">
        <f>VLOOKUP($B66,'25년 12월 출석표'!$B$2:$BQ$497,44,0)/5</f>
        <v>0.4</v>
      </c>
      <c r="V66" s="40"/>
      <c r="W66" s="41">
        <f>VLOOKUP($B66,'25년 12월 출석표'!$B$2:$BQ$497,58,0)/5</f>
        <v>0</v>
      </c>
      <c r="X66" s="42"/>
      <c r="Y66" s="41">
        <f>VLOOKUP($B66,'25년 12월 출석표'!$B$2:$BQ$503,66,0)/5</f>
        <v>0</v>
      </c>
      <c r="Z66" s="43"/>
    </row>
    <row r="67" spans="1:26">
      <c r="A67" s="29"/>
      <c r="B67" s="30" t="s">
        <v>154</v>
      </c>
      <c r="C67" s="30" t="s">
        <v>3</v>
      </c>
      <c r="D67" s="31" t="s">
        <v>155</v>
      </c>
      <c r="E67" s="32" t="s">
        <v>377</v>
      </c>
      <c r="F67" s="50">
        <v>45896</v>
      </c>
      <c r="G67" s="33">
        <v>45898</v>
      </c>
      <c r="H67" s="33">
        <v>46262</v>
      </c>
      <c r="I67" s="34">
        <f>VLOOKUP(B67,'25년 12월 출석표'!$B$7:$D$509,3,0)</f>
        <v>1</v>
      </c>
      <c r="J67" s="35" t="e">
        <f t="shared" ca="1" si="0"/>
        <v>#NAME?</v>
      </c>
      <c r="K67" s="36" t="str">
        <f t="shared" si="1"/>
        <v>유효</v>
      </c>
      <c r="L67" s="37" t="str">
        <f t="shared" si="2"/>
        <v/>
      </c>
      <c r="M67" s="30" t="s">
        <v>378</v>
      </c>
      <c r="N67" s="44" t="b">
        <v>1</v>
      </c>
      <c r="O67" s="38" t="b">
        <v>0</v>
      </c>
      <c r="P67" s="38" t="b">
        <v>0</v>
      </c>
      <c r="Q67" s="39">
        <f>VLOOKUP($B67,'25년 12월 출석표'!$B$2:$BQ$497,16,0)/5</f>
        <v>0</v>
      </c>
      <c r="R67" s="40"/>
      <c r="S67" s="41">
        <f>VLOOKUP($B67,'25년 12월 출석표'!$B$2:$BQ$497,30,0)/5</f>
        <v>0</v>
      </c>
      <c r="T67" s="40"/>
      <c r="U67" s="41">
        <f>VLOOKUP($B67,'25년 12월 출석표'!$B$2:$BQ$497,44,0)/5</f>
        <v>0</v>
      </c>
      <c r="V67" s="40"/>
      <c r="W67" s="41">
        <f>VLOOKUP($B67,'25년 12월 출석표'!$B$2:$BQ$497,58,0)/5</f>
        <v>0.2</v>
      </c>
      <c r="X67" s="42"/>
      <c r="Y67" s="41">
        <f>VLOOKUP($B67,'25년 12월 출석표'!$B$2:$BQ$503,66,0)/5</f>
        <v>0</v>
      </c>
      <c r="Z67" s="43"/>
    </row>
    <row r="68" spans="1:26">
      <c r="A68" s="29"/>
      <c r="B68" s="30" t="s">
        <v>152</v>
      </c>
      <c r="C68" s="30" t="s">
        <v>4</v>
      </c>
      <c r="D68" s="31" t="s">
        <v>153</v>
      </c>
      <c r="E68" s="32" t="s">
        <v>376</v>
      </c>
      <c r="F68" s="50">
        <v>45896</v>
      </c>
      <c r="G68" s="33">
        <v>45931</v>
      </c>
      <c r="H68" s="33">
        <v>46203</v>
      </c>
      <c r="I68" s="34">
        <f>VLOOKUP(B68,'25년 12월 출석표'!$B$7:$D$509,3,0)</f>
        <v>12</v>
      </c>
      <c r="J68" s="35" t="e">
        <f t="shared" ca="1" si="0"/>
        <v>#NAME?</v>
      </c>
      <c r="K68" s="36" t="str">
        <f t="shared" si="1"/>
        <v>유효</v>
      </c>
      <c r="L68" s="37" t="str">
        <f t="shared" si="2"/>
        <v/>
      </c>
      <c r="M68" s="30" t="s">
        <v>374</v>
      </c>
      <c r="N68" s="38" t="b">
        <v>0</v>
      </c>
      <c r="O68" s="38" t="b">
        <v>0</v>
      </c>
      <c r="P68" s="38" t="b">
        <v>0</v>
      </c>
      <c r="Q68" s="39">
        <f>VLOOKUP($B68,'25년 12월 출석표'!$B$2:$BQ$497,16,0)/5</f>
        <v>0.6</v>
      </c>
      <c r="R68" s="40"/>
      <c r="S68" s="41">
        <f>VLOOKUP($B68,'25년 12월 출석표'!$B$2:$BQ$497,30,0)/5</f>
        <v>0.4</v>
      </c>
      <c r="T68" s="40"/>
      <c r="U68" s="41">
        <f>VLOOKUP($B68,'25년 12월 출석표'!$B$2:$BQ$497,44,0)/5</f>
        <v>0.6</v>
      </c>
      <c r="V68" s="40"/>
      <c r="W68" s="41">
        <f>VLOOKUP($B68,'25년 12월 출석표'!$B$2:$BQ$497,58,0)/5</f>
        <v>0.6</v>
      </c>
      <c r="X68" s="42"/>
      <c r="Y68" s="41">
        <f>VLOOKUP($B68,'25년 12월 출석표'!$B$2:$BQ$503,66,0)/5</f>
        <v>0.2</v>
      </c>
      <c r="Z68" s="43"/>
    </row>
    <row r="69" spans="1:26">
      <c r="A69" s="29"/>
      <c r="B69" s="30" t="s">
        <v>158</v>
      </c>
      <c r="C69" s="30" t="s">
        <v>3</v>
      </c>
      <c r="D69" s="31" t="s">
        <v>159</v>
      </c>
      <c r="E69" s="32" t="s">
        <v>377</v>
      </c>
      <c r="F69" s="50">
        <v>45897</v>
      </c>
      <c r="G69" s="33">
        <v>45898</v>
      </c>
      <c r="H69" s="33">
        <v>46262</v>
      </c>
      <c r="I69" s="34">
        <f>VLOOKUP(B69,'25년 12월 출석표'!$B$7:$D$509,3,0)</f>
        <v>4</v>
      </c>
      <c r="J69" s="35" t="e">
        <f t="shared" ca="1" si="0"/>
        <v>#NAME?</v>
      </c>
      <c r="K69" s="36" t="str">
        <f t="shared" si="1"/>
        <v>유효</v>
      </c>
      <c r="L69" s="37" t="str">
        <f t="shared" si="2"/>
        <v/>
      </c>
      <c r="M69" s="30" t="s">
        <v>378</v>
      </c>
      <c r="N69" s="44" t="b">
        <v>1</v>
      </c>
      <c r="O69" s="38" t="b">
        <v>0</v>
      </c>
      <c r="P69" s="38" t="b">
        <v>0</v>
      </c>
      <c r="Q69" s="39">
        <f>VLOOKUP($B69,'25년 12월 출석표'!$B$2:$BQ$497,16,0)/5</f>
        <v>0.2</v>
      </c>
      <c r="R69" s="40"/>
      <c r="S69" s="41">
        <f>VLOOKUP($B69,'25년 12월 출석표'!$B$2:$BQ$497,30,0)/5</f>
        <v>0.2</v>
      </c>
      <c r="T69" s="40"/>
      <c r="U69" s="41">
        <f>VLOOKUP($B69,'25년 12월 출석표'!$B$2:$BQ$497,44,0)/5</f>
        <v>0.2</v>
      </c>
      <c r="V69" s="40"/>
      <c r="W69" s="41">
        <f>VLOOKUP($B69,'25년 12월 출석표'!$B$2:$BQ$497,58,0)/5</f>
        <v>0.2</v>
      </c>
      <c r="X69" s="42"/>
      <c r="Y69" s="41">
        <f>VLOOKUP($B69,'25년 12월 출석표'!$B$2:$BQ$503,66,0)/5</f>
        <v>0</v>
      </c>
      <c r="Z69" s="43"/>
    </row>
    <row r="70" spans="1:26">
      <c r="A70" s="29"/>
      <c r="B70" s="30" t="s">
        <v>156</v>
      </c>
      <c r="C70" s="30" t="s">
        <v>4</v>
      </c>
      <c r="D70" s="31" t="s">
        <v>157</v>
      </c>
      <c r="E70" s="32" t="s">
        <v>373</v>
      </c>
      <c r="F70" s="50">
        <v>45897</v>
      </c>
      <c r="G70" s="33">
        <v>45898</v>
      </c>
      <c r="H70" s="33">
        <v>46126</v>
      </c>
      <c r="I70" s="34">
        <f>VLOOKUP(B70,'25년 12월 출석표'!$B$7:$D$509,3,0)</f>
        <v>6</v>
      </c>
      <c r="J70" s="35" t="e">
        <f t="shared" ca="1" si="0"/>
        <v>#NAME?</v>
      </c>
      <c r="K70" s="36" t="str">
        <f t="shared" si="1"/>
        <v>유효</v>
      </c>
      <c r="L70" s="37" t="str">
        <f t="shared" si="2"/>
        <v/>
      </c>
      <c r="M70" s="30" t="s">
        <v>374</v>
      </c>
      <c r="N70" s="38" t="b">
        <v>0</v>
      </c>
      <c r="O70" s="38" t="b">
        <v>0</v>
      </c>
      <c r="P70" s="38" t="b">
        <v>0</v>
      </c>
      <c r="Q70" s="39">
        <f>VLOOKUP($B70,'25년 12월 출석표'!$B$2:$BQ$497,16,0)/5</f>
        <v>0.2</v>
      </c>
      <c r="R70" s="40"/>
      <c r="S70" s="41">
        <f>VLOOKUP($B70,'25년 12월 출석표'!$B$2:$BQ$497,30,0)/5</f>
        <v>0</v>
      </c>
      <c r="T70" s="40"/>
      <c r="U70" s="41">
        <f>VLOOKUP($B70,'25년 12월 출석표'!$B$2:$BQ$497,44,0)/5</f>
        <v>0.4</v>
      </c>
      <c r="V70" s="40"/>
      <c r="W70" s="41">
        <f>VLOOKUP($B70,'25년 12월 출석표'!$B$2:$BQ$497,58,0)/5</f>
        <v>0.4</v>
      </c>
      <c r="X70" s="42"/>
      <c r="Y70" s="41">
        <f>VLOOKUP($B70,'25년 12월 출석표'!$B$2:$BQ$503,66,0)/5</f>
        <v>0.2</v>
      </c>
      <c r="Z70" s="43"/>
    </row>
    <row r="71" spans="1:26">
      <c r="A71" s="29"/>
      <c r="B71" s="30" t="s">
        <v>160</v>
      </c>
      <c r="C71" s="30" t="s">
        <v>4</v>
      </c>
      <c r="D71" s="31" t="s">
        <v>161</v>
      </c>
      <c r="E71" s="32" t="s">
        <v>377</v>
      </c>
      <c r="F71" s="50">
        <v>45897</v>
      </c>
      <c r="G71" s="33">
        <v>45898</v>
      </c>
      <c r="H71" s="33">
        <v>46269</v>
      </c>
      <c r="I71" s="34">
        <f>VLOOKUP(B71,'25년 12월 출석표'!$B$7:$D$509,3,0)</f>
        <v>13</v>
      </c>
      <c r="J71" s="35" t="e">
        <f t="shared" ca="1" si="0"/>
        <v>#NAME?</v>
      </c>
      <c r="K71" s="36" t="str">
        <f t="shared" si="1"/>
        <v>유효</v>
      </c>
      <c r="L71" s="37" t="str">
        <f t="shared" si="2"/>
        <v/>
      </c>
      <c r="M71" s="30" t="s">
        <v>378</v>
      </c>
      <c r="N71" s="44" t="b">
        <v>1</v>
      </c>
      <c r="O71" s="38" t="b">
        <v>0</v>
      </c>
      <c r="P71" s="38" t="b">
        <v>0</v>
      </c>
      <c r="Q71" s="39">
        <f>VLOOKUP($B71,'25년 12월 출석표'!$B$2:$BQ$497,16,0)/5</f>
        <v>0.6</v>
      </c>
      <c r="R71" s="40"/>
      <c r="S71" s="41">
        <f>VLOOKUP($B71,'25년 12월 출석표'!$B$2:$BQ$497,30,0)/5</f>
        <v>0.8</v>
      </c>
      <c r="T71" s="40"/>
      <c r="U71" s="41">
        <f>VLOOKUP($B71,'25년 12월 출석표'!$B$2:$BQ$497,44,0)/5</f>
        <v>0.6</v>
      </c>
      <c r="V71" s="40"/>
      <c r="W71" s="41">
        <f>VLOOKUP($B71,'25년 12월 출석표'!$B$2:$BQ$497,58,0)/5</f>
        <v>0.4</v>
      </c>
      <c r="X71" s="42"/>
      <c r="Y71" s="41">
        <f>VLOOKUP($B71,'25년 12월 출석표'!$B$2:$BQ$503,66,0)/5</f>
        <v>0.2</v>
      </c>
      <c r="Z71" s="43"/>
    </row>
    <row r="72" spans="1:26">
      <c r="A72" s="29"/>
      <c r="B72" s="30" t="s">
        <v>162</v>
      </c>
      <c r="C72" s="30" t="s">
        <v>4</v>
      </c>
      <c r="D72" s="31" t="s">
        <v>163</v>
      </c>
      <c r="E72" s="32" t="s">
        <v>373</v>
      </c>
      <c r="F72" s="50">
        <v>45898</v>
      </c>
      <c r="G72" s="33">
        <v>45901</v>
      </c>
      <c r="H72" s="33">
        <v>46081</v>
      </c>
      <c r="I72" s="34">
        <f>VLOOKUP(B72,'25년 12월 출석표'!$B$7:$D$509,3,0)</f>
        <v>4</v>
      </c>
      <c r="J72" s="35" t="e">
        <f t="shared" ca="1" si="0"/>
        <v>#NAME?</v>
      </c>
      <c r="K72" s="36" t="str">
        <f t="shared" si="1"/>
        <v>유효</v>
      </c>
      <c r="L72" s="37" t="str">
        <f t="shared" si="2"/>
        <v/>
      </c>
      <c r="M72" s="30" t="s">
        <v>378</v>
      </c>
      <c r="N72" s="44" t="b">
        <v>1</v>
      </c>
      <c r="O72" s="38" t="b">
        <v>0</v>
      </c>
      <c r="P72" s="38" t="b">
        <v>0</v>
      </c>
      <c r="Q72" s="39">
        <f>VLOOKUP($B72,'25년 12월 출석표'!$B$2:$BQ$497,16,0)/5</f>
        <v>0.4</v>
      </c>
      <c r="R72" s="40"/>
      <c r="S72" s="41">
        <f>VLOOKUP($B72,'25년 12월 출석표'!$B$2:$BQ$497,30,0)/5</f>
        <v>0.4</v>
      </c>
      <c r="T72" s="40"/>
      <c r="U72" s="41">
        <f>VLOOKUP($B72,'25년 12월 출석표'!$B$2:$BQ$497,44,0)/5</f>
        <v>0</v>
      </c>
      <c r="V72" s="40"/>
      <c r="W72" s="41">
        <f>VLOOKUP($B72,'25년 12월 출석표'!$B$2:$BQ$497,58,0)/5</f>
        <v>0</v>
      </c>
      <c r="X72" s="42"/>
      <c r="Y72" s="41">
        <f>VLOOKUP($B72,'25년 12월 출석표'!$B$2:$BQ$503,66,0)/5</f>
        <v>0</v>
      </c>
      <c r="Z72" s="43"/>
    </row>
    <row r="73" spans="1:26">
      <c r="A73" s="29"/>
      <c r="B73" s="30" t="s">
        <v>164</v>
      </c>
      <c r="C73" s="30" t="s">
        <v>4</v>
      </c>
      <c r="D73" s="31" t="s">
        <v>165</v>
      </c>
      <c r="E73" s="32" t="s">
        <v>377</v>
      </c>
      <c r="F73" s="50">
        <v>45898</v>
      </c>
      <c r="G73" s="33">
        <v>45901</v>
      </c>
      <c r="H73" s="33">
        <v>46265</v>
      </c>
      <c r="I73" s="34">
        <f>VLOOKUP(B73,'25년 12월 출석표'!$B$7:$D$509,3,0)</f>
        <v>6</v>
      </c>
      <c r="J73" s="35" t="e">
        <f t="shared" ca="1" si="0"/>
        <v>#NAME?</v>
      </c>
      <c r="K73" s="36" t="str">
        <f t="shared" si="1"/>
        <v>유효</v>
      </c>
      <c r="L73" s="37" t="str">
        <f t="shared" si="2"/>
        <v/>
      </c>
      <c r="M73" s="30" t="s">
        <v>378</v>
      </c>
      <c r="N73" s="44" t="b">
        <v>1</v>
      </c>
      <c r="O73" s="38" t="b">
        <v>0</v>
      </c>
      <c r="P73" s="38" t="b">
        <v>0</v>
      </c>
      <c r="Q73" s="39">
        <f>VLOOKUP($B73,'25년 12월 출석표'!$B$2:$BQ$497,16,0)/5</f>
        <v>0.4</v>
      </c>
      <c r="R73" s="40"/>
      <c r="S73" s="41">
        <f>VLOOKUP($B73,'25년 12월 출석표'!$B$2:$BQ$497,30,0)/5</f>
        <v>0.4</v>
      </c>
      <c r="T73" s="40"/>
      <c r="U73" s="41">
        <f>VLOOKUP($B73,'25년 12월 출석표'!$B$2:$BQ$497,44,0)/5</f>
        <v>0.2</v>
      </c>
      <c r="V73" s="40"/>
      <c r="W73" s="41">
        <f>VLOOKUP($B73,'25년 12월 출석표'!$B$2:$BQ$497,58,0)/5</f>
        <v>0.2</v>
      </c>
      <c r="X73" s="42"/>
      <c r="Y73" s="41">
        <f>VLOOKUP($B73,'25년 12월 출석표'!$B$2:$BQ$503,66,0)/5</f>
        <v>0</v>
      </c>
      <c r="Z73" s="43"/>
    </row>
    <row r="74" spans="1:26">
      <c r="A74" s="29"/>
      <c r="B74" s="30" t="s">
        <v>166</v>
      </c>
      <c r="C74" s="30" t="s">
        <v>4</v>
      </c>
      <c r="D74" s="31" t="s">
        <v>167</v>
      </c>
      <c r="E74" s="32" t="s">
        <v>377</v>
      </c>
      <c r="F74" s="50">
        <v>45898</v>
      </c>
      <c r="G74" s="33">
        <v>45964</v>
      </c>
      <c r="H74" s="33">
        <v>46328</v>
      </c>
      <c r="I74" s="34">
        <f>VLOOKUP(B74,'25년 12월 출석표'!$B$7:$D$509,3,0)</f>
        <v>14</v>
      </c>
      <c r="J74" s="35" t="e">
        <f t="shared" ca="1" si="0"/>
        <v>#NAME?</v>
      </c>
      <c r="K74" s="36" t="str">
        <f t="shared" si="1"/>
        <v>유효</v>
      </c>
      <c r="L74" s="37" t="str">
        <f t="shared" si="2"/>
        <v/>
      </c>
      <c r="M74" s="30" t="s">
        <v>378</v>
      </c>
      <c r="N74" s="44" t="b">
        <v>1</v>
      </c>
      <c r="O74" s="38" t="b">
        <v>0</v>
      </c>
      <c r="P74" s="38" t="b">
        <v>0</v>
      </c>
      <c r="Q74" s="39">
        <f>VLOOKUP($B74,'25년 12월 출석표'!$B$2:$BQ$497,16,0)/5</f>
        <v>0.6</v>
      </c>
      <c r="R74" s="40"/>
      <c r="S74" s="41">
        <f>VLOOKUP($B74,'25년 12월 출석표'!$B$2:$BQ$497,30,0)/5</f>
        <v>0.6</v>
      </c>
      <c r="T74" s="40"/>
      <c r="U74" s="41">
        <f>VLOOKUP($B74,'25년 12월 출석표'!$B$2:$BQ$497,44,0)/5</f>
        <v>0.6</v>
      </c>
      <c r="V74" s="40"/>
      <c r="W74" s="41">
        <f>VLOOKUP($B74,'25년 12월 출석표'!$B$2:$BQ$497,58,0)/5</f>
        <v>0.4</v>
      </c>
      <c r="X74" s="42"/>
      <c r="Y74" s="41">
        <f>VLOOKUP($B74,'25년 12월 출석표'!$B$2:$BQ$503,66,0)/5</f>
        <v>0.6</v>
      </c>
      <c r="Z74" s="43"/>
    </row>
    <row r="75" spans="1:26">
      <c r="A75" s="29"/>
      <c r="B75" s="30" t="s">
        <v>168</v>
      </c>
      <c r="C75" s="30" t="s">
        <v>3</v>
      </c>
      <c r="D75" s="31" t="s">
        <v>169</v>
      </c>
      <c r="E75" s="32" t="s">
        <v>373</v>
      </c>
      <c r="F75" s="50">
        <v>45899</v>
      </c>
      <c r="G75" s="33">
        <v>45899</v>
      </c>
      <c r="H75" s="33">
        <v>46082</v>
      </c>
      <c r="I75" s="34">
        <f>VLOOKUP(B75,'25년 12월 출석표'!$B$7:$D$509,3,0)</f>
        <v>18</v>
      </c>
      <c r="J75" s="35" t="e">
        <f t="shared" ca="1" si="0"/>
        <v>#NAME?</v>
      </c>
      <c r="K75" s="36" t="str">
        <f t="shared" si="1"/>
        <v>유효</v>
      </c>
      <c r="L75" s="37" t="str">
        <f t="shared" si="2"/>
        <v/>
      </c>
      <c r="M75" s="30" t="s">
        <v>378</v>
      </c>
      <c r="N75" s="44" t="b">
        <v>1</v>
      </c>
      <c r="O75" s="38" t="b">
        <v>0</v>
      </c>
      <c r="P75" s="38" t="b">
        <v>0</v>
      </c>
      <c r="Q75" s="39">
        <f>VLOOKUP($B75,'25년 12월 출석표'!$B$2:$BQ$497,16,0)/5</f>
        <v>0.6</v>
      </c>
      <c r="R75" s="40"/>
      <c r="S75" s="41">
        <f>VLOOKUP($B75,'25년 12월 출석표'!$B$2:$BQ$497,30,0)/5</f>
        <v>0.8</v>
      </c>
      <c r="T75" s="40"/>
      <c r="U75" s="41">
        <f>VLOOKUP($B75,'25년 12월 출석표'!$B$2:$BQ$497,44,0)/5</f>
        <v>0.6</v>
      </c>
      <c r="V75" s="40"/>
      <c r="W75" s="41">
        <f>VLOOKUP($B75,'25년 12월 출석표'!$B$2:$BQ$497,58,0)/5</f>
        <v>1</v>
      </c>
      <c r="X75" s="42"/>
      <c r="Y75" s="41">
        <f>VLOOKUP($B75,'25년 12월 출석표'!$B$2:$BQ$503,66,0)/5</f>
        <v>0.6</v>
      </c>
      <c r="Z75" s="43"/>
    </row>
    <row r="76" spans="1:26">
      <c r="A76" s="29"/>
      <c r="B76" s="30" t="s">
        <v>170</v>
      </c>
      <c r="C76" s="30" t="s">
        <v>3</v>
      </c>
      <c r="D76" s="31" t="s">
        <v>171</v>
      </c>
      <c r="E76" s="32" t="s">
        <v>373</v>
      </c>
      <c r="F76" s="50">
        <v>45901</v>
      </c>
      <c r="G76" s="33">
        <v>45901</v>
      </c>
      <c r="H76" s="33">
        <v>46081</v>
      </c>
      <c r="I76" s="34">
        <f>VLOOKUP(B76,'25년 12월 출석표'!$B$7:$D$509,3,0)</f>
        <v>5</v>
      </c>
      <c r="J76" s="35" t="e">
        <f t="shared" ca="1" si="0"/>
        <v>#NAME?</v>
      </c>
      <c r="K76" s="36" t="str">
        <f t="shared" si="1"/>
        <v>유효</v>
      </c>
      <c r="L76" s="37" t="str">
        <f t="shared" si="2"/>
        <v/>
      </c>
      <c r="M76" s="30" t="s">
        <v>378</v>
      </c>
      <c r="N76" s="44" t="b">
        <v>1</v>
      </c>
      <c r="O76" s="38" t="b">
        <v>0</v>
      </c>
      <c r="P76" s="38" t="b">
        <v>0</v>
      </c>
      <c r="Q76" s="39">
        <f>VLOOKUP($B76,'25년 12월 출석표'!$B$2:$BQ$497,16,0)/5</f>
        <v>0</v>
      </c>
      <c r="R76" s="40"/>
      <c r="S76" s="41">
        <f>VLOOKUP($B76,'25년 12월 출석표'!$B$2:$BQ$497,30,0)/5</f>
        <v>0.4</v>
      </c>
      <c r="T76" s="40"/>
      <c r="U76" s="41">
        <f>VLOOKUP($B76,'25년 12월 출석표'!$B$2:$BQ$497,44,0)/5</f>
        <v>0.4</v>
      </c>
      <c r="V76" s="40"/>
      <c r="W76" s="41">
        <f>VLOOKUP($B76,'25년 12월 출석표'!$B$2:$BQ$497,58,0)/5</f>
        <v>0.2</v>
      </c>
      <c r="X76" s="42"/>
      <c r="Y76" s="41">
        <f>VLOOKUP($B76,'25년 12월 출석표'!$B$2:$BQ$503,66,0)/5</f>
        <v>0</v>
      </c>
      <c r="Z76" s="43"/>
    </row>
    <row r="77" spans="1:26">
      <c r="A77" s="29"/>
      <c r="B77" s="30" t="s">
        <v>174</v>
      </c>
      <c r="C77" s="30" t="s">
        <v>3</v>
      </c>
      <c r="D77" s="31" t="s">
        <v>175</v>
      </c>
      <c r="E77" s="32" t="s">
        <v>377</v>
      </c>
      <c r="F77" s="50">
        <v>45903</v>
      </c>
      <c r="G77" s="33">
        <v>45908</v>
      </c>
      <c r="H77" s="33">
        <v>46272</v>
      </c>
      <c r="I77" s="34">
        <f>VLOOKUP(B77,'25년 12월 출석표'!$B$7:$D$509,3,0)</f>
        <v>0</v>
      </c>
      <c r="J77" s="35" t="e">
        <f t="shared" ca="1" si="0"/>
        <v>#NAME?</v>
      </c>
      <c r="K77" s="36" t="str">
        <f t="shared" si="1"/>
        <v>유효</v>
      </c>
      <c r="L77" s="37" t="str">
        <f t="shared" si="2"/>
        <v/>
      </c>
      <c r="M77" s="30" t="s">
        <v>374</v>
      </c>
      <c r="N77" s="38" t="b">
        <v>0</v>
      </c>
      <c r="O77" s="38" t="b">
        <v>0</v>
      </c>
      <c r="P77" s="38" t="b">
        <v>0</v>
      </c>
      <c r="Q77" s="39">
        <f>VLOOKUP($B77,'25년 12월 출석표'!$B$2:$BQ$497,16,0)/5</f>
        <v>0</v>
      </c>
      <c r="R77" s="40"/>
      <c r="S77" s="41">
        <f>VLOOKUP($B77,'25년 12월 출석표'!$B$2:$BQ$497,30,0)/5</f>
        <v>0</v>
      </c>
      <c r="T77" s="40"/>
      <c r="U77" s="41">
        <f>VLOOKUP($B77,'25년 12월 출석표'!$B$2:$BQ$497,44,0)/5</f>
        <v>0</v>
      </c>
      <c r="V77" s="40"/>
      <c r="W77" s="41">
        <f>VLOOKUP($B77,'25년 12월 출석표'!$B$2:$BQ$497,58,0)/5</f>
        <v>0</v>
      </c>
      <c r="X77" s="42"/>
      <c r="Y77" s="41">
        <f>VLOOKUP($B77,'25년 12월 출석표'!$B$2:$BQ$503,66,0)/5</f>
        <v>0</v>
      </c>
      <c r="Z77" s="43"/>
    </row>
    <row r="78" spans="1:26">
      <c r="A78" s="29"/>
      <c r="B78" s="30" t="s">
        <v>176</v>
      </c>
      <c r="C78" s="30" t="s">
        <v>4</v>
      </c>
      <c r="D78" s="31" t="s">
        <v>177</v>
      </c>
      <c r="E78" s="32" t="s">
        <v>377</v>
      </c>
      <c r="F78" s="50">
        <v>45903</v>
      </c>
      <c r="G78" s="33">
        <v>45992</v>
      </c>
      <c r="H78" s="33">
        <v>46356</v>
      </c>
      <c r="I78" s="34">
        <f>VLOOKUP(B78,'25년 12월 출석표'!$B$7:$D$509,3,0)</f>
        <v>0</v>
      </c>
      <c r="J78" s="35" t="e">
        <f t="shared" ca="1" si="0"/>
        <v>#NAME?</v>
      </c>
      <c r="K78" s="36" t="str">
        <f t="shared" si="1"/>
        <v>유효</v>
      </c>
      <c r="L78" s="37" t="str">
        <f t="shared" si="2"/>
        <v/>
      </c>
      <c r="M78" s="30" t="s">
        <v>375</v>
      </c>
      <c r="N78" s="44" t="b">
        <v>1</v>
      </c>
      <c r="O78" s="38" t="b">
        <v>0</v>
      </c>
      <c r="P78" s="38" t="b">
        <v>0</v>
      </c>
      <c r="Q78" s="39">
        <f>VLOOKUP($B78,'25년 12월 출석표'!$B$2:$BQ$497,16,0)/5</f>
        <v>0</v>
      </c>
      <c r="R78" s="40"/>
      <c r="S78" s="41">
        <f>VLOOKUP($B78,'25년 12월 출석표'!$B$2:$BQ$497,30,0)/5</f>
        <v>0</v>
      </c>
      <c r="T78" s="40"/>
      <c r="U78" s="41">
        <f>VLOOKUP($B78,'25년 12월 출석표'!$B$2:$BQ$497,44,0)/5</f>
        <v>0</v>
      </c>
      <c r="V78" s="40"/>
      <c r="W78" s="41">
        <f>VLOOKUP($B78,'25년 12월 출석표'!$B$2:$BQ$497,58,0)/5</f>
        <v>0</v>
      </c>
      <c r="X78" s="42"/>
      <c r="Y78" s="41">
        <f>VLOOKUP($B78,'25년 12월 출석표'!$B$2:$BQ$503,66,0)/5</f>
        <v>0</v>
      </c>
      <c r="Z78" s="43"/>
    </row>
    <row r="79" spans="1:26">
      <c r="A79" s="29"/>
      <c r="B79" s="30" t="s">
        <v>172</v>
      </c>
      <c r="C79" s="30" t="s">
        <v>4</v>
      </c>
      <c r="D79" s="31" t="s">
        <v>173</v>
      </c>
      <c r="E79" s="32" t="s">
        <v>373</v>
      </c>
      <c r="F79" s="167">
        <v>45903</v>
      </c>
      <c r="G79" s="33">
        <v>45901</v>
      </c>
      <c r="H79" s="33">
        <v>46081</v>
      </c>
      <c r="I79" s="34">
        <f>VLOOKUP(B79,'25년 12월 출석표'!$B$7:$D$509,3,0)</f>
        <v>6</v>
      </c>
      <c r="J79" s="35" t="e">
        <f t="shared" ca="1" si="0"/>
        <v>#NAME?</v>
      </c>
      <c r="K79" s="36" t="str">
        <f t="shared" si="1"/>
        <v>유효</v>
      </c>
      <c r="L79" s="37" t="str">
        <f t="shared" si="2"/>
        <v/>
      </c>
      <c r="M79" s="30" t="s">
        <v>378</v>
      </c>
      <c r="N79" s="44" t="b">
        <v>1</v>
      </c>
      <c r="O79" s="38" t="b">
        <v>0</v>
      </c>
      <c r="P79" s="38" t="b">
        <v>0</v>
      </c>
      <c r="Q79" s="39">
        <f>VLOOKUP($B79,'25년 12월 출석표'!$B$2:$BQ$497,16,0)/5</f>
        <v>0.2</v>
      </c>
      <c r="R79" s="40"/>
      <c r="S79" s="41">
        <f>VLOOKUP($B79,'25년 12월 출석표'!$B$2:$BQ$497,30,0)/5</f>
        <v>0.2</v>
      </c>
      <c r="T79" s="40"/>
      <c r="U79" s="41">
        <f>VLOOKUP($B79,'25년 12월 출석표'!$B$2:$BQ$497,44,0)/5</f>
        <v>0.4</v>
      </c>
      <c r="V79" s="40"/>
      <c r="W79" s="41">
        <f>VLOOKUP($B79,'25년 12월 출석표'!$B$2:$BQ$497,58,0)/5</f>
        <v>0.2</v>
      </c>
      <c r="X79" s="42"/>
      <c r="Y79" s="41">
        <f>VLOOKUP($B79,'25년 12월 출석표'!$B$2:$BQ$503,66,0)/5</f>
        <v>0.2</v>
      </c>
      <c r="Z79" s="43"/>
    </row>
    <row r="80" spans="1:26">
      <c r="A80" s="29"/>
      <c r="B80" s="30" t="s">
        <v>178</v>
      </c>
      <c r="C80" s="30" t="s">
        <v>4</v>
      </c>
      <c r="D80" s="31" t="s">
        <v>179</v>
      </c>
      <c r="E80" s="32" t="s">
        <v>377</v>
      </c>
      <c r="F80" s="50">
        <v>45908</v>
      </c>
      <c r="G80" s="33">
        <v>45908</v>
      </c>
      <c r="H80" s="33">
        <v>46333</v>
      </c>
      <c r="I80" s="34">
        <f>VLOOKUP(B80,'25년 12월 출석표'!$B$7:$D$509,3,0)</f>
        <v>6</v>
      </c>
      <c r="J80" s="35" t="e">
        <f t="shared" ca="1" si="0"/>
        <v>#NAME?</v>
      </c>
      <c r="K80" s="36" t="str">
        <f t="shared" si="1"/>
        <v>유효</v>
      </c>
      <c r="L80" s="37" t="str">
        <f t="shared" si="2"/>
        <v/>
      </c>
      <c r="M80" s="30" t="s">
        <v>374</v>
      </c>
      <c r="N80" s="38" t="b">
        <v>0</v>
      </c>
      <c r="O80" s="38" t="b">
        <v>0</v>
      </c>
      <c r="P80" s="38" t="b">
        <v>0</v>
      </c>
      <c r="Q80" s="39">
        <f>VLOOKUP($B80,'25년 12월 출석표'!$B$2:$BQ$497,16,0)/5</f>
        <v>0.4</v>
      </c>
      <c r="R80" s="40"/>
      <c r="S80" s="41">
        <f>VLOOKUP($B80,'25년 12월 출석표'!$B$2:$BQ$497,30,0)/5</f>
        <v>0.4</v>
      </c>
      <c r="T80" s="40"/>
      <c r="U80" s="41">
        <f>VLOOKUP($B80,'25년 12월 출석표'!$B$2:$BQ$497,44,0)/5</f>
        <v>0.2</v>
      </c>
      <c r="V80" s="40"/>
      <c r="W80" s="41">
        <f>VLOOKUP($B80,'25년 12월 출석표'!$B$2:$BQ$497,58,0)/5</f>
        <v>0.2</v>
      </c>
      <c r="X80" s="42"/>
      <c r="Y80" s="41">
        <f>VLOOKUP($B80,'25년 12월 출석표'!$B$2:$BQ$503,66,0)/5</f>
        <v>0</v>
      </c>
      <c r="Z80" s="43"/>
    </row>
    <row r="81" spans="1:26">
      <c r="A81" s="29"/>
      <c r="B81" s="30" t="s">
        <v>384</v>
      </c>
      <c r="C81" s="30" t="s">
        <v>4</v>
      </c>
      <c r="D81" s="31" t="s">
        <v>385</v>
      </c>
      <c r="E81" s="32" t="s">
        <v>386</v>
      </c>
      <c r="F81" s="50">
        <v>45911</v>
      </c>
      <c r="G81" s="33">
        <v>45992</v>
      </c>
      <c r="H81" s="33">
        <v>46022</v>
      </c>
      <c r="I81" s="34">
        <f>VLOOKUP(B81,'25년 12월 출석표'!$B$7:$D$509,3,0)</f>
        <v>4</v>
      </c>
      <c r="J81" s="35" t="e">
        <f t="shared" ca="1" si="0"/>
        <v>#NAME?</v>
      </c>
      <c r="K81" s="36" t="str">
        <f t="shared" si="1"/>
        <v>유효</v>
      </c>
      <c r="L81" s="37" t="str">
        <f t="shared" si="2"/>
        <v>만료</v>
      </c>
      <c r="M81" s="30" t="s">
        <v>378</v>
      </c>
      <c r="N81" s="38" t="b">
        <v>0</v>
      </c>
      <c r="O81" s="38" t="b">
        <v>0</v>
      </c>
      <c r="P81" s="38" t="b">
        <v>0</v>
      </c>
      <c r="Q81" s="39">
        <f>VLOOKUP($B81,'25년 12월 출석표'!$B$2:$BQ$497,16,0)/5</f>
        <v>0.4</v>
      </c>
      <c r="R81" s="40"/>
      <c r="S81" s="41">
        <f>VLOOKUP($B81,'25년 12월 출석표'!$B$2:$BQ$497,30,0)/5</f>
        <v>0.4</v>
      </c>
      <c r="T81" s="40"/>
      <c r="U81" s="41">
        <f>VLOOKUP($B81,'25년 12월 출석표'!$B$2:$BQ$497,44,0)/5</f>
        <v>0</v>
      </c>
      <c r="V81" s="40"/>
      <c r="W81" s="41">
        <f>VLOOKUP($B81,'25년 12월 출석표'!$B$2:$BQ$497,58,0)/5</f>
        <v>0</v>
      </c>
      <c r="X81" s="42"/>
      <c r="Y81" s="41">
        <f>VLOOKUP($B81,'25년 12월 출석표'!$B$2:$BQ$503,66,0)/5</f>
        <v>0</v>
      </c>
      <c r="Z81" s="43"/>
    </row>
    <row r="82" spans="1:26">
      <c r="A82" s="29"/>
      <c r="B82" s="30" t="s">
        <v>182</v>
      </c>
      <c r="C82" s="30" t="s">
        <v>4</v>
      </c>
      <c r="D82" s="31" t="s">
        <v>183</v>
      </c>
      <c r="E82" s="32" t="s">
        <v>373</v>
      </c>
      <c r="F82" s="50">
        <v>45915</v>
      </c>
      <c r="G82" s="33">
        <v>45917</v>
      </c>
      <c r="H82" s="33">
        <v>46328</v>
      </c>
      <c r="I82" s="34">
        <f>VLOOKUP(B82,'25년 12월 출석표'!$B$7:$D$509,3,0)</f>
        <v>0</v>
      </c>
      <c r="J82" s="35" t="e">
        <f t="shared" ca="1" si="0"/>
        <v>#NAME?</v>
      </c>
      <c r="K82" s="36" t="str">
        <f t="shared" si="1"/>
        <v>유효</v>
      </c>
      <c r="L82" s="37" t="str">
        <f t="shared" si="2"/>
        <v/>
      </c>
      <c r="M82" s="30" t="s">
        <v>378</v>
      </c>
      <c r="N82" s="44" t="b">
        <v>1</v>
      </c>
      <c r="O82" s="38" t="b">
        <v>0</v>
      </c>
      <c r="P82" s="38" t="b">
        <v>0</v>
      </c>
      <c r="Q82" s="39">
        <f>VLOOKUP($B82,'25년 12월 출석표'!$B$2:$BQ$497,16,0)/5</f>
        <v>0</v>
      </c>
      <c r="R82" s="40"/>
      <c r="S82" s="41">
        <f>VLOOKUP($B82,'25년 12월 출석표'!$B$2:$BQ$497,30,0)/5</f>
        <v>0</v>
      </c>
      <c r="T82" s="40"/>
      <c r="U82" s="41">
        <f>VLOOKUP($B82,'25년 12월 출석표'!$B$2:$BQ$497,44,0)/5</f>
        <v>0</v>
      </c>
      <c r="V82" s="40"/>
      <c r="W82" s="41">
        <f>VLOOKUP($B82,'25년 12월 출석표'!$B$2:$BQ$497,58,0)/5</f>
        <v>0</v>
      </c>
      <c r="X82" s="42"/>
      <c r="Y82" s="41">
        <f>VLOOKUP($B82,'25년 12월 출석표'!$B$2:$BQ$503,66,0)/5</f>
        <v>0</v>
      </c>
      <c r="Z82" s="43"/>
    </row>
    <row r="83" spans="1:26">
      <c r="A83" s="29"/>
      <c r="B83" s="30" t="s">
        <v>180</v>
      </c>
      <c r="C83" s="30" t="s">
        <v>4</v>
      </c>
      <c r="D83" s="31" t="s">
        <v>181</v>
      </c>
      <c r="E83" s="32" t="s">
        <v>377</v>
      </c>
      <c r="F83" s="50">
        <v>45915</v>
      </c>
      <c r="G83" s="33">
        <v>45917</v>
      </c>
      <c r="H83" s="33">
        <v>46304</v>
      </c>
      <c r="I83" s="34">
        <f>VLOOKUP(B83,'25년 12월 출석표'!$B$7:$D$509,3,0)</f>
        <v>6</v>
      </c>
      <c r="J83" s="35" t="e">
        <f t="shared" ca="1" si="0"/>
        <v>#NAME?</v>
      </c>
      <c r="K83" s="36" t="str">
        <f t="shared" si="1"/>
        <v>유효</v>
      </c>
      <c r="L83" s="37" t="str">
        <f t="shared" si="2"/>
        <v/>
      </c>
      <c r="M83" s="30" t="s">
        <v>378</v>
      </c>
      <c r="N83" s="44" t="b">
        <v>1</v>
      </c>
      <c r="O83" s="38" t="b">
        <v>0</v>
      </c>
      <c r="P83" s="38" t="b">
        <v>0</v>
      </c>
      <c r="Q83" s="39">
        <f>VLOOKUP($B83,'25년 12월 출석표'!$B$2:$BQ$497,16,0)/5</f>
        <v>0</v>
      </c>
      <c r="R83" s="40"/>
      <c r="S83" s="41">
        <f>VLOOKUP($B83,'25년 12월 출석표'!$B$2:$BQ$497,30,0)/5</f>
        <v>0.6</v>
      </c>
      <c r="T83" s="40"/>
      <c r="U83" s="41">
        <f>VLOOKUP($B83,'25년 12월 출석표'!$B$2:$BQ$497,44,0)/5</f>
        <v>0.4</v>
      </c>
      <c r="V83" s="40"/>
      <c r="W83" s="41">
        <f>VLOOKUP($B83,'25년 12월 출석표'!$B$2:$BQ$497,58,0)/5</f>
        <v>0.2</v>
      </c>
      <c r="X83" s="42"/>
      <c r="Y83" s="41">
        <f>VLOOKUP($B83,'25년 12월 출석표'!$B$2:$BQ$503,66,0)/5</f>
        <v>0</v>
      </c>
      <c r="Z83" s="43"/>
    </row>
    <row r="84" spans="1:26">
      <c r="A84" s="29"/>
      <c r="B84" s="30" t="s">
        <v>387</v>
      </c>
      <c r="C84" s="30" t="s">
        <v>3</v>
      </c>
      <c r="D84" s="31" t="s">
        <v>185</v>
      </c>
      <c r="E84" s="32" t="s">
        <v>388</v>
      </c>
      <c r="F84" s="50">
        <v>45917</v>
      </c>
      <c r="G84" s="33">
        <v>45943</v>
      </c>
      <c r="H84" s="33">
        <v>46154</v>
      </c>
      <c r="I84" s="34">
        <f>VLOOKUP(B84,'25년 12월 출석표'!$B$7:$D$509,3,0)</f>
        <v>6</v>
      </c>
      <c r="J84" s="35" t="e">
        <f t="shared" ca="1" si="0"/>
        <v>#NAME?</v>
      </c>
      <c r="K84" s="36" t="str">
        <f t="shared" si="1"/>
        <v>유효</v>
      </c>
      <c r="L84" s="37" t="str">
        <f t="shared" si="2"/>
        <v/>
      </c>
      <c r="M84" s="30"/>
      <c r="N84" s="38" t="b">
        <v>0</v>
      </c>
      <c r="O84" s="38" t="b">
        <v>0</v>
      </c>
      <c r="P84" s="38" t="b">
        <v>0</v>
      </c>
      <c r="Q84" s="39">
        <f>VLOOKUP($B84,'25년 12월 출석표'!$B$2:$BQ$497,16,0)/5</f>
        <v>0.2</v>
      </c>
      <c r="R84" s="40"/>
      <c r="S84" s="41">
        <f>VLOOKUP($B84,'25년 12월 출석표'!$B$2:$BQ$497,30,0)/5</f>
        <v>0.6</v>
      </c>
      <c r="T84" s="40"/>
      <c r="U84" s="41">
        <f>VLOOKUP($B84,'25년 12월 출석표'!$B$2:$BQ$497,44,0)/5</f>
        <v>0.2</v>
      </c>
      <c r="V84" s="40"/>
      <c r="W84" s="41">
        <f>VLOOKUP($B84,'25년 12월 출석표'!$B$2:$BQ$497,58,0)/5</f>
        <v>0.2</v>
      </c>
      <c r="X84" s="42"/>
      <c r="Y84" s="41">
        <f>VLOOKUP($B84,'25년 12월 출석표'!$B$2:$BQ$503,66,0)/5</f>
        <v>0</v>
      </c>
      <c r="Z84" s="43"/>
    </row>
    <row r="85" spans="1:26">
      <c r="A85" s="29"/>
      <c r="B85" s="30" t="s">
        <v>389</v>
      </c>
      <c r="C85" s="30" t="s">
        <v>4</v>
      </c>
      <c r="D85" s="31" t="s">
        <v>390</v>
      </c>
      <c r="E85" s="32" t="s">
        <v>388</v>
      </c>
      <c r="F85" s="50">
        <v>45917</v>
      </c>
      <c r="G85" s="33">
        <v>45943</v>
      </c>
      <c r="H85" s="33">
        <v>46154</v>
      </c>
      <c r="I85" s="34">
        <f>VLOOKUP(B85,'25년 12월 출석표'!$B$7:$D$509,3,0)</f>
        <v>8</v>
      </c>
      <c r="J85" s="35" t="e">
        <f t="shared" ca="1" si="0"/>
        <v>#NAME?</v>
      </c>
      <c r="K85" s="36" t="str">
        <f t="shared" si="1"/>
        <v>유효</v>
      </c>
      <c r="L85" s="37" t="str">
        <f t="shared" si="2"/>
        <v/>
      </c>
      <c r="M85" s="30" t="s">
        <v>378</v>
      </c>
      <c r="N85" s="44" t="b">
        <v>1</v>
      </c>
      <c r="O85" s="38" t="b">
        <v>0</v>
      </c>
      <c r="P85" s="38" t="b">
        <v>0</v>
      </c>
      <c r="Q85" s="39">
        <f>VLOOKUP($B85,'25년 12월 출석표'!$B$2:$BQ$497,16,0)/5</f>
        <v>0.4</v>
      </c>
      <c r="R85" s="40"/>
      <c r="S85" s="41">
        <f>VLOOKUP($B85,'25년 12월 출석표'!$B$2:$BQ$497,30,0)/5</f>
        <v>0.6</v>
      </c>
      <c r="T85" s="40"/>
      <c r="U85" s="41">
        <f>VLOOKUP($B85,'25년 12월 출석표'!$B$2:$BQ$497,44,0)/5</f>
        <v>0.4</v>
      </c>
      <c r="V85" s="40"/>
      <c r="W85" s="41">
        <f>VLOOKUP($B85,'25년 12월 출석표'!$B$2:$BQ$497,58,0)/5</f>
        <v>0.2</v>
      </c>
      <c r="X85" s="42"/>
      <c r="Y85" s="41">
        <f>VLOOKUP($B85,'25년 12월 출석표'!$B$2:$BQ$503,66,0)/5</f>
        <v>0</v>
      </c>
      <c r="Z85" s="43"/>
    </row>
    <row r="86" spans="1:26">
      <c r="A86" s="29"/>
      <c r="B86" s="30" t="s">
        <v>189</v>
      </c>
      <c r="C86" s="30" t="s">
        <v>4</v>
      </c>
      <c r="D86" s="31" t="s">
        <v>190</v>
      </c>
      <c r="E86" s="32" t="s">
        <v>376</v>
      </c>
      <c r="F86" s="50">
        <v>45918</v>
      </c>
      <c r="G86" s="33">
        <v>45919</v>
      </c>
      <c r="H86" s="33">
        <v>46191</v>
      </c>
      <c r="I86" s="34">
        <f>VLOOKUP(B86,'25년 12월 출석표'!$B$7:$D$509,3,0)</f>
        <v>0</v>
      </c>
      <c r="J86" s="35" t="e">
        <f t="shared" ca="1" si="0"/>
        <v>#NAME?</v>
      </c>
      <c r="K86" s="36" t="str">
        <f t="shared" si="1"/>
        <v>유효</v>
      </c>
      <c r="L86" s="37" t="str">
        <f t="shared" si="2"/>
        <v/>
      </c>
      <c r="M86" s="30" t="s">
        <v>374</v>
      </c>
      <c r="N86" s="38" t="b">
        <v>0</v>
      </c>
      <c r="O86" s="38" t="b">
        <v>0</v>
      </c>
      <c r="P86" s="38" t="b">
        <v>0</v>
      </c>
      <c r="Q86" s="39">
        <f>VLOOKUP($B86,'25년 12월 출석표'!$B$2:$BQ$497,16,0)/5</f>
        <v>0</v>
      </c>
      <c r="R86" s="40"/>
      <c r="S86" s="41">
        <f>VLOOKUP($B86,'25년 12월 출석표'!$B$2:$BQ$497,30,0)/5</f>
        <v>0</v>
      </c>
      <c r="T86" s="40"/>
      <c r="U86" s="41">
        <f>VLOOKUP($B86,'25년 12월 출석표'!$B$2:$BQ$497,44,0)/5</f>
        <v>0</v>
      </c>
      <c r="V86" s="40"/>
      <c r="W86" s="41">
        <f>VLOOKUP($B86,'25년 12월 출석표'!$B$2:$BQ$497,58,0)/5</f>
        <v>0</v>
      </c>
      <c r="X86" s="42"/>
      <c r="Y86" s="41">
        <f>VLOOKUP($B86,'25년 12월 출석표'!$B$2:$BQ$503,66,0)/5</f>
        <v>0</v>
      </c>
      <c r="Z86" s="43"/>
    </row>
    <row r="87" spans="1:26">
      <c r="A87" s="29"/>
      <c r="B87" s="30" t="s">
        <v>187</v>
      </c>
      <c r="C87" s="30" t="s">
        <v>4</v>
      </c>
      <c r="D87" s="31" t="s">
        <v>188</v>
      </c>
      <c r="E87" s="32" t="s">
        <v>376</v>
      </c>
      <c r="F87" s="50">
        <v>45918</v>
      </c>
      <c r="G87" s="33">
        <v>45919</v>
      </c>
      <c r="H87" s="33">
        <v>46042</v>
      </c>
      <c r="I87" s="34">
        <f>VLOOKUP(B87,'25년 12월 출석표'!$B$7:$D$509,3,0)</f>
        <v>7</v>
      </c>
      <c r="J87" s="35" t="e">
        <f t="shared" ca="1" si="0"/>
        <v>#NAME?</v>
      </c>
      <c r="K87" s="36" t="str">
        <f t="shared" si="1"/>
        <v>유효</v>
      </c>
      <c r="L87" s="37" t="str">
        <f t="shared" si="2"/>
        <v/>
      </c>
      <c r="M87" s="30" t="s">
        <v>378</v>
      </c>
      <c r="N87" s="44" t="b">
        <v>1</v>
      </c>
      <c r="O87" s="38" t="b">
        <v>0</v>
      </c>
      <c r="P87" s="38" t="b">
        <v>0</v>
      </c>
      <c r="Q87" s="39">
        <f>VLOOKUP($B87,'25년 12월 출석표'!$B$2:$BQ$497,16,0)/5</f>
        <v>0.6</v>
      </c>
      <c r="R87" s="40"/>
      <c r="S87" s="41">
        <f>VLOOKUP($B87,'25년 12월 출석표'!$B$2:$BQ$497,30,0)/5</f>
        <v>0.4</v>
      </c>
      <c r="T87" s="40"/>
      <c r="U87" s="41">
        <f>VLOOKUP($B87,'25년 12월 출석표'!$B$2:$BQ$497,44,0)/5</f>
        <v>0</v>
      </c>
      <c r="V87" s="40"/>
      <c r="W87" s="41">
        <f>VLOOKUP($B87,'25년 12월 출석표'!$B$2:$BQ$497,58,0)/5</f>
        <v>0.2</v>
      </c>
      <c r="X87" s="42"/>
      <c r="Y87" s="41">
        <f>VLOOKUP($B87,'25년 12월 출석표'!$B$2:$BQ$503,66,0)/5</f>
        <v>0.2</v>
      </c>
      <c r="Z87" s="43"/>
    </row>
    <row r="88" spans="1:26">
      <c r="A88" s="29"/>
      <c r="B88" s="30" t="s">
        <v>191</v>
      </c>
      <c r="C88" s="30" t="s">
        <v>4</v>
      </c>
      <c r="D88" s="31" t="s">
        <v>192</v>
      </c>
      <c r="E88" s="32" t="s">
        <v>377</v>
      </c>
      <c r="F88" s="50">
        <v>45920</v>
      </c>
      <c r="G88" s="33">
        <v>45922</v>
      </c>
      <c r="H88" s="33">
        <v>46286</v>
      </c>
      <c r="I88" s="34">
        <f>VLOOKUP(B88,'25년 12월 출석표'!$B$7:$D$509,3,0)</f>
        <v>4</v>
      </c>
      <c r="J88" s="35" t="e">
        <f t="shared" ca="1" si="0"/>
        <v>#NAME?</v>
      </c>
      <c r="K88" s="36" t="str">
        <f t="shared" si="1"/>
        <v>유효</v>
      </c>
      <c r="L88" s="37" t="str">
        <f t="shared" si="2"/>
        <v/>
      </c>
      <c r="M88" s="30" t="s">
        <v>374</v>
      </c>
      <c r="N88" s="38" t="b">
        <v>0</v>
      </c>
      <c r="O88" s="38" t="b">
        <v>0</v>
      </c>
      <c r="P88" s="38" t="b">
        <v>0</v>
      </c>
      <c r="Q88" s="39">
        <f>VLOOKUP($B88,'25년 12월 출석표'!$B$2:$BQ$497,16,0)/5</f>
        <v>0</v>
      </c>
      <c r="R88" s="40"/>
      <c r="S88" s="41">
        <f>VLOOKUP($B88,'25년 12월 출석표'!$B$2:$BQ$497,30,0)/5</f>
        <v>0.4</v>
      </c>
      <c r="T88" s="40"/>
      <c r="U88" s="41">
        <f>VLOOKUP($B88,'25년 12월 출석표'!$B$2:$BQ$497,44,0)/5</f>
        <v>0.2</v>
      </c>
      <c r="V88" s="40"/>
      <c r="W88" s="41">
        <f>VLOOKUP($B88,'25년 12월 출석표'!$B$2:$BQ$497,58,0)/5</f>
        <v>0.2</v>
      </c>
      <c r="X88" s="42"/>
      <c r="Y88" s="41">
        <f>VLOOKUP($B88,'25년 12월 출석표'!$B$2:$BQ$503,66,0)/5</f>
        <v>0</v>
      </c>
      <c r="Z88" s="43"/>
    </row>
    <row r="89" spans="1:26">
      <c r="A89" s="29"/>
      <c r="B89" s="30" t="s">
        <v>195</v>
      </c>
      <c r="C89" s="30" t="s">
        <v>3</v>
      </c>
      <c r="D89" s="31" t="s">
        <v>196</v>
      </c>
      <c r="E89" s="32" t="s">
        <v>391</v>
      </c>
      <c r="F89" s="50">
        <v>45924</v>
      </c>
      <c r="G89" s="33">
        <v>45950</v>
      </c>
      <c r="H89" s="33">
        <v>46241</v>
      </c>
      <c r="I89" s="34">
        <f>VLOOKUP(B89,'25년 12월 출석표'!$B$7:$D$509,3,0)</f>
        <v>0</v>
      </c>
      <c r="J89" s="35" t="e">
        <f t="shared" ca="1" si="0"/>
        <v>#NAME?</v>
      </c>
      <c r="K89" s="36" t="str">
        <f t="shared" si="1"/>
        <v>유효</v>
      </c>
      <c r="L89" s="37" t="str">
        <f t="shared" si="2"/>
        <v/>
      </c>
      <c r="M89" s="30" t="s">
        <v>374</v>
      </c>
      <c r="N89" s="38" t="b">
        <v>0</v>
      </c>
      <c r="O89" s="38" t="b">
        <v>0</v>
      </c>
      <c r="P89" s="38" t="b">
        <v>0</v>
      </c>
      <c r="Q89" s="39">
        <f>VLOOKUP($B89,'25년 12월 출석표'!$B$2:$BQ$497,16,0)/5</f>
        <v>0</v>
      </c>
      <c r="R89" s="40"/>
      <c r="S89" s="41">
        <f>VLOOKUP($B89,'25년 12월 출석표'!$B$2:$BQ$497,30,0)/5</f>
        <v>0</v>
      </c>
      <c r="T89" s="40"/>
      <c r="U89" s="41">
        <f>VLOOKUP($B89,'25년 12월 출석표'!$B$2:$BQ$497,44,0)/5</f>
        <v>0</v>
      </c>
      <c r="V89" s="40"/>
      <c r="W89" s="41">
        <f>VLOOKUP($B89,'25년 12월 출석표'!$B$2:$BQ$497,58,0)/5</f>
        <v>0</v>
      </c>
      <c r="X89" s="42"/>
      <c r="Y89" s="41">
        <f>VLOOKUP($B89,'25년 12월 출석표'!$B$2:$BQ$503,66,0)/5</f>
        <v>0</v>
      </c>
      <c r="Z89" s="43"/>
    </row>
    <row r="90" spans="1:26">
      <c r="A90" s="29"/>
      <c r="B90" s="30" t="s">
        <v>193</v>
      </c>
      <c r="C90" s="30" t="s">
        <v>4</v>
      </c>
      <c r="D90" s="31" t="s">
        <v>194</v>
      </c>
      <c r="E90" s="32" t="s">
        <v>373</v>
      </c>
      <c r="F90" s="50">
        <v>45924</v>
      </c>
      <c r="G90" s="33">
        <v>45974</v>
      </c>
      <c r="H90" s="33">
        <v>46154</v>
      </c>
      <c r="I90" s="34">
        <f>VLOOKUP(B90,'25년 12월 출석표'!$B$7:$D$509,3,0)</f>
        <v>2</v>
      </c>
      <c r="J90" s="35" t="e">
        <f t="shared" ca="1" si="0"/>
        <v>#NAME?</v>
      </c>
      <c r="K90" s="36" t="str">
        <f t="shared" si="1"/>
        <v>유효</v>
      </c>
      <c r="L90" s="37" t="str">
        <f t="shared" si="2"/>
        <v/>
      </c>
      <c r="M90" s="30" t="s">
        <v>374</v>
      </c>
      <c r="N90" s="38" t="b">
        <v>0</v>
      </c>
      <c r="O90" s="38" t="b">
        <v>0</v>
      </c>
      <c r="P90" s="38" t="b">
        <v>0</v>
      </c>
      <c r="Q90" s="39">
        <f>VLOOKUP($B90,'25년 12월 출석표'!$B$2:$BQ$497,16,0)/5</f>
        <v>0.2</v>
      </c>
      <c r="R90" s="40"/>
      <c r="S90" s="41">
        <f>VLOOKUP($B90,'25년 12월 출석표'!$B$2:$BQ$497,30,0)/5</f>
        <v>0.2</v>
      </c>
      <c r="T90" s="40"/>
      <c r="U90" s="41">
        <f>VLOOKUP($B90,'25년 12월 출석표'!$B$2:$BQ$497,44,0)/5</f>
        <v>0</v>
      </c>
      <c r="V90" s="40"/>
      <c r="W90" s="41">
        <f>VLOOKUP($B90,'25년 12월 출석표'!$B$2:$BQ$497,58,0)/5</f>
        <v>0</v>
      </c>
      <c r="X90" s="42"/>
      <c r="Y90" s="41">
        <f>VLOOKUP($B90,'25년 12월 출석표'!$B$2:$BQ$503,66,0)/5</f>
        <v>0</v>
      </c>
      <c r="Z90" s="43"/>
    </row>
    <row r="91" spans="1:26">
      <c r="A91" s="29"/>
      <c r="B91" s="30" t="s">
        <v>200</v>
      </c>
      <c r="C91" s="30" t="s">
        <v>3</v>
      </c>
      <c r="D91" s="31" t="s">
        <v>201</v>
      </c>
      <c r="E91" s="32" t="s">
        <v>383</v>
      </c>
      <c r="F91" s="50">
        <v>45925</v>
      </c>
      <c r="G91" s="33">
        <v>45940</v>
      </c>
      <c r="H91" s="33">
        <v>46093</v>
      </c>
      <c r="I91" s="34">
        <f>VLOOKUP(B91,'25년 12월 출석표'!$B$7:$D$509,3,0)</f>
        <v>0</v>
      </c>
      <c r="J91" s="35" t="e">
        <f t="shared" ca="1" si="0"/>
        <v>#NAME?</v>
      </c>
      <c r="K91" s="36" t="str">
        <f t="shared" si="1"/>
        <v>유효</v>
      </c>
      <c r="L91" s="37" t="str">
        <f t="shared" si="2"/>
        <v/>
      </c>
      <c r="M91" s="30" t="s">
        <v>374</v>
      </c>
      <c r="N91" s="38" t="b">
        <v>0</v>
      </c>
      <c r="O91" s="38" t="b">
        <v>0</v>
      </c>
      <c r="P91" s="38" t="b">
        <v>0</v>
      </c>
      <c r="Q91" s="39">
        <f>VLOOKUP($B91,'25년 12월 출석표'!$B$2:$BQ$497,16,0)/5</f>
        <v>0</v>
      </c>
      <c r="R91" s="40"/>
      <c r="S91" s="41">
        <f>VLOOKUP($B91,'25년 12월 출석표'!$B$2:$BQ$497,30,0)/5</f>
        <v>0</v>
      </c>
      <c r="T91" s="40"/>
      <c r="U91" s="41">
        <f>VLOOKUP($B91,'25년 12월 출석표'!$B$2:$BQ$497,44,0)/5</f>
        <v>0</v>
      </c>
      <c r="V91" s="40"/>
      <c r="W91" s="41">
        <f>VLOOKUP($B91,'25년 12월 출석표'!$B$2:$BQ$497,58,0)/5</f>
        <v>0</v>
      </c>
      <c r="X91" s="42"/>
      <c r="Y91" s="41">
        <f>VLOOKUP($B91,'25년 12월 출석표'!$B$2:$BQ$503,66,0)/5</f>
        <v>0</v>
      </c>
      <c r="Z91" s="43"/>
    </row>
    <row r="92" spans="1:26">
      <c r="A92" s="29"/>
      <c r="B92" s="30" t="s">
        <v>198</v>
      </c>
      <c r="C92" s="30" t="s">
        <v>4</v>
      </c>
      <c r="D92" s="31" t="s">
        <v>199</v>
      </c>
      <c r="E92" s="32" t="s">
        <v>383</v>
      </c>
      <c r="F92" s="50">
        <v>45925</v>
      </c>
      <c r="G92" s="33">
        <v>45945</v>
      </c>
      <c r="H92" s="33">
        <v>46067</v>
      </c>
      <c r="I92" s="34">
        <f>VLOOKUP(B92,'25년 12월 출석표'!$B$7:$D$509,3,0)</f>
        <v>4</v>
      </c>
      <c r="J92" s="35" t="e">
        <f t="shared" ca="1" si="0"/>
        <v>#NAME?</v>
      </c>
      <c r="K92" s="36" t="str">
        <f t="shared" si="1"/>
        <v>유효</v>
      </c>
      <c r="L92" s="37" t="str">
        <f t="shared" si="2"/>
        <v/>
      </c>
      <c r="M92" s="30" t="s">
        <v>374</v>
      </c>
      <c r="N92" s="38" t="b">
        <v>0</v>
      </c>
      <c r="O92" s="38" t="b">
        <v>0</v>
      </c>
      <c r="P92" s="38" t="b">
        <v>0</v>
      </c>
      <c r="Q92" s="39">
        <f>VLOOKUP($B92,'25년 12월 출석표'!$B$2:$BQ$497,16,0)/5</f>
        <v>0.4</v>
      </c>
      <c r="R92" s="40"/>
      <c r="S92" s="41">
        <f>VLOOKUP($B92,'25년 12월 출석표'!$B$2:$BQ$497,30,0)/5</f>
        <v>0.2</v>
      </c>
      <c r="T92" s="40"/>
      <c r="U92" s="41">
        <f>VLOOKUP($B92,'25년 12월 출석표'!$B$2:$BQ$497,44,0)/5</f>
        <v>0</v>
      </c>
      <c r="V92" s="40"/>
      <c r="W92" s="41">
        <f>VLOOKUP($B92,'25년 12월 출석표'!$B$2:$BQ$497,58,0)/5</f>
        <v>0</v>
      </c>
      <c r="X92" s="42"/>
      <c r="Y92" s="41">
        <f>VLOOKUP($B92,'25년 12월 출석표'!$B$2:$BQ$503,66,0)/5</f>
        <v>0.2</v>
      </c>
      <c r="Z92" s="43"/>
    </row>
    <row r="93" spans="1:26">
      <c r="A93" s="29"/>
      <c r="B93" s="30" t="s">
        <v>202</v>
      </c>
      <c r="C93" s="30" t="s">
        <v>4</v>
      </c>
      <c r="D93" s="31" t="s">
        <v>203</v>
      </c>
      <c r="E93" s="32" t="s">
        <v>373</v>
      </c>
      <c r="F93" s="50">
        <v>45927</v>
      </c>
      <c r="G93" s="33">
        <v>45940</v>
      </c>
      <c r="H93" s="33">
        <v>46274</v>
      </c>
      <c r="I93" s="34">
        <f>VLOOKUP(B93,'25년 12월 출석표'!$B$7:$D$509,3,0)</f>
        <v>0</v>
      </c>
      <c r="J93" s="35" t="e">
        <f t="shared" ca="1" si="0"/>
        <v>#NAME?</v>
      </c>
      <c r="K93" s="36" t="str">
        <f t="shared" si="1"/>
        <v>유효</v>
      </c>
      <c r="L93" s="37" t="str">
        <f t="shared" si="2"/>
        <v/>
      </c>
      <c r="M93" s="30" t="s">
        <v>378</v>
      </c>
      <c r="N93" s="44" t="b">
        <v>1</v>
      </c>
      <c r="O93" s="44" t="b">
        <v>1</v>
      </c>
      <c r="P93" s="38" t="b">
        <v>0</v>
      </c>
      <c r="Q93" s="39">
        <f>VLOOKUP($B93,'25년 12월 출석표'!$B$2:$BQ$497,16,0)/5</f>
        <v>0</v>
      </c>
      <c r="R93" s="40"/>
      <c r="S93" s="41">
        <f>VLOOKUP($B93,'25년 12월 출석표'!$B$2:$BQ$497,30,0)/5</f>
        <v>0</v>
      </c>
      <c r="T93" s="40"/>
      <c r="U93" s="41">
        <f>VLOOKUP($B93,'25년 12월 출석표'!$B$2:$BQ$497,44,0)/5</f>
        <v>0</v>
      </c>
      <c r="V93" s="40"/>
      <c r="W93" s="41">
        <f>VLOOKUP($B93,'25년 12월 출석표'!$B$2:$BQ$497,58,0)/5</f>
        <v>0</v>
      </c>
      <c r="X93" s="42"/>
      <c r="Y93" s="41">
        <f>VLOOKUP($B93,'25년 12월 출석표'!$B$2:$BQ$503,66,0)/5</f>
        <v>0</v>
      </c>
      <c r="Z93" s="43"/>
    </row>
    <row r="94" spans="1:26">
      <c r="A94" s="29"/>
      <c r="B94" s="30" t="s">
        <v>204</v>
      </c>
      <c r="C94" s="30" t="s">
        <v>4</v>
      </c>
      <c r="D94" s="31" t="s">
        <v>205</v>
      </c>
      <c r="E94" s="32" t="s">
        <v>373</v>
      </c>
      <c r="F94" s="50">
        <v>45929</v>
      </c>
      <c r="G94" s="33">
        <v>45932</v>
      </c>
      <c r="H94" s="33">
        <v>46143</v>
      </c>
      <c r="I94" s="34">
        <f>VLOOKUP(B94,'25년 12월 출석표'!$B$7:$D$509,3,0)</f>
        <v>5</v>
      </c>
      <c r="J94" s="35" t="e">
        <f t="shared" ca="1" si="0"/>
        <v>#NAME?</v>
      </c>
      <c r="K94" s="36" t="str">
        <f t="shared" si="1"/>
        <v>유효</v>
      </c>
      <c r="L94" s="37" t="str">
        <f t="shared" si="2"/>
        <v/>
      </c>
      <c r="M94" s="30" t="s">
        <v>374</v>
      </c>
      <c r="N94" s="38" t="b">
        <v>0</v>
      </c>
      <c r="O94" s="38" t="b">
        <v>0</v>
      </c>
      <c r="P94" s="38" t="b">
        <v>0</v>
      </c>
      <c r="Q94" s="39">
        <f>VLOOKUP($B94,'25년 12월 출석표'!$B$2:$BQ$497,16,0)/5</f>
        <v>0.4</v>
      </c>
      <c r="R94" s="40"/>
      <c r="S94" s="41">
        <f>VLOOKUP($B94,'25년 12월 출석표'!$B$2:$BQ$497,30,0)/5</f>
        <v>0.4</v>
      </c>
      <c r="T94" s="40"/>
      <c r="U94" s="41">
        <f>VLOOKUP($B94,'25년 12월 출석표'!$B$2:$BQ$497,44,0)/5</f>
        <v>0.2</v>
      </c>
      <c r="V94" s="40"/>
      <c r="W94" s="41">
        <f>VLOOKUP($B94,'25년 12월 출석표'!$B$2:$BQ$497,58,0)/5</f>
        <v>0</v>
      </c>
      <c r="X94" s="42"/>
      <c r="Y94" s="41">
        <f>VLOOKUP($B94,'25년 12월 출석표'!$B$2:$BQ$503,66,0)/5</f>
        <v>0</v>
      </c>
      <c r="Z94" s="43"/>
    </row>
    <row r="95" spans="1:26">
      <c r="A95" s="29"/>
      <c r="B95" s="30" t="s">
        <v>392</v>
      </c>
      <c r="C95" s="30" t="s">
        <v>3</v>
      </c>
      <c r="D95" s="31" t="s">
        <v>393</v>
      </c>
      <c r="E95" s="32" t="s">
        <v>383</v>
      </c>
      <c r="F95" s="50">
        <v>45929</v>
      </c>
      <c r="G95" s="33">
        <v>45930</v>
      </c>
      <c r="H95" s="51"/>
      <c r="I95" s="34">
        <f>VLOOKUP(B95,'25년 12월 출석표'!$B$7:$D$509,3,0)</f>
        <v>12</v>
      </c>
      <c r="J95" s="35" t="e">
        <f t="shared" ca="1" si="0"/>
        <v>#NAME?</v>
      </c>
      <c r="K95" s="36" t="str">
        <f>IF(AND(G95&lt;=$L$4,H99&gt;=$K$4),"유효","")</f>
        <v>유효</v>
      </c>
      <c r="L95" s="37" t="str">
        <f>IF(AND(H99&gt;=$K$4,H99&lt;=$L$4),"만료","")</f>
        <v/>
      </c>
      <c r="M95" s="30" t="s">
        <v>374</v>
      </c>
      <c r="N95" s="38" t="b">
        <v>0</v>
      </c>
      <c r="O95" s="38" t="b">
        <v>0</v>
      </c>
      <c r="P95" s="38" t="b">
        <v>0</v>
      </c>
      <c r="Q95" s="39">
        <f>VLOOKUP($B95,'25년 12월 출석표'!$B$2:$BQ$497,16,0)/5</f>
        <v>0.8</v>
      </c>
      <c r="R95" s="40"/>
      <c r="S95" s="41">
        <f>VLOOKUP($B95,'25년 12월 출석표'!$B$2:$BQ$497,30,0)/5</f>
        <v>0.6</v>
      </c>
      <c r="T95" s="40"/>
      <c r="U95" s="41">
        <f>VLOOKUP($B95,'25년 12월 출석표'!$B$2:$BQ$497,44,0)/5</f>
        <v>0.6</v>
      </c>
      <c r="V95" s="40"/>
      <c r="W95" s="41">
        <f>VLOOKUP($B95,'25년 12월 출석표'!$B$2:$BQ$497,58,0)/5</f>
        <v>0.4</v>
      </c>
      <c r="X95" s="42"/>
      <c r="Y95" s="41">
        <f>VLOOKUP($B95,'25년 12월 출석표'!$B$2:$BQ$503,66,0)/5</f>
        <v>0</v>
      </c>
      <c r="Z95" s="43"/>
    </row>
    <row r="96" spans="1:26">
      <c r="A96" s="29"/>
      <c r="B96" s="30" t="s">
        <v>394</v>
      </c>
      <c r="C96" s="30" t="s">
        <v>4</v>
      </c>
      <c r="D96" s="31" t="s">
        <v>395</v>
      </c>
      <c r="E96" s="32" t="s">
        <v>386</v>
      </c>
      <c r="F96" s="50">
        <v>45930</v>
      </c>
      <c r="G96" s="33">
        <v>45992</v>
      </c>
      <c r="H96" s="33">
        <v>46022</v>
      </c>
      <c r="I96" s="34">
        <f>VLOOKUP(B96,'25년 12월 출석표'!$B$7:$D$509,3,0)</f>
        <v>0</v>
      </c>
      <c r="J96" s="35" t="e">
        <f t="shared" ca="1" si="0"/>
        <v>#NAME?</v>
      </c>
      <c r="K96" s="36" t="str">
        <f t="shared" ref="K96:K465" si="3">IF(AND(G96&lt;=$L$4,H96&gt;=$K$4),"유효","")</f>
        <v>유효</v>
      </c>
      <c r="L96" s="37" t="str">
        <f t="shared" ref="L96:L465" si="4">IF(AND(H96&gt;=$K$4,H96&lt;=$L$4),"만료","")</f>
        <v>만료</v>
      </c>
      <c r="M96" s="30" t="s">
        <v>374</v>
      </c>
      <c r="N96" s="38" t="b">
        <v>0</v>
      </c>
      <c r="O96" s="38" t="b">
        <v>0</v>
      </c>
      <c r="P96" s="38" t="b">
        <v>0</v>
      </c>
      <c r="Q96" s="39">
        <f>VLOOKUP($B96,'25년 12월 출석표'!$B$2:$BQ$497,16,0)/5</f>
        <v>0</v>
      </c>
      <c r="R96" s="40"/>
      <c r="S96" s="41">
        <f>VLOOKUP($B96,'25년 12월 출석표'!$B$2:$BQ$497,30,0)/5</f>
        <v>0</v>
      </c>
      <c r="T96" s="40"/>
      <c r="U96" s="41">
        <f>VLOOKUP($B96,'25년 12월 출석표'!$B$2:$BQ$497,44,0)/5</f>
        <v>0</v>
      </c>
      <c r="V96" s="40"/>
      <c r="W96" s="41">
        <f>VLOOKUP($B96,'25년 12월 출석표'!$B$2:$BQ$497,58,0)/5</f>
        <v>0</v>
      </c>
      <c r="X96" s="42"/>
      <c r="Y96" s="41">
        <f>VLOOKUP($B96,'25년 12월 출석표'!$B$2:$BQ$503,66,0)/5</f>
        <v>0</v>
      </c>
      <c r="Z96" s="43"/>
    </row>
    <row r="97" spans="1:26">
      <c r="A97" s="29"/>
      <c r="B97" s="30" t="s">
        <v>206</v>
      </c>
      <c r="C97" s="30" t="s">
        <v>4</v>
      </c>
      <c r="D97" s="31" t="s">
        <v>207</v>
      </c>
      <c r="E97" s="32" t="s">
        <v>377</v>
      </c>
      <c r="F97" s="50">
        <v>45930</v>
      </c>
      <c r="G97" s="33">
        <v>45930</v>
      </c>
      <c r="H97" s="33">
        <v>46293</v>
      </c>
      <c r="I97" s="34">
        <f>VLOOKUP(B97,'25년 12월 출석표'!$B$7:$D$509,3,0)</f>
        <v>9</v>
      </c>
      <c r="J97" s="35" t="e">
        <f t="shared" ca="1" si="0"/>
        <v>#NAME?</v>
      </c>
      <c r="K97" s="36" t="str">
        <f t="shared" si="3"/>
        <v>유효</v>
      </c>
      <c r="L97" s="37" t="str">
        <f t="shared" si="4"/>
        <v/>
      </c>
      <c r="M97" s="30" t="s">
        <v>378</v>
      </c>
      <c r="N97" s="44" t="b">
        <v>1</v>
      </c>
      <c r="O97" s="38" t="b">
        <v>0</v>
      </c>
      <c r="P97" s="38" t="b">
        <v>0</v>
      </c>
      <c r="Q97" s="39">
        <f>VLOOKUP($B97,'25년 12월 출석표'!$B$2:$BQ$497,16,0)/5</f>
        <v>0.6</v>
      </c>
      <c r="R97" s="40"/>
      <c r="S97" s="41">
        <f>VLOOKUP($B97,'25년 12월 출석표'!$B$2:$BQ$497,30,0)/5</f>
        <v>0.8</v>
      </c>
      <c r="T97" s="40"/>
      <c r="U97" s="41">
        <f>VLOOKUP($B97,'25년 12월 출석표'!$B$2:$BQ$497,44,0)/5</f>
        <v>0.4</v>
      </c>
      <c r="V97" s="40"/>
      <c r="W97" s="41">
        <f>VLOOKUP($B97,'25년 12월 출석표'!$B$2:$BQ$497,58,0)/5</f>
        <v>0</v>
      </c>
      <c r="X97" s="42"/>
      <c r="Y97" s="41">
        <f>VLOOKUP($B97,'25년 12월 출석표'!$B$2:$BQ$503,66,0)/5</f>
        <v>0</v>
      </c>
      <c r="Z97" s="43"/>
    </row>
    <row r="98" spans="1:26">
      <c r="A98" s="29"/>
      <c r="B98" s="30" t="s">
        <v>208</v>
      </c>
      <c r="C98" s="30" t="s">
        <v>4</v>
      </c>
      <c r="D98" s="31" t="s">
        <v>209</v>
      </c>
      <c r="E98" s="32" t="s">
        <v>373</v>
      </c>
      <c r="F98" s="50">
        <v>45934</v>
      </c>
      <c r="G98" s="33">
        <v>45940</v>
      </c>
      <c r="H98" s="33">
        <v>46121</v>
      </c>
      <c r="I98" s="34">
        <f>VLOOKUP(B98,'25년 12월 출석표'!$B$7:$D$509,3,0)</f>
        <v>20</v>
      </c>
      <c r="J98" s="35" t="e">
        <f t="shared" ca="1" si="0"/>
        <v>#NAME?</v>
      </c>
      <c r="K98" s="36" t="str">
        <f t="shared" si="3"/>
        <v>유효</v>
      </c>
      <c r="L98" s="37" t="str">
        <f t="shared" si="4"/>
        <v/>
      </c>
      <c r="M98" s="30" t="s">
        <v>378</v>
      </c>
      <c r="N98" s="44" t="b">
        <v>1</v>
      </c>
      <c r="O98" s="38" t="b">
        <v>0</v>
      </c>
      <c r="P98" s="38" t="b">
        <v>0</v>
      </c>
      <c r="Q98" s="39">
        <f>VLOOKUP($B98,'25년 12월 출석표'!$B$2:$BQ$497,16,0)/5</f>
        <v>1</v>
      </c>
      <c r="R98" s="40"/>
      <c r="S98" s="41">
        <f>VLOOKUP($B98,'25년 12월 출석표'!$B$2:$BQ$497,30,0)/5</f>
        <v>1</v>
      </c>
      <c r="T98" s="40"/>
      <c r="U98" s="41">
        <f>VLOOKUP($B98,'25년 12월 출석표'!$B$2:$BQ$497,44,0)/5</f>
        <v>0.8</v>
      </c>
      <c r="V98" s="40"/>
      <c r="W98" s="41">
        <f>VLOOKUP($B98,'25년 12월 출석표'!$B$2:$BQ$497,58,0)/5</f>
        <v>0.8</v>
      </c>
      <c r="X98" s="42"/>
      <c r="Y98" s="41">
        <f>VLOOKUP($B98,'25년 12월 출석표'!$B$2:$BQ$503,66,0)/5</f>
        <v>0.4</v>
      </c>
      <c r="Z98" s="43"/>
    </row>
    <row r="99" spans="1:26">
      <c r="A99" s="29"/>
      <c r="B99" s="30" t="s">
        <v>210</v>
      </c>
      <c r="C99" s="30" t="s">
        <v>4</v>
      </c>
      <c r="D99" s="31" t="s">
        <v>211</v>
      </c>
      <c r="E99" s="32" t="s">
        <v>376</v>
      </c>
      <c r="F99" s="50">
        <v>45937</v>
      </c>
      <c r="G99" s="33">
        <v>45940</v>
      </c>
      <c r="H99" s="33">
        <v>46212</v>
      </c>
      <c r="I99" s="34">
        <f>VLOOKUP(B99,'25년 12월 출석표'!$B$7:$D$509,3,0)</f>
        <v>2</v>
      </c>
      <c r="J99" s="35" t="e">
        <f t="shared" ca="1" si="0"/>
        <v>#NAME?</v>
      </c>
      <c r="K99" s="36" t="str">
        <f t="shared" si="3"/>
        <v>유효</v>
      </c>
      <c r="L99" s="37" t="str">
        <f t="shared" si="4"/>
        <v/>
      </c>
      <c r="M99" s="30" t="s">
        <v>374</v>
      </c>
      <c r="N99" s="38" t="b">
        <v>0</v>
      </c>
      <c r="O99" s="38" t="b">
        <v>0</v>
      </c>
      <c r="P99" s="38" t="b">
        <v>0</v>
      </c>
      <c r="Q99" s="39">
        <f>VLOOKUP($B99,'25년 12월 출석표'!$B$2:$BQ$497,16,0)/5</f>
        <v>0</v>
      </c>
      <c r="R99" s="40"/>
      <c r="S99" s="41">
        <f>VLOOKUP($B99,'25년 12월 출석표'!$B$2:$BQ$497,30,0)/5</f>
        <v>0</v>
      </c>
      <c r="T99" s="40"/>
      <c r="U99" s="41">
        <f>VLOOKUP($B99,'25년 12월 출석표'!$B$2:$BQ$497,44,0)/5</f>
        <v>0.2</v>
      </c>
      <c r="V99" s="40"/>
      <c r="W99" s="41">
        <f>VLOOKUP($B99,'25년 12월 출석표'!$B$2:$BQ$497,58,0)/5</f>
        <v>0</v>
      </c>
      <c r="X99" s="42"/>
      <c r="Y99" s="41">
        <f>VLOOKUP($B99,'25년 12월 출석표'!$B$2:$BQ$503,66,0)/5</f>
        <v>0.2</v>
      </c>
      <c r="Z99" s="43"/>
    </row>
    <row r="100" spans="1:26">
      <c r="A100" s="29"/>
      <c r="B100" s="30" t="s">
        <v>212</v>
      </c>
      <c r="C100" s="30" t="s">
        <v>4</v>
      </c>
      <c r="D100" s="31" t="s">
        <v>213</v>
      </c>
      <c r="E100" s="32" t="s">
        <v>377</v>
      </c>
      <c r="F100" s="50">
        <v>45939</v>
      </c>
      <c r="G100" s="33">
        <v>45950</v>
      </c>
      <c r="H100" s="33">
        <v>46314</v>
      </c>
      <c r="I100" s="34">
        <f>VLOOKUP(B100,'25년 12월 출석표'!$B$7:$D$509,3,0)</f>
        <v>4</v>
      </c>
      <c r="J100" s="35" t="e">
        <f t="shared" ca="1" si="0"/>
        <v>#NAME?</v>
      </c>
      <c r="K100" s="36" t="str">
        <f t="shared" si="3"/>
        <v>유효</v>
      </c>
      <c r="L100" s="37" t="str">
        <f t="shared" si="4"/>
        <v/>
      </c>
      <c r="M100" s="30" t="s">
        <v>378</v>
      </c>
      <c r="N100" s="44" t="b">
        <v>1</v>
      </c>
      <c r="O100" s="38" t="b">
        <v>0</v>
      </c>
      <c r="P100" s="38" t="b">
        <v>0</v>
      </c>
      <c r="Q100" s="39">
        <f>VLOOKUP($B100,'25년 12월 출석표'!$B$2:$BQ$497,16,0)/5</f>
        <v>0</v>
      </c>
      <c r="R100" s="40"/>
      <c r="S100" s="41">
        <f>VLOOKUP($B100,'25년 12월 출석표'!$B$2:$BQ$497,30,0)/5</f>
        <v>0.6</v>
      </c>
      <c r="T100" s="40"/>
      <c r="U100" s="41">
        <f>VLOOKUP($B100,'25년 12월 출석표'!$B$2:$BQ$497,44,0)/5</f>
        <v>0</v>
      </c>
      <c r="V100" s="40"/>
      <c r="W100" s="41">
        <f>VLOOKUP($B100,'25년 12월 출석표'!$B$2:$BQ$497,58,0)/5</f>
        <v>0</v>
      </c>
      <c r="X100" s="42"/>
      <c r="Y100" s="41">
        <f>VLOOKUP($B100,'25년 12월 출석표'!$B$2:$BQ$503,66,0)/5</f>
        <v>0.2</v>
      </c>
      <c r="Z100" s="43"/>
    </row>
    <row r="101" spans="1:26">
      <c r="A101" s="29"/>
      <c r="B101" s="30" t="s">
        <v>214</v>
      </c>
      <c r="C101" s="30" t="s">
        <v>3</v>
      </c>
      <c r="D101" s="31" t="s">
        <v>215</v>
      </c>
      <c r="E101" s="32" t="s">
        <v>377</v>
      </c>
      <c r="F101" s="50">
        <v>45941</v>
      </c>
      <c r="G101" s="33">
        <v>45943</v>
      </c>
      <c r="H101" s="33">
        <v>46338</v>
      </c>
      <c r="I101" s="34">
        <f>VLOOKUP(B101,'25년 12월 출석표'!$B$7:$D$509,3,0)</f>
        <v>4</v>
      </c>
      <c r="J101" s="35" t="e">
        <f t="shared" ca="1" si="0"/>
        <v>#NAME?</v>
      </c>
      <c r="K101" s="36" t="str">
        <f t="shared" si="3"/>
        <v>유효</v>
      </c>
      <c r="L101" s="37" t="str">
        <f t="shared" si="4"/>
        <v/>
      </c>
      <c r="M101" s="30" t="s">
        <v>374</v>
      </c>
      <c r="N101" s="38" t="b">
        <v>0</v>
      </c>
      <c r="O101" s="38" t="b">
        <v>0</v>
      </c>
      <c r="P101" s="38" t="b">
        <v>0</v>
      </c>
      <c r="Q101" s="39">
        <f>VLOOKUP($B101,'25년 12월 출석표'!$B$2:$BQ$497,16,0)/5</f>
        <v>0.2</v>
      </c>
      <c r="R101" s="40"/>
      <c r="S101" s="41">
        <f>VLOOKUP($B101,'25년 12월 출석표'!$B$2:$BQ$497,30,0)/5</f>
        <v>0.2</v>
      </c>
      <c r="T101" s="40"/>
      <c r="U101" s="41">
        <f>VLOOKUP($B101,'25년 12월 출석표'!$B$2:$BQ$497,44,0)/5</f>
        <v>0.4</v>
      </c>
      <c r="V101" s="40"/>
      <c r="W101" s="41">
        <f>VLOOKUP($B101,'25년 12월 출석표'!$B$2:$BQ$497,58,0)/5</f>
        <v>0</v>
      </c>
      <c r="X101" s="42"/>
      <c r="Y101" s="41">
        <f>VLOOKUP($B101,'25년 12월 출석표'!$B$2:$BQ$503,66,0)/5</f>
        <v>0</v>
      </c>
      <c r="Z101" s="43"/>
    </row>
    <row r="102" spans="1:26">
      <c r="A102" s="29"/>
      <c r="B102" s="30" t="s">
        <v>216</v>
      </c>
      <c r="C102" s="30" t="s">
        <v>4</v>
      </c>
      <c r="D102" s="31" t="s">
        <v>217</v>
      </c>
      <c r="E102" s="32" t="s">
        <v>376</v>
      </c>
      <c r="F102" s="50">
        <v>45943</v>
      </c>
      <c r="G102" s="33">
        <v>45976</v>
      </c>
      <c r="H102" s="33">
        <v>46279</v>
      </c>
      <c r="I102" s="34">
        <f>VLOOKUP(B102,'25년 12월 출석표'!$B$7:$D$509,3,0)</f>
        <v>0</v>
      </c>
      <c r="J102" s="35" t="e">
        <f t="shared" ca="1" si="0"/>
        <v>#NAME?</v>
      </c>
      <c r="K102" s="36" t="str">
        <f t="shared" si="3"/>
        <v>유효</v>
      </c>
      <c r="L102" s="37" t="str">
        <f t="shared" si="4"/>
        <v/>
      </c>
      <c r="M102" s="30" t="s">
        <v>374</v>
      </c>
      <c r="N102" s="38" t="b">
        <v>0</v>
      </c>
      <c r="O102" s="38" t="b">
        <v>0</v>
      </c>
      <c r="P102" s="38" t="b">
        <v>0</v>
      </c>
      <c r="Q102" s="39">
        <f>VLOOKUP($B102,'25년 12월 출석표'!$B$2:$BQ$497,16,0)/5</f>
        <v>0</v>
      </c>
      <c r="R102" s="40"/>
      <c r="S102" s="41">
        <f>VLOOKUP($B102,'25년 12월 출석표'!$B$2:$BQ$497,30,0)/5</f>
        <v>0</v>
      </c>
      <c r="T102" s="40"/>
      <c r="U102" s="41">
        <f>VLOOKUP($B102,'25년 12월 출석표'!$B$2:$BQ$497,44,0)/5</f>
        <v>0</v>
      </c>
      <c r="V102" s="40"/>
      <c r="W102" s="41">
        <f>VLOOKUP($B102,'25년 12월 출석표'!$B$2:$BQ$497,58,0)/5</f>
        <v>0</v>
      </c>
      <c r="X102" s="42"/>
      <c r="Y102" s="41">
        <f>VLOOKUP($B102,'25년 12월 출석표'!$B$2:$BQ$503,66,0)/5</f>
        <v>0</v>
      </c>
      <c r="Z102" s="43"/>
    </row>
    <row r="103" spans="1:26">
      <c r="A103" s="29"/>
      <c r="B103" s="30" t="s">
        <v>220</v>
      </c>
      <c r="C103" s="30" t="s">
        <v>4</v>
      </c>
      <c r="D103" s="31" t="s">
        <v>221</v>
      </c>
      <c r="E103" s="32" t="s">
        <v>377</v>
      </c>
      <c r="F103" s="50">
        <v>45943</v>
      </c>
      <c r="G103" s="33">
        <v>45952</v>
      </c>
      <c r="H103" s="33">
        <v>46383</v>
      </c>
      <c r="I103" s="34">
        <f>VLOOKUP(B103,'25년 12월 출석표'!$B$7:$D$509,3,0)</f>
        <v>1</v>
      </c>
      <c r="J103" s="35" t="e">
        <f t="shared" ca="1" si="0"/>
        <v>#NAME?</v>
      </c>
      <c r="K103" s="36" t="str">
        <f t="shared" si="3"/>
        <v>유효</v>
      </c>
      <c r="L103" s="37" t="str">
        <f t="shared" si="4"/>
        <v/>
      </c>
      <c r="M103" s="30" t="s">
        <v>378</v>
      </c>
      <c r="N103" s="44" t="b">
        <v>1</v>
      </c>
      <c r="O103" s="38" t="b">
        <v>0</v>
      </c>
      <c r="P103" s="38" t="b">
        <v>0</v>
      </c>
      <c r="Q103" s="39">
        <f>VLOOKUP($B103,'25년 12월 출석표'!$B$2:$BQ$497,16,0)/5</f>
        <v>0</v>
      </c>
      <c r="R103" s="40"/>
      <c r="S103" s="41">
        <f>VLOOKUP($B103,'25년 12월 출석표'!$B$2:$BQ$497,30,0)/5</f>
        <v>0.2</v>
      </c>
      <c r="T103" s="40"/>
      <c r="U103" s="41">
        <f>VLOOKUP($B103,'25년 12월 출석표'!$B$2:$BQ$497,44,0)/5</f>
        <v>0</v>
      </c>
      <c r="V103" s="40"/>
      <c r="W103" s="41">
        <f>VLOOKUP($B103,'25년 12월 출석표'!$B$2:$BQ$497,58,0)/5</f>
        <v>0</v>
      </c>
      <c r="X103" s="42"/>
      <c r="Y103" s="41">
        <f>VLOOKUP($B103,'25년 12월 출석표'!$B$2:$BQ$503,66,0)/5</f>
        <v>0</v>
      </c>
      <c r="Z103" s="43"/>
    </row>
    <row r="104" spans="1:26">
      <c r="A104" s="29"/>
      <c r="B104" s="30" t="s">
        <v>218</v>
      </c>
      <c r="C104" s="30" t="s">
        <v>4</v>
      </c>
      <c r="D104" s="31" t="s">
        <v>219</v>
      </c>
      <c r="E104" s="32" t="s">
        <v>377</v>
      </c>
      <c r="F104" s="50">
        <v>45943</v>
      </c>
      <c r="G104" s="33">
        <v>45943</v>
      </c>
      <c r="H104" s="33">
        <v>46338</v>
      </c>
      <c r="I104" s="34">
        <f>VLOOKUP(B104,'25년 12월 출석표'!$B$7:$D$509,3,0)</f>
        <v>2</v>
      </c>
      <c r="J104" s="35" t="e">
        <f t="shared" ca="1" si="0"/>
        <v>#NAME?</v>
      </c>
      <c r="K104" s="36" t="str">
        <f t="shared" si="3"/>
        <v>유효</v>
      </c>
      <c r="L104" s="37" t="str">
        <f t="shared" si="4"/>
        <v/>
      </c>
      <c r="M104" s="30" t="s">
        <v>374</v>
      </c>
      <c r="N104" s="38" t="b">
        <v>0</v>
      </c>
      <c r="O104" s="38" t="b">
        <v>0</v>
      </c>
      <c r="P104" s="38" t="b">
        <v>0</v>
      </c>
      <c r="Q104" s="39">
        <f>VLOOKUP($B104,'25년 12월 출석표'!$B$2:$BQ$497,16,0)/5</f>
        <v>0</v>
      </c>
      <c r="R104" s="40"/>
      <c r="S104" s="41">
        <f>VLOOKUP($B104,'25년 12월 출석표'!$B$2:$BQ$497,30,0)/5</f>
        <v>0</v>
      </c>
      <c r="T104" s="40"/>
      <c r="U104" s="41">
        <f>VLOOKUP($B104,'25년 12월 출석표'!$B$2:$BQ$497,44,0)/5</f>
        <v>0.4</v>
      </c>
      <c r="V104" s="40"/>
      <c r="W104" s="41">
        <f>VLOOKUP($B104,'25년 12월 출석표'!$B$2:$BQ$497,58,0)/5</f>
        <v>0</v>
      </c>
      <c r="X104" s="42"/>
      <c r="Y104" s="41">
        <f>VLOOKUP($B104,'25년 12월 출석표'!$B$2:$BQ$503,66,0)/5</f>
        <v>0</v>
      </c>
      <c r="Z104" s="43"/>
    </row>
    <row r="105" spans="1:26">
      <c r="A105" s="29"/>
      <c r="B105" s="30" t="s">
        <v>222</v>
      </c>
      <c r="C105" s="30" t="s">
        <v>4</v>
      </c>
      <c r="D105" s="31" t="s">
        <v>223</v>
      </c>
      <c r="E105" s="32" t="s">
        <v>373</v>
      </c>
      <c r="F105" s="50">
        <v>45944</v>
      </c>
      <c r="G105" s="33">
        <v>45944</v>
      </c>
      <c r="H105" s="33">
        <v>46125</v>
      </c>
      <c r="I105" s="34">
        <f>VLOOKUP(B105,'25년 12월 출석표'!$B$7:$D$509,3,0)</f>
        <v>10</v>
      </c>
      <c r="J105" s="35" t="e">
        <f t="shared" ca="1" si="0"/>
        <v>#NAME?</v>
      </c>
      <c r="K105" s="36" t="str">
        <f t="shared" si="3"/>
        <v>유효</v>
      </c>
      <c r="L105" s="37" t="str">
        <f t="shared" si="4"/>
        <v/>
      </c>
      <c r="M105" s="30" t="s">
        <v>374</v>
      </c>
      <c r="N105" s="38" t="b">
        <v>0</v>
      </c>
      <c r="O105" s="38" t="b">
        <v>0</v>
      </c>
      <c r="P105" s="38" t="b">
        <v>0</v>
      </c>
      <c r="Q105" s="39">
        <f>VLOOKUP($B105,'25년 12월 출석표'!$B$2:$BQ$497,16,0)/5</f>
        <v>0.8</v>
      </c>
      <c r="R105" s="40"/>
      <c r="S105" s="41">
        <f>VLOOKUP($B105,'25년 12월 출석표'!$B$2:$BQ$497,30,0)/5</f>
        <v>0.6</v>
      </c>
      <c r="T105" s="40"/>
      <c r="U105" s="41">
        <f>VLOOKUP($B105,'25년 12월 출석표'!$B$2:$BQ$497,44,0)/5</f>
        <v>0.6</v>
      </c>
      <c r="V105" s="40"/>
      <c r="W105" s="41">
        <f>VLOOKUP($B105,'25년 12월 출석표'!$B$2:$BQ$497,58,0)/5</f>
        <v>0</v>
      </c>
      <c r="X105" s="42"/>
      <c r="Y105" s="41">
        <f>VLOOKUP($B105,'25년 12월 출석표'!$B$2:$BQ$503,66,0)/5</f>
        <v>0</v>
      </c>
      <c r="Z105" s="43"/>
    </row>
    <row r="106" spans="1:26">
      <c r="A106" s="29"/>
      <c r="B106" s="30" t="s">
        <v>224</v>
      </c>
      <c r="C106" s="30" t="s">
        <v>4</v>
      </c>
      <c r="D106" s="31" t="s">
        <v>225</v>
      </c>
      <c r="E106" s="32" t="s">
        <v>377</v>
      </c>
      <c r="F106" s="50">
        <v>45945</v>
      </c>
      <c r="G106" s="33">
        <v>45943</v>
      </c>
      <c r="H106" s="33">
        <v>46338</v>
      </c>
      <c r="I106" s="34">
        <f>VLOOKUP(B106,'25년 12월 출석표'!$B$7:$D$509,3,0)</f>
        <v>6</v>
      </c>
      <c r="J106" s="35" t="e">
        <f t="shared" ca="1" si="0"/>
        <v>#NAME?</v>
      </c>
      <c r="K106" s="36" t="str">
        <f t="shared" si="3"/>
        <v>유효</v>
      </c>
      <c r="L106" s="37" t="str">
        <f t="shared" si="4"/>
        <v/>
      </c>
      <c r="M106" s="30" t="s">
        <v>378</v>
      </c>
      <c r="N106" s="44" t="b">
        <v>1</v>
      </c>
      <c r="O106" s="38" t="b">
        <v>0</v>
      </c>
      <c r="P106" s="38" t="b">
        <v>0</v>
      </c>
      <c r="Q106" s="39">
        <f>VLOOKUP($B106,'25년 12월 출석표'!$B$2:$BQ$497,16,0)/5</f>
        <v>0.2</v>
      </c>
      <c r="R106" s="40"/>
      <c r="S106" s="41">
        <f>VLOOKUP($B106,'25년 12월 출석표'!$B$2:$BQ$497,30,0)/5</f>
        <v>0.4</v>
      </c>
      <c r="T106" s="40"/>
      <c r="U106" s="41">
        <f>VLOOKUP($B106,'25년 12월 출석표'!$B$2:$BQ$497,44,0)/5</f>
        <v>0.2</v>
      </c>
      <c r="V106" s="40"/>
      <c r="W106" s="41">
        <f>VLOOKUP($B106,'25년 12월 출석표'!$B$2:$BQ$497,58,0)/5</f>
        <v>0.2</v>
      </c>
      <c r="X106" s="42"/>
      <c r="Y106" s="41">
        <f>VLOOKUP($B106,'25년 12월 출석표'!$B$2:$BQ$503,66,0)/5</f>
        <v>0.2</v>
      </c>
      <c r="Z106" s="43"/>
    </row>
    <row r="107" spans="1:26">
      <c r="A107" s="29"/>
      <c r="B107" s="30" t="s">
        <v>396</v>
      </c>
      <c r="C107" s="30" t="s">
        <v>4</v>
      </c>
      <c r="D107" s="31" t="s">
        <v>227</v>
      </c>
      <c r="E107" s="32" t="s">
        <v>373</v>
      </c>
      <c r="F107" s="50">
        <v>45948</v>
      </c>
      <c r="G107" s="33">
        <v>45950</v>
      </c>
      <c r="H107" s="33">
        <v>45768</v>
      </c>
      <c r="I107" s="34">
        <f>VLOOKUP(B107,'25년 12월 출석표'!$B$7:$D$509,3,0)</f>
        <v>11</v>
      </c>
      <c r="J107" s="35" t="e">
        <f t="shared" ca="1" si="0"/>
        <v>#NAME?</v>
      </c>
      <c r="K107" s="36" t="str">
        <f t="shared" si="3"/>
        <v/>
      </c>
      <c r="L107" s="37" t="str">
        <f t="shared" si="4"/>
        <v/>
      </c>
      <c r="M107" s="30"/>
      <c r="N107" s="38" t="b">
        <v>0</v>
      </c>
      <c r="O107" s="38" t="b">
        <v>0</v>
      </c>
      <c r="P107" s="38" t="b">
        <v>0</v>
      </c>
      <c r="Q107" s="39">
        <f>VLOOKUP($B107,'25년 12월 출석표'!$B$2:$BQ$497,16,0)/5</f>
        <v>0</v>
      </c>
      <c r="R107" s="40"/>
      <c r="S107" s="41">
        <f>VLOOKUP($B107,'25년 12월 출석표'!$B$2:$BQ$497,30,0)/5</f>
        <v>0.4</v>
      </c>
      <c r="T107" s="40"/>
      <c r="U107" s="41">
        <f>VLOOKUP($B107,'25년 12월 출석표'!$B$2:$BQ$497,44,0)/5</f>
        <v>0.8</v>
      </c>
      <c r="V107" s="40"/>
      <c r="W107" s="41">
        <f>VLOOKUP($B107,'25년 12월 출석표'!$B$2:$BQ$497,58,0)/5</f>
        <v>0.6</v>
      </c>
      <c r="X107" s="42"/>
      <c r="Y107" s="41">
        <f>VLOOKUP($B107,'25년 12월 출석표'!$B$2:$BQ$503,66,0)/5</f>
        <v>0.4</v>
      </c>
      <c r="Z107" s="43"/>
    </row>
    <row r="108" spans="1:26">
      <c r="A108" s="29"/>
      <c r="B108" s="30" t="s">
        <v>397</v>
      </c>
      <c r="C108" s="30" t="s">
        <v>4</v>
      </c>
      <c r="D108" s="31" t="s">
        <v>227</v>
      </c>
      <c r="E108" s="32" t="s">
        <v>373</v>
      </c>
      <c r="F108" s="50">
        <v>45948</v>
      </c>
      <c r="G108" s="33">
        <v>45950</v>
      </c>
      <c r="H108" s="33">
        <v>46133</v>
      </c>
      <c r="I108" s="34">
        <f>VLOOKUP(B108,'25년 12월 출석표'!$B$7:$D$509,3,0)</f>
        <v>12</v>
      </c>
      <c r="J108" s="35" t="e">
        <f t="shared" ca="1" si="0"/>
        <v>#NAME?</v>
      </c>
      <c r="K108" s="36" t="str">
        <f t="shared" si="3"/>
        <v>유효</v>
      </c>
      <c r="L108" s="37" t="str">
        <f t="shared" si="4"/>
        <v/>
      </c>
      <c r="M108" s="30" t="s">
        <v>374</v>
      </c>
      <c r="N108" s="38" t="b">
        <v>0</v>
      </c>
      <c r="O108" s="38" t="b">
        <v>0</v>
      </c>
      <c r="P108" s="38" t="b">
        <v>0</v>
      </c>
      <c r="Q108" s="39">
        <f>VLOOKUP($B108,'25년 12월 출석표'!$B$2:$BQ$497,16,0)/5</f>
        <v>1</v>
      </c>
      <c r="R108" s="40"/>
      <c r="S108" s="41">
        <f>VLOOKUP($B108,'25년 12월 출석표'!$B$2:$BQ$497,30,0)/5</f>
        <v>0.6</v>
      </c>
      <c r="T108" s="40"/>
      <c r="U108" s="41">
        <f>VLOOKUP($B108,'25년 12월 출석표'!$B$2:$BQ$497,44,0)/5</f>
        <v>0.4</v>
      </c>
      <c r="V108" s="40"/>
      <c r="W108" s="41">
        <f>VLOOKUP($B108,'25년 12월 출석표'!$B$2:$BQ$497,58,0)/5</f>
        <v>0.2</v>
      </c>
      <c r="X108" s="42"/>
      <c r="Y108" s="41">
        <f>VLOOKUP($B108,'25년 12월 출석표'!$B$2:$BQ$503,66,0)/5</f>
        <v>0.2</v>
      </c>
      <c r="Z108" s="43"/>
    </row>
    <row r="109" spans="1:26">
      <c r="A109" s="29"/>
      <c r="B109" s="30" t="s">
        <v>230</v>
      </c>
      <c r="C109" s="30" t="s">
        <v>3</v>
      </c>
      <c r="D109" s="31" t="s">
        <v>231</v>
      </c>
      <c r="E109" s="32" t="s">
        <v>376</v>
      </c>
      <c r="F109" s="50">
        <v>45950</v>
      </c>
      <c r="G109" s="33">
        <v>45951</v>
      </c>
      <c r="H109" s="33">
        <v>46223</v>
      </c>
      <c r="I109" s="34">
        <f>VLOOKUP(B109,'25년 12월 출석표'!$B$7:$D$509,3,0)</f>
        <v>1</v>
      </c>
      <c r="J109" s="35" t="e">
        <f t="shared" ca="1" si="0"/>
        <v>#NAME?</v>
      </c>
      <c r="K109" s="36" t="str">
        <f t="shared" si="3"/>
        <v>유효</v>
      </c>
      <c r="L109" s="37" t="str">
        <f t="shared" si="4"/>
        <v/>
      </c>
      <c r="M109" s="30" t="s">
        <v>374</v>
      </c>
      <c r="N109" s="38" t="b">
        <v>0</v>
      </c>
      <c r="O109" s="38" t="b">
        <v>0</v>
      </c>
      <c r="P109" s="38" t="b">
        <v>0</v>
      </c>
      <c r="Q109" s="39">
        <f>VLOOKUP($B109,'25년 12월 출석표'!$B$2:$BQ$497,16,0)/5</f>
        <v>0.2</v>
      </c>
      <c r="R109" s="40"/>
      <c r="S109" s="41">
        <f>VLOOKUP($B109,'25년 12월 출석표'!$B$2:$BQ$497,30,0)/5</f>
        <v>0</v>
      </c>
      <c r="T109" s="40"/>
      <c r="U109" s="41">
        <f>VLOOKUP($B109,'25년 12월 출석표'!$B$2:$BQ$497,44,0)/5</f>
        <v>0</v>
      </c>
      <c r="V109" s="40"/>
      <c r="W109" s="41">
        <f>VLOOKUP($B109,'25년 12월 출석표'!$B$2:$BQ$497,58,0)/5</f>
        <v>0</v>
      </c>
      <c r="X109" s="42"/>
      <c r="Y109" s="41">
        <f>VLOOKUP($B109,'25년 12월 출석표'!$B$2:$BQ$503,66,0)/5</f>
        <v>0</v>
      </c>
      <c r="Z109" s="43"/>
    </row>
    <row r="110" spans="1:26">
      <c r="A110" s="29"/>
      <c r="B110" s="30" t="s">
        <v>228</v>
      </c>
      <c r="C110" s="30" t="s">
        <v>4</v>
      </c>
      <c r="D110" s="31" t="s">
        <v>229</v>
      </c>
      <c r="E110" s="32" t="s">
        <v>373</v>
      </c>
      <c r="F110" s="50">
        <v>45950</v>
      </c>
      <c r="G110" s="33">
        <v>45951</v>
      </c>
      <c r="H110" s="33">
        <v>46163</v>
      </c>
      <c r="I110" s="34">
        <f>VLOOKUP(B110,'25년 12월 출석표'!$B$7:$D$509,3,0)</f>
        <v>6</v>
      </c>
      <c r="J110" s="35" t="e">
        <f t="shared" ca="1" si="0"/>
        <v>#NAME?</v>
      </c>
      <c r="K110" s="36" t="str">
        <f t="shared" si="3"/>
        <v>유효</v>
      </c>
      <c r="L110" s="37" t="str">
        <f t="shared" si="4"/>
        <v/>
      </c>
      <c r="M110" s="30" t="s">
        <v>378</v>
      </c>
      <c r="N110" s="44" t="b">
        <v>1</v>
      </c>
      <c r="O110" s="38" t="b">
        <v>0</v>
      </c>
      <c r="P110" s="38" t="b">
        <v>0</v>
      </c>
      <c r="Q110" s="39">
        <f>VLOOKUP($B110,'25년 12월 출석표'!$B$2:$BQ$497,16,0)/5</f>
        <v>0.4</v>
      </c>
      <c r="R110" s="40"/>
      <c r="S110" s="41">
        <f>VLOOKUP($B110,'25년 12월 출석표'!$B$2:$BQ$497,30,0)/5</f>
        <v>0.4</v>
      </c>
      <c r="T110" s="40"/>
      <c r="U110" s="41">
        <f>VLOOKUP($B110,'25년 12월 출석표'!$B$2:$BQ$497,44,0)/5</f>
        <v>0.4</v>
      </c>
      <c r="V110" s="40"/>
      <c r="W110" s="41">
        <f>VLOOKUP($B110,'25년 12월 출석표'!$B$2:$BQ$497,58,0)/5</f>
        <v>0</v>
      </c>
      <c r="X110" s="42"/>
      <c r="Y110" s="41">
        <f>VLOOKUP($B110,'25년 12월 출석표'!$B$2:$BQ$503,66,0)/5</f>
        <v>0</v>
      </c>
      <c r="Z110" s="43"/>
    </row>
    <row r="111" spans="1:26">
      <c r="A111" s="29"/>
      <c r="B111" s="30" t="s">
        <v>232</v>
      </c>
      <c r="C111" s="30" t="s">
        <v>4</v>
      </c>
      <c r="D111" s="31" t="s">
        <v>233</v>
      </c>
      <c r="E111" s="32" t="s">
        <v>377</v>
      </c>
      <c r="F111" s="50">
        <v>45953</v>
      </c>
      <c r="G111" s="33">
        <v>45957</v>
      </c>
      <c r="H111" s="33">
        <v>46321</v>
      </c>
      <c r="I111" s="34">
        <f>VLOOKUP(B111,'25년 12월 출석표'!$B$7:$D$509,3,0)</f>
        <v>14</v>
      </c>
      <c r="J111" s="35" t="e">
        <f t="shared" ca="1" si="0"/>
        <v>#NAME?</v>
      </c>
      <c r="K111" s="36" t="str">
        <f t="shared" si="3"/>
        <v>유효</v>
      </c>
      <c r="L111" s="37" t="str">
        <f t="shared" si="4"/>
        <v/>
      </c>
      <c r="M111" s="30" t="s">
        <v>378</v>
      </c>
      <c r="N111" s="44" t="b">
        <v>1</v>
      </c>
      <c r="O111" s="38" t="b">
        <v>0</v>
      </c>
      <c r="P111" s="38" t="b">
        <v>0</v>
      </c>
      <c r="Q111" s="39">
        <f>VLOOKUP($B111,'25년 12월 출석표'!$B$2:$BQ$497,16,0)/5</f>
        <v>0.6</v>
      </c>
      <c r="R111" s="40"/>
      <c r="S111" s="41">
        <f>VLOOKUP($B111,'25년 12월 출석표'!$B$2:$BQ$497,30,0)/5</f>
        <v>0.8</v>
      </c>
      <c r="T111" s="40"/>
      <c r="U111" s="41">
        <f>VLOOKUP($B111,'25년 12월 출석표'!$B$2:$BQ$497,44,0)/5</f>
        <v>0.6</v>
      </c>
      <c r="V111" s="40"/>
      <c r="W111" s="41">
        <f>VLOOKUP($B111,'25년 12월 출석표'!$B$2:$BQ$497,58,0)/5</f>
        <v>0.4</v>
      </c>
      <c r="X111" s="42"/>
      <c r="Y111" s="41">
        <f>VLOOKUP($B111,'25년 12월 출석표'!$B$2:$BQ$503,66,0)/5</f>
        <v>0.4</v>
      </c>
      <c r="Z111" s="43"/>
    </row>
    <row r="112" spans="1:26">
      <c r="A112" s="29"/>
      <c r="B112" s="30" t="s">
        <v>234</v>
      </c>
      <c r="C112" s="30" t="s">
        <v>4</v>
      </c>
      <c r="D112" s="31" t="s">
        <v>235</v>
      </c>
      <c r="E112" s="32" t="s">
        <v>398</v>
      </c>
      <c r="F112" s="50">
        <v>45954</v>
      </c>
      <c r="G112" s="33">
        <v>45957</v>
      </c>
      <c r="H112" s="33">
        <v>46321</v>
      </c>
      <c r="I112" s="34">
        <f>VLOOKUP(B112,'25년 12월 출석표'!$B$7:$D$509,3,0)</f>
        <v>22</v>
      </c>
      <c r="J112" s="35" t="e">
        <f t="shared" ca="1" si="0"/>
        <v>#NAME?</v>
      </c>
      <c r="K112" s="36" t="str">
        <f t="shared" si="3"/>
        <v>유효</v>
      </c>
      <c r="L112" s="37" t="str">
        <f t="shared" si="4"/>
        <v/>
      </c>
      <c r="M112" s="30" t="s">
        <v>378</v>
      </c>
      <c r="N112" s="44" t="b">
        <v>1</v>
      </c>
      <c r="O112" s="38" t="b">
        <v>0</v>
      </c>
      <c r="P112" s="38" t="b">
        <v>0</v>
      </c>
      <c r="Q112" s="39">
        <f>VLOOKUP($B112,'25년 12월 출석표'!$B$2:$BQ$497,16,0)/5</f>
        <v>1</v>
      </c>
      <c r="R112" s="40"/>
      <c r="S112" s="41">
        <f>VLOOKUP($B112,'25년 12월 출석표'!$B$2:$BQ$497,30,0)/5</f>
        <v>1</v>
      </c>
      <c r="T112" s="40"/>
      <c r="U112" s="41">
        <f>VLOOKUP($B112,'25년 12월 출석표'!$B$2:$BQ$497,44,0)/5</f>
        <v>1</v>
      </c>
      <c r="V112" s="40"/>
      <c r="W112" s="41">
        <f>VLOOKUP($B112,'25년 12월 출석표'!$B$2:$BQ$497,58,0)/5</f>
        <v>0.8</v>
      </c>
      <c r="X112" s="42"/>
      <c r="Y112" s="41">
        <f>VLOOKUP($B112,'25년 12월 출석표'!$B$2:$BQ$503,66,0)/5</f>
        <v>0.6</v>
      </c>
      <c r="Z112" s="43"/>
    </row>
    <row r="113" spans="1:26">
      <c r="A113" s="29"/>
      <c r="B113" s="30" t="s">
        <v>236</v>
      </c>
      <c r="C113" s="30" t="s">
        <v>3</v>
      </c>
      <c r="D113" s="31" t="s">
        <v>237</v>
      </c>
      <c r="E113" s="32" t="s">
        <v>383</v>
      </c>
      <c r="F113" s="167">
        <v>45958</v>
      </c>
      <c r="G113" s="33">
        <v>45996</v>
      </c>
      <c r="H113" s="33">
        <v>46085</v>
      </c>
      <c r="I113" s="34">
        <f>VLOOKUP(B113,'25년 12월 출석표'!$B$7:$D$509,3,0)</f>
        <v>0</v>
      </c>
      <c r="J113" s="35" t="e">
        <f t="shared" ca="1" si="0"/>
        <v>#NAME?</v>
      </c>
      <c r="K113" s="36" t="str">
        <f t="shared" si="3"/>
        <v>유효</v>
      </c>
      <c r="L113" s="37" t="str">
        <f t="shared" si="4"/>
        <v/>
      </c>
      <c r="M113" s="30" t="s">
        <v>378</v>
      </c>
      <c r="N113" s="44" t="b">
        <v>1</v>
      </c>
      <c r="O113" s="38" t="b">
        <v>0</v>
      </c>
      <c r="P113" s="38" t="b">
        <v>0</v>
      </c>
      <c r="Q113" s="39">
        <f>VLOOKUP($B113,'25년 12월 출석표'!$B$2:$BQ$497,16,0)/5</f>
        <v>0</v>
      </c>
      <c r="R113" s="40"/>
      <c r="S113" s="41">
        <f>VLOOKUP($B113,'25년 12월 출석표'!$B$2:$BQ$497,30,0)/5</f>
        <v>0</v>
      </c>
      <c r="T113" s="40"/>
      <c r="U113" s="41">
        <f>VLOOKUP($B113,'25년 12월 출석표'!$B$2:$BQ$497,44,0)/5</f>
        <v>0</v>
      </c>
      <c r="V113" s="40"/>
      <c r="W113" s="41">
        <f>VLOOKUP($B113,'25년 12월 출석표'!$B$2:$BQ$497,58,0)/5</f>
        <v>0</v>
      </c>
      <c r="X113" s="42"/>
      <c r="Y113" s="41">
        <f>VLOOKUP($B113,'25년 12월 출석표'!$B$2:$BQ$503,66,0)/5</f>
        <v>0</v>
      </c>
      <c r="Z113" s="43"/>
    </row>
    <row r="114" spans="1:26">
      <c r="A114" s="29"/>
      <c r="B114" s="30" t="s">
        <v>238</v>
      </c>
      <c r="C114" s="30" t="s">
        <v>4</v>
      </c>
      <c r="D114" s="31" t="s">
        <v>239</v>
      </c>
      <c r="E114" s="32" t="s">
        <v>377</v>
      </c>
      <c r="F114" s="50">
        <v>45958</v>
      </c>
      <c r="G114" s="33">
        <v>45959</v>
      </c>
      <c r="H114" s="33">
        <v>46323</v>
      </c>
      <c r="I114" s="34">
        <f>VLOOKUP(B114,'25년 12월 출석표'!$B$7:$D$509,3,0)</f>
        <v>6</v>
      </c>
      <c r="J114" s="35" t="e">
        <f t="shared" ca="1" si="0"/>
        <v>#NAME?</v>
      </c>
      <c r="K114" s="36" t="str">
        <f t="shared" si="3"/>
        <v>유효</v>
      </c>
      <c r="L114" s="37" t="str">
        <f t="shared" si="4"/>
        <v/>
      </c>
      <c r="M114" s="30" t="s">
        <v>374</v>
      </c>
      <c r="N114" s="38" t="b">
        <v>0</v>
      </c>
      <c r="O114" s="38" t="b">
        <v>0</v>
      </c>
      <c r="P114" s="38" t="b">
        <v>0</v>
      </c>
      <c r="Q114" s="39">
        <f>VLOOKUP($B114,'25년 12월 출석표'!$B$2:$BQ$497,16,0)/5</f>
        <v>0.6</v>
      </c>
      <c r="R114" s="40"/>
      <c r="S114" s="41">
        <f>VLOOKUP($B114,'25년 12월 출석표'!$B$2:$BQ$497,30,0)/5</f>
        <v>0.2</v>
      </c>
      <c r="T114" s="40"/>
      <c r="U114" s="41">
        <f>VLOOKUP($B114,'25년 12월 출석표'!$B$2:$BQ$497,44,0)/5</f>
        <v>0.4</v>
      </c>
      <c r="V114" s="40"/>
      <c r="W114" s="41">
        <f>VLOOKUP($B114,'25년 12월 출석표'!$B$2:$BQ$497,58,0)/5</f>
        <v>0</v>
      </c>
      <c r="X114" s="42"/>
      <c r="Y114" s="41">
        <f>VLOOKUP($B114,'25년 12월 출석표'!$B$2:$BQ$503,66,0)/5</f>
        <v>0</v>
      </c>
      <c r="Z114" s="43"/>
    </row>
    <row r="115" spans="1:26">
      <c r="A115" s="29"/>
      <c r="B115" s="30" t="s">
        <v>240</v>
      </c>
      <c r="C115" s="30" t="s">
        <v>4</v>
      </c>
      <c r="D115" s="31" t="s">
        <v>241</v>
      </c>
      <c r="E115" s="32" t="s">
        <v>377</v>
      </c>
      <c r="F115" s="50">
        <v>45958</v>
      </c>
      <c r="G115" s="33">
        <v>45959</v>
      </c>
      <c r="H115" s="33">
        <v>46323</v>
      </c>
      <c r="I115" s="34">
        <f>VLOOKUP(B115,'25년 12월 출석표'!$B$7:$D$509,3,0)</f>
        <v>8</v>
      </c>
      <c r="J115" s="35" t="e">
        <f t="shared" ca="1" si="0"/>
        <v>#NAME?</v>
      </c>
      <c r="K115" s="36" t="str">
        <f t="shared" si="3"/>
        <v>유효</v>
      </c>
      <c r="L115" s="37" t="str">
        <f t="shared" si="4"/>
        <v/>
      </c>
      <c r="M115" s="30" t="s">
        <v>378</v>
      </c>
      <c r="N115" s="44" t="b">
        <v>1</v>
      </c>
      <c r="O115" s="38" t="b">
        <v>0</v>
      </c>
      <c r="P115" s="38" t="b">
        <v>0</v>
      </c>
      <c r="Q115" s="39">
        <f>VLOOKUP($B115,'25년 12월 출석표'!$B$2:$BQ$497,16,0)/5</f>
        <v>0.6</v>
      </c>
      <c r="R115" s="40"/>
      <c r="S115" s="41">
        <f>VLOOKUP($B115,'25년 12월 출석표'!$B$2:$BQ$497,30,0)/5</f>
        <v>0.4</v>
      </c>
      <c r="T115" s="40"/>
      <c r="U115" s="41">
        <f>VLOOKUP($B115,'25년 12월 출석표'!$B$2:$BQ$497,44,0)/5</f>
        <v>0.2</v>
      </c>
      <c r="V115" s="40"/>
      <c r="W115" s="41">
        <f>VLOOKUP($B115,'25년 12월 출석표'!$B$2:$BQ$497,58,0)/5</f>
        <v>0.2</v>
      </c>
      <c r="X115" s="42"/>
      <c r="Y115" s="41">
        <f>VLOOKUP($B115,'25년 12월 출석표'!$B$2:$BQ$503,66,0)/5</f>
        <v>0.2</v>
      </c>
      <c r="Z115" s="43"/>
    </row>
    <row r="116" spans="1:26">
      <c r="A116" s="29"/>
      <c r="B116" s="30" t="s">
        <v>244</v>
      </c>
      <c r="C116" s="30" t="s">
        <v>4</v>
      </c>
      <c r="D116" s="31" t="s">
        <v>245</v>
      </c>
      <c r="E116" s="32" t="s">
        <v>377</v>
      </c>
      <c r="F116" s="50">
        <v>45960</v>
      </c>
      <c r="G116" s="33">
        <v>45961</v>
      </c>
      <c r="H116" s="33">
        <v>46325</v>
      </c>
      <c r="I116" s="34">
        <f>VLOOKUP(B116,'25년 12월 출석표'!$B$7:$D$509,3,0)</f>
        <v>0</v>
      </c>
      <c r="J116" s="35" t="e">
        <f t="shared" ca="1" si="0"/>
        <v>#NAME?</v>
      </c>
      <c r="K116" s="36" t="str">
        <f t="shared" si="3"/>
        <v>유효</v>
      </c>
      <c r="L116" s="37" t="str">
        <f t="shared" si="4"/>
        <v/>
      </c>
      <c r="M116" s="30" t="s">
        <v>374</v>
      </c>
      <c r="N116" s="38" t="b">
        <v>0</v>
      </c>
      <c r="O116" s="38" t="b">
        <v>0</v>
      </c>
      <c r="P116" s="38" t="b">
        <v>0</v>
      </c>
      <c r="Q116" s="39">
        <f>VLOOKUP($B116,'25년 12월 출석표'!$B$2:$BQ$497,16,0)/5</f>
        <v>0</v>
      </c>
      <c r="R116" s="40"/>
      <c r="S116" s="41">
        <f>VLOOKUP($B116,'25년 12월 출석표'!$B$2:$BQ$497,30,0)/5</f>
        <v>0</v>
      </c>
      <c r="T116" s="40"/>
      <c r="U116" s="41">
        <f>VLOOKUP($B116,'25년 12월 출석표'!$B$2:$BQ$497,44,0)/5</f>
        <v>0</v>
      </c>
      <c r="V116" s="40"/>
      <c r="W116" s="41">
        <f>VLOOKUP($B116,'25년 12월 출석표'!$B$2:$BQ$497,58,0)/5</f>
        <v>0</v>
      </c>
      <c r="X116" s="42"/>
      <c r="Y116" s="41">
        <f>VLOOKUP($B116,'25년 12월 출석표'!$B$2:$BQ$503,66,0)/5</f>
        <v>0</v>
      </c>
      <c r="Z116" s="43"/>
    </row>
    <row r="117" spans="1:26">
      <c r="A117" s="29"/>
      <c r="B117" s="30" t="s">
        <v>248</v>
      </c>
      <c r="C117" s="30" t="s">
        <v>4</v>
      </c>
      <c r="D117" s="31" t="s">
        <v>249</v>
      </c>
      <c r="E117" s="32" t="s">
        <v>377</v>
      </c>
      <c r="F117" s="50">
        <v>45960</v>
      </c>
      <c r="G117" s="33">
        <v>45965</v>
      </c>
      <c r="H117" s="33">
        <v>46328</v>
      </c>
      <c r="I117" s="34">
        <f>VLOOKUP(B117,'25년 12월 출석표'!$B$7:$D$509,3,0)</f>
        <v>0</v>
      </c>
      <c r="J117" s="35" t="e">
        <f t="shared" ca="1" si="0"/>
        <v>#NAME?</v>
      </c>
      <c r="K117" s="36" t="str">
        <f t="shared" si="3"/>
        <v>유효</v>
      </c>
      <c r="L117" s="37" t="str">
        <f t="shared" si="4"/>
        <v/>
      </c>
      <c r="M117" s="30" t="s">
        <v>374</v>
      </c>
      <c r="N117" s="38" t="b">
        <v>0</v>
      </c>
      <c r="O117" s="38" t="b">
        <v>0</v>
      </c>
      <c r="P117" s="38" t="b">
        <v>0</v>
      </c>
      <c r="Q117" s="39">
        <f>VLOOKUP($B117,'25년 12월 출석표'!$B$2:$BQ$497,16,0)/5</f>
        <v>0</v>
      </c>
      <c r="R117" s="40"/>
      <c r="S117" s="41">
        <f>VLOOKUP($B117,'25년 12월 출석표'!$B$2:$BQ$497,30,0)/5</f>
        <v>0</v>
      </c>
      <c r="T117" s="40"/>
      <c r="U117" s="41">
        <f>VLOOKUP($B117,'25년 12월 출석표'!$B$2:$BQ$497,44,0)/5</f>
        <v>0</v>
      </c>
      <c r="V117" s="40"/>
      <c r="W117" s="41">
        <f>VLOOKUP($B117,'25년 12월 출석표'!$B$2:$BQ$497,58,0)/5</f>
        <v>0</v>
      </c>
      <c r="X117" s="42"/>
      <c r="Y117" s="41">
        <f>VLOOKUP($B117,'25년 12월 출석표'!$B$2:$BQ$503,66,0)/5</f>
        <v>0</v>
      </c>
      <c r="Z117" s="43"/>
    </row>
    <row r="118" spans="1:26">
      <c r="A118" s="29"/>
      <c r="B118" s="30" t="s">
        <v>242</v>
      </c>
      <c r="C118" s="30" t="s">
        <v>3</v>
      </c>
      <c r="D118" s="31" t="s">
        <v>243</v>
      </c>
      <c r="E118" s="32" t="s">
        <v>377</v>
      </c>
      <c r="F118" s="50">
        <v>45960</v>
      </c>
      <c r="G118" s="33">
        <v>45961</v>
      </c>
      <c r="H118" s="33">
        <v>46325</v>
      </c>
      <c r="I118" s="34">
        <f>VLOOKUP(B118,'25년 12월 출석표'!$B$7:$D$509,3,0)</f>
        <v>10</v>
      </c>
      <c r="J118" s="35" t="e">
        <f t="shared" ca="1" si="0"/>
        <v>#NAME?</v>
      </c>
      <c r="K118" s="36" t="str">
        <f t="shared" si="3"/>
        <v>유효</v>
      </c>
      <c r="L118" s="37" t="str">
        <f t="shared" si="4"/>
        <v/>
      </c>
      <c r="M118" s="30" t="s">
        <v>378</v>
      </c>
      <c r="N118" s="44" t="b">
        <v>1</v>
      </c>
      <c r="O118" s="38" t="b">
        <v>0</v>
      </c>
      <c r="P118" s="38" t="b">
        <v>0</v>
      </c>
      <c r="Q118" s="39">
        <f>VLOOKUP($B118,'25년 12월 출석표'!$B$2:$BQ$497,16,0)/5</f>
        <v>0.4</v>
      </c>
      <c r="R118" s="40"/>
      <c r="S118" s="41">
        <f>VLOOKUP($B118,'25년 12월 출석표'!$B$2:$BQ$497,30,0)/5</f>
        <v>0.4</v>
      </c>
      <c r="T118" s="40"/>
      <c r="U118" s="41">
        <f>VLOOKUP($B118,'25년 12월 출석표'!$B$2:$BQ$497,44,0)/5</f>
        <v>0.6</v>
      </c>
      <c r="V118" s="40"/>
      <c r="W118" s="41">
        <f>VLOOKUP($B118,'25년 12월 출석표'!$B$2:$BQ$497,58,0)/5</f>
        <v>0.4</v>
      </c>
      <c r="X118" s="42"/>
      <c r="Y118" s="41">
        <f>VLOOKUP($B118,'25년 12월 출석표'!$B$2:$BQ$503,66,0)/5</f>
        <v>0.2</v>
      </c>
      <c r="Z118" s="43"/>
    </row>
    <row r="119" spans="1:26">
      <c r="A119" s="29"/>
      <c r="B119" s="30" t="s">
        <v>246</v>
      </c>
      <c r="C119" s="30" t="s">
        <v>4</v>
      </c>
      <c r="D119" s="31" t="s">
        <v>247</v>
      </c>
      <c r="E119" s="32" t="s">
        <v>377</v>
      </c>
      <c r="F119" s="50">
        <v>45960</v>
      </c>
      <c r="G119" s="33">
        <v>45961</v>
      </c>
      <c r="H119" s="33">
        <v>46325</v>
      </c>
      <c r="I119" s="34">
        <f>VLOOKUP(B119,'25년 12월 출석표'!$B$7:$D$509,3,0)</f>
        <v>13</v>
      </c>
      <c r="J119" s="35" t="e">
        <f t="shared" ca="1" si="0"/>
        <v>#NAME?</v>
      </c>
      <c r="K119" s="36" t="str">
        <f t="shared" si="3"/>
        <v>유효</v>
      </c>
      <c r="L119" s="37" t="str">
        <f t="shared" si="4"/>
        <v/>
      </c>
      <c r="M119" s="30" t="s">
        <v>374</v>
      </c>
      <c r="N119" s="38" t="b">
        <v>0</v>
      </c>
      <c r="O119" s="38" t="b">
        <v>0</v>
      </c>
      <c r="P119" s="38" t="b">
        <v>0</v>
      </c>
      <c r="Q119" s="39">
        <f>VLOOKUP($B119,'25년 12월 출석표'!$B$2:$BQ$497,16,0)/5</f>
        <v>0.4</v>
      </c>
      <c r="R119" s="40"/>
      <c r="S119" s="41">
        <f>VLOOKUP($B119,'25년 12월 출석표'!$B$2:$BQ$497,30,0)/5</f>
        <v>0.2</v>
      </c>
      <c r="T119" s="40"/>
      <c r="U119" s="41">
        <f>VLOOKUP($B119,'25년 12월 출석표'!$B$2:$BQ$497,44,0)/5</f>
        <v>0.6</v>
      </c>
      <c r="V119" s="40"/>
      <c r="W119" s="41">
        <f>VLOOKUP($B119,'25년 12월 출석표'!$B$2:$BQ$497,58,0)/5</f>
        <v>0.8</v>
      </c>
      <c r="X119" s="42"/>
      <c r="Y119" s="41">
        <f>VLOOKUP($B119,'25년 12월 출석표'!$B$2:$BQ$503,66,0)/5</f>
        <v>0.6</v>
      </c>
      <c r="Z119" s="43"/>
    </row>
    <row r="120" spans="1:26">
      <c r="A120" s="29"/>
      <c r="B120" s="30" t="s">
        <v>250</v>
      </c>
      <c r="C120" s="30" t="s">
        <v>4</v>
      </c>
      <c r="D120" s="31" t="s">
        <v>251</v>
      </c>
      <c r="E120" s="32" t="s">
        <v>377</v>
      </c>
      <c r="F120" s="50">
        <v>45961</v>
      </c>
      <c r="G120" s="33">
        <v>45961</v>
      </c>
      <c r="H120" s="33">
        <v>46325</v>
      </c>
      <c r="I120" s="34">
        <f>VLOOKUP(B120,'25년 12월 출석표'!$B$7:$D$509,3,0)</f>
        <v>12</v>
      </c>
      <c r="J120" s="35" t="e">
        <f t="shared" ca="1" si="0"/>
        <v>#NAME?</v>
      </c>
      <c r="K120" s="36" t="str">
        <f t="shared" si="3"/>
        <v>유효</v>
      </c>
      <c r="L120" s="37" t="str">
        <f t="shared" si="4"/>
        <v/>
      </c>
      <c r="M120" s="30" t="s">
        <v>374</v>
      </c>
      <c r="N120" s="38" t="b">
        <v>0</v>
      </c>
      <c r="O120" s="38" t="b">
        <v>0</v>
      </c>
      <c r="P120" s="38" t="b">
        <v>0</v>
      </c>
      <c r="Q120" s="39">
        <f>VLOOKUP($B120,'25년 12월 출석표'!$B$2:$BQ$497,16,0)/5</f>
        <v>0.6</v>
      </c>
      <c r="R120" s="40"/>
      <c r="S120" s="41">
        <f>VLOOKUP($B120,'25년 12월 출석표'!$B$2:$BQ$497,30,0)/5</f>
        <v>0.4</v>
      </c>
      <c r="T120" s="40"/>
      <c r="U120" s="41">
        <f>VLOOKUP($B120,'25년 12월 출석표'!$B$2:$BQ$497,44,0)/5</f>
        <v>0.6</v>
      </c>
      <c r="V120" s="40"/>
      <c r="W120" s="41">
        <f>VLOOKUP($B120,'25년 12월 출석표'!$B$2:$BQ$497,58,0)/5</f>
        <v>0.4</v>
      </c>
      <c r="X120" s="42"/>
      <c r="Y120" s="41">
        <f>VLOOKUP($B120,'25년 12월 출석표'!$B$2:$BQ$503,66,0)/5</f>
        <v>0.4</v>
      </c>
      <c r="Z120" s="43"/>
    </row>
    <row r="121" spans="1:26">
      <c r="A121" s="29"/>
      <c r="B121" s="30" t="s">
        <v>252</v>
      </c>
      <c r="C121" s="30" t="s">
        <v>4</v>
      </c>
      <c r="D121" s="31" t="s">
        <v>253</v>
      </c>
      <c r="E121" s="32" t="s">
        <v>377</v>
      </c>
      <c r="F121" s="50">
        <v>45964</v>
      </c>
      <c r="G121" s="33">
        <v>45965</v>
      </c>
      <c r="H121" s="33">
        <v>46374</v>
      </c>
      <c r="I121" s="34">
        <f>VLOOKUP(B121,'25년 12월 출석표'!$B$7:$D$509,3,0)</f>
        <v>0</v>
      </c>
      <c r="J121" s="35" t="e">
        <f t="shared" ca="1" si="0"/>
        <v>#NAME?</v>
      </c>
      <c r="K121" s="36" t="str">
        <f t="shared" si="3"/>
        <v>유효</v>
      </c>
      <c r="L121" s="37" t="str">
        <f t="shared" si="4"/>
        <v/>
      </c>
      <c r="M121" s="30" t="s">
        <v>378</v>
      </c>
      <c r="N121" s="44" t="b">
        <v>1</v>
      </c>
      <c r="O121" s="38" t="b">
        <v>0</v>
      </c>
      <c r="P121" s="38" t="b">
        <v>0</v>
      </c>
      <c r="Q121" s="39">
        <f>VLOOKUP($B121,'25년 12월 출석표'!$B$2:$BQ$497,16,0)/5</f>
        <v>0</v>
      </c>
      <c r="R121" s="40"/>
      <c r="S121" s="41">
        <f>VLOOKUP($B121,'25년 12월 출석표'!$B$2:$BQ$497,30,0)/5</f>
        <v>0</v>
      </c>
      <c r="T121" s="40"/>
      <c r="U121" s="41">
        <f>VLOOKUP($B121,'25년 12월 출석표'!$B$2:$BQ$497,44,0)/5</f>
        <v>0</v>
      </c>
      <c r="V121" s="40"/>
      <c r="W121" s="41">
        <f>VLOOKUP($B121,'25년 12월 출석표'!$B$2:$BQ$497,58,0)/5</f>
        <v>0</v>
      </c>
      <c r="X121" s="42"/>
      <c r="Y121" s="41">
        <f>VLOOKUP($B121,'25년 12월 출석표'!$B$2:$BQ$503,66,0)/5</f>
        <v>0</v>
      </c>
      <c r="Z121" s="43"/>
    </row>
    <row r="122" spans="1:26">
      <c r="A122" s="29"/>
      <c r="B122" s="30" t="s">
        <v>254</v>
      </c>
      <c r="C122" s="30" t="s">
        <v>4</v>
      </c>
      <c r="D122" s="31" t="s">
        <v>255</v>
      </c>
      <c r="E122" s="32" t="s">
        <v>377</v>
      </c>
      <c r="F122" s="50">
        <v>45965</v>
      </c>
      <c r="G122" s="33">
        <v>45965</v>
      </c>
      <c r="H122" s="33">
        <v>46329</v>
      </c>
      <c r="I122" s="34">
        <f>VLOOKUP(B122,'25년 12월 출석표'!$B$7:$D$509,3,0)</f>
        <v>12</v>
      </c>
      <c r="J122" s="35" t="e">
        <f t="shared" ca="1" si="0"/>
        <v>#NAME?</v>
      </c>
      <c r="K122" s="36" t="str">
        <f t="shared" si="3"/>
        <v>유효</v>
      </c>
      <c r="L122" s="37" t="str">
        <f t="shared" si="4"/>
        <v/>
      </c>
      <c r="M122" s="30" t="s">
        <v>374</v>
      </c>
      <c r="N122" s="38" t="b">
        <v>0</v>
      </c>
      <c r="O122" s="38" t="b">
        <v>0</v>
      </c>
      <c r="P122" s="38" t="b">
        <v>0</v>
      </c>
      <c r="Q122" s="39">
        <f>VLOOKUP($B122,'25년 12월 출석표'!$B$2:$BQ$497,16,0)/5</f>
        <v>0.6</v>
      </c>
      <c r="R122" s="40"/>
      <c r="S122" s="41">
        <f>VLOOKUP($B122,'25년 12월 출석표'!$B$2:$BQ$497,30,0)/5</f>
        <v>0.4</v>
      </c>
      <c r="T122" s="40"/>
      <c r="U122" s="41">
        <f>VLOOKUP($B122,'25년 12월 출석표'!$B$2:$BQ$497,44,0)/5</f>
        <v>0.4</v>
      </c>
      <c r="V122" s="40"/>
      <c r="W122" s="41">
        <f>VLOOKUP($B122,'25년 12월 출석표'!$B$2:$BQ$497,58,0)/5</f>
        <v>0.6</v>
      </c>
      <c r="X122" s="42"/>
      <c r="Y122" s="41">
        <f>VLOOKUP($B122,'25년 12월 출석표'!$B$2:$BQ$503,66,0)/5</f>
        <v>0.4</v>
      </c>
      <c r="Z122" s="43"/>
    </row>
    <row r="123" spans="1:26">
      <c r="A123" s="29"/>
      <c r="B123" s="30" t="s">
        <v>256</v>
      </c>
      <c r="C123" s="30" t="s">
        <v>4</v>
      </c>
      <c r="D123" s="31" t="s">
        <v>257</v>
      </c>
      <c r="E123" s="32" t="s">
        <v>377</v>
      </c>
      <c r="F123" s="50">
        <v>45965</v>
      </c>
      <c r="G123" s="33">
        <v>45966</v>
      </c>
      <c r="H123" s="33">
        <v>46330</v>
      </c>
      <c r="I123" s="34">
        <f>VLOOKUP(B123,'25년 12월 출석표'!$B$7:$D$509,3,0)</f>
        <v>17</v>
      </c>
      <c r="J123" s="35" t="e">
        <f t="shared" ca="1" si="0"/>
        <v>#NAME?</v>
      </c>
      <c r="K123" s="36" t="str">
        <f t="shared" si="3"/>
        <v>유효</v>
      </c>
      <c r="L123" s="37" t="str">
        <f t="shared" si="4"/>
        <v/>
      </c>
      <c r="M123" s="30" t="s">
        <v>374</v>
      </c>
      <c r="N123" s="38" t="b">
        <v>0</v>
      </c>
      <c r="O123" s="38" t="b">
        <v>0</v>
      </c>
      <c r="P123" s="38" t="b">
        <v>0</v>
      </c>
      <c r="Q123" s="39">
        <f>VLOOKUP($B123,'25년 12월 출석표'!$B$2:$BQ$497,16,0)/5</f>
        <v>0.8</v>
      </c>
      <c r="R123" s="40"/>
      <c r="S123" s="41">
        <f>VLOOKUP($B123,'25년 12월 출석표'!$B$2:$BQ$497,30,0)/5</f>
        <v>0.8</v>
      </c>
      <c r="T123" s="40"/>
      <c r="U123" s="41">
        <f>VLOOKUP($B123,'25년 12월 출석표'!$B$2:$BQ$497,44,0)/5</f>
        <v>0.8</v>
      </c>
      <c r="V123" s="40"/>
      <c r="W123" s="41">
        <f>VLOOKUP($B123,'25년 12월 출석표'!$B$2:$BQ$497,58,0)/5</f>
        <v>0.8</v>
      </c>
      <c r="X123" s="42"/>
      <c r="Y123" s="41">
        <f>VLOOKUP($B123,'25년 12월 출석표'!$B$2:$BQ$503,66,0)/5</f>
        <v>0.2</v>
      </c>
      <c r="Z123" s="43"/>
    </row>
    <row r="124" spans="1:26">
      <c r="A124" s="29"/>
      <c r="B124" s="30" t="s">
        <v>258</v>
      </c>
      <c r="C124" s="30" t="s">
        <v>4</v>
      </c>
      <c r="D124" s="31" t="s">
        <v>259</v>
      </c>
      <c r="E124" s="32" t="s">
        <v>377</v>
      </c>
      <c r="F124" s="50">
        <v>45969</v>
      </c>
      <c r="G124" s="33">
        <v>46001</v>
      </c>
      <c r="H124" s="33">
        <v>46396</v>
      </c>
      <c r="I124" s="34">
        <f>VLOOKUP(B124,'25년 12월 출석표'!$B$7:$D$509,3,0)</f>
        <v>11</v>
      </c>
      <c r="J124" s="35" t="e">
        <f t="shared" ca="1" si="0"/>
        <v>#NAME?</v>
      </c>
      <c r="K124" s="36" t="str">
        <f t="shared" si="3"/>
        <v>유효</v>
      </c>
      <c r="L124" s="37" t="str">
        <f t="shared" si="4"/>
        <v/>
      </c>
      <c r="M124" s="30" t="s">
        <v>375</v>
      </c>
      <c r="N124" s="44" t="b">
        <v>1</v>
      </c>
      <c r="O124" s="38" t="b">
        <v>0</v>
      </c>
      <c r="P124" s="38" t="b">
        <v>0</v>
      </c>
      <c r="Q124" s="39">
        <f>VLOOKUP($B124,'25년 12월 출석표'!$B$2:$BQ$497,16,0)/5</f>
        <v>0.6</v>
      </c>
      <c r="R124" s="40"/>
      <c r="S124" s="41">
        <f>VLOOKUP($B124,'25년 12월 출석표'!$B$2:$BQ$497,30,0)/5</f>
        <v>0.6</v>
      </c>
      <c r="T124" s="40"/>
      <c r="U124" s="41">
        <f>VLOOKUP($B124,'25년 12월 출석표'!$B$2:$BQ$497,44,0)/5</f>
        <v>0.2</v>
      </c>
      <c r="V124" s="40"/>
      <c r="W124" s="41">
        <f>VLOOKUP($B124,'25년 12월 출석표'!$B$2:$BQ$497,58,0)/5</f>
        <v>0.4</v>
      </c>
      <c r="X124" s="42"/>
      <c r="Y124" s="41">
        <f>VLOOKUP($B124,'25년 12월 출석표'!$B$2:$BQ$503,66,0)/5</f>
        <v>0.4</v>
      </c>
      <c r="Z124" s="43"/>
    </row>
    <row r="125" spans="1:26">
      <c r="A125" s="29"/>
      <c r="B125" s="30" t="s">
        <v>260</v>
      </c>
      <c r="C125" s="30" t="s">
        <v>4</v>
      </c>
      <c r="D125" s="31" t="s">
        <v>261</v>
      </c>
      <c r="E125" s="32" t="s">
        <v>373</v>
      </c>
      <c r="F125" s="50">
        <v>45971</v>
      </c>
      <c r="G125" s="33">
        <v>45982</v>
      </c>
      <c r="H125" s="33">
        <v>46153</v>
      </c>
      <c r="I125" s="34">
        <f>VLOOKUP(B125,'25년 12월 출석표'!$B$7:$D$509,3,0)</f>
        <v>1</v>
      </c>
      <c r="J125" s="35" t="e">
        <f t="shared" ca="1" si="0"/>
        <v>#NAME?</v>
      </c>
      <c r="K125" s="36" t="str">
        <f t="shared" si="3"/>
        <v>유효</v>
      </c>
      <c r="L125" s="37" t="str">
        <f t="shared" si="4"/>
        <v/>
      </c>
      <c r="M125" s="30" t="s">
        <v>374</v>
      </c>
      <c r="N125" s="38" t="b">
        <v>0</v>
      </c>
      <c r="O125" s="38" t="b">
        <v>0</v>
      </c>
      <c r="P125" s="38" t="b">
        <v>0</v>
      </c>
      <c r="Q125" s="39">
        <f>VLOOKUP($B125,'25년 12월 출석표'!$B$2:$BQ$497,16,0)/5</f>
        <v>0</v>
      </c>
      <c r="R125" s="40"/>
      <c r="S125" s="41">
        <f>VLOOKUP($B125,'25년 12월 출석표'!$B$2:$BQ$497,30,0)/5</f>
        <v>0</v>
      </c>
      <c r="T125" s="40"/>
      <c r="U125" s="41">
        <f>VLOOKUP($B125,'25년 12월 출석표'!$B$2:$BQ$497,44,0)/5</f>
        <v>0</v>
      </c>
      <c r="V125" s="40"/>
      <c r="W125" s="41">
        <f>VLOOKUP($B125,'25년 12월 출석표'!$B$2:$BQ$497,58,0)/5</f>
        <v>0</v>
      </c>
      <c r="X125" s="42"/>
      <c r="Y125" s="41">
        <f>VLOOKUP($B125,'25년 12월 출석표'!$B$2:$BQ$503,66,0)/5</f>
        <v>0.2</v>
      </c>
      <c r="Z125" s="43"/>
    </row>
    <row r="126" spans="1:26">
      <c r="A126" s="29"/>
      <c r="B126" s="30" t="s">
        <v>262</v>
      </c>
      <c r="C126" s="30" t="s">
        <v>3</v>
      </c>
      <c r="D126" s="31" t="s">
        <v>263</v>
      </c>
      <c r="E126" s="32" t="s">
        <v>373</v>
      </c>
      <c r="F126" s="50">
        <v>45971</v>
      </c>
      <c r="G126" s="33">
        <v>45974</v>
      </c>
      <c r="H126" s="33">
        <v>46154</v>
      </c>
      <c r="I126" s="34">
        <f>VLOOKUP(B126,'25년 12월 출석표'!$B$7:$D$509,3,0)</f>
        <v>17</v>
      </c>
      <c r="J126" s="35" t="e">
        <f t="shared" ca="1" si="0"/>
        <v>#NAME?</v>
      </c>
      <c r="K126" s="36" t="str">
        <f t="shared" si="3"/>
        <v>유효</v>
      </c>
      <c r="L126" s="37" t="str">
        <f t="shared" si="4"/>
        <v/>
      </c>
      <c r="M126" s="30" t="s">
        <v>378</v>
      </c>
      <c r="N126" s="44" t="b">
        <v>1</v>
      </c>
      <c r="O126" s="38" t="b">
        <v>0</v>
      </c>
      <c r="P126" s="38" t="b">
        <v>0</v>
      </c>
      <c r="Q126" s="39">
        <f>VLOOKUP($B126,'25년 12월 출석표'!$B$2:$BQ$497,16,0)/5</f>
        <v>0.8</v>
      </c>
      <c r="R126" s="40"/>
      <c r="S126" s="41">
        <f>VLOOKUP($B126,'25년 12월 출석표'!$B$2:$BQ$497,30,0)/5</f>
        <v>0.8</v>
      </c>
      <c r="T126" s="40"/>
      <c r="U126" s="41">
        <f>VLOOKUP($B126,'25년 12월 출석표'!$B$2:$BQ$497,44,0)/5</f>
        <v>1</v>
      </c>
      <c r="V126" s="40"/>
      <c r="W126" s="41">
        <f>VLOOKUP($B126,'25년 12월 출석표'!$B$2:$BQ$497,58,0)/5</f>
        <v>0.2</v>
      </c>
      <c r="X126" s="42"/>
      <c r="Y126" s="41">
        <f>VLOOKUP($B126,'25년 12월 출석표'!$B$2:$BQ$503,66,0)/5</f>
        <v>0.6</v>
      </c>
      <c r="Z126" s="43"/>
    </row>
    <row r="127" spans="1:26">
      <c r="A127" s="29"/>
      <c r="B127" s="30" t="s">
        <v>264</v>
      </c>
      <c r="C127" s="30" t="s">
        <v>4</v>
      </c>
      <c r="D127" s="31" t="s">
        <v>265</v>
      </c>
      <c r="E127" s="32" t="s">
        <v>377</v>
      </c>
      <c r="F127" s="50">
        <v>45978</v>
      </c>
      <c r="G127" s="33">
        <v>45981</v>
      </c>
      <c r="H127" s="33">
        <v>46345</v>
      </c>
      <c r="I127" s="34">
        <f>VLOOKUP(B127,'25년 12월 출석표'!$B$7:$D$509,3,0)</f>
        <v>5</v>
      </c>
      <c r="J127" s="35" t="e">
        <f t="shared" ca="1" si="0"/>
        <v>#NAME?</v>
      </c>
      <c r="K127" s="36" t="str">
        <f t="shared" si="3"/>
        <v>유효</v>
      </c>
      <c r="L127" s="37" t="str">
        <f t="shared" si="4"/>
        <v/>
      </c>
      <c r="M127" s="30" t="s">
        <v>375</v>
      </c>
      <c r="N127" s="44" t="b">
        <v>1</v>
      </c>
      <c r="O127" s="38" t="b">
        <v>0</v>
      </c>
      <c r="P127" s="38" t="b">
        <v>0</v>
      </c>
      <c r="Q127" s="39">
        <f>VLOOKUP($B127,'25년 12월 출석표'!$B$2:$BQ$497,16,0)/5</f>
        <v>0.8</v>
      </c>
      <c r="R127" s="40"/>
      <c r="S127" s="41">
        <f>VLOOKUP($B127,'25년 12월 출석표'!$B$2:$BQ$497,30,0)/5</f>
        <v>0</v>
      </c>
      <c r="T127" s="40"/>
      <c r="U127" s="41">
        <f>VLOOKUP($B127,'25년 12월 출석표'!$B$2:$BQ$497,44,0)/5</f>
        <v>0.2</v>
      </c>
      <c r="V127" s="40"/>
      <c r="W127" s="41">
        <f>VLOOKUP($B127,'25년 12월 출석표'!$B$2:$BQ$497,58,0)/5</f>
        <v>0</v>
      </c>
      <c r="X127" s="42"/>
      <c r="Y127" s="41">
        <f>VLOOKUP($B127,'25년 12월 출석표'!$B$2:$BQ$503,66,0)/5</f>
        <v>0</v>
      </c>
      <c r="Z127" s="43"/>
    </row>
    <row r="128" spans="1:26">
      <c r="A128" s="29"/>
      <c r="B128" s="30" t="s">
        <v>399</v>
      </c>
      <c r="C128" s="30" t="s">
        <v>4</v>
      </c>
      <c r="D128" s="31" t="s">
        <v>400</v>
      </c>
      <c r="E128" s="32" t="s">
        <v>386</v>
      </c>
      <c r="F128" s="50">
        <v>45982</v>
      </c>
      <c r="G128" s="33">
        <v>45983</v>
      </c>
      <c r="H128" s="33">
        <v>46012</v>
      </c>
      <c r="I128" s="34">
        <f>VLOOKUP(B128,'25년 12월 출석표'!$B$7:$D$509,3,0)</f>
        <v>1</v>
      </c>
      <c r="J128" s="35" t="e">
        <f t="shared" ca="1" si="0"/>
        <v>#NAME?</v>
      </c>
      <c r="K128" s="36" t="str">
        <f t="shared" si="3"/>
        <v>유효</v>
      </c>
      <c r="L128" s="37" t="str">
        <f t="shared" si="4"/>
        <v>만료</v>
      </c>
      <c r="M128" s="30" t="s">
        <v>378</v>
      </c>
      <c r="N128" s="44" t="b">
        <v>1</v>
      </c>
      <c r="O128" s="38" t="b">
        <v>0</v>
      </c>
      <c r="P128" s="38" t="b">
        <v>0</v>
      </c>
      <c r="Q128" s="39">
        <f>VLOOKUP($B128,'25년 12월 출석표'!$B$2:$BQ$497,16,0)/5</f>
        <v>0.2</v>
      </c>
      <c r="R128" s="40"/>
      <c r="S128" s="41">
        <f>VLOOKUP($B128,'25년 12월 출석표'!$B$2:$BQ$497,30,0)/5</f>
        <v>0</v>
      </c>
      <c r="T128" s="40"/>
      <c r="U128" s="41">
        <f>VLOOKUP($B128,'25년 12월 출석표'!$B$2:$BQ$497,44,0)/5</f>
        <v>0</v>
      </c>
      <c r="V128" s="40"/>
      <c r="W128" s="41">
        <f>VLOOKUP($B128,'25년 12월 출석표'!$B$2:$BQ$497,58,0)/5</f>
        <v>0</v>
      </c>
      <c r="X128" s="42"/>
      <c r="Y128" s="41">
        <f>VLOOKUP($B128,'25년 12월 출석표'!$B$2:$BQ$503,66,0)/5</f>
        <v>0</v>
      </c>
      <c r="Z128" s="43"/>
    </row>
    <row r="129" spans="1:26">
      <c r="A129" s="29"/>
      <c r="B129" s="30" t="s">
        <v>401</v>
      </c>
      <c r="C129" s="30" t="s">
        <v>4</v>
      </c>
      <c r="D129" s="31" t="s">
        <v>402</v>
      </c>
      <c r="E129" s="32" t="s">
        <v>386</v>
      </c>
      <c r="F129" s="50">
        <v>45982</v>
      </c>
      <c r="G129" s="33">
        <v>45983</v>
      </c>
      <c r="H129" s="33">
        <v>46012</v>
      </c>
      <c r="I129" s="34">
        <f>VLOOKUP(B129,'25년 12월 출석표'!$B$7:$D$509,3,0)</f>
        <v>2</v>
      </c>
      <c r="J129" s="35" t="e">
        <f t="shared" ca="1" si="0"/>
        <v>#NAME?</v>
      </c>
      <c r="K129" s="36" t="str">
        <f t="shared" si="3"/>
        <v>유효</v>
      </c>
      <c r="L129" s="37" t="str">
        <f t="shared" si="4"/>
        <v>만료</v>
      </c>
      <c r="M129" s="30" t="s">
        <v>378</v>
      </c>
      <c r="N129" s="44" t="b">
        <v>1</v>
      </c>
      <c r="O129" s="38" t="b">
        <v>0</v>
      </c>
      <c r="P129" s="38" t="b">
        <v>0</v>
      </c>
      <c r="Q129" s="39">
        <f>VLOOKUP($B129,'25년 12월 출석표'!$B$2:$BQ$497,16,0)/5</f>
        <v>0.2</v>
      </c>
      <c r="R129" s="40"/>
      <c r="S129" s="41">
        <f>VLOOKUP($B129,'25년 12월 출석표'!$B$2:$BQ$497,30,0)/5</f>
        <v>0.2</v>
      </c>
      <c r="T129" s="40"/>
      <c r="U129" s="41">
        <f>VLOOKUP($B129,'25년 12월 출석표'!$B$2:$BQ$497,44,0)/5</f>
        <v>0</v>
      </c>
      <c r="V129" s="40"/>
      <c r="W129" s="41">
        <f>VLOOKUP($B129,'25년 12월 출석표'!$B$2:$BQ$497,58,0)/5</f>
        <v>0</v>
      </c>
      <c r="X129" s="42"/>
      <c r="Y129" s="41">
        <f>VLOOKUP($B129,'25년 12월 출석표'!$B$2:$BQ$503,66,0)/5</f>
        <v>0</v>
      </c>
      <c r="Z129" s="43"/>
    </row>
    <row r="130" spans="1:26">
      <c r="A130" s="29"/>
      <c r="B130" s="30" t="s">
        <v>266</v>
      </c>
      <c r="C130" s="30" t="s">
        <v>4</v>
      </c>
      <c r="D130" s="31" t="s">
        <v>267</v>
      </c>
      <c r="E130" s="32" t="s">
        <v>376</v>
      </c>
      <c r="F130" s="50">
        <v>45983</v>
      </c>
      <c r="G130" s="33">
        <v>45986</v>
      </c>
      <c r="H130" s="33">
        <v>46258</v>
      </c>
      <c r="I130" s="34">
        <f>VLOOKUP(B130,'25년 12월 출석표'!$B$7:$D$509,3,0)</f>
        <v>3</v>
      </c>
      <c r="J130" s="35" t="e">
        <f t="shared" ca="1" si="0"/>
        <v>#NAME?</v>
      </c>
      <c r="K130" s="36" t="str">
        <f t="shared" si="3"/>
        <v>유효</v>
      </c>
      <c r="L130" s="37" t="str">
        <f t="shared" si="4"/>
        <v/>
      </c>
      <c r="M130" s="30" t="s">
        <v>378</v>
      </c>
      <c r="N130" s="44" t="b">
        <v>1</v>
      </c>
      <c r="O130" s="38" t="b">
        <v>0</v>
      </c>
      <c r="P130" s="38" t="b">
        <v>0</v>
      </c>
      <c r="Q130" s="39">
        <f>VLOOKUP($B130,'25년 12월 출석표'!$B$2:$BQ$497,16,0)/5</f>
        <v>0.4</v>
      </c>
      <c r="R130" s="40"/>
      <c r="S130" s="41">
        <f>VLOOKUP($B130,'25년 12월 출석표'!$B$2:$BQ$497,30,0)/5</f>
        <v>0.2</v>
      </c>
      <c r="T130" s="40"/>
      <c r="U130" s="41">
        <f>VLOOKUP($B130,'25년 12월 출석표'!$B$2:$BQ$497,44,0)/5</f>
        <v>0</v>
      </c>
      <c r="V130" s="40"/>
      <c r="W130" s="41">
        <f>VLOOKUP($B130,'25년 12월 출석표'!$B$2:$BQ$497,58,0)/5</f>
        <v>0</v>
      </c>
      <c r="X130" s="42"/>
      <c r="Y130" s="41">
        <f>VLOOKUP($B130,'25년 12월 출석표'!$B$2:$BQ$503,66,0)/5</f>
        <v>0</v>
      </c>
      <c r="Z130" s="43"/>
    </row>
    <row r="131" spans="1:26">
      <c r="A131" s="29"/>
      <c r="B131" s="30" t="s">
        <v>270</v>
      </c>
      <c r="C131" s="30" t="s">
        <v>4</v>
      </c>
      <c r="D131" s="31" t="s">
        <v>271</v>
      </c>
      <c r="E131" s="32" t="s">
        <v>377</v>
      </c>
      <c r="F131" s="50">
        <v>45985</v>
      </c>
      <c r="G131" s="33">
        <v>45986</v>
      </c>
      <c r="H131" s="33">
        <v>46380</v>
      </c>
      <c r="I131" s="34">
        <f>VLOOKUP(B131,'25년 12월 출석표'!$B$7:$D$509,3,0)</f>
        <v>1</v>
      </c>
      <c r="J131" s="35" t="e">
        <f t="shared" ca="1" si="0"/>
        <v>#NAME?</v>
      </c>
      <c r="K131" s="36" t="str">
        <f t="shared" si="3"/>
        <v>유효</v>
      </c>
      <c r="L131" s="37" t="str">
        <f t="shared" si="4"/>
        <v/>
      </c>
      <c r="M131" s="30" t="s">
        <v>374</v>
      </c>
      <c r="N131" s="38" t="b">
        <v>0</v>
      </c>
      <c r="O131" s="38" t="b">
        <v>0</v>
      </c>
      <c r="P131" s="38" t="b">
        <v>0</v>
      </c>
      <c r="Q131" s="39">
        <f>VLOOKUP($B131,'25년 12월 출석표'!$B$2:$BQ$497,16,0)/5</f>
        <v>0.2</v>
      </c>
      <c r="R131" s="40"/>
      <c r="S131" s="41">
        <f>VLOOKUP($B131,'25년 12월 출석표'!$B$2:$BQ$497,30,0)/5</f>
        <v>0</v>
      </c>
      <c r="T131" s="40"/>
      <c r="U131" s="41">
        <f>VLOOKUP($B131,'25년 12월 출석표'!$B$2:$BQ$497,44,0)/5</f>
        <v>0</v>
      </c>
      <c r="V131" s="40"/>
      <c r="W131" s="41">
        <f>VLOOKUP($B131,'25년 12월 출석표'!$B$2:$BQ$497,58,0)/5</f>
        <v>0</v>
      </c>
      <c r="X131" s="42"/>
      <c r="Y131" s="41">
        <f>VLOOKUP($B131,'25년 12월 출석표'!$B$2:$BQ$503,66,0)/5</f>
        <v>0</v>
      </c>
      <c r="Z131" s="43"/>
    </row>
    <row r="132" spans="1:26">
      <c r="A132" s="29"/>
      <c r="B132" s="30" t="s">
        <v>268</v>
      </c>
      <c r="C132" s="30" t="s">
        <v>4</v>
      </c>
      <c r="D132" s="31" t="s">
        <v>269</v>
      </c>
      <c r="E132" s="32" t="s">
        <v>376</v>
      </c>
      <c r="F132" s="50">
        <v>45985</v>
      </c>
      <c r="G132" s="33">
        <v>45986</v>
      </c>
      <c r="H132" s="33">
        <v>46258</v>
      </c>
      <c r="I132" s="34">
        <f>VLOOKUP(B132,'25년 12월 출석표'!$B$7:$D$509,3,0)</f>
        <v>19</v>
      </c>
      <c r="J132" s="35" t="e">
        <f t="shared" ca="1" si="0"/>
        <v>#NAME?</v>
      </c>
      <c r="K132" s="36" t="str">
        <f t="shared" si="3"/>
        <v>유효</v>
      </c>
      <c r="L132" s="37" t="str">
        <f t="shared" si="4"/>
        <v/>
      </c>
      <c r="M132" s="30" t="s">
        <v>378</v>
      </c>
      <c r="N132" s="44" t="b">
        <v>1</v>
      </c>
      <c r="O132" s="38" t="b">
        <v>0</v>
      </c>
      <c r="P132" s="38" t="b">
        <v>0</v>
      </c>
      <c r="Q132" s="39">
        <f>VLOOKUP($B132,'25년 12월 출석표'!$B$2:$BQ$497,16,0)/5</f>
        <v>1</v>
      </c>
      <c r="R132" s="40"/>
      <c r="S132" s="41">
        <f>VLOOKUP($B132,'25년 12월 출석표'!$B$2:$BQ$497,30,0)/5</f>
        <v>0.8</v>
      </c>
      <c r="T132" s="40"/>
      <c r="U132" s="41">
        <f>VLOOKUP($B132,'25년 12월 출석표'!$B$2:$BQ$497,44,0)/5</f>
        <v>1</v>
      </c>
      <c r="V132" s="40"/>
      <c r="W132" s="41">
        <f>VLOOKUP($B132,'25년 12월 출석표'!$B$2:$BQ$497,58,0)/5</f>
        <v>0.4</v>
      </c>
      <c r="X132" s="42"/>
      <c r="Y132" s="41">
        <f>VLOOKUP($B132,'25년 12월 출석표'!$B$2:$BQ$503,66,0)/5</f>
        <v>0.6</v>
      </c>
      <c r="Z132" s="43"/>
    </row>
    <row r="133" spans="1:26">
      <c r="A133" s="29"/>
      <c r="B133" s="30" t="s">
        <v>272</v>
      </c>
      <c r="C133" s="30" t="s">
        <v>4</v>
      </c>
      <c r="D133" s="31" t="s">
        <v>273</v>
      </c>
      <c r="E133" s="32" t="s">
        <v>376</v>
      </c>
      <c r="F133" s="50">
        <v>45986</v>
      </c>
      <c r="G133" s="33">
        <v>45988</v>
      </c>
      <c r="H133" s="33">
        <v>46267</v>
      </c>
      <c r="I133" s="34">
        <f>VLOOKUP(B133,'25년 12월 출석표'!$B$7:$D$509,3,0)</f>
        <v>2</v>
      </c>
      <c r="J133" s="35" t="e">
        <f t="shared" ca="1" si="0"/>
        <v>#NAME?</v>
      </c>
      <c r="K133" s="36" t="str">
        <f t="shared" si="3"/>
        <v>유효</v>
      </c>
      <c r="L133" s="37" t="str">
        <f t="shared" si="4"/>
        <v/>
      </c>
      <c r="M133" s="30" t="s">
        <v>374</v>
      </c>
      <c r="N133" s="38" t="b">
        <v>0</v>
      </c>
      <c r="O133" s="38" t="b">
        <v>0</v>
      </c>
      <c r="P133" s="38" t="b">
        <v>0</v>
      </c>
      <c r="Q133" s="39">
        <f>VLOOKUP($B133,'25년 12월 출석표'!$B$2:$BQ$497,16,0)/5</f>
        <v>0.2</v>
      </c>
      <c r="R133" s="40"/>
      <c r="S133" s="41">
        <f>VLOOKUP($B133,'25년 12월 출석표'!$B$2:$BQ$497,30,0)/5</f>
        <v>0</v>
      </c>
      <c r="T133" s="40"/>
      <c r="U133" s="41">
        <f>VLOOKUP($B133,'25년 12월 출석표'!$B$2:$BQ$497,44,0)/5</f>
        <v>0</v>
      </c>
      <c r="V133" s="40"/>
      <c r="W133" s="41">
        <f>VLOOKUP($B133,'25년 12월 출석표'!$B$2:$BQ$497,58,0)/5</f>
        <v>0</v>
      </c>
      <c r="X133" s="42"/>
      <c r="Y133" s="41">
        <f>VLOOKUP($B133,'25년 12월 출석표'!$B$2:$BQ$503,66,0)/5</f>
        <v>0.2</v>
      </c>
      <c r="Z133" s="43"/>
    </row>
    <row r="134" spans="1:26">
      <c r="A134" s="29"/>
      <c r="B134" s="30" t="s">
        <v>276</v>
      </c>
      <c r="C134" s="30" t="s">
        <v>4</v>
      </c>
      <c r="D134" s="31" t="s">
        <v>277</v>
      </c>
      <c r="E134" s="32" t="s">
        <v>377</v>
      </c>
      <c r="F134" s="50">
        <v>45989</v>
      </c>
      <c r="G134" s="33">
        <v>45992</v>
      </c>
      <c r="H134" s="33">
        <v>46356</v>
      </c>
      <c r="I134" s="34">
        <f>VLOOKUP(B134,'25년 12월 출석표'!$B$7:$D$509,3,0)</f>
        <v>8</v>
      </c>
      <c r="J134" s="35" t="e">
        <f t="shared" ca="1" si="0"/>
        <v>#NAME?</v>
      </c>
      <c r="K134" s="36" t="str">
        <f t="shared" si="3"/>
        <v>유효</v>
      </c>
      <c r="L134" s="37" t="str">
        <f t="shared" si="4"/>
        <v/>
      </c>
      <c r="M134" s="30" t="s">
        <v>374</v>
      </c>
      <c r="N134" s="38" t="b">
        <v>0</v>
      </c>
      <c r="O134" s="38" t="b">
        <v>0</v>
      </c>
      <c r="P134" s="38" t="b">
        <v>0</v>
      </c>
      <c r="Q134" s="39">
        <f>VLOOKUP($B134,'25년 12월 출석표'!$B$2:$BQ$497,16,0)/5</f>
        <v>0.4</v>
      </c>
      <c r="R134" s="40"/>
      <c r="S134" s="41">
        <f>VLOOKUP($B134,'25년 12월 출석표'!$B$2:$BQ$497,30,0)/5</f>
        <v>0.2</v>
      </c>
      <c r="T134" s="40"/>
      <c r="U134" s="41">
        <f>VLOOKUP($B134,'25년 12월 출석표'!$B$2:$BQ$497,44,0)/5</f>
        <v>0.8</v>
      </c>
      <c r="V134" s="40"/>
      <c r="W134" s="41">
        <f>VLOOKUP($B134,'25년 12월 출석표'!$B$2:$BQ$497,58,0)/5</f>
        <v>0.2</v>
      </c>
      <c r="X134" s="42"/>
      <c r="Y134" s="41">
        <f>VLOOKUP($B134,'25년 12월 출석표'!$B$2:$BQ$503,66,0)/5</f>
        <v>0</v>
      </c>
      <c r="Z134" s="43"/>
    </row>
    <row r="135" spans="1:26">
      <c r="A135" s="29"/>
      <c r="B135" s="30" t="s">
        <v>274</v>
      </c>
      <c r="C135" s="30" t="s">
        <v>4</v>
      </c>
      <c r="D135" s="31" t="s">
        <v>275</v>
      </c>
      <c r="E135" s="32" t="s">
        <v>383</v>
      </c>
      <c r="F135" s="50">
        <v>45989</v>
      </c>
      <c r="G135" s="33">
        <v>45992</v>
      </c>
      <c r="H135" s="33">
        <v>46081</v>
      </c>
      <c r="I135" s="34">
        <f>VLOOKUP(B135,'25년 12월 출석표'!$B$7:$D$509,3,0)</f>
        <v>13</v>
      </c>
      <c r="J135" s="35" t="e">
        <f t="shared" ca="1" si="0"/>
        <v>#NAME?</v>
      </c>
      <c r="K135" s="36" t="str">
        <f t="shared" si="3"/>
        <v>유효</v>
      </c>
      <c r="L135" s="37" t="str">
        <f t="shared" si="4"/>
        <v/>
      </c>
      <c r="M135" s="30" t="s">
        <v>378</v>
      </c>
      <c r="N135" s="44" t="b">
        <v>1</v>
      </c>
      <c r="O135" s="38" t="b">
        <v>0</v>
      </c>
      <c r="P135" s="38" t="b">
        <v>0</v>
      </c>
      <c r="Q135" s="39">
        <f>VLOOKUP($B135,'25년 12월 출석표'!$B$2:$BQ$497,16,0)/5</f>
        <v>0.6</v>
      </c>
      <c r="R135" s="40"/>
      <c r="S135" s="41">
        <f>VLOOKUP($B135,'25년 12월 출석표'!$B$2:$BQ$497,30,0)/5</f>
        <v>0.6</v>
      </c>
      <c r="T135" s="40"/>
      <c r="U135" s="41">
        <f>VLOOKUP($B135,'25년 12월 출석표'!$B$2:$BQ$497,44,0)/5</f>
        <v>0.2</v>
      </c>
      <c r="V135" s="40"/>
      <c r="W135" s="41">
        <f>VLOOKUP($B135,'25년 12월 출석표'!$B$2:$BQ$497,58,0)/5</f>
        <v>0.8</v>
      </c>
      <c r="X135" s="42"/>
      <c r="Y135" s="41">
        <f>VLOOKUP($B135,'25년 12월 출석표'!$B$2:$BQ$503,66,0)/5</f>
        <v>0.4</v>
      </c>
      <c r="Z135" s="43"/>
    </row>
    <row r="136" spans="1:26">
      <c r="A136" s="29"/>
      <c r="B136" s="30" t="s">
        <v>278</v>
      </c>
      <c r="C136" s="30" t="s">
        <v>3</v>
      </c>
      <c r="D136" s="31" t="s">
        <v>279</v>
      </c>
      <c r="E136" s="32" t="s">
        <v>386</v>
      </c>
      <c r="F136" s="50">
        <v>45990</v>
      </c>
      <c r="G136" s="33">
        <v>46000</v>
      </c>
      <c r="H136" s="33">
        <v>46030</v>
      </c>
      <c r="I136" s="34">
        <f>VLOOKUP(B136,'25년 12월 출석표'!$B$7:$D$509,3,0)</f>
        <v>14</v>
      </c>
      <c r="J136" s="35" t="e">
        <f t="shared" ca="1" si="0"/>
        <v>#NAME?</v>
      </c>
      <c r="K136" s="36" t="str">
        <f t="shared" si="3"/>
        <v>유효</v>
      </c>
      <c r="L136" s="37" t="str">
        <f t="shared" si="4"/>
        <v/>
      </c>
      <c r="M136" s="30" t="s">
        <v>374</v>
      </c>
      <c r="N136" s="38" t="b">
        <v>0</v>
      </c>
      <c r="O136" s="38" t="b">
        <v>0</v>
      </c>
      <c r="P136" s="38" t="b">
        <v>0</v>
      </c>
      <c r="Q136" s="39">
        <f>VLOOKUP($B136,'25년 12월 출석표'!$B$2:$BQ$497,16,0)/5</f>
        <v>0.2</v>
      </c>
      <c r="R136" s="40"/>
      <c r="S136" s="41">
        <f>VLOOKUP($B136,'25년 12월 출석표'!$B$2:$BQ$497,30,0)/5</f>
        <v>0.8</v>
      </c>
      <c r="T136" s="40"/>
      <c r="U136" s="41">
        <f>VLOOKUP($B136,'25년 12월 출석표'!$B$2:$BQ$497,44,0)/5</f>
        <v>0.8</v>
      </c>
      <c r="V136" s="40"/>
      <c r="W136" s="41">
        <f>VLOOKUP($B136,'25년 12월 출석표'!$B$2:$BQ$497,58,0)/5</f>
        <v>0.6</v>
      </c>
      <c r="X136" s="42"/>
      <c r="Y136" s="41">
        <f>VLOOKUP($B136,'25년 12월 출석표'!$B$2:$BQ$503,66,0)/5</f>
        <v>0.4</v>
      </c>
      <c r="Z136" s="43"/>
    </row>
    <row r="137" spans="1:26">
      <c r="A137" s="29"/>
      <c r="B137" s="30" t="s">
        <v>280</v>
      </c>
      <c r="C137" s="30" t="s">
        <v>3</v>
      </c>
      <c r="D137" s="31" t="s">
        <v>281</v>
      </c>
      <c r="E137" s="32" t="s">
        <v>403</v>
      </c>
      <c r="F137" s="50">
        <v>45994</v>
      </c>
      <c r="G137" s="33">
        <v>45999</v>
      </c>
      <c r="H137" s="33">
        <v>46148</v>
      </c>
      <c r="I137" s="34">
        <f>VLOOKUP(B137,'25년 12월 출석표'!$B$7:$D$509,3,0)</f>
        <v>11</v>
      </c>
      <c r="J137" s="35" t="e">
        <f t="shared" ca="1" si="0"/>
        <v>#NAME?</v>
      </c>
      <c r="K137" s="36" t="str">
        <f t="shared" si="3"/>
        <v>유효</v>
      </c>
      <c r="L137" s="37" t="str">
        <f t="shared" si="4"/>
        <v/>
      </c>
      <c r="M137" s="30" t="s">
        <v>375</v>
      </c>
      <c r="N137" s="44" t="b">
        <v>1</v>
      </c>
      <c r="O137" s="38" t="b">
        <v>0</v>
      </c>
      <c r="P137" s="38" t="b">
        <v>0</v>
      </c>
      <c r="Q137" s="39">
        <f>VLOOKUP($B137,'25년 12월 출석표'!$B$2:$BQ$497,16,0)/5</f>
        <v>0</v>
      </c>
      <c r="R137" s="40"/>
      <c r="S137" s="41">
        <f>VLOOKUP($B137,'25년 12월 출석표'!$B$2:$BQ$497,30,0)/5</f>
        <v>0.8</v>
      </c>
      <c r="T137" s="40"/>
      <c r="U137" s="41">
        <f>VLOOKUP($B137,'25년 12월 출석표'!$B$2:$BQ$497,44,0)/5</f>
        <v>0.6</v>
      </c>
      <c r="V137" s="40"/>
      <c r="W137" s="41">
        <f>VLOOKUP($B137,'25년 12월 출석표'!$B$2:$BQ$497,58,0)/5</f>
        <v>0.4</v>
      </c>
      <c r="X137" s="42"/>
      <c r="Y137" s="41">
        <f>VLOOKUP($B137,'25년 12월 출석표'!$B$2:$BQ$503,66,0)/5</f>
        <v>0.4</v>
      </c>
      <c r="Z137" s="43"/>
    </row>
    <row r="138" spans="1:26">
      <c r="A138" s="29"/>
      <c r="B138" s="168" t="s">
        <v>404</v>
      </c>
      <c r="C138" s="168" t="s">
        <v>4</v>
      </c>
      <c r="D138" s="169" t="s">
        <v>405</v>
      </c>
      <c r="E138" s="170" t="s">
        <v>403</v>
      </c>
      <c r="F138" s="171">
        <v>45995</v>
      </c>
      <c r="G138" s="172">
        <v>45995</v>
      </c>
      <c r="H138" s="172">
        <v>46056</v>
      </c>
      <c r="I138" s="173">
        <f>VLOOKUP(B138,'25년 12월 출석표'!$B$7:$D$509,3,0)</f>
        <v>0</v>
      </c>
      <c r="J138" s="174" t="e">
        <f t="shared" ca="1" si="0"/>
        <v>#NAME?</v>
      </c>
      <c r="K138" s="175" t="str">
        <f t="shared" si="3"/>
        <v>유효</v>
      </c>
      <c r="L138" s="176" t="str">
        <f t="shared" si="4"/>
        <v/>
      </c>
      <c r="M138" s="168"/>
      <c r="N138" s="38" t="b">
        <v>0</v>
      </c>
      <c r="O138" s="38" t="b">
        <v>0</v>
      </c>
      <c r="P138" s="38" t="b">
        <v>0</v>
      </c>
      <c r="Q138" s="39">
        <f>VLOOKUP($B138,'25년 12월 출석표'!$B$2:$BQ$497,16,0)/5</f>
        <v>0</v>
      </c>
      <c r="R138" s="40"/>
      <c r="S138" s="41">
        <f>VLOOKUP($B138,'25년 12월 출석표'!$B$2:$BQ$497,30,0)/5</f>
        <v>0</v>
      </c>
      <c r="T138" s="40"/>
      <c r="U138" s="41">
        <f>VLOOKUP($B138,'25년 12월 출석표'!$B$2:$BQ$497,44,0)/5</f>
        <v>0</v>
      </c>
      <c r="V138" s="40"/>
      <c r="W138" s="41">
        <f>VLOOKUP($B138,'25년 12월 출석표'!$B$2:$BQ$497,58,0)/5</f>
        <v>0</v>
      </c>
      <c r="X138" s="42"/>
      <c r="Y138" s="41">
        <f>VLOOKUP($B138,'25년 12월 출석표'!$B$2:$BQ$503,66,0)/5</f>
        <v>0</v>
      </c>
      <c r="Z138" s="43"/>
    </row>
    <row r="139" spans="1:26">
      <c r="A139" s="29"/>
      <c r="B139" s="168" t="s">
        <v>406</v>
      </c>
      <c r="C139" s="168" t="s">
        <v>4</v>
      </c>
      <c r="D139" s="169" t="s">
        <v>407</v>
      </c>
      <c r="E139" s="170" t="s">
        <v>403</v>
      </c>
      <c r="F139" s="171">
        <v>45995</v>
      </c>
      <c r="G139" s="172">
        <v>45995</v>
      </c>
      <c r="H139" s="172">
        <v>46145</v>
      </c>
      <c r="I139" s="173">
        <f>VLOOKUP(B139,'25년 12월 출석표'!$B$7:$D$509,3,0)</f>
        <v>0</v>
      </c>
      <c r="J139" s="174" t="e">
        <f t="shared" ca="1" si="0"/>
        <v>#NAME?</v>
      </c>
      <c r="K139" s="175" t="str">
        <f t="shared" si="3"/>
        <v>유효</v>
      </c>
      <c r="L139" s="176" t="str">
        <f t="shared" si="4"/>
        <v/>
      </c>
      <c r="M139" s="168"/>
      <c r="N139" s="38" t="b">
        <v>0</v>
      </c>
      <c r="O139" s="38" t="b">
        <v>0</v>
      </c>
      <c r="P139" s="38" t="b">
        <v>0</v>
      </c>
      <c r="Q139" s="39">
        <f>VLOOKUP($B139,'25년 12월 출석표'!$B$2:$BQ$497,16,0)/5</f>
        <v>0</v>
      </c>
      <c r="R139" s="40"/>
      <c r="S139" s="41">
        <f>VLOOKUP($B139,'25년 12월 출석표'!$B$2:$BQ$497,30,0)/5</f>
        <v>0</v>
      </c>
      <c r="T139" s="40"/>
      <c r="U139" s="41">
        <f>VLOOKUP($B139,'25년 12월 출석표'!$B$2:$BQ$497,44,0)/5</f>
        <v>0</v>
      </c>
      <c r="V139" s="40"/>
      <c r="W139" s="41">
        <f>VLOOKUP($B139,'25년 12월 출석표'!$B$2:$BQ$497,58,0)/5</f>
        <v>0</v>
      </c>
      <c r="X139" s="42"/>
      <c r="Y139" s="41">
        <f>VLOOKUP($B139,'25년 12월 출석표'!$B$2:$BQ$503,66,0)/5</f>
        <v>0</v>
      </c>
      <c r="Z139" s="43"/>
    </row>
    <row r="140" spans="1:26">
      <c r="A140" s="29"/>
      <c r="B140" s="168" t="s">
        <v>408</v>
      </c>
      <c r="C140" s="168" t="s">
        <v>3</v>
      </c>
      <c r="D140" s="169" t="s">
        <v>409</v>
      </c>
      <c r="E140" s="170" t="s">
        <v>403</v>
      </c>
      <c r="F140" s="171">
        <v>45995</v>
      </c>
      <c r="G140" s="172">
        <v>45661</v>
      </c>
      <c r="H140" s="172">
        <v>46176</v>
      </c>
      <c r="I140" s="173">
        <f>VLOOKUP(B140,'25년 12월 출석표'!$B$7:$D$509,3,0)</f>
        <v>0</v>
      </c>
      <c r="J140" s="174" t="e">
        <f t="shared" ca="1" si="0"/>
        <v>#NAME?</v>
      </c>
      <c r="K140" s="175" t="str">
        <f t="shared" si="3"/>
        <v>유효</v>
      </c>
      <c r="L140" s="176" t="str">
        <f t="shared" si="4"/>
        <v/>
      </c>
      <c r="M140" s="168"/>
      <c r="N140" s="38" t="b">
        <v>0</v>
      </c>
      <c r="O140" s="38" t="b">
        <v>0</v>
      </c>
      <c r="P140" s="38" t="b">
        <v>0</v>
      </c>
      <c r="Q140" s="39">
        <f>VLOOKUP($B140,'25년 12월 출석표'!$B$2:$BQ$497,16,0)/5</f>
        <v>0</v>
      </c>
      <c r="R140" s="40"/>
      <c r="S140" s="41">
        <f>VLOOKUP($B140,'25년 12월 출석표'!$B$2:$BQ$497,30,0)/5</f>
        <v>0</v>
      </c>
      <c r="T140" s="40"/>
      <c r="U140" s="41">
        <f>VLOOKUP($B140,'25년 12월 출석표'!$B$2:$BQ$497,44,0)/5</f>
        <v>0</v>
      </c>
      <c r="V140" s="40"/>
      <c r="W140" s="41">
        <f>VLOOKUP($B140,'25년 12월 출석표'!$B$2:$BQ$497,58,0)/5</f>
        <v>0</v>
      </c>
      <c r="X140" s="42"/>
      <c r="Y140" s="41">
        <f>VLOOKUP($B140,'25년 12월 출석표'!$B$2:$BQ$503,66,0)/5</f>
        <v>0</v>
      </c>
      <c r="Z140" s="43"/>
    </row>
    <row r="141" spans="1:26">
      <c r="A141" s="29"/>
      <c r="B141" s="30" t="s">
        <v>284</v>
      </c>
      <c r="C141" s="30" t="s">
        <v>4</v>
      </c>
      <c r="D141" s="31" t="s">
        <v>285</v>
      </c>
      <c r="E141" s="32" t="s">
        <v>377</v>
      </c>
      <c r="F141" s="50">
        <v>45999</v>
      </c>
      <c r="G141" s="33">
        <v>45999</v>
      </c>
      <c r="H141" s="33">
        <v>46394</v>
      </c>
      <c r="I141" s="34">
        <f>VLOOKUP(B141,'25년 12월 출석표'!$B$7:$D$509,3,0)</f>
        <v>6</v>
      </c>
      <c r="J141" s="35" t="e">
        <f t="shared" ca="1" si="0"/>
        <v>#NAME?</v>
      </c>
      <c r="K141" s="36" t="str">
        <f t="shared" si="3"/>
        <v>유효</v>
      </c>
      <c r="L141" s="37" t="str">
        <f t="shared" si="4"/>
        <v/>
      </c>
      <c r="M141" s="30" t="s">
        <v>375</v>
      </c>
      <c r="N141" s="44" t="b">
        <v>1</v>
      </c>
      <c r="O141" s="38" t="b">
        <v>0</v>
      </c>
      <c r="P141" s="38" t="b">
        <v>0</v>
      </c>
      <c r="Q141" s="39">
        <f>VLOOKUP($B141,'25년 12월 출석표'!$B$2:$BQ$497,16,0)/5</f>
        <v>0</v>
      </c>
      <c r="R141" s="40"/>
      <c r="S141" s="41">
        <f>VLOOKUP($B141,'25년 12월 출석표'!$B$2:$BQ$497,30,0)/5</f>
        <v>0.2</v>
      </c>
      <c r="T141" s="40"/>
      <c r="U141" s="41">
        <f>VLOOKUP($B141,'25년 12월 출석표'!$B$2:$BQ$497,44,0)/5</f>
        <v>0.8</v>
      </c>
      <c r="V141" s="40"/>
      <c r="W141" s="41">
        <f>VLOOKUP($B141,'25년 12월 출석표'!$B$2:$BQ$497,58,0)/5</f>
        <v>0</v>
      </c>
      <c r="X141" s="42"/>
      <c r="Y141" s="41">
        <f>VLOOKUP($B141,'25년 12월 출석표'!$B$2:$BQ$503,66,0)/5</f>
        <v>0.2</v>
      </c>
      <c r="Z141" s="43"/>
    </row>
    <row r="142" spans="1:26">
      <c r="A142" s="29"/>
      <c r="B142" s="30" t="s">
        <v>282</v>
      </c>
      <c r="C142" s="30" t="s">
        <v>4</v>
      </c>
      <c r="D142" s="31" t="s">
        <v>283</v>
      </c>
      <c r="E142" s="32" t="s">
        <v>383</v>
      </c>
      <c r="F142" s="50">
        <v>45999</v>
      </c>
      <c r="G142" s="33">
        <v>46000</v>
      </c>
      <c r="H142" s="33">
        <v>46089</v>
      </c>
      <c r="I142" s="34">
        <f>VLOOKUP(B142,'25년 12월 출석표'!$B$7:$D$509,3,0)</f>
        <v>12</v>
      </c>
      <c r="J142" s="35" t="e">
        <f t="shared" ca="1" si="0"/>
        <v>#NAME?</v>
      </c>
      <c r="K142" s="36" t="str">
        <f t="shared" si="3"/>
        <v>유효</v>
      </c>
      <c r="L142" s="37" t="str">
        <f t="shared" si="4"/>
        <v/>
      </c>
      <c r="M142" s="30" t="s">
        <v>374</v>
      </c>
      <c r="N142" s="38" t="b">
        <v>0</v>
      </c>
      <c r="O142" s="38" t="b">
        <v>0</v>
      </c>
      <c r="P142" s="38" t="b">
        <v>0</v>
      </c>
      <c r="Q142" s="39">
        <f>VLOOKUP($B142,'25년 12월 출석표'!$B$2:$BQ$497,16,0)/5</f>
        <v>0</v>
      </c>
      <c r="R142" s="40"/>
      <c r="S142" s="41">
        <f>VLOOKUP($B142,'25년 12월 출석표'!$B$2:$BQ$497,30,0)/5</f>
        <v>0.8</v>
      </c>
      <c r="T142" s="40"/>
      <c r="U142" s="41">
        <f>VLOOKUP($B142,'25년 12월 출석표'!$B$2:$BQ$497,44,0)/5</f>
        <v>1</v>
      </c>
      <c r="V142" s="40"/>
      <c r="W142" s="41">
        <f>VLOOKUP($B142,'25년 12월 출석표'!$B$2:$BQ$497,58,0)/5</f>
        <v>0.2</v>
      </c>
      <c r="X142" s="42"/>
      <c r="Y142" s="41">
        <f>VLOOKUP($B142,'25년 12월 출석표'!$B$2:$BQ$503,66,0)/5</f>
        <v>0.4</v>
      </c>
      <c r="Z142" s="43"/>
    </row>
    <row r="143" spans="1:26">
      <c r="A143" s="29"/>
      <c r="B143" s="30" t="s">
        <v>288</v>
      </c>
      <c r="C143" s="30" t="s">
        <v>3</v>
      </c>
      <c r="D143" s="31" t="s">
        <v>289</v>
      </c>
      <c r="E143" s="32" t="s">
        <v>410</v>
      </c>
      <c r="F143" s="50">
        <v>46000</v>
      </c>
      <c r="G143" s="33">
        <v>46001</v>
      </c>
      <c r="H143" s="33">
        <v>46075</v>
      </c>
      <c r="I143" s="34">
        <f>VLOOKUP(B143,'25년 12월 출석표'!$B$7:$D$509,3,0)</f>
        <v>12</v>
      </c>
      <c r="J143" s="35" t="e">
        <f t="shared" ca="1" si="0"/>
        <v>#NAME?</v>
      </c>
      <c r="K143" s="36" t="str">
        <f t="shared" si="3"/>
        <v>유효</v>
      </c>
      <c r="L143" s="37" t="str">
        <f t="shared" si="4"/>
        <v/>
      </c>
      <c r="M143" s="30" t="s">
        <v>374</v>
      </c>
      <c r="N143" s="38" t="b">
        <v>0</v>
      </c>
      <c r="O143" s="38" t="b">
        <v>0</v>
      </c>
      <c r="P143" s="38" t="b">
        <v>0</v>
      </c>
      <c r="Q143" s="39">
        <f>VLOOKUP($B143,'25년 12월 출석표'!$B$2:$BQ$497,16,0)/5</f>
        <v>0</v>
      </c>
      <c r="R143" s="40"/>
      <c r="S143" s="41">
        <f>VLOOKUP($B143,'25년 12월 출석표'!$B$2:$BQ$497,30,0)/5</f>
        <v>0.4</v>
      </c>
      <c r="T143" s="40"/>
      <c r="U143" s="41">
        <f>VLOOKUP($B143,'25년 12월 출석표'!$B$2:$BQ$497,44,0)/5</f>
        <v>0.8</v>
      </c>
      <c r="V143" s="40"/>
      <c r="W143" s="41">
        <f>VLOOKUP($B143,'25년 12월 출석표'!$B$2:$BQ$497,58,0)/5</f>
        <v>0.8</v>
      </c>
      <c r="X143" s="42"/>
      <c r="Y143" s="41">
        <f>VLOOKUP($B143,'25년 12월 출석표'!$B$2:$BQ$503,66,0)/5</f>
        <v>0.4</v>
      </c>
      <c r="Z143" s="43"/>
    </row>
    <row r="144" spans="1:26">
      <c r="A144" s="29"/>
      <c r="B144" s="30" t="s">
        <v>286</v>
      </c>
      <c r="C144" s="30" t="s">
        <v>3</v>
      </c>
      <c r="D144" s="31" t="s">
        <v>287</v>
      </c>
      <c r="E144" s="32" t="s">
        <v>410</v>
      </c>
      <c r="F144" s="50">
        <v>46000</v>
      </c>
      <c r="G144" s="33">
        <v>46000</v>
      </c>
      <c r="H144" s="33">
        <v>46074</v>
      </c>
      <c r="I144" s="34">
        <f>VLOOKUP(B144,'25년 12월 출석표'!$B$7:$D$509,3,0)</f>
        <v>14</v>
      </c>
      <c r="J144" s="35" t="e">
        <f t="shared" ca="1" si="0"/>
        <v>#NAME?</v>
      </c>
      <c r="K144" s="36" t="str">
        <f t="shared" si="3"/>
        <v>유효</v>
      </c>
      <c r="L144" s="37" t="str">
        <f t="shared" si="4"/>
        <v/>
      </c>
      <c r="M144" s="30" t="s">
        <v>374</v>
      </c>
      <c r="N144" s="38" t="b">
        <v>0</v>
      </c>
      <c r="O144" s="38" t="b">
        <v>0</v>
      </c>
      <c r="P144" s="38" t="b">
        <v>0</v>
      </c>
      <c r="Q144" s="39">
        <f>VLOOKUP($B144,'25년 12월 출석표'!$B$2:$BQ$497,16,0)/5</f>
        <v>0</v>
      </c>
      <c r="R144" s="40"/>
      <c r="S144" s="41">
        <f>VLOOKUP($B144,'25년 12월 출석표'!$B$2:$BQ$497,30,0)/5</f>
        <v>0.8</v>
      </c>
      <c r="T144" s="40"/>
      <c r="U144" s="41">
        <f>VLOOKUP($B144,'25년 12월 출석표'!$B$2:$BQ$497,44,0)/5</f>
        <v>0.8</v>
      </c>
      <c r="V144" s="40"/>
      <c r="W144" s="41">
        <f>VLOOKUP($B144,'25년 12월 출석표'!$B$2:$BQ$497,58,0)/5</f>
        <v>0.8</v>
      </c>
      <c r="X144" s="42"/>
      <c r="Y144" s="41">
        <f>VLOOKUP($B144,'25년 12월 출석표'!$B$2:$BQ$503,66,0)/5</f>
        <v>0.4</v>
      </c>
      <c r="Z144" s="43"/>
    </row>
    <row r="145" spans="1:26">
      <c r="A145" s="29"/>
      <c r="B145" s="168" t="s">
        <v>411</v>
      </c>
      <c r="C145" s="168" t="s">
        <v>4</v>
      </c>
      <c r="D145" s="169" t="s">
        <v>412</v>
      </c>
      <c r="E145" s="170" t="s">
        <v>413</v>
      </c>
      <c r="F145" s="171">
        <v>46001</v>
      </c>
      <c r="G145" s="172">
        <v>46002</v>
      </c>
      <c r="H145" s="172">
        <v>46020</v>
      </c>
      <c r="I145" s="173">
        <f>VLOOKUP(B145,'25년 12월 출석표'!$B$7:$D$509,3,0)</f>
        <v>3</v>
      </c>
      <c r="J145" s="174" t="e">
        <f t="shared" ca="1" si="0"/>
        <v>#NAME?</v>
      </c>
      <c r="K145" s="175" t="str">
        <f t="shared" si="3"/>
        <v>유효</v>
      </c>
      <c r="L145" s="176" t="str">
        <f t="shared" si="4"/>
        <v>만료</v>
      </c>
      <c r="M145" s="168" t="s">
        <v>374</v>
      </c>
      <c r="N145" s="38" t="b">
        <v>0</v>
      </c>
      <c r="O145" s="38" t="b">
        <v>0</v>
      </c>
      <c r="P145" s="38" t="b">
        <v>0</v>
      </c>
      <c r="Q145" s="39">
        <f>VLOOKUP($B145,'25년 12월 출석표'!$B$2:$BQ$497,16,0)/5</f>
        <v>0</v>
      </c>
      <c r="R145" s="40"/>
      <c r="S145" s="41">
        <f>VLOOKUP($B145,'25년 12월 출석표'!$B$2:$BQ$497,30,0)/5</f>
        <v>0</v>
      </c>
      <c r="T145" s="40"/>
      <c r="U145" s="41">
        <f>VLOOKUP($B145,'25년 12월 출석표'!$B$2:$BQ$497,44,0)/5</f>
        <v>0.2</v>
      </c>
      <c r="V145" s="40"/>
      <c r="W145" s="41">
        <f>VLOOKUP($B145,'25년 12월 출석표'!$B$2:$BQ$497,58,0)/5</f>
        <v>0.2</v>
      </c>
      <c r="X145" s="42"/>
      <c r="Y145" s="41">
        <f>VLOOKUP($B145,'25년 12월 출석표'!$B$2:$BQ$503,66,0)/5</f>
        <v>0.2</v>
      </c>
      <c r="Z145" s="43"/>
    </row>
    <row r="146" spans="1:26">
      <c r="A146" s="29"/>
      <c r="B146" s="30" t="s">
        <v>290</v>
      </c>
      <c r="C146" s="30" t="s">
        <v>3</v>
      </c>
      <c r="D146" s="31" t="s">
        <v>291</v>
      </c>
      <c r="E146" s="32" t="s">
        <v>373</v>
      </c>
      <c r="F146" s="50">
        <v>46001</v>
      </c>
      <c r="G146" s="33">
        <v>46003</v>
      </c>
      <c r="H146" s="33">
        <v>46184</v>
      </c>
      <c r="I146" s="34">
        <f>VLOOKUP(B146,'25년 12월 출석표'!$B$7:$D$509,3,0)</f>
        <v>5</v>
      </c>
      <c r="J146" s="35" t="e">
        <f t="shared" ca="1" si="0"/>
        <v>#NAME?</v>
      </c>
      <c r="K146" s="36" t="str">
        <f t="shared" si="3"/>
        <v>유효</v>
      </c>
      <c r="L146" s="37" t="str">
        <f t="shared" si="4"/>
        <v/>
      </c>
      <c r="M146" s="30"/>
      <c r="N146" s="38" t="b">
        <v>0</v>
      </c>
      <c r="O146" s="38" t="b">
        <v>0</v>
      </c>
      <c r="P146" s="38" t="b">
        <v>0</v>
      </c>
      <c r="Q146" s="39">
        <f>VLOOKUP($B146,'25년 12월 출석표'!$B$2:$BQ$497,16,0)/5</f>
        <v>0</v>
      </c>
      <c r="R146" s="40"/>
      <c r="S146" s="41">
        <f>VLOOKUP($B146,'25년 12월 출석표'!$B$2:$BQ$497,30,0)/5</f>
        <v>0</v>
      </c>
      <c r="T146" s="40"/>
      <c r="U146" s="41">
        <f>VLOOKUP($B146,'25년 12월 출석표'!$B$2:$BQ$497,44,0)/5</f>
        <v>0.2</v>
      </c>
      <c r="V146" s="40"/>
      <c r="W146" s="41">
        <f>VLOOKUP($B146,'25년 12월 출석표'!$B$2:$BQ$497,58,0)/5</f>
        <v>0.6</v>
      </c>
      <c r="X146" s="42"/>
      <c r="Y146" s="41">
        <f>VLOOKUP($B146,'25년 12월 출석표'!$B$2:$BQ$503,66,0)/5</f>
        <v>0.2</v>
      </c>
      <c r="Z146" s="43"/>
    </row>
    <row r="147" spans="1:26">
      <c r="A147" s="29"/>
      <c r="B147" s="30" t="s">
        <v>292</v>
      </c>
      <c r="C147" s="30" t="s">
        <v>4</v>
      </c>
      <c r="D147" s="31" t="s">
        <v>293</v>
      </c>
      <c r="E147" s="32" t="s">
        <v>383</v>
      </c>
      <c r="F147" s="167">
        <v>46002</v>
      </c>
      <c r="G147" s="33">
        <v>46006</v>
      </c>
      <c r="H147" s="33">
        <v>46095</v>
      </c>
      <c r="I147" s="34">
        <f>VLOOKUP(B147,'25년 12월 출석표'!$B$7:$D$509,3,0)</f>
        <v>6</v>
      </c>
      <c r="J147" s="35" t="e">
        <f t="shared" ca="1" si="0"/>
        <v>#NAME?</v>
      </c>
      <c r="K147" s="36" t="str">
        <f t="shared" si="3"/>
        <v>유효</v>
      </c>
      <c r="L147" s="37" t="str">
        <f t="shared" si="4"/>
        <v/>
      </c>
      <c r="M147" s="30" t="s">
        <v>375</v>
      </c>
      <c r="N147" s="44" t="b">
        <v>1</v>
      </c>
      <c r="O147" s="38" t="b">
        <v>0</v>
      </c>
      <c r="P147" s="38" t="b">
        <v>0</v>
      </c>
      <c r="Q147" s="39">
        <f>VLOOKUP($B147,'25년 12월 출석표'!$B$2:$BQ$497,16,0)/5</f>
        <v>0</v>
      </c>
      <c r="R147" s="40"/>
      <c r="S147" s="41">
        <f>VLOOKUP($B147,'25년 12월 출석표'!$B$2:$BQ$497,30,0)/5</f>
        <v>0</v>
      </c>
      <c r="T147" s="40"/>
      <c r="U147" s="41">
        <f>VLOOKUP($B147,'25년 12월 출석표'!$B$2:$BQ$497,44,0)/5</f>
        <v>0.6</v>
      </c>
      <c r="V147" s="40"/>
      <c r="W147" s="41">
        <f>VLOOKUP($B147,'25년 12월 출석표'!$B$2:$BQ$497,58,0)/5</f>
        <v>0.4</v>
      </c>
      <c r="X147" s="42"/>
      <c r="Y147" s="41">
        <f>VLOOKUP($B147,'25년 12월 출석표'!$B$2:$BQ$503,66,0)/5</f>
        <v>0.2</v>
      </c>
      <c r="Z147" s="43"/>
    </row>
    <row r="148" spans="1:26">
      <c r="A148" s="29"/>
      <c r="B148" s="30" t="s">
        <v>296</v>
      </c>
      <c r="C148" s="30" t="s">
        <v>4</v>
      </c>
      <c r="D148" s="31" t="s">
        <v>297</v>
      </c>
      <c r="E148" s="32" t="s">
        <v>386</v>
      </c>
      <c r="F148" s="167">
        <v>46003</v>
      </c>
      <c r="G148" s="33">
        <v>46029</v>
      </c>
      <c r="H148" s="33">
        <v>46081</v>
      </c>
      <c r="I148" s="34">
        <f>VLOOKUP(B148,'25년 12월 출석표'!$B$7:$D$509,3,0)</f>
        <v>0</v>
      </c>
      <c r="J148" s="35" t="e">
        <f t="shared" ca="1" si="0"/>
        <v>#NAME?</v>
      </c>
      <c r="K148" s="36" t="str">
        <f t="shared" si="3"/>
        <v/>
      </c>
      <c r="L148" s="37" t="str">
        <f t="shared" si="4"/>
        <v/>
      </c>
      <c r="M148" s="30" t="s">
        <v>414</v>
      </c>
      <c r="N148" s="38" t="b">
        <v>0</v>
      </c>
      <c r="O148" s="38" t="b">
        <v>0</v>
      </c>
      <c r="P148" s="38" t="b">
        <v>0</v>
      </c>
      <c r="Q148" s="39">
        <f>VLOOKUP($B148,'25년 12월 출석표'!$B$2:$BQ$497,16,0)/5</f>
        <v>0</v>
      </c>
      <c r="R148" s="40"/>
      <c r="S148" s="41">
        <f>VLOOKUP($B148,'25년 12월 출석표'!$B$2:$BQ$497,30,0)/5</f>
        <v>0</v>
      </c>
      <c r="T148" s="40"/>
      <c r="U148" s="41">
        <f>VLOOKUP($B148,'25년 12월 출석표'!$B$2:$BQ$497,44,0)/5</f>
        <v>0</v>
      </c>
      <c r="V148" s="40"/>
      <c r="W148" s="41">
        <f>VLOOKUP($B148,'25년 12월 출석표'!$B$2:$BQ$497,58,0)/5</f>
        <v>0</v>
      </c>
      <c r="X148" s="42"/>
      <c r="Y148" s="41">
        <f>VLOOKUP($B148,'25년 12월 출석표'!$B$2:$BQ$503,66,0)/5</f>
        <v>0</v>
      </c>
      <c r="Z148" s="43"/>
    </row>
    <row r="149" spans="1:26">
      <c r="A149" s="29"/>
      <c r="B149" s="30" t="s">
        <v>298</v>
      </c>
      <c r="C149" s="30" t="s">
        <v>4</v>
      </c>
      <c r="D149" s="31" t="s">
        <v>299</v>
      </c>
      <c r="E149" s="32" t="s">
        <v>377</v>
      </c>
      <c r="F149" s="167">
        <v>46003</v>
      </c>
      <c r="G149" s="33">
        <v>46006</v>
      </c>
      <c r="H149" s="33">
        <v>46370</v>
      </c>
      <c r="I149" s="34">
        <f>VLOOKUP(B149,'25년 12월 출석표'!$B$7:$D$509,3,0)</f>
        <v>1</v>
      </c>
      <c r="J149" s="35" t="e">
        <f t="shared" ca="1" si="0"/>
        <v>#NAME?</v>
      </c>
      <c r="K149" s="36" t="str">
        <f t="shared" si="3"/>
        <v>유효</v>
      </c>
      <c r="L149" s="37" t="str">
        <f t="shared" si="4"/>
        <v/>
      </c>
      <c r="M149" s="30" t="s">
        <v>374</v>
      </c>
      <c r="N149" s="38" t="b">
        <v>0</v>
      </c>
      <c r="O149" s="38" t="b">
        <v>0</v>
      </c>
      <c r="P149" s="38" t="b">
        <v>0</v>
      </c>
      <c r="Q149" s="39">
        <f>VLOOKUP($B149,'25년 12월 출석표'!$B$2:$BQ$497,16,0)/5</f>
        <v>0</v>
      </c>
      <c r="R149" s="40"/>
      <c r="S149" s="41">
        <f>VLOOKUP($B149,'25년 12월 출석표'!$B$2:$BQ$497,30,0)/5</f>
        <v>0</v>
      </c>
      <c r="T149" s="40"/>
      <c r="U149" s="41">
        <f>VLOOKUP($B149,'25년 12월 출석표'!$B$2:$BQ$497,44,0)/5</f>
        <v>0.2</v>
      </c>
      <c r="V149" s="40"/>
      <c r="W149" s="41">
        <f>VLOOKUP($B149,'25년 12월 출석표'!$B$2:$BQ$497,58,0)/5</f>
        <v>0</v>
      </c>
      <c r="X149" s="42"/>
      <c r="Y149" s="41">
        <f>VLOOKUP($B149,'25년 12월 출석표'!$B$2:$BQ$503,66,0)/5</f>
        <v>0</v>
      </c>
      <c r="Z149" s="43"/>
    </row>
    <row r="150" spans="1:26">
      <c r="A150" s="29"/>
      <c r="B150" s="30" t="s">
        <v>415</v>
      </c>
      <c r="C150" s="30" t="s">
        <v>4</v>
      </c>
      <c r="D150" s="31" t="s">
        <v>416</v>
      </c>
      <c r="E150" s="32" t="s">
        <v>377</v>
      </c>
      <c r="F150" s="167">
        <v>46003</v>
      </c>
      <c r="G150" s="33">
        <v>46006</v>
      </c>
      <c r="H150" s="33">
        <v>46370</v>
      </c>
      <c r="I150" s="34">
        <f>VLOOKUP(B150,'25년 12월 출석표'!$B$7:$D$509,3,0)</f>
        <v>2</v>
      </c>
      <c r="J150" s="35" t="e">
        <f t="shared" ca="1" si="0"/>
        <v>#NAME?</v>
      </c>
      <c r="K150" s="36" t="str">
        <f t="shared" si="3"/>
        <v>유효</v>
      </c>
      <c r="L150" s="37" t="str">
        <f t="shared" si="4"/>
        <v/>
      </c>
      <c r="M150" s="30" t="s">
        <v>375</v>
      </c>
      <c r="N150" s="44" t="b">
        <v>1</v>
      </c>
      <c r="O150" s="38" t="b">
        <v>0</v>
      </c>
      <c r="P150" s="38" t="b">
        <v>0</v>
      </c>
      <c r="Q150" s="39">
        <f>VLOOKUP($B150,'25년 12월 출석표'!$B$2:$BQ$497,16,0)/5</f>
        <v>0</v>
      </c>
      <c r="R150" s="40"/>
      <c r="S150" s="41">
        <f>VLOOKUP($B150,'25년 12월 출석표'!$B$2:$BQ$497,30,0)/5</f>
        <v>0</v>
      </c>
      <c r="T150" s="40"/>
      <c r="U150" s="41">
        <f>VLOOKUP($B150,'25년 12월 출석표'!$B$2:$BQ$497,44,0)/5</f>
        <v>0.4</v>
      </c>
      <c r="V150" s="40"/>
      <c r="W150" s="41">
        <f>VLOOKUP($B150,'25년 12월 출석표'!$B$2:$BQ$497,58,0)/5</f>
        <v>0</v>
      </c>
      <c r="X150" s="42"/>
      <c r="Y150" s="41">
        <f>VLOOKUP($B150,'25년 12월 출석표'!$B$2:$BQ$503,66,0)/5</f>
        <v>0</v>
      </c>
      <c r="Z150" s="43"/>
    </row>
    <row r="151" spans="1:26">
      <c r="A151" s="29"/>
      <c r="B151" s="30" t="s">
        <v>294</v>
      </c>
      <c r="C151" s="30" t="s">
        <v>4</v>
      </c>
      <c r="D151" s="31" t="s">
        <v>295</v>
      </c>
      <c r="E151" s="32" t="s">
        <v>386</v>
      </c>
      <c r="F151" s="167">
        <v>46003</v>
      </c>
      <c r="G151" s="33">
        <v>46006</v>
      </c>
      <c r="H151" s="33">
        <v>46053</v>
      </c>
      <c r="I151" s="34">
        <f>VLOOKUP(B151,'25년 12월 출석표'!$B$7:$D$509,3,0)</f>
        <v>9</v>
      </c>
      <c r="J151" s="35" t="e">
        <f t="shared" ca="1" si="0"/>
        <v>#NAME?</v>
      </c>
      <c r="K151" s="36" t="str">
        <f t="shared" si="3"/>
        <v>유효</v>
      </c>
      <c r="L151" s="37" t="str">
        <f t="shared" si="4"/>
        <v/>
      </c>
      <c r="M151" s="30" t="s">
        <v>414</v>
      </c>
      <c r="N151" s="38" t="b">
        <v>0</v>
      </c>
      <c r="O151" s="38" t="b">
        <v>0</v>
      </c>
      <c r="P151" s="38" t="b">
        <v>0</v>
      </c>
      <c r="Q151" s="39">
        <f>VLOOKUP($B151,'25년 12월 출석표'!$B$2:$BQ$497,16,0)/5</f>
        <v>0</v>
      </c>
      <c r="R151" s="40"/>
      <c r="S151" s="41">
        <f>VLOOKUP($B151,'25년 12월 출석표'!$B$2:$BQ$497,30,0)/5</f>
        <v>0</v>
      </c>
      <c r="T151" s="40"/>
      <c r="U151" s="41">
        <f>VLOOKUP($B151,'25년 12월 출석표'!$B$2:$BQ$497,44,0)/5</f>
        <v>1</v>
      </c>
      <c r="V151" s="40"/>
      <c r="W151" s="41">
        <f>VLOOKUP($B151,'25년 12월 출석표'!$B$2:$BQ$497,58,0)/5</f>
        <v>0.6</v>
      </c>
      <c r="X151" s="42"/>
      <c r="Y151" s="41">
        <f>VLOOKUP($B151,'25년 12월 출석표'!$B$2:$BQ$503,66,0)/5</f>
        <v>0.2</v>
      </c>
      <c r="Z151" s="43"/>
    </row>
    <row r="152" spans="1:26">
      <c r="A152" s="29"/>
      <c r="B152" s="30" t="s">
        <v>300</v>
      </c>
      <c r="C152" s="30" t="s">
        <v>4</v>
      </c>
      <c r="D152" s="31" t="s">
        <v>301</v>
      </c>
      <c r="E152" s="32" t="s">
        <v>377</v>
      </c>
      <c r="F152" s="167">
        <v>46003</v>
      </c>
      <c r="G152" s="167">
        <v>46023</v>
      </c>
      <c r="H152" s="33">
        <v>46387</v>
      </c>
      <c r="I152" s="34">
        <f>VLOOKUP(B152,'25년 12월 출석표'!$B$7:$D$509,3,0)</f>
        <v>9</v>
      </c>
      <c r="J152" s="35" t="e">
        <f t="shared" ca="1" si="0"/>
        <v>#NAME?</v>
      </c>
      <c r="K152" s="36" t="str">
        <f t="shared" si="3"/>
        <v/>
      </c>
      <c r="L152" s="37" t="str">
        <f t="shared" si="4"/>
        <v/>
      </c>
      <c r="M152" s="30" t="s">
        <v>375</v>
      </c>
      <c r="N152" s="44" t="b">
        <v>1</v>
      </c>
      <c r="O152" s="38" t="b">
        <v>0</v>
      </c>
      <c r="P152" s="38" t="b">
        <v>0</v>
      </c>
      <c r="Q152" s="39">
        <f>VLOOKUP($B152,'25년 12월 출석표'!$B$2:$BQ$497,16,0)/5</f>
        <v>0</v>
      </c>
      <c r="R152" s="40"/>
      <c r="S152" s="41">
        <f>VLOOKUP($B152,'25년 12월 출석표'!$B$2:$BQ$497,30,0)/5</f>
        <v>0</v>
      </c>
      <c r="T152" s="40"/>
      <c r="U152" s="41">
        <f>VLOOKUP($B152,'25년 12월 출석표'!$B$2:$BQ$497,44,0)/5</f>
        <v>0.6</v>
      </c>
      <c r="V152" s="40"/>
      <c r="W152" s="41">
        <f>VLOOKUP($B152,'25년 12월 출석표'!$B$2:$BQ$497,58,0)/5</f>
        <v>0.8</v>
      </c>
      <c r="X152" s="42"/>
      <c r="Y152" s="41">
        <f>VLOOKUP($B152,'25년 12월 출석표'!$B$2:$BQ$503,66,0)/5</f>
        <v>0.4</v>
      </c>
      <c r="Z152" s="43"/>
    </row>
    <row r="153" spans="1:26">
      <c r="A153" s="29"/>
      <c r="B153" s="30" t="s">
        <v>302</v>
      </c>
      <c r="C153" s="30" t="s">
        <v>4</v>
      </c>
      <c r="D153" s="31" t="s">
        <v>303</v>
      </c>
      <c r="E153" s="32" t="s">
        <v>377</v>
      </c>
      <c r="F153" s="167">
        <v>46006</v>
      </c>
      <c r="G153" s="33">
        <v>46023</v>
      </c>
      <c r="H153" s="33">
        <v>46387</v>
      </c>
      <c r="I153" s="34">
        <f>VLOOKUP(B153,'25년 12월 출석표'!$B$7:$D$509,3,0)</f>
        <v>7</v>
      </c>
      <c r="J153" s="35" t="e">
        <f t="shared" ca="1" si="0"/>
        <v>#NAME?</v>
      </c>
      <c r="K153" s="36" t="str">
        <f t="shared" si="3"/>
        <v/>
      </c>
      <c r="L153" s="37" t="str">
        <f t="shared" si="4"/>
        <v/>
      </c>
      <c r="M153" s="30" t="s">
        <v>374</v>
      </c>
      <c r="N153" s="38" t="b">
        <v>0</v>
      </c>
      <c r="O153" s="38" t="b">
        <v>0</v>
      </c>
      <c r="P153" s="38" t="b">
        <v>0</v>
      </c>
      <c r="Q153" s="39">
        <f>VLOOKUP($B153,'25년 12월 출석표'!$B$2:$BQ$497,16,0)/5</f>
        <v>0</v>
      </c>
      <c r="R153" s="40"/>
      <c r="S153" s="41">
        <f>VLOOKUP($B153,'25년 12월 출석표'!$B$2:$BQ$497,30,0)/5</f>
        <v>0</v>
      </c>
      <c r="T153" s="40"/>
      <c r="U153" s="41">
        <f>VLOOKUP($B153,'25년 12월 출석표'!$B$2:$BQ$497,44,0)/5</f>
        <v>0.4</v>
      </c>
      <c r="V153" s="40"/>
      <c r="W153" s="41">
        <f>VLOOKUP($B153,'25년 12월 출석표'!$B$2:$BQ$497,58,0)/5</f>
        <v>0.6</v>
      </c>
      <c r="X153" s="42"/>
      <c r="Y153" s="41">
        <f>VLOOKUP($B153,'25년 12월 출석표'!$B$2:$BQ$503,66,0)/5</f>
        <v>0.4</v>
      </c>
      <c r="Z153" s="43"/>
    </row>
    <row r="154" spans="1:26">
      <c r="A154" s="29"/>
      <c r="B154" s="30" t="s">
        <v>304</v>
      </c>
      <c r="C154" s="30" t="s">
        <v>4</v>
      </c>
      <c r="D154" s="31" t="s">
        <v>305</v>
      </c>
      <c r="E154" s="32" t="s">
        <v>376</v>
      </c>
      <c r="F154" s="167">
        <v>46007</v>
      </c>
      <c r="G154" s="33">
        <v>46023</v>
      </c>
      <c r="H154" s="33">
        <v>46281</v>
      </c>
      <c r="I154" s="34">
        <f>VLOOKUP(B154,'25년 12월 출석표'!$B$7:$D$509,3,0)</f>
        <v>5</v>
      </c>
      <c r="J154" s="35" t="e">
        <f t="shared" ca="1" si="0"/>
        <v>#NAME?</v>
      </c>
      <c r="K154" s="36" t="str">
        <f t="shared" si="3"/>
        <v/>
      </c>
      <c r="L154" s="37" t="str">
        <f t="shared" si="4"/>
        <v/>
      </c>
      <c r="M154" s="30" t="s">
        <v>375</v>
      </c>
      <c r="N154" s="44" t="b">
        <v>1</v>
      </c>
      <c r="O154" s="38" t="b">
        <v>0</v>
      </c>
      <c r="P154" s="38" t="b">
        <v>0</v>
      </c>
      <c r="Q154" s="39">
        <f>VLOOKUP($B154,'25년 12월 출석표'!$B$2:$BQ$497,16,0)/5</f>
        <v>0</v>
      </c>
      <c r="R154" s="40"/>
      <c r="S154" s="41">
        <f>VLOOKUP($B154,'25년 12월 출석표'!$B$2:$BQ$497,30,0)/5</f>
        <v>0</v>
      </c>
      <c r="T154" s="40"/>
      <c r="U154" s="41">
        <f>VLOOKUP($B154,'25년 12월 출석표'!$B$2:$BQ$497,44,0)/5</f>
        <v>0.2</v>
      </c>
      <c r="V154" s="40"/>
      <c r="W154" s="41">
        <f>VLOOKUP($B154,'25년 12월 출석표'!$B$2:$BQ$497,58,0)/5</f>
        <v>0.4</v>
      </c>
      <c r="X154" s="42"/>
      <c r="Y154" s="41">
        <f>VLOOKUP($B154,'25년 12월 출석표'!$B$2:$BQ$503,66,0)/5</f>
        <v>0.4</v>
      </c>
      <c r="Z154" s="43"/>
    </row>
    <row r="155" spans="1:26">
      <c r="A155" s="29"/>
      <c r="B155" s="30" t="s">
        <v>306</v>
      </c>
      <c r="C155" s="30" t="s">
        <v>4</v>
      </c>
      <c r="D155" s="31" t="s">
        <v>307</v>
      </c>
      <c r="E155" s="32" t="s">
        <v>377</v>
      </c>
      <c r="F155" s="167">
        <v>46007</v>
      </c>
      <c r="G155" s="33">
        <v>46023</v>
      </c>
      <c r="H155" s="33">
        <v>46387</v>
      </c>
      <c r="I155" s="34">
        <f>VLOOKUP(B155,'25년 12월 출석표'!$B$7:$D$509,3,0)</f>
        <v>6</v>
      </c>
      <c r="J155" s="35" t="e">
        <f t="shared" ca="1" si="0"/>
        <v>#NAME?</v>
      </c>
      <c r="K155" s="36" t="str">
        <f t="shared" si="3"/>
        <v/>
      </c>
      <c r="L155" s="37" t="str">
        <f t="shared" si="4"/>
        <v/>
      </c>
      <c r="M155" s="30" t="s">
        <v>375</v>
      </c>
      <c r="N155" s="44" t="b">
        <v>1</v>
      </c>
      <c r="O155" s="38" t="b">
        <v>0</v>
      </c>
      <c r="P155" s="38" t="b">
        <v>0</v>
      </c>
      <c r="Q155" s="39">
        <f>VLOOKUP($B155,'25년 12월 출석표'!$B$2:$BQ$497,16,0)/5</f>
        <v>0</v>
      </c>
      <c r="R155" s="40"/>
      <c r="S155" s="41">
        <f>VLOOKUP($B155,'25년 12월 출석표'!$B$2:$BQ$497,30,0)/5</f>
        <v>0</v>
      </c>
      <c r="T155" s="40"/>
      <c r="U155" s="41">
        <f>VLOOKUP($B155,'25년 12월 출석표'!$B$2:$BQ$497,44,0)/5</f>
        <v>0.6</v>
      </c>
      <c r="V155" s="40"/>
      <c r="W155" s="41">
        <f>VLOOKUP($B155,'25년 12월 출석표'!$B$2:$BQ$497,58,0)/5</f>
        <v>0.6</v>
      </c>
      <c r="X155" s="42"/>
      <c r="Y155" s="41">
        <f>VLOOKUP($B155,'25년 12월 출석표'!$B$2:$BQ$503,66,0)/5</f>
        <v>0</v>
      </c>
      <c r="Z155" s="43"/>
    </row>
    <row r="156" spans="1:26">
      <c r="A156" s="29"/>
      <c r="B156" s="30" t="s">
        <v>308</v>
      </c>
      <c r="C156" s="30" t="s">
        <v>3</v>
      </c>
      <c r="D156" s="31" t="s">
        <v>309</v>
      </c>
      <c r="E156" s="32" t="s">
        <v>383</v>
      </c>
      <c r="F156" s="50">
        <v>46010</v>
      </c>
      <c r="G156" s="33">
        <v>46013</v>
      </c>
      <c r="H156" s="33">
        <v>46102</v>
      </c>
      <c r="I156" s="34">
        <f>VLOOKUP(B156,'25년 12월 출석표'!$B$7:$D$509,3,0)</f>
        <v>5</v>
      </c>
      <c r="J156" s="35" t="e">
        <f t="shared" ca="1" si="0"/>
        <v>#NAME?</v>
      </c>
      <c r="K156" s="36" t="str">
        <f t="shared" si="3"/>
        <v>유효</v>
      </c>
      <c r="L156" s="37" t="str">
        <f t="shared" si="4"/>
        <v/>
      </c>
      <c r="M156" s="30" t="s">
        <v>374</v>
      </c>
      <c r="N156" s="38" t="b">
        <v>0</v>
      </c>
      <c r="O156" s="38" t="b">
        <v>0</v>
      </c>
      <c r="P156" s="38" t="b">
        <v>0</v>
      </c>
      <c r="Q156" s="39">
        <f>VLOOKUP($B156,'25년 12월 출석표'!$B$2:$BQ$497,16,0)/5</f>
        <v>0</v>
      </c>
      <c r="R156" s="40"/>
      <c r="S156" s="41">
        <f>VLOOKUP($B156,'25년 12월 출석표'!$B$2:$BQ$497,30,0)/5</f>
        <v>0</v>
      </c>
      <c r="T156" s="40"/>
      <c r="U156" s="41">
        <f>VLOOKUP($B156,'25년 12월 출석표'!$B$2:$BQ$497,44,0)/5</f>
        <v>0</v>
      </c>
      <c r="V156" s="40"/>
      <c r="W156" s="41">
        <f>VLOOKUP($B156,'25년 12월 출석표'!$B$2:$BQ$497,58,0)/5</f>
        <v>0.8</v>
      </c>
      <c r="X156" s="42"/>
      <c r="Y156" s="41">
        <f>VLOOKUP($B156,'25년 12월 출석표'!$B$2:$BQ$503,66,0)/5</f>
        <v>0.2</v>
      </c>
      <c r="Z156" s="43"/>
    </row>
    <row r="157" spans="1:26">
      <c r="A157" s="29"/>
      <c r="B157" s="30" t="s">
        <v>310</v>
      </c>
      <c r="C157" s="30" t="s">
        <v>4</v>
      </c>
      <c r="D157" s="31" t="s">
        <v>417</v>
      </c>
      <c r="E157" s="32" t="s">
        <v>386</v>
      </c>
      <c r="F157" s="167">
        <v>46010</v>
      </c>
      <c r="G157" s="167">
        <v>46013</v>
      </c>
      <c r="H157" s="167">
        <v>46043</v>
      </c>
      <c r="I157" s="34">
        <f>VLOOKUP(B157,'25년 12월 출석표'!$B$7:$D$509,3,0)</f>
        <v>6</v>
      </c>
      <c r="J157" s="35" t="e">
        <f t="shared" ca="1" si="0"/>
        <v>#NAME?</v>
      </c>
      <c r="K157" s="36" t="str">
        <f t="shared" si="3"/>
        <v>유효</v>
      </c>
      <c r="L157" s="37" t="str">
        <f t="shared" si="4"/>
        <v/>
      </c>
      <c r="M157" s="30" t="s">
        <v>375</v>
      </c>
      <c r="N157" s="38" t="b">
        <v>0</v>
      </c>
      <c r="O157" s="38" t="b">
        <v>0</v>
      </c>
      <c r="P157" s="38" t="b">
        <v>0</v>
      </c>
      <c r="Q157" s="39">
        <f>VLOOKUP($B157,'25년 12월 출석표'!$B$2:$BQ$497,16,0)/5</f>
        <v>0</v>
      </c>
      <c r="R157" s="40"/>
      <c r="S157" s="41">
        <f>VLOOKUP($B157,'25년 12월 출석표'!$B$2:$BQ$497,30,0)/5</f>
        <v>0</v>
      </c>
      <c r="T157" s="40"/>
      <c r="U157" s="41">
        <f>VLOOKUP($B157,'25년 12월 출석표'!$B$2:$BQ$497,44,0)/5</f>
        <v>0</v>
      </c>
      <c r="V157" s="40"/>
      <c r="W157" s="41">
        <f>VLOOKUP($B157,'25년 12월 출석표'!$B$2:$BQ$497,58,0)/5</f>
        <v>0.6</v>
      </c>
      <c r="X157" s="42"/>
      <c r="Y157" s="41">
        <f>VLOOKUP($B157,'25년 12월 출석표'!$B$2:$BQ$503,66,0)/5</f>
        <v>0.6</v>
      </c>
      <c r="Z157" s="43"/>
    </row>
    <row r="158" spans="1:26">
      <c r="A158" s="29"/>
      <c r="B158" s="30" t="s">
        <v>312</v>
      </c>
      <c r="C158" s="30" t="s">
        <v>4</v>
      </c>
      <c r="D158" s="31" t="s">
        <v>313</v>
      </c>
      <c r="E158" s="32" t="s">
        <v>386</v>
      </c>
      <c r="F158" s="50">
        <v>46011</v>
      </c>
      <c r="G158" s="33">
        <v>46013</v>
      </c>
      <c r="H158" s="33">
        <v>46043</v>
      </c>
      <c r="I158" s="34">
        <f>VLOOKUP(B158,'25년 12월 출석표'!$B$7:$D$509,3,0)</f>
        <v>4</v>
      </c>
      <c r="J158" s="35" t="e">
        <f t="shared" ca="1" si="0"/>
        <v>#NAME?</v>
      </c>
      <c r="K158" s="36" t="str">
        <f t="shared" si="3"/>
        <v>유효</v>
      </c>
      <c r="L158" s="37" t="str">
        <f t="shared" si="4"/>
        <v/>
      </c>
      <c r="M158" s="30" t="s">
        <v>374</v>
      </c>
      <c r="N158" s="38" t="b">
        <v>0</v>
      </c>
      <c r="O158" s="38" t="b">
        <v>0</v>
      </c>
      <c r="P158" s="38" t="b">
        <v>0</v>
      </c>
      <c r="Q158" s="39">
        <f>VLOOKUP($B158,'25년 12월 출석표'!$B$2:$BQ$497,16,0)/5</f>
        <v>0</v>
      </c>
      <c r="R158" s="40"/>
      <c r="S158" s="41">
        <f>VLOOKUP($B158,'25년 12월 출석표'!$B$2:$BQ$497,30,0)/5</f>
        <v>0</v>
      </c>
      <c r="T158" s="40"/>
      <c r="U158" s="41">
        <f>VLOOKUP($B158,'25년 12월 출석표'!$B$2:$BQ$497,44,0)/5</f>
        <v>0</v>
      </c>
      <c r="V158" s="40"/>
      <c r="W158" s="41">
        <f>VLOOKUP($B158,'25년 12월 출석표'!$B$2:$BQ$497,58,0)/5</f>
        <v>0.4</v>
      </c>
      <c r="X158" s="42"/>
      <c r="Y158" s="41">
        <f>VLOOKUP($B158,'25년 12월 출석표'!$B$2:$BQ$503,66,0)/5</f>
        <v>0.4</v>
      </c>
      <c r="Z158" s="43"/>
    </row>
    <row r="159" spans="1:26">
      <c r="A159" s="29"/>
      <c r="B159" s="30" t="s">
        <v>418</v>
      </c>
      <c r="C159" s="30" t="s">
        <v>3</v>
      </c>
      <c r="D159" s="31" t="s">
        <v>315</v>
      </c>
      <c r="E159" s="32" t="s">
        <v>383</v>
      </c>
      <c r="F159" s="50">
        <v>46013</v>
      </c>
      <c r="G159" s="50">
        <v>46015</v>
      </c>
      <c r="H159" s="50">
        <v>46104</v>
      </c>
      <c r="I159" s="34">
        <f>VLOOKUP(B159,'25년 12월 출석표'!$B$7:$D$509,3,0)</f>
        <v>0</v>
      </c>
      <c r="J159" s="35" t="e">
        <f t="shared" ca="1" si="0"/>
        <v>#NAME?</v>
      </c>
      <c r="K159" s="36" t="str">
        <f t="shared" si="3"/>
        <v>유효</v>
      </c>
      <c r="L159" s="37" t="str">
        <f t="shared" si="4"/>
        <v/>
      </c>
      <c r="M159" s="30" t="s">
        <v>375</v>
      </c>
      <c r="N159" s="38" t="b">
        <v>0</v>
      </c>
      <c r="O159" s="38" t="b">
        <v>0</v>
      </c>
      <c r="P159" s="38" t="b">
        <v>0</v>
      </c>
      <c r="Q159" s="39">
        <f>VLOOKUP($B159,'25년 12월 출석표'!$B$2:$BQ$497,16,0)/5</f>
        <v>0</v>
      </c>
      <c r="R159" s="40"/>
      <c r="S159" s="41">
        <f>VLOOKUP($B159,'25년 12월 출석표'!$B$2:$BQ$497,30,0)/5</f>
        <v>0</v>
      </c>
      <c r="T159" s="40"/>
      <c r="U159" s="41">
        <f>VLOOKUP($B159,'25년 12월 출석표'!$B$2:$BQ$497,44,0)/5</f>
        <v>0</v>
      </c>
      <c r="V159" s="40"/>
      <c r="W159" s="41">
        <f>VLOOKUP($B159,'25년 12월 출석표'!$B$2:$BQ$497,58,0)/5</f>
        <v>0</v>
      </c>
      <c r="X159" s="42"/>
      <c r="Y159" s="41">
        <f>VLOOKUP($B159,'25년 12월 출석표'!$B$2:$BQ$503,66,0)/5</f>
        <v>0</v>
      </c>
      <c r="Z159" s="43"/>
    </row>
    <row r="160" spans="1:26">
      <c r="A160" s="29"/>
      <c r="B160" s="30" t="s">
        <v>254</v>
      </c>
      <c r="C160" s="30" t="s">
        <v>4</v>
      </c>
      <c r="D160" s="31" t="s">
        <v>255</v>
      </c>
      <c r="E160" s="32" t="s">
        <v>377</v>
      </c>
      <c r="F160" s="50">
        <v>46013</v>
      </c>
      <c r="G160" s="33">
        <v>45965</v>
      </c>
      <c r="H160" s="33">
        <v>46329</v>
      </c>
      <c r="I160" s="34">
        <f>VLOOKUP(B160,'25년 12월 출석표'!$B$7:$D$509,3,0)</f>
        <v>12</v>
      </c>
      <c r="J160" s="35" t="e">
        <f t="shared" ca="1" si="0"/>
        <v>#NAME?</v>
      </c>
      <c r="K160" s="36" t="str">
        <f t="shared" si="3"/>
        <v>유효</v>
      </c>
      <c r="L160" s="37" t="str">
        <f t="shared" si="4"/>
        <v/>
      </c>
      <c r="M160" s="30" t="s">
        <v>375</v>
      </c>
      <c r="N160" s="38" t="b">
        <v>0</v>
      </c>
      <c r="O160" s="38" t="b">
        <v>0</v>
      </c>
      <c r="P160" s="38" t="b">
        <v>0</v>
      </c>
      <c r="Q160" s="39">
        <f>VLOOKUP($B160,'25년 12월 출석표'!$B$2:$BQ$497,16,0)/5</f>
        <v>0.6</v>
      </c>
      <c r="R160" s="40"/>
      <c r="S160" s="41">
        <f>VLOOKUP($B160,'25년 12월 출석표'!$B$2:$BQ$497,30,0)/5</f>
        <v>0.4</v>
      </c>
      <c r="T160" s="40"/>
      <c r="U160" s="41">
        <f>VLOOKUP($B160,'25년 12월 출석표'!$B$2:$BQ$497,44,0)/5</f>
        <v>0.4</v>
      </c>
      <c r="V160" s="40"/>
      <c r="W160" s="41">
        <f>VLOOKUP($B160,'25년 12월 출석표'!$B$2:$BQ$497,58,0)/5</f>
        <v>0.6</v>
      </c>
      <c r="X160" s="42"/>
      <c r="Y160" s="41">
        <f>VLOOKUP($B160,'25년 12월 출석표'!$B$2:$BQ$503,66,0)/5</f>
        <v>0.4</v>
      </c>
      <c r="Z160" s="43"/>
    </row>
    <row r="161" spans="1:26">
      <c r="A161" s="29"/>
      <c r="B161" s="30" t="s">
        <v>39</v>
      </c>
      <c r="C161" s="30" t="s">
        <v>4</v>
      </c>
      <c r="D161" s="31" t="s">
        <v>40</v>
      </c>
      <c r="E161" s="32" t="s">
        <v>377</v>
      </c>
      <c r="F161" s="50">
        <v>46014</v>
      </c>
      <c r="G161" s="167">
        <v>45838</v>
      </c>
      <c r="H161" s="33">
        <v>46268</v>
      </c>
      <c r="I161" s="34">
        <f>VLOOKUP(B161,'25년 12월 출석표'!$B$7:$D$509,3,0)</f>
        <v>11</v>
      </c>
      <c r="J161" s="35" t="e">
        <f t="shared" ca="1" si="0"/>
        <v>#NAME?</v>
      </c>
      <c r="K161" s="36" t="str">
        <f t="shared" si="3"/>
        <v>유효</v>
      </c>
      <c r="L161" s="37" t="str">
        <f t="shared" si="4"/>
        <v/>
      </c>
      <c r="M161" s="30" t="s">
        <v>374</v>
      </c>
      <c r="N161" s="38" t="b">
        <v>0</v>
      </c>
      <c r="O161" s="38" t="b">
        <v>0</v>
      </c>
      <c r="P161" s="38" t="b">
        <v>0</v>
      </c>
      <c r="Q161" s="39">
        <f>VLOOKUP($B161,'25년 12월 출석표'!$B$2:$BQ$497,16,0)/5</f>
        <v>0.6</v>
      </c>
      <c r="R161" s="40"/>
      <c r="S161" s="41">
        <f>VLOOKUP($B161,'25년 12월 출석표'!$B$2:$BQ$497,30,0)/5</f>
        <v>0.6</v>
      </c>
      <c r="T161" s="40"/>
      <c r="U161" s="41">
        <f>VLOOKUP($B161,'25년 12월 출석표'!$B$2:$BQ$497,44,0)/5</f>
        <v>0.4</v>
      </c>
      <c r="V161" s="40"/>
      <c r="W161" s="41">
        <f>VLOOKUP($B161,'25년 12월 출석표'!$B$2:$BQ$497,58,0)/5</f>
        <v>0.6</v>
      </c>
      <c r="X161" s="42"/>
      <c r="Y161" s="41">
        <f>VLOOKUP($B161,'25년 12월 출석표'!$B$2:$BQ$503,66,0)/5</f>
        <v>0</v>
      </c>
      <c r="Z161" s="43"/>
    </row>
    <row r="162" spans="1:26">
      <c r="A162" s="29"/>
      <c r="B162" s="30" t="s">
        <v>316</v>
      </c>
      <c r="C162" s="30" t="s">
        <v>4</v>
      </c>
      <c r="D162" s="31" t="s">
        <v>317</v>
      </c>
      <c r="E162" s="32" t="s">
        <v>383</v>
      </c>
      <c r="F162" s="50">
        <v>46017</v>
      </c>
      <c r="G162" s="33">
        <v>46027</v>
      </c>
      <c r="H162" s="33">
        <v>46116</v>
      </c>
      <c r="I162" s="34">
        <f>VLOOKUP(B162,'25년 12월 출석표'!$B$7:$D$509,3,0)</f>
        <v>0</v>
      </c>
      <c r="J162" s="35" t="e">
        <f t="shared" ca="1" si="0"/>
        <v>#NAME?</v>
      </c>
      <c r="K162" s="36" t="str">
        <f t="shared" si="3"/>
        <v/>
      </c>
      <c r="L162" s="37" t="str">
        <f t="shared" si="4"/>
        <v/>
      </c>
      <c r="M162" s="30" t="s">
        <v>374</v>
      </c>
      <c r="N162" s="38" t="b">
        <v>0</v>
      </c>
      <c r="O162" s="38" t="b">
        <v>0</v>
      </c>
      <c r="P162" s="38" t="b">
        <v>0</v>
      </c>
      <c r="Q162" s="39">
        <f>VLOOKUP($B162,'25년 12월 출석표'!$B$2:$BQ$497,16,0)/5</f>
        <v>0</v>
      </c>
      <c r="R162" s="40"/>
      <c r="S162" s="41">
        <f>VLOOKUP($B162,'25년 12월 출석표'!$B$2:$BQ$497,30,0)/5</f>
        <v>0</v>
      </c>
      <c r="T162" s="40"/>
      <c r="U162" s="41">
        <f>VLOOKUP($B162,'25년 12월 출석표'!$B$2:$BQ$497,44,0)/5</f>
        <v>0</v>
      </c>
      <c r="V162" s="40"/>
      <c r="W162" s="41">
        <f>VLOOKUP($B162,'25년 12월 출석표'!$B$2:$BQ$497,58,0)/5</f>
        <v>0</v>
      </c>
      <c r="X162" s="42"/>
      <c r="Y162" s="41">
        <f>VLOOKUP($B162,'25년 12월 출석표'!$B$2:$BQ$503,66,0)/5</f>
        <v>0</v>
      </c>
      <c r="Z162" s="43"/>
    </row>
    <row r="163" spans="1:26">
      <c r="A163" s="29"/>
      <c r="B163" s="30" t="s">
        <v>320</v>
      </c>
      <c r="C163" s="30" t="s">
        <v>4</v>
      </c>
      <c r="D163" s="31" t="s">
        <v>321</v>
      </c>
      <c r="E163" s="32" t="s">
        <v>419</v>
      </c>
      <c r="F163" s="50">
        <v>46018</v>
      </c>
      <c r="G163" s="33">
        <v>46018</v>
      </c>
      <c r="H163" s="30" t="s">
        <v>323</v>
      </c>
      <c r="I163" s="34">
        <f>VLOOKUP(B163,'25년 12월 출석표'!$B$7:$D$509,3,0)</f>
        <v>0</v>
      </c>
      <c r="J163" s="35" t="e">
        <f t="shared" ca="1" si="0"/>
        <v>#NAME?</v>
      </c>
      <c r="K163" s="36" t="str">
        <f t="shared" si="3"/>
        <v>유효</v>
      </c>
      <c r="L163" s="37" t="str">
        <f t="shared" si="4"/>
        <v/>
      </c>
      <c r="M163" s="30" t="s">
        <v>375</v>
      </c>
      <c r="N163" s="38" t="b">
        <v>0</v>
      </c>
      <c r="O163" s="38" t="b">
        <v>0</v>
      </c>
      <c r="P163" s="38" t="b">
        <v>0</v>
      </c>
      <c r="Q163" s="39">
        <f>VLOOKUP($B163,'25년 12월 출석표'!$B$2:$BQ$497,16,0)/5</f>
        <v>0</v>
      </c>
      <c r="R163" s="40"/>
      <c r="S163" s="41">
        <f>VLOOKUP($B163,'25년 12월 출석표'!$B$2:$BQ$497,30,0)/5</f>
        <v>0</v>
      </c>
      <c r="T163" s="40"/>
      <c r="U163" s="41">
        <f>VLOOKUP($B163,'25년 12월 출석표'!$B$2:$BQ$497,44,0)/5</f>
        <v>0</v>
      </c>
      <c r="V163" s="40"/>
      <c r="W163" s="41">
        <f>VLOOKUP($B163,'25년 12월 출석표'!$B$2:$BQ$497,58,0)/5</f>
        <v>0</v>
      </c>
      <c r="X163" s="42"/>
      <c r="Y163" s="41">
        <f>VLOOKUP($B163,'25년 12월 출석표'!$B$2:$BQ$503,66,0)/5</f>
        <v>0</v>
      </c>
      <c r="Z163" s="43"/>
    </row>
    <row r="164" spans="1:26">
      <c r="A164" s="29"/>
      <c r="B164" s="30" t="s">
        <v>318</v>
      </c>
      <c r="C164" s="30" t="s">
        <v>4</v>
      </c>
      <c r="D164" s="31" t="s">
        <v>319</v>
      </c>
      <c r="E164" s="32" t="s">
        <v>376</v>
      </c>
      <c r="F164" s="50">
        <v>46018</v>
      </c>
      <c r="G164" s="33">
        <v>46023</v>
      </c>
      <c r="H164" s="33">
        <v>46385</v>
      </c>
      <c r="I164" s="34">
        <f>VLOOKUP(B164,'25년 12월 출석표'!$B$7:$D$509,3,0)</f>
        <v>1</v>
      </c>
      <c r="J164" s="35" t="e">
        <f t="shared" ca="1" si="0"/>
        <v>#NAME?</v>
      </c>
      <c r="K164" s="36" t="str">
        <f t="shared" si="3"/>
        <v/>
      </c>
      <c r="L164" s="37" t="str">
        <f t="shared" si="4"/>
        <v/>
      </c>
      <c r="M164" s="30" t="s">
        <v>375</v>
      </c>
      <c r="N164" s="38" t="b">
        <v>0</v>
      </c>
      <c r="O164" s="38" t="b">
        <v>0</v>
      </c>
      <c r="P164" s="38" t="b">
        <v>0</v>
      </c>
      <c r="Q164" s="39">
        <f>VLOOKUP($B164,'25년 12월 출석표'!$B$2:$BQ$497,16,0)/5</f>
        <v>0</v>
      </c>
      <c r="R164" s="40"/>
      <c r="S164" s="41">
        <f>VLOOKUP($B164,'25년 12월 출석표'!$B$2:$BQ$497,30,0)/5</f>
        <v>0</v>
      </c>
      <c r="T164" s="40"/>
      <c r="U164" s="41">
        <f>VLOOKUP($B164,'25년 12월 출석표'!$B$2:$BQ$497,44,0)/5</f>
        <v>0</v>
      </c>
      <c r="V164" s="40"/>
      <c r="W164" s="41">
        <f>VLOOKUP($B164,'25년 12월 출석표'!$B$2:$BQ$497,58,0)/5</f>
        <v>0</v>
      </c>
      <c r="X164" s="42"/>
      <c r="Y164" s="41">
        <f>VLOOKUP($B164,'25년 12월 출석표'!$B$2:$BQ$503,66,0)/5</f>
        <v>0.2</v>
      </c>
      <c r="Z164" s="43"/>
    </row>
    <row r="165" spans="1:26">
      <c r="A165" s="29"/>
      <c r="B165" s="30" t="s">
        <v>314</v>
      </c>
      <c r="C165" s="30" t="s">
        <v>3</v>
      </c>
      <c r="D165" s="31" t="s">
        <v>315</v>
      </c>
      <c r="E165" s="32" t="s">
        <v>383</v>
      </c>
      <c r="F165" s="50">
        <v>46018</v>
      </c>
      <c r="G165" s="167">
        <v>46027</v>
      </c>
      <c r="H165" s="33">
        <v>46116</v>
      </c>
      <c r="I165" s="34">
        <f>VLOOKUP(B165,'25년 12월 출석표'!$B$7:$D$509,3,0)</f>
        <v>2</v>
      </c>
      <c r="J165" s="35" t="e">
        <f t="shared" ca="1" si="0"/>
        <v>#NAME?</v>
      </c>
      <c r="K165" s="36" t="str">
        <f t="shared" si="3"/>
        <v/>
      </c>
      <c r="L165" s="37" t="str">
        <f t="shared" si="4"/>
        <v/>
      </c>
      <c r="M165" s="30" t="s">
        <v>420</v>
      </c>
      <c r="N165" s="38" t="b">
        <v>0</v>
      </c>
      <c r="O165" s="38" t="b">
        <v>0</v>
      </c>
      <c r="P165" s="38" t="b">
        <v>0</v>
      </c>
      <c r="Q165" s="39">
        <f>VLOOKUP($B165,'25년 12월 출석표'!$B$2:$BQ$497,16,0)/5</f>
        <v>0</v>
      </c>
      <c r="R165" s="40"/>
      <c r="S165" s="41">
        <f>VLOOKUP($B165,'25년 12월 출석표'!$B$2:$BQ$497,30,0)/5</f>
        <v>0</v>
      </c>
      <c r="T165" s="40"/>
      <c r="U165" s="41">
        <f>VLOOKUP($B165,'25년 12월 출석표'!$B$2:$BQ$497,44,0)/5</f>
        <v>0</v>
      </c>
      <c r="V165" s="40"/>
      <c r="W165" s="41">
        <f>VLOOKUP($B165,'25년 12월 출석표'!$B$2:$BQ$497,58,0)/5</f>
        <v>0.2</v>
      </c>
      <c r="X165" s="42"/>
      <c r="Y165" s="41">
        <f>VLOOKUP($B165,'25년 12월 출석표'!$B$2:$BQ$503,66,0)/5</f>
        <v>0.2</v>
      </c>
      <c r="Z165" s="43"/>
    </row>
    <row r="166" spans="1:26">
      <c r="A166" s="29"/>
      <c r="B166" s="30" t="s">
        <v>324</v>
      </c>
      <c r="C166" s="30" t="s">
        <v>4</v>
      </c>
      <c r="D166" s="31" t="s">
        <v>325</v>
      </c>
      <c r="E166" s="32" t="s">
        <v>377</v>
      </c>
      <c r="F166" s="167">
        <v>46020</v>
      </c>
      <c r="G166" s="33">
        <v>46027</v>
      </c>
      <c r="H166" s="33">
        <v>46391</v>
      </c>
      <c r="I166" s="34">
        <f>VLOOKUP(B166,'25년 12월 출석표'!$B$7:$D$509,3,0)</f>
        <v>0</v>
      </c>
      <c r="J166" s="35" t="e">
        <f t="shared" ca="1" si="0"/>
        <v>#NAME?</v>
      </c>
      <c r="K166" s="36" t="str">
        <f t="shared" si="3"/>
        <v/>
      </c>
      <c r="L166" s="37" t="str">
        <f t="shared" si="4"/>
        <v/>
      </c>
      <c r="M166" s="30" t="s">
        <v>374</v>
      </c>
      <c r="N166" s="38" t="b">
        <v>0</v>
      </c>
      <c r="O166" s="38" t="b">
        <v>0</v>
      </c>
      <c r="P166" s="38" t="b">
        <v>0</v>
      </c>
      <c r="Q166" s="39">
        <f>VLOOKUP($B166,'25년 12월 출석표'!$B$2:$BQ$497,16,0)/5</f>
        <v>0</v>
      </c>
      <c r="R166" s="40"/>
      <c r="S166" s="41">
        <f>VLOOKUP($B166,'25년 12월 출석표'!$B$2:$BQ$497,30,0)/5</f>
        <v>0</v>
      </c>
      <c r="T166" s="40"/>
      <c r="U166" s="41">
        <f>VLOOKUP($B166,'25년 12월 출석표'!$B$2:$BQ$497,44,0)/5</f>
        <v>0</v>
      </c>
      <c r="V166" s="40"/>
      <c r="W166" s="41">
        <f>VLOOKUP($B166,'25년 12월 출석표'!$B$2:$BQ$497,58,0)/5</f>
        <v>0</v>
      </c>
      <c r="X166" s="42"/>
      <c r="Y166" s="41">
        <f>VLOOKUP($B166,'25년 12월 출석표'!$B$2:$BQ$503,66,0)/5</f>
        <v>0</v>
      </c>
      <c r="Z166" s="43"/>
    </row>
    <row r="167" spans="1:26">
      <c r="A167" s="29"/>
      <c r="B167" s="30" t="s">
        <v>68</v>
      </c>
      <c r="C167" s="30" t="s">
        <v>3</v>
      </c>
      <c r="D167" s="31" t="s">
        <v>69</v>
      </c>
      <c r="E167" s="32" t="s">
        <v>373</v>
      </c>
      <c r="F167" s="30" t="s">
        <v>421</v>
      </c>
      <c r="G167" s="30" t="s">
        <v>422</v>
      </c>
      <c r="H167" s="30" t="s">
        <v>423</v>
      </c>
      <c r="I167" s="34">
        <f>VLOOKUP(B167,'25년 12월 출석표'!$B$7:$D$509,3,0)</f>
        <v>8</v>
      </c>
      <c r="J167" s="35" t="e">
        <f t="shared" ca="1" si="0"/>
        <v>#NAME?</v>
      </c>
      <c r="K167" s="36" t="str">
        <f t="shared" si="3"/>
        <v/>
      </c>
      <c r="L167" s="37" t="str">
        <f t="shared" si="4"/>
        <v/>
      </c>
      <c r="M167" s="30"/>
      <c r="N167" s="38" t="b">
        <v>0</v>
      </c>
      <c r="O167" s="38" t="b">
        <v>0</v>
      </c>
      <c r="P167" s="38" t="b">
        <v>0</v>
      </c>
      <c r="Q167" s="39">
        <f>VLOOKUP($B167,'25년 12월 출석표'!$B$2:$BQ$497,16,0)/5</f>
        <v>0.4</v>
      </c>
      <c r="R167" s="40"/>
      <c r="S167" s="41">
        <f>VLOOKUP($B167,'25년 12월 출석표'!$B$2:$BQ$497,30,0)/5</f>
        <v>0.2</v>
      </c>
      <c r="T167" s="40"/>
      <c r="U167" s="41">
        <f>VLOOKUP($B167,'25년 12월 출석표'!$B$2:$BQ$497,44,0)/5</f>
        <v>0.4</v>
      </c>
      <c r="V167" s="40"/>
      <c r="W167" s="41">
        <f>VLOOKUP($B167,'25년 12월 출석표'!$B$2:$BQ$497,58,0)/5</f>
        <v>0.2</v>
      </c>
      <c r="X167" s="42"/>
      <c r="Y167" s="41">
        <f>VLOOKUP($B167,'25년 12월 출석표'!$B$2:$BQ$503,66,0)/5</f>
        <v>0.4</v>
      </c>
      <c r="Z167" s="43"/>
    </row>
    <row r="168" spans="1:26">
      <c r="A168" s="29"/>
      <c r="B168" s="30" t="s">
        <v>424</v>
      </c>
      <c r="C168" s="30" t="s">
        <v>4</v>
      </c>
      <c r="D168" s="31" t="s">
        <v>425</v>
      </c>
      <c r="E168" s="32" t="s">
        <v>376</v>
      </c>
      <c r="F168" s="30" t="s">
        <v>426</v>
      </c>
      <c r="G168" s="30" t="s">
        <v>426</v>
      </c>
      <c r="H168" s="30" t="s">
        <v>427</v>
      </c>
      <c r="I168" s="34">
        <f>VLOOKUP(B168,'25년 12월 출석표'!$B$7:$D$509,3,0)</f>
        <v>14</v>
      </c>
      <c r="J168" s="35" t="e">
        <f t="shared" ca="1" si="0"/>
        <v>#NAME?</v>
      </c>
      <c r="K168" s="36" t="str">
        <f t="shared" si="3"/>
        <v/>
      </c>
      <c r="L168" s="37" t="str">
        <f t="shared" si="4"/>
        <v/>
      </c>
      <c r="M168" s="30"/>
      <c r="N168" s="38" t="b">
        <v>0</v>
      </c>
      <c r="O168" s="38" t="b">
        <v>0</v>
      </c>
      <c r="P168" s="38" t="b">
        <v>0</v>
      </c>
      <c r="Q168" s="39">
        <f>VLOOKUP($B168,'25년 12월 출석표'!$B$2:$BQ$497,16,0)/5</f>
        <v>0.6</v>
      </c>
      <c r="R168" s="40"/>
      <c r="S168" s="41">
        <f>VLOOKUP($B168,'25년 12월 출석표'!$B$2:$BQ$497,30,0)/5</f>
        <v>0.4</v>
      </c>
      <c r="T168" s="40"/>
      <c r="U168" s="41">
        <f>VLOOKUP($B168,'25년 12월 출석표'!$B$2:$BQ$497,44,0)/5</f>
        <v>0.4</v>
      </c>
      <c r="V168" s="40"/>
      <c r="W168" s="41">
        <f>VLOOKUP($B168,'25년 12월 출석표'!$B$2:$BQ$497,58,0)/5</f>
        <v>0.8</v>
      </c>
      <c r="X168" s="42"/>
      <c r="Y168" s="41">
        <f>VLOOKUP($B168,'25년 12월 출석표'!$B$2:$BQ$503,66,0)/5</f>
        <v>0.6</v>
      </c>
      <c r="Z168" s="43"/>
    </row>
    <row r="169" spans="1:26">
      <c r="A169" s="29"/>
      <c r="B169" s="30" t="s">
        <v>428</v>
      </c>
      <c r="C169" s="30" t="s">
        <v>3</v>
      </c>
      <c r="D169" s="31" t="s">
        <v>429</v>
      </c>
      <c r="E169" s="32" t="s">
        <v>376</v>
      </c>
      <c r="F169" s="30" t="s">
        <v>426</v>
      </c>
      <c r="G169" s="30" t="s">
        <v>426</v>
      </c>
      <c r="H169" s="30" t="s">
        <v>427</v>
      </c>
      <c r="I169" s="34">
        <f>VLOOKUP(B169,'25년 12월 출석표'!$B$7:$D$509,3,0)</f>
        <v>15</v>
      </c>
      <c r="J169" s="35" t="e">
        <f t="shared" ca="1" si="0"/>
        <v>#NAME?</v>
      </c>
      <c r="K169" s="36" t="str">
        <f t="shared" si="3"/>
        <v/>
      </c>
      <c r="L169" s="37" t="str">
        <f t="shared" si="4"/>
        <v/>
      </c>
      <c r="M169" s="30"/>
      <c r="N169" s="38" t="b">
        <v>0</v>
      </c>
      <c r="O169" s="38" t="b">
        <v>0</v>
      </c>
      <c r="P169" s="38" t="b">
        <v>0</v>
      </c>
      <c r="Q169" s="39">
        <f>VLOOKUP($B169,'25년 12월 출석표'!$B$2:$BQ$497,16,0)/5</f>
        <v>0.4</v>
      </c>
      <c r="R169" s="40"/>
      <c r="S169" s="41">
        <f>VLOOKUP($B169,'25년 12월 출석표'!$B$2:$BQ$497,30,0)/5</f>
        <v>0.6</v>
      </c>
      <c r="T169" s="40"/>
      <c r="U169" s="41">
        <f>VLOOKUP($B169,'25년 12월 출석표'!$B$2:$BQ$497,44,0)/5</f>
        <v>0.6</v>
      </c>
      <c r="V169" s="40"/>
      <c r="W169" s="41">
        <f>VLOOKUP($B169,'25년 12월 출석표'!$B$2:$BQ$497,58,0)/5</f>
        <v>0.8</v>
      </c>
      <c r="X169" s="42"/>
      <c r="Y169" s="41">
        <f>VLOOKUP($B169,'25년 12월 출석표'!$B$2:$BQ$503,66,0)/5</f>
        <v>0.6</v>
      </c>
      <c r="Z169" s="43"/>
    </row>
    <row r="170" spans="1:26">
      <c r="A170" s="29"/>
      <c r="B170" s="30" t="s">
        <v>331</v>
      </c>
      <c r="C170" s="30" t="s">
        <v>4</v>
      </c>
      <c r="D170" s="32" t="s">
        <v>332</v>
      </c>
      <c r="E170" s="32" t="s">
        <v>377</v>
      </c>
      <c r="F170" s="30" t="s">
        <v>430</v>
      </c>
      <c r="G170" s="30" t="s">
        <v>431</v>
      </c>
      <c r="H170" s="30" t="s">
        <v>432</v>
      </c>
      <c r="I170" s="34">
        <f>VLOOKUP(B170,'25년 12월 출석표'!$B$7:$D$509,3,0)</f>
        <v>0</v>
      </c>
      <c r="J170" s="35" t="e">
        <f t="shared" ca="1" si="0"/>
        <v>#NAME?</v>
      </c>
      <c r="K170" s="36" t="str">
        <f t="shared" si="3"/>
        <v/>
      </c>
      <c r="L170" s="37" t="str">
        <f t="shared" si="4"/>
        <v/>
      </c>
      <c r="M170" s="30" t="s">
        <v>375</v>
      </c>
      <c r="N170" s="38" t="b">
        <v>0</v>
      </c>
      <c r="O170" s="38" t="b">
        <v>0</v>
      </c>
      <c r="P170" s="38" t="b">
        <v>0</v>
      </c>
      <c r="Q170" s="39">
        <f>VLOOKUP($B170,'25년 12월 출석표'!$B$2:$BQ$497,16,0)/5</f>
        <v>0</v>
      </c>
      <c r="R170" s="40"/>
      <c r="S170" s="41">
        <f>VLOOKUP($B170,'25년 12월 출석표'!$B$2:$BQ$497,30,0)/5</f>
        <v>0</v>
      </c>
      <c r="T170" s="40"/>
      <c r="U170" s="41">
        <f>VLOOKUP($B170,'25년 12월 출석표'!$B$2:$BQ$497,44,0)/5</f>
        <v>0</v>
      </c>
      <c r="V170" s="40"/>
      <c r="W170" s="41">
        <f>VLOOKUP($B170,'25년 12월 출석표'!$B$2:$BQ$497,58,0)/5</f>
        <v>0</v>
      </c>
      <c r="X170" s="42"/>
      <c r="Y170" s="41">
        <f>VLOOKUP($B170,'25년 12월 출석표'!$B$2:$BQ$503,66,0)/5</f>
        <v>0</v>
      </c>
      <c r="Z170" s="43"/>
    </row>
    <row r="171" spans="1:26">
      <c r="A171" s="29"/>
      <c r="B171" s="30" t="s">
        <v>326</v>
      </c>
      <c r="C171" s="30" t="s">
        <v>4</v>
      </c>
      <c r="D171" s="31" t="s">
        <v>327</v>
      </c>
      <c r="E171" s="32" t="s">
        <v>410</v>
      </c>
      <c r="F171" s="30" t="s">
        <v>430</v>
      </c>
      <c r="G171" s="30" t="s">
        <v>431</v>
      </c>
      <c r="H171" s="30" t="s">
        <v>433</v>
      </c>
      <c r="I171" s="34">
        <f>VLOOKUP(B171,'25년 12월 출석표'!$B$7:$D$509,3,0)</f>
        <v>1</v>
      </c>
      <c r="J171" s="35" t="e">
        <f t="shared" ca="1" si="0"/>
        <v>#NAME?</v>
      </c>
      <c r="K171" s="36" t="str">
        <f t="shared" si="3"/>
        <v/>
      </c>
      <c r="L171" s="37" t="str">
        <f t="shared" si="4"/>
        <v/>
      </c>
      <c r="M171" s="30" t="s">
        <v>375</v>
      </c>
      <c r="N171" s="38" t="b">
        <v>0</v>
      </c>
      <c r="O171" s="38" t="b">
        <v>0</v>
      </c>
      <c r="P171" s="38" t="b">
        <v>0</v>
      </c>
      <c r="Q171" s="39">
        <f>VLOOKUP($B171,'25년 12월 출석표'!$B$2:$BQ$497,16,0)/5</f>
        <v>0</v>
      </c>
      <c r="R171" s="40"/>
      <c r="S171" s="41">
        <f>VLOOKUP($B171,'25년 12월 출석표'!$B$2:$BQ$497,30,0)/5</f>
        <v>0</v>
      </c>
      <c r="T171" s="40"/>
      <c r="U171" s="41">
        <f>VLOOKUP($B171,'25년 12월 출석표'!$B$2:$BQ$497,44,0)/5</f>
        <v>0</v>
      </c>
      <c r="V171" s="40"/>
      <c r="W171" s="41">
        <f>VLOOKUP($B171,'25년 12월 출석표'!$B$2:$BQ$497,58,0)/5</f>
        <v>0</v>
      </c>
      <c r="X171" s="42"/>
      <c r="Y171" s="41">
        <f>VLOOKUP($B171,'25년 12월 출석표'!$B$2:$BQ$503,66,0)/5</f>
        <v>0.2</v>
      </c>
      <c r="Z171" s="43"/>
    </row>
    <row r="172" spans="1:26">
      <c r="A172" s="29"/>
      <c r="B172" s="30" t="s">
        <v>212</v>
      </c>
      <c r="C172" s="30" t="s">
        <v>4</v>
      </c>
      <c r="D172" s="31" t="s">
        <v>330</v>
      </c>
      <c r="E172" s="32" t="s">
        <v>376</v>
      </c>
      <c r="F172" s="30" t="s">
        <v>430</v>
      </c>
      <c r="G172" s="30" t="s">
        <v>434</v>
      </c>
      <c r="H172" s="30" t="s">
        <v>435</v>
      </c>
      <c r="I172" s="34">
        <f>VLOOKUP(B172,'25년 12월 출석표'!$B$7:$D$509,3,0)</f>
        <v>4</v>
      </c>
      <c r="J172" s="35" t="e">
        <f t="shared" ca="1" si="0"/>
        <v>#NAME?</v>
      </c>
      <c r="K172" s="36" t="str">
        <f t="shared" si="3"/>
        <v/>
      </c>
      <c r="L172" s="37" t="str">
        <f t="shared" si="4"/>
        <v/>
      </c>
      <c r="M172" s="30" t="s">
        <v>374</v>
      </c>
      <c r="N172" s="38" t="b">
        <v>0</v>
      </c>
      <c r="O172" s="38" t="b">
        <v>0</v>
      </c>
      <c r="P172" s="38" t="b">
        <v>0</v>
      </c>
      <c r="Q172" s="39">
        <f>VLOOKUP($B172,'25년 12월 출석표'!$B$2:$BQ$497,16,0)/5</f>
        <v>0</v>
      </c>
      <c r="R172" s="40"/>
      <c r="S172" s="41">
        <f>VLOOKUP($B172,'25년 12월 출석표'!$B$2:$BQ$497,30,0)/5</f>
        <v>0.6</v>
      </c>
      <c r="T172" s="40"/>
      <c r="U172" s="41">
        <f>VLOOKUP($B172,'25년 12월 출석표'!$B$2:$BQ$497,44,0)/5</f>
        <v>0</v>
      </c>
      <c r="V172" s="40"/>
      <c r="W172" s="41">
        <f>VLOOKUP($B172,'25년 12월 출석표'!$B$2:$BQ$497,58,0)/5</f>
        <v>0</v>
      </c>
      <c r="X172" s="42"/>
      <c r="Y172" s="41">
        <f>VLOOKUP($B172,'25년 12월 출석표'!$B$2:$BQ$503,66,0)/5</f>
        <v>0.2</v>
      </c>
      <c r="Z172" s="43"/>
    </row>
    <row r="173" spans="1:26">
      <c r="A173" s="29"/>
      <c r="B173" s="30" t="s">
        <v>333</v>
      </c>
      <c r="C173" s="30" t="s">
        <v>4</v>
      </c>
      <c r="D173" s="31" t="s">
        <v>334</v>
      </c>
      <c r="E173" s="32" t="s">
        <v>410</v>
      </c>
      <c r="F173" s="30" t="s">
        <v>434</v>
      </c>
      <c r="G173" s="30" t="s">
        <v>431</v>
      </c>
      <c r="H173" s="30" t="s">
        <v>436</v>
      </c>
      <c r="I173" s="34">
        <f>VLOOKUP(B173,'25년 12월 출석표'!$B$7:$D$509,3,0)</f>
        <v>0</v>
      </c>
      <c r="J173" s="35" t="e">
        <f t="shared" ca="1" si="0"/>
        <v>#NAME?</v>
      </c>
      <c r="K173" s="36" t="str">
        <f t="shared" si="3"/>
        <v/>
      </c>
      <c r="L173" s="37" t="str">
        <f t="shared" si="4"/>
        <v/>
      </c>
      <c r="M173" s="30" t="s">
        <v>374</v>
      </c>
      <c r="N173" s="38" t="b">
        <v>0</v>
      </c>
      <c r="O173" s="38" t="b">
        <v>0</v>
      </c>
      <c r="P173" s="38" t="b">
        <v>0</v>
      </c>
      <c r="Q173" s="39">
        <f>VLOOKUP($B173,'25년 12월 출석표'!$B$2:$BQ$497,16,0)/5</f>
        <v>0</v>
      </c>
      <c r="R173" s="40"/>
      <c r="S173" s="41">
        <f>VLOOKUP($B173,'25년 12월 출석표'!$B$2:$BQ$497,30,0)/5</f>
        <v>0</v>
      </c>
      <c r="T173" s="40"/>
      <c r="U173" s="41">
        <f>VLOOKUP($B173,'25년 12월 출석표'!$B$2:$BQ$497,44,0)/5</f>
        <v>0</v>
      </c>
      <c r="V173" s="40"/>
      <c r="W173" s="41">
        <f>VLOOKUP($B173,'25년 12월 출석표'!$B$2:$BQ$497,58,0)/5</f>
        <v>0</v>
      </c>
      <c r="X173" s="42"/>
      <c r="Y173" s="41">
        <f>VLOOKUP($B173,'25년 12월 출석표'!$B$2:$BQ$503,66,0)/5</f>
        <v>0</v>
      </c>
      <c r="Z173" s="43"/>
    </row>
    <row r="174" spans="1:26">
      <c r="A174" s="29"/>
      <c r="B174" s="30" t="s">
        <v>335</v>
      </c>
      <c r="C174" s="30" t="s">
        <v>4</v>
      </c>
      <c r="D174" s="31" t="s">
        <v>336</v>
      </c>
      <c r="E174" s="32" t="s">
        <v>377</v>
      </c>
      <c r="F174" s="30" t="s">
        <v>434</v>
      </c>
      <c r="G174" s="30" t="s">
        <v>437</v>
      </c>
      <c r="H174" s="30" t="s">
        <v>438</v>
      </c>
      <c r="I174" s="34">
        <f>VLOOKUP(B174,'25년 12월 출석표'!$B$7:$D$509,3,0)</f>
        <v>0</v>
      </c>
      <c r="J174" s="35" t="e">
        <f t="shared" ca="1" si="0"/>
        <v>#NAME?</v>
      </c>
      <c r="K174" s="36" t="str">
        <f t="shared" si="3"/>
        <v/>
      </c>
      <c r="L174" s="37" t="str">
        <f t="shared" si="4"/>
        <v/>
      </c>
      <c r="M174" s="30" t="s">
        <v>375</v>
      </c>
      <c r="N174" s="38" t="b">
        <v>0</v>
      </c>
      <c r="O174" s="38" t="b">
        <v>0</v>
      </c>
      <c r="P174" s="38" t="b">
        <v>0</v>
      </c>
      <c r="Q174" s="39">
        <f>VLOOKUP($B174,'25년 12월 출석표'!$B$2:$BQ$497,16,0)/5</f>
        <v>0</v>
      </c>
      <c r="R174" s="40"/>
      <c r="S174" s="41">
        <f>VLOOKUP($B174,'25년 12월 출석표'!$B$2:$BQ$497,30,0)/5</f>
        <v>0</v>
      </c>
      <c r="T174" s="40"/>
      <c r="U174" s="41">
        <f>VLOOKUP($B174,'25년 12월 출석표'!$B$2:$BQ$497,44,0)/5</f>
        <v>0</v>
      </c>
      <c r="V174" s="40"/>
      <c r="W174" s="41">
        <f>VLOOKUP($B174,'25년 12월 출석표'!$B$2:$BQ$497,58,0)/5</f>
        <v>0</v>
      </c>
      <c r="X174" s="42"/>
      <c r="Y174" s="41">
        <f>VLOOKUP($B174,'25년 12월 출석표'!$B$2:$BQ$503,66,0)/5</f>
        <v>0</v>
      </c>
      <c r="Z174" s="43"/>
    </row>
    <row r="175" spans="1:26">
      <c r="A175" s="29"/>
      <c r="B175" s="30" t="s">
        <v>337</v>
      </c>
      <c r="C175" s="30" t="s">
        <v>3</v>
      </c>
      <c r="D175" s="31" t="s">
        <v>338</v>
      </c>
      <c r="E175" s="32" t="s">
        <v>377</v>
      </c>
      <c r="F175" s="30" t="s">
        <v>439</v>
      </c>
      <c r="G175" s="30" t="s">
        <v>440</v>
      </c>
      <c r="H175" s="30" t="s">
        <v>441</v>
      </c>
      <c r="I175" s="34">
        <f>VLOOKUP(B175,'25년 12월 출석표'!$B$7:$D$509,3,0)</f>
        <v>0</v>
      </c>
      <c r="J175" s="35" t="e">
        <f t="shared" ca="1" si="0"/>
        <v>#NAME?</v>
      </c>
      <c r="K175" s="36" t="str">
        <f t="shared" si="3"/>
        <v/>
      </c>
      <c r="L175" s="37" t="str">
        <f t="shared" si="4"/>
        <v/>
      </c>
      <c r="M175" s="30" t="s">
        <v>375</v>
      </c>
      <c r="N175" s="38" t="b">
        <v>0</v>
      </c>
      <c r="O175" s="38" t="b">
        <v>0</v>
      </c>
      <c r="P175" s="38" t="b">
        <v>0</v>
      </c>
      <c r="Q175" s="39">
        <f>VLOOKUP($B175,'25년 12월 출석표'!$B$2:$BQ$497,16,0)/5</f>
        <v>0</v>
      </c>
      <c r="R175" s="40"/>
      <c r="S175" s="41">
        <f>VLOOKUP($B175,'25년 12월 출석표'!$B$2:$BQ$497,30,0)/5</f>
        <v>0</v>
      </c>
      <c r="T175" s="40"/>
      <c r="U175" s="41">
        <f>VLOOKUP($B175,'25년 12월 출석표'!$B$2:$BQ$497,44,0)/5</f>
        <v>0</v>
      </c>
      <c r="V175" s="40"/>
      <c r="W175" s="41">
        <f>VLOOKUP($B175,'25년 12월 출석표'!$B$2:$BQ$497,58,0)/5</f>
        <v>0</v>
      </c>
      <c r="X175" s="42"/>
      <c r="Y175" s="41">
        <f>VLOOKUP($B175,'25년 12월 출석표'!$B$2:$BQ$503,66,0)/5</f>
        <v>0</v>
      </c>
      <c r="Z175" s="43"/>
    </row>
    <row r="176" spans="1:26">
      <c r="A176" s="29"/>
      <c r="B176" s="30" t="s">
        <v>339</v>
      </c>
      <c r="C176" s="30" t="s">
        <v>4</v>
      </c>
      <c r="D176" s="31" t="s">
        <v>340</v>
      </c>
      <c r="E176" s="32" t="s">
        <v>442</v>
      </c>
      <c r="F176" s="30" t="s">
        <v>443</v>
      </c>
      <c r="G176" s="30" t="s">
        <v>444</v>
      </c>
      <c r="H176" s="30" t="s">
        <v>323</v>
      </c>
      <c r="I176" s="34">
        <f>VLOOKUP(B176,'25년 12월 출석표'!$B$7:$D$509,3,0)</f>
        <v>0</v>
      </c>
      <c r="J176" s="35" t="e">
        <f t="shared" ca="1" si="0"/>
        <v>#NAME?</v>
      </c>
      <c r="K176" s="36" t="str">
        <f t="shared" si="3"/>
        <v/>
      </c>
      <c r="L176" s="37" t="str">
        <f t="shared" si="4"/>
        <v/>
      </c>
      <c r="M176" s="30" t="s">
        <v>375</v>
      </c>
      <c r="N176" s="38" t="b">
        <v>0</v>
      </c>
      <c r="O176" s="38" t="b">
        <v>0</v>
      </c>
      <c r="P176" s="38" t="b">
        <v>0</v>
      </c>
      <c r="Q176" s="39">
        <f>VLOOKUP($B176,'25년 12월 출석표'!$B$2:$BQ$497,16,0)/5</f>
        <v>0</v>
      </c>
      <c r="R176" s="40"/>
      <c r="S176" s="41">
        <f>VLOOKUP($B176,'25년 12월 출석표'!$B$2:$BQ$497,30,0)/5</f>
        <v>0</v>
      </c>
      <c r="T176" s="40"/>
      <c r="U176" s="41">
        <f>VLOOKUP($B176,'25년 12월 출석표'!$B$2:$BQ$497,44,0)/5</f>
        <v>0</v>
      </c>
      <c r="V176" s="40"/>
      <c r="W176" s="41">
        <f>VLOOKUP($B176,'25년 12월 출석표'!$B$2:$BQ$497,58,0)/5</f>
        <v>0</v>
      </c>
      <c r="X176" s="42"/>
      <c r="Y176" s="41">
        <f>VLOOKUP($B176,'25년 12월 출석표'!$B$2:$BQ$503,66,0)/5</f>
        <v>0</v>
      </c>
      <c r="Z176" s="43"/>
    </row>
    <row r="177" spans="1:26">
      <c r="A177" s="29"/>
      <c r="B177" s="164"/>
      <c r="C177" s="164"/>
      <c r="D177" s="177"/>
      <c r="E177" s="178"/>
      <c r="F177" s="179"/>
      <c r="G177" s="180"/>
      <c r="H177" s="180"/>
      <c r="I177" s="34" t="e">
        <f>VLOOKUP(B177,'25년 12월 출석표'!$B$7:$D$509,3,0)</f>
        <v>#N/A</v>
      </c>
      <c r="J177" s="35" t="e">
        <f t="shared" ca="1" si="0"/>
        <v>#NAME?</v>
      </c>
      <c r="K177" s="36" t="str">
        <f t="shared" si="3"/>
        <v/>
      </c>
      <c r="L177" s="37" t="str">
        <f t="shared" si="4"/>
        <v/>
      </c>
      <c r="M177" s="30"/>
      <c r="N177" s="38" t="b">
        <v>0</v>
      </c>
      <c r="O177" s="38" t="b">
        <v>0</v>
      </c>
      <c r="P177" s="38" t="b">
        <v>0</v>
      </c>
      <c r="Q177" s="39" t="e">
        <f>VLOOKUP($B177,'25년 12월 출석표'!$B$2:$BQ$497,16,0)/5</f>
        <v>#N/A</v>
      </c>
      <c r="R177" s="40"/>
      <c r="S177" s="41" t="e">
        <f>VLOOKUP($B177,'25년 12월 출석표'!$B$2:$BQ$497,30,0)/5</f>
        <v>#N/A</v>
      </c>
      <c r="T177" s="40"/>
      <c r="U177" s="41" t="e">
        <f>VLOOKUP($B177,'25년 12월 출석표'!$B$2:$BQ$497,44,0)/5</f>
        <v>#N/A</v>
      </c>
      <c r="V177" s="40"/>
      <c r="W177" s="41" t="e">
        <f>VLOOKUP($B177,'25년 12월 출석표'!$B$2:$BQ$497,58,0)/5</f>
        <v>#N/A</v>
      </c>
      <c r="X177" s="42"/>
      <c r="Y177" s="41" t="e">
        <f>VLOOKUP($B177,'25년 12월 출석표'!$B$2:$BQ$503,66,0)/5</f>
        <v>#N/A</v>
      </c>
      <c r="Z177" s="43"/>
    </row>
    <row r="178" spans="1:26">
      <c r="A178" s="29"/>
      <c r="B178" s="164"/>
      <c r="C178" s="164"/>
      <c r="D178" s="177"/>
      <c r="E178" s="178"/>
      <c r="F178" s="179"/>
      <c r="G178" s="180"/>
      <c r="H178" s="180"/>
      <c r="I178" s="34" t="e">
        <f>VLOOKUP(B178,'25년 12월 출석표'!$B$7:$D$509,3,0)</f>
        <v>#N/A</v>
      </c>
      <c r="J178" s="35" t="e">
        <f t="shared" ca="1" si="0"/>
        <v>#NAME?</v>
      </c>
      <c r="K178" s="36" t="str">
        <f t="shared" si="3"/>
        <v/>
      </c>
      <c r="L178" s="37" t="str">
        <f t="shared" si="4"/>
        <v/>
      </c>
      <c r="M178" s="30"/>
      <c r="N178" s="38" t="b">
        <v>0</v>
      </c>
      <c r="O178" s="38" t="b">
        <v>0</v>
      </c>
      <c r="P178" s="38" t="b">
        <v>0</v>
      </c>
      <c r="Q178" s="39" t="e">
        <f>VLOOKUP($B178,'25년 12월 출석표'!$B$2:$BQ$497,16,0)/5</f>
        <v>#N/A</v>
      </c>
      <c r="R178" s="40"/>
      <c r="S178" s="41" t="e">
        <f>VLOOKUP($B178,'25년 12월 출석표'!$B$2:$BQ$497,30,0)/5</f>
        <v>#N/A</v>
      </c>
      <c r="T178" s="40"/>
      <c r="U178" s="41" t="e">
        <f>VLOOKUP($B178,'25년 12월 출석표'!$B$2:$BQ$497,44,0)/5</f>
        <v>#N/A</v>
      </c>
      <c r="V178" s="40"/>
      <c r="W178" s="41" t="e">
        <f>VLOOKUP($B178,'25년 12월 출석표'!$B$2:$BQ$497,58,0)/5</f>
        <v>#N/A</v>
      </c>
      <c r="X178" s="42"/>
      <c r="Y178" s="41" t="e">
        <f>VLOOKUP($B178,'25년 12월 출석표'!$B$2:$BQ$503,66,0)/5</f>
        <v>#N/A</v>
      </c>
      <c r="Z178" s="43"/>
    </row>
    <row r="179" spans="1:26">
      <c r="A179" s="29"/>
      <c r="B179" s="164"/>
      <c r="C179" s="164"/>
      <c r="D179" s="177"/>
      <c r="E179" s="178"/>
      <c r="F179" s="179"/>
      <c r="G179" s="180"/>
      <c r="H179" s="180"/>
      <c r="I179" s="34" t="e">
        <f>VLOOKUP(B179,'25년 12월 출석표'!$B$7:$D$509,3,0)</f>
        <v>#N/A</v>
      </c>
      <c r="J179" s="35" t="e">
        <f t="shared" ca="1" si="0"/>
        <v>#NAME?</v>
      </c>
      <c r="K179" s="36" t="str">
        <f t="shared" si="3"/>
        <v/>
      </c>
      <c r="L179" s="37" t="str">
        <f t="shared" si="4"/>
        <v/>
      </c>
      <c r="M179" s="30"/>
      <c r="N179" s="38" t="b">
        <v>0</v>
      </c>
      <c r="O179" s="38" t="b">
        <v>0</v>
      </c>
      <c r="P179" s="38" t="b">
        <v>0</v>
      </c>
      <c r="Q179" s="39" t="e">
        <f>VLOOKUP($B179,'25년 12월 출석표'!$B$2:$BQ$497,16,0)/5</f>
        <v>#N/A</v>
      </c>
      <c r="R179" s="40"/>
      <c r="S179" s="41" t="e">
        <f>VLOOKUP($B179,'25년 12월 출석표'!$B$2:$BQ$497,30,0)/5</f>
        <v>#N/A</v>
      </c>
      <c r="T179" s="40"/>
      <c r="U179" s="41" t="e">
        <f>VLOOKUP($B179,'25년 12월 출석표'!$B$2:$BQ$497,44,0)/5</f>
        <v>#N/A</v>
      </c>
      <c r="V179" s="40"/>
      <c r="W179" s="41" t="e">
        <f>VLOOKUP($B179,'25년 12월 출석표'!$B$2:$BQ$497,58,0)/5</f>
        <v>#N/A</v>
      </c>
      <c r="X179" s="42"/>
      <c r="Y179" s="41" t="e">
        <f>VLOOKUP($B179,'25년 12월 출석표'!$B$2:$BQ$503,66,0)/5</f>
        <v>#N/A</v>
      </c>
      <c r="Z179" s="43"/>
    </row>
    <row r="180" spans="1:26">
      <c r="A180" s="29"/>
      <c r="B180" s="164"/>
      <c r="C180" s="164"/>
      <c r="D180" s="177"/>
      <c r="E180" s="178"/>
      <c r="F180" s="179"/>
      <c r="G180" s="180"/>
      <c r="H180" s="180"/>
      <c r="I180" s="34" t="e">
        <f>VLOOKUP(B180,'25년 12월 출석표'!$B$7:$D$509,3,0)</f>
        <v>#N/A</v>
      </c>
      <c r="J180" s="35" t="e">
        <f t="shared" ca="1" si="0"/>
        <v>#NAME?</v>
      </c>
      <c r="K180" s="36" t="str">
        <f t="shared" si="3"/>
        <v/>
      </c>
      <c r="L180" s="37" t="str">
        <f t="shared" si="4"/>
        <v/>
      </c>
      <c r="M180" s="30"/>
      <c r="N180" s="38" t="b">
        <v>0</v>
      </c>
      <c r="O180" s="38" t="b">
        <v>0</v>
      </c>
      <c r="P180" s="38" t="b">
        <v>0</v>
      </c>
      <c r="Q180" s="39" t="e">
        <f>VLOOKUP($B180,'25년 12월 출석표'!$B$2:$BQ$497,16,0)/5</f>
        <v>#N/A</v>
      </c>
      <c r="R180" s="40"/>
      <c r="S180" s="41" t="e">
        <f>VLOOKUP($B180,'25년 12월 출석표'!$B$2:$BQ$497,30,0)/5</f>
        <v>#N/A</v>
      </c>
      <c r="T180" s="40"/>
      <c r="U180" s="41" t="e">
        <f>VLOOKUP($B180,'25년 12월 출석표'!$B$2:$BQ$497,44,0)/5</f>
        <v>#N/A</v>
      </c>
      <c r="V180" s="40"/>
      <c r="W180" s="41" t="e">
        <f>VLOOKUP($B180,'25년 12월 출석표'!$B$2:$BQ$497,58,0)/5</f>
        <v>#N/A</v>
      </c>
      <c r="X180" s="42"/>
      <c r="Y180" s="41" t="e">
        <f>VLOOKUP($B180,'25년 12월 출석표'!$B$2:$BQ$503,66,0)/5</f>
        <v>#N/A</v>
      </c>
      <c r="Z180" s="43"/>
    </row>
    <row r="181" spans="1:26">
      <c r="A181" s="29"/>
      <c r="B181" s="164"/>
      <c r="C181" s="164"/>
      <c r="D181" s="177"/>
      <c r="E181" s="178"/>
      <c r="F181" s="179"/>
      <c r="G181" s="180"/>
      <c r="H181" s="180"/>
      <c r="I181" s="34" t="e">
        <f>VLOOKUP(B181,'25년 12월 출석표'!$B$7:$D$509,3,0)</f>
        <v>#N/A</v>
      </c>
      <c r="J181" s="35" t="e">
        <f t="shared" ca="1" si="0"/>
        <v>#NAME?</v>
      </c>
      <c r="K181" s="36" t="str">
        <f t="shared" si="3"/>
        <v/>
      </c>
      <c r="L181" s="37" t="str">
        <f t="shared" si="4"/>
        <v/>
      </c>
      <c r="M181" s="30"/>
      <c r="N181" s="38" t="b">
        <v>0</v>
      </c>
      <c r="O181" s="38" t="b">
        <v>0</v>
      </c>
      <c r="P181" s="38" t="b">
        <v>0</v>
      </c>
      <c r="Q181" s="39" t="e">
        <f>VLOOKUP($B181,'25년 12월 출석표'!$B$2:$BQ$497,16,0)/5</f>
        <v>#N/A</v>
      </c>
      <c r="R181" s="40"/>
      <c r="S181" s="41" t="e">
        <f>VLOOKUP($B181,'25년 12월 출석표'!$B$2:$BQ$497,30,0)/5</f>
        <v>#N/A</v>
      </c>
      <c r="T181" s="40"/>
      <c r="U181" s="41" t="e">
        <f>VLOOKUP($B181,'25년 12월 출석표'!$B$2:$BQ$497,44,0)/5</f>
        <v>#N/A</v>
      </c>
      <c r="V181" s="40"/>
      <c r="W181" s="41" t="e">
        <f>VLOOKUP($B181,'25년 12월 출석표'!$B$2:$BQ$497,58,0)/5</f>
        <v>#N/A</v>
      </c>
      <c r="X181" s="42"/>
      <c r="Y181" s="41" t="e">
        <f>VLOOKUP($B181,'25년 12월 출석표'!$B$2:$BQ$503,66,0)/5</f>
        <v>#N/A</v>
      </c>
      <c r="Z181" s="43"/>
    </row>
    <row r="182" spans="1:26">
      <c r="A182" s="29"/>
      <c r="B182" s="164"/>
      <c r="C182" s="164"/>
      <c r="D182" s="177"/>
      <c r="E182" s="178"/>
      <c r="F182" s="179"/>
      <c r="G182" s="180"/>
      <c r="H182" s="180"/>
      <c r="I182" s="34" t="e">
        <f>VLOOKUP(B182,'25년 12월 출석표'!$B$7:$D$509,3,0)</f>
        <v>#N/A</v>
      </c>
      <c r="J182" s="35" t="e">
        <f t="shared" ca="1" si="0"/>
        <v>#NAME?</v>
      </c>
      <c r="K182" s="36" t="str">
        <f t="shared" si="3"/>
        <v/>
      </c>
      <c r="L182" s="37" t="str">
        <f t="shared" si="4"/>
        <v/>
      </c>
      <c r="M182" s="30"/>
      <c r="N182" s="38" t="b">
        <v>0</v>
      </c>
      <c r="O182" s="38" t="b">
        <v>0</v>
      </c>
      <c r="P182" s="38" t="b">
        <v>0</v>
      </c>
      <c r="Q182" s="39" t="e">
        <f>VLOOKUP($B182,'25년 12월 출석표'!$B$2:$BQ$497,16,0)/5</f>
        <v>#N/A</v>
      </c>
      <c r="R182" s="40"/>
      <c r="S182" s="41" t="e">
        <f>VLOOKUP($B182,'25년 12월 출석표'!$B$2:$BQ$497,30,0)/5</f>
        <v>#N/A</v>
      </c>
      <c r="T182" s="40"/>
      <c r="U182" s="41" t="e">
        <f>VLOOKUP($B182,'25년 12월 출석표'!$B$2:$BQ$497,44,0)/5</f>
        <v>#N/A</v>
      </c>
      <c r="V182" s="40"/>
      <c r="W182" s="41" t="e">
        <f>VLOOKUP($B182,'25년 12월 출석표'!$B$2:$BQ$497,58,0)/5</f>
        <v>#N/A</v>
      </c>
      <c r="X182" s="42"/>
      <c r="Y182" s="41" t="e">
        <f>VLOOKUP($B182,'25년 12월 출석표'!$B$2:$BQ$503,66,0)/5</f>
        <v>#N/A</v>
      </c>
      <c r="Z182" s="43"/>
    </row>
    <row r="183" spans="1:26">
      <c r="A183" s="29"/>
      <c r="B183" s="164"/>
      <c r="C183" s="164"/>
      <c r="D183" s="177"/>
      <c r="E183" s="178"/>
      <c r="F183" s="179"/>
      <c r="G183" s="180"/>
      <c r="H183" s="180"/>
      <c r="I183" s="34" t="e">
        <f>VLOOKUP(B183,'25년 12월 출석표'!$B$7:$D$509,3,0)</f>
        <v>#N/A</v>
      </c>
      <c r="J183" s="35" t="e">
        <f t="shared" ca="1" si="0"/>
        <v>#NAME?</v>
      </c>
      <c r="K183" s="36" t="str">
        <f t="shared" si="3"/>
        <v/>
      </c>
      <c r="L183" s="37" t="str">
        <f t="shared" si="4"/>
        <v/>
      </c>
      <c r="M183" s="30"/>
      <c r="N183" s="38" t="b">
        <v>0</v>
      </c>
      <c r="O183" s="38" t="b">
        <v>0</v>
      </c>
      <c r="P183" s="38" t="b">
        <v>0</v>
      </c>
      <c r="Q183" s="39" t="e">
        <f>VLOOKUP($B183,'25년 12월 출석표'!$B$2:$BQ$497,16,0)/5</f>
        <v>#N/A</v>
      </c>
      <c r="R183" s="40"/>
      <c r="S183" s="41" t="e">
        <f>VLOOKUP($B183,'25년 12월 출석표'!$B$2:$BQ$497,30,0)/5</f>
        <v>#N/A</v>
      </c>
      <c r="T183" s="40"/>
      <c r="U183" s="41" t="e">
        <f>VLOOKUP($B183,'25년 12월 출석표'!$B$2:$BQ$497,44,0)/5</f>
        <v>#N/A</v>
      </c>
      <c r="V183" s="40"/>
      <c r="W183" s="41" t="e">
        <f>VLOOKUP($B183,'25년 12월 출석표'!$B$2:$BQ$497,58,0)/5</f>
        <v>#N/A</v>
      </c>
      <c r="X183" s="42"/>
      <c r="Y183" s="41" t="e">
        <f>VLOOKUP($B183,'25년 12월 출석표'!$B$2:$BQ$503,66,0)/5</f>
        <v>#N/A</v>
      </c>
      <c r="Z183" s="43"/>
    </row>
    <row r="184" spans="1:26">
      <c r="A184" s="29"/>
      <c r="B184" s="164"/>
      <c r="C184" s="164"/>
      <c r="D184" s="177"/>
      <c r="E184" s="178"/>
      <c r="F184" s="179"/>
      <c r="G184" s="180"/>
      <c r="H184" s="180"/>
      <c r="I184" s="34" t="e">
        <f>VLOOKUP(B184,'25년 12월 출석표'!$B$7:$D$509,3,0)</f>
        <v>#N/A</v>
      </c>
      <c r="J184" s="35" t="e">
        <f t="shared" ca="1" si="0"/>
        <v>#NAME?</v>
      </c>
      <c r="K184" s="36" t="str">
        <f t="shared" si="3"/>
        <v/>
      </c>
      <c r="L184" s="37" t="str">
        <f t="shared" si="4"/>
        <v/>
      </c>
      <c r="M184" s="30"/>
      <c r="N184" s="38" t="b">
        <v>0</v>
      </c>
      <c r="O184" s="38" t="b">
        <v>0</v>
      </c>
      <c r="P184" s="38" t="b">
        <v>0</v>
      </c>
      <c r="Q184" s="39" t="e">
        <f>VLOOKUP($B184,'25년 12월 출석표'!$B$2:$BQ$497,16,0)/5</f>
        <v>#N/A</v>
      </c>
      <c r="R184" s="40"/>
      <c r="S184" s="41" t="e">
        <f>VLOOKUP($B184,'25년 12월 출석표'!$B$2:$BQ$497,30,0)/5</f>
        <v>#N/A</v>
      </c>
      <c r="T184" s="40"/>
      <c r="U184" s="41" t="e">
        <f>VLOOKUP($B184,'25년 12월 출석표'!$B$2:$BQ$497,44,0)/5</f>
        <v>#N/A</v>
      </c>
      <c r="V184" s="40"/>
      <c r="W184" s="41" t="e">
        <f>VLOOKUP($B184,'25년 12월 출석표'!$B$2:$BQ$497,58,0)/5</f>
        <v>#N/A</v>
      </c>
      <c r="X184" s="42"/>
      <c r="Y184" s="41" t="e">
        <f>VLOOKUP($B184,'25년 12월 출석표'!$B$2:$BQ$503,66,0)/5</f>
        <v>#N/A</v>
      </c>
      <c r="Z184" s="43"/>
    </row>
    <row r="185" spans="1:26">
      <c r="A185" s="29"/>
      <c r="B185" s="164"/>
      <c r="C185" s="164"/>
      <c r="D185" s="177"/>
      <c r="E185" s="178"/>
      <c r="F185" s="179"/>
      <c r="G185" s="180"/>
      <c r="H185" s="180"/>
      <c r="I185" s="34" t="e">
        <f>VLOOKUP(B185,'25년 12월 출석표'!$B$7:$D$509,3,0)</f>
        <v>#N/A</v>
      </c>
      <c r="J185" s="35" t="e">
        <f t="shared" ca="1" si="0"/>
        <v>#NAME?</v>
      </c>
      <c r="K185" s="36" t="str">
        <f t="shared" si="3"/>
        <v/>
      </c>
      <c r="L185" s="37" t="str">
        <f t="shared" si="4"/>
        <v/>
      </c>
      <c r="M185" s="30"/>
      <c r="N185" s="38" t="b">
        <v>0</v>
      </c>
      <c r="O185" s="38" t="b">
        <v>0</v>
      </c>
      <c r="P185" s="38" t="b">
        <v>0</v>
      </c>
      <c r="Q185" s="39" t="e">
        <f>VLOOKUP($B185,'25년 12월 출석표'!$B$2:$BQ$497,16,0)/5</f>
        <v>#N/A</v>
      </c>
      <c r="R185" s="40"/>
      <c r="S185" s="41" t="e">
        <f>VLOOKUP($B185,'25년 12월 출석표'!$B$2:$BQ$497,30,0)/5</f>
        <v>#N/A</v>
      </c>
      <c r="T185" s="40"/>
      <c r="U185" s="41" t="e">
        <f>VLOOKUP($B185,'25년 12월 출석표'!$B$2:$BQ$497,44,0)/5</f>
        <v>#N/A</v>
      </c>
      <c r="V185" s="40"/>
      <c r="W185" s="41" t="e">
        <f>VLOOKUP($B185,'25년 12월 출석표'!$B$2:$BQ$497,58,0)/5</f>
        <v>#N/A</v>
      </c>
      <c r="X185" s="42"/>
      <c r="Y185" s="41" t="e">
        <f>VLOOKUP($B185,'25년 12월 출석표'!$B$2:$BQ$503,66,0)/5</f>
        <v>#N/A</v>
      </c>
      <c r="Z185" s="43"/>
    </row>
    <row r="186" spans="1:26">
      <c r="A186" s="29"/>
      <c r="B186" s="164"/>
      <c r="C186" s="164"/>
      <c r="D186" s="177"/>
      <c r="E186" s="178"/>
      <c r="F186" s="179"/>
      <c r="G186" s="180"/>
      <c r="H186" s="180"/>
      <c r="I186" s="34" t="e">
        <f>VLOOKUP(B186,'25년 12월 출석표'!$B$7:$D$509,3,0)</f>
        <v>#N/A</v>
      </c>
      <c r="J186" s="35" t="e">
        <f t="shared" ca="1" si="0"/>
        <v>#NAME?</v>
      </c>
      <c r="K186" s="36" t="str">
        <f t="shared" si="3"/>
        <v/>
      </c>
      <c r="L186" s="37" t="str">
        <f t="shared" si="4"/>
        <v/>
      </c>
      <c r="M186" s="30"/>
      <c r="N186" s="38" t="b">
        <v>0</v>
      </c>
      <c r="O186" s="38" t="b">
        <v>0</v>
      </c>
      <c r="P186" s="38" t="b">
        <v>0</v>
      </c>
      <c r="Q186" s="39" t="e">
        <f>VLOOKUP($B186,'25년 12월 출석표'!$B$2:$BQ$497,16,0)/5</f>
        <v>#N/A</v>
      </c>
      <c r="R186" s="40"/>
      <c r="S186" s="41" t="e">
        <f>VLOOKUP($B186,'25년 12월 출석표'!$B$2:$BQ$497,30,0)/5</f>
        <v>#N/A</v>
      </c>
      <c r="T186" s="40"/>
      <c r="U186" s="41" t="e">
        <f>VLOOKUP($B186,'25년 12월 출석표'!$B$2:$BQ$497,44,0)/5</f>
        <v>#N/A</v>
      </c>
      <c r="V186" s="40"/>
      <c r="W186" s="41" t="e">
        <f>VLOOKUP($B186,'25년 12월 출석표'!$B$2:$BQ$497,58,0)/5</f>
        <v>#N/A</v>
      </c>
      <c r="X186" s="42"/>
      <c r="Y186" s="41" t="e">
        <f>VLOOKUP($B186,'25년 12월 출석표'!$B$2:$BQ$503,66,0)/5</f>
        <v>#N/A</v>
      </c>
      <c r="Z186" s="43"/>
    </row>
    <row r="187" spans="1:26">
      <c r="A187" s="29"/>
      <c r="B187" s="164"/>
      <c r="C187" s="164"/>
      <c r="D187" s="177"/>
      <c r="E187" s="178"/>
      <c r="F187" s="179"/>
      <c r="G187" s="180"/>
      <c r="H187" s="180"/>
      <c r="I187" s="34" t="e">
        <f>VLOOKUP(B187,'25년 12월 출석표'!$B$7:$D$509,3,0)</f>
        <v>#N/A</v>
      </c>
      <c r="J187" s="35" t="e">
        <f t="shared" ca="1" si="0"/>
        <v>#NAME?</v>
      </c>
      <c r="K187" s="36" t="str">
        <f t="shared" si="3"/>
        <v/>
      </c>
      <c r="L187" s="37" t="str">
        <f t="shared" si="4"/>
        <v/>
      </c>
      <c r="M187" s="30"/>
      <c r="N187" s="38" t="b">
        <v>0</v>
      </c>
      <c r="O187" s="38" t="b">
        <v>0</v>
      </c>
      <c r="P187" s="38" t="b">
        <v>0</v>
      </c>
      <c r="Q187" s="39" t="e">
        <f>VLOOKUP($B187,'25년 12월 출석표'!$B$2:$BQ$497,16,0)/5</f>
        <v>#N/A</v>
      </c>
      <c r="R187" s="40"/>
      <c r="S187" s="41" t="e">
        <f>VLOOKUP($B187,'25년 12월 출석표'!$B$2:$BQ$497,30,0)/5</f>
        <v>#N/A</v>
      </c>
      <c r="T187" s="40"/>
      <c r="U187" s="41" t="e">
        <f>VLOOKUP($B187,'25년 12월 출석표'!$B$2:$BQ$497,44,0)/5</f>
        <v>#N/A</v>
      </c>
      <c r="V187" s="40"/>
      <c r="W187" s="41" t="e">
        <f>VLOOKUP($B187,'25년 12월 출석표'!$B$2:$BQ$497,58,0)/5</f>
        <v>#N/A</v>
      </c>
      <c r="X187" s="42"/>
      <c r="Y187" s="41" t="e">
        <f>VLOOKUP($B187,'25년 12월 출석표'!$B$2:$BQ$503,66,0)/5</f>
        <v>#N/A</v>
      </c>
      <c r="Z187" s="43"/>
    </row>
    <row r="188" spans="1:26">
      <c r="A188" s="29"/>
      <c r="B188" s="164"/>
      <c r="C188" s="164"/>
      <c r="D188" s="177"/>
      <c r="E188" s="178"/>
      <c r="F188" s="179"/>
      <c r="G188" s="180"/>
      <c r="H188" s="180"/>
      <c r="I188" s="34" t="e">
        <f>VLOOKUP(B188,'25년 12월 출석표'!$B$7:$D$509,3,0)</f>
        <v>#N/A</v>
      </c>
      <c r="J188" s="35" t="e">
        <f t="shared" ca="1" si="0"/>
        <v>#NAME?</v>
      </c>
      <c r="K188" s="36" t="str">
        <f t="shared" si="3"/>
        <v/>
      </c>
      <c r="L188" s="37" t="str">
        <f t="shared" si="4"/>
        <v/>
      </c>
      <c r="M188" s="30"/>
      <c r="N188" s="38" t="b">
        <v>0</v>
      </c>
      <c r="O188" s="38" t="b">
        <v>0</v>
      </c>
      <c r="P188" s="38" t="b">
        <v>0</v>
      </c>
      <c r="Q188" s="39" t="e">
        <f>VLOOKUP($B188,'25년 12월 출석표'!$B$2:$BQ$497,16,0)/5</f>
        <v>#N/A</v>
      </c>
      <c r="R188" s="40"/>
      <c r="S188" s="41" t="e">
        <f>VLOOKUP($B188,'25년 12월 출석표'!$B$2:$BQ$497,30,0)/5</f>
        <v>#N/A</v>
      </c>
      <c r="T188" s="40"/>
      <c r="U188" s="41" t="e">
        <f>VLOOKUP($B188,'25년 12월 출석표'!$B$2:$BQ$497,44,0)/5</f>
        <v>#N/A</v>
      </c>
      <c r="V188" s="40"/>
      <c r="W188" s="41" t="e">
        <f>VLOOKUP($B188,'25년 12월 출석표'!$B$2:$BQ$497,58,0)/5</f>
        <v>#N/A</v>
      </c>
      <c r="X188" s="42"/>
      <c r="Y188" s="41" t="e">
        <f>VLOOKUP($B188,'25년 12월 출석표'!$B$2:$BQ$503,66,0)/5</f>
        <v>#N/A</v>
      </c>
      <c r="Z188" s="43"/>
    </row>
    <row r="189" spans="1:26">
      <c r="A189" s="29"/>
      <c r="B189" s="164"/>
      <c r="C189" s="164"/>
      <c r="D189" s="177"/>
      <c r="E189" s="178"/>
      <c r="F189" s="179"/>
      <c r="G189" s="180"/>
      <c r="H189" s="180"/>
      <c r="I189" s="34" t="e">
        <f>VLOOKUP(B189,'25년 12월 출석표'!$B$7:$D$509,3,0)</f>
        <v>#N/A</v>
      </c>
      <c r="J189" s="35" t="e">
        <f t="shared" ca="1" si="0"/>
        <v>#NAME?</v>
      </c>
      <c r="K189" s="36" t="str">
        <f t="shared" si="3"/>
        <v/>
      </c>
      <c r="L189" s="37" t="str">
        <f t="shared" si="4"/>
        <v/>
      </c>
      <c r="M189" s="30"/>
      <c r="N189" s="38" t="b">
        <v>0</v>
      </c>
      <c r="O189" s="38" t="b">
        <v>0</v>
      </c>
      <c r="P189" s="38" t="b">
        <v>0</v>
      </c>
      <c r="Q189" s="39" t="e">
        <f>VLOOKUP($B189,'25년 12월 출석표'!$B$2:$BQ$497,16,0)/5</f>
        <v>#N/A</v>
      </c>
      <c r="R189" s="40"/>
      <c r="S189" s="41" t="e">
        <f>VLOOKUP($B189,'25년 12월 출석표'!$B$2:$BQ$497,30,0)/5</f>
        <v>#N/A</v>
      </c>
      <c r="T189" s="40"/>
      <c r="U189" s="41" t="e">
        <f>VLOOKUP($B189,'25년 12월 출석표'!$B$2:$BQ$497,44,0)/5</f>
        <v>#N/A</v>
      </c>
      <c r="V189" s="40"/>
      <c r="W189" s="41" t="e">
        <f>VLOOKUP($B189,'25년 12월 출석표'!$B$2:$BQ$497,58,0)/5</f>
        <v>#N/A</v>
      </c>
      <c r="X189" s="42"/>
      <c r="Y189" s="41" t="e">
        <f>VLOOKUP($B189,'25년 12월 출석표'!$B$2:$BQ$503,66,0)/5</f>
        <v>#N/A</v>
      </c>
      <c r="Z189" s="43"/>
    </row>
    <row r="190" spans="1:26">
      <c r="A190" s="29"/>
      <c r="B190" s="164"/>
      <c r="C190" s="164"/>
      <c r="D190" s="177"/>
      <c r="E190" s="178"/>
      <c r="F190" s="179"/>
      <c r="G190" s="180"/>
      <c r="H190" s="180"/>
      <c r="I190" s="34" t="e">
        <f>VLOOKUP(B190,'25년 12월 출석표'!$B$7:$D$509,3,0)</f>
        <v>#N/A</v>
      </c>
      <c r="J190" s="35" t="e">
        <f t="shared" ca="1" si="0"/>
        <v>#NAME?</v>
      </c>
      <c r="K190" s="36" t="str">
        <f t="shared" si="3"/>
        <v/>
      </c>
      <c r="L190" s="37" t="str">
        <f t="shared" si="4"/>
        <v/>
      </c>
      <c r="M190" s="30"/>
      <c r="N190" s="38" t="b">
        <v>0</v>
      </c>
      <c r="O190" s="38" t="b">
        <v>0</v>
      </c>
      <c r="P190" s="38" t="b">
        <v>0</v>
      </c>
      <c r="Q190" s="39" t="e">
        <f>VLOOKUP($B190,'25년 12월 출석표'!$B$2:$BQ$497,16,0)/5</f>
        <v>#N/A</v>
      </c>
      <c r="R190" s="40"/>
      <c r="S190" s="41" t="e">
        <f>VLOOKUP($B190,'25년 12월 출석표'!$B$2:$BQ$497,30,0)/5</f>
        <v>#N/A</v>
      </c>
      <c r="T190" s="40"/>
      <c r="U190" s="41" t="e">
        <f>VLOOKUP($B190,'25년 12월 출석표'!$B$2:$BQ$497,44,0)/5</f>
        <v>#N/A</v>
      </c>
      <c r="V190" s="40"/>
      <c r="W190" s="41" t="e">
        <f>VLOOKUP($B190,'25년 12월 출석표'!$B$2:$BQ$497,58,0)/5</f>
        <v>#N/A</v>
      </c>
      <c r="X190" s="42"/>
      <c r="Y190" s="41" t="e">
        <f>VLOOKUP($B190,'25년 12월 출석표'!$B$2:$BQ$503,66,0)/5</f>
        <v>#N/A</v>
      </c>
      <c r="Z190" s="43"/>
    </row>
    <row r="191" spans="1:26">
      <c r="A191" s="29"/>
      <c r="B191" s="164"/>
      <c r="C191" s="164"/>
      <c r="D191" s="177"/>
      <c r="E191" s="178"/>
      <c r="F191" s="179"/>
      <c r="G191" s="180"/>
      <c r="H191" s="180"/>
      <c r="I191" s="34" t="e">
        <f>VLOOKUP(B191,'25년 12월 출석표'!$B$7:$D$509,3,0)</f>
        <v>#N/A</v>
      </c>
      <c r="J191" s="35" t="e">
        <f t="shared" ca="1" si="0"/>
        <v>#NAME?</v>
      </c>
      <c r="K191" s="36" t="str">
        <f t="shared" si="3"/>
        <v/>
      </c>
      <c r="L191" s="37" t="str">
        <f t="shared" si="4"/>
        <v/>
      </c>
      <c r="M191" s="30"/>
      <c r="N191" s="38" t="b">
        <v>0</v>
      </c>
      <c r="O191" s="38" t="b">
        <v>0</v>
      </c>
      <c r="P191" s="38" t="b">
        <v>0</v>
      </c>
      <c r="Q191" s="39" t="e">
        <f>VLOOKUP($B191,'25년 12월 출석표'!$B$2:$BQ$497,16,0)/5</f>
        <v>#N/A</v>
      </c>
      <c r="R191" s="40"/>
      <c r="S191" s="41" t="e">
        <f>VLOOKUP($B191,'25년 12월 출석표'!$B$2:$BQ$497,30,0)/5</f>
        <v>#N/A</v>
      </c>
      <c r="T191" s="40"/>
      <c r="U191" s="41" t="e">
        <f>VLOOKUP($B191,'25년 12월 출석표'!$B$2:$BQ$497,44,0)/5</f>
        <v>#N/A</v>
      </c>
      <c r="V191" s="40"/>
      <c r="W191" s="41" t="e">
        <f>VLOOKUP($B191,'25년 12월 출석표'!$B$2:$BQ$497,58,0)/5</f>
        <v>#N/A</v>
      </c>
      <c r="X191" s="42"/>
      <c r="Y191" s="41" t="e">
        <f>VLOOKUP($B191,'25년 12월 출석표'!$B$2:$BQ$503,66,0)/5</f>
        <v>#N/A</v>
      </c>
      <c r="Z191" s="43"/>
    </row>
    <row r="192" spans="1:26">
      <c r="A192" s="29"/>
      <c r="B192" s="164"/>
      <c r="C192" s="164"/>
      <c r="D192" s="177"/>
      <c r="E192" s="178"/>
      <c r="F192" s="179"/>
      <c r="G192" s="180"/>
      <c r="H192" s="180"/>
      <c r="I192" s="34" t="e">
        <f>VLOOKUP(B192,'25년 12월 출석표'!$B$7:$D$509,3,0)</f>
        <v>#N/A</v>
      </c>
      <c r="J192" s="35" t="e">
        <f t="shared" ca="1" si="0"/>
        <v>#NAME?</v>
      </c>
      <c r="K192" s="36" t="str">
        <f t="shared" si="3"/>
        <v/>
      </c>
      <c r="L192" s="37" t="str">
        <f t="shared" si="4"/>
        <v/>
      </c>
      <c r="M192" s="30"/>
      <c r="N192" s="38" t="b">
        <v>0</v>
      </c>
      <c r="O192" s="38" t="b">
        <v>0</v>
      </c>
      <c r="P192" s="38" t="b">
        <v>0</v>
      </c>
      <c r="Q192" s="39" t="e">
        <f>VLOOKUP($B192,'25년 12월 출석표'!$B$2:$BQ$497,16,0)/5</f>
        <v>#N/A</v>
      </c>
      <c r="R192" s="40"/>
      <c r="S192" s="41" t="e">
        <f>VLOOKUP($B192,'25년 12월 출석표'!$B$2:$BQ$497,30,0)/5</f>
        <v>#N/A</v>
      </c>
      <c r="T192" s="40"/>
      <c r="U192" s="41" t="e">
        <f>VLOOKUP($B192,'25년 12월 출석표'!$B$2:$BQ$497,44,0)/5</f>
        <v>#N/A</v>
      </c>
      <c r="V192" s="40"/>
      <c r="W192" s="41" t="e">
        <f>VLOOKUP($B192,'25년 12월 출석표'!$B$2:$BQ$497,58,0)/5</f>
        <v>#N/A</v>
      </c>
      <c r="X192" s="42"/>
      <c r="Y192" s="41" t="e">
        <f>VLOOKUP($B192,'25년 12월 출석표'!$B$2:$BQ$503,66,0)/5</f>
        <v>#N/A</v>
      </c>
      <c r="Z192" s="43"/>
    </row>
    <row r="193" spans="1:26">
      <c r="A193" s="29"/>
      <c r="B193" s="164"/>
      <c r="C193" s="164"/>
      <c r="D193" s="177"/>
      <c r="E193" s="178"/>
      <c r="F193" s="179"/>
      <c r="G193" s="180"/>
      <c r="H193" s="180"/>
      <c r="I193" s="34" t="e">
        <f>VLOOKUP(B193,'25년 12월 출석표'!$B$7:$D$509,3,0)</f>
        <v>#N/A</v>
      </c>
      <c r="J193" s="35" t="e">
        <f t="shared" ca="1" si="0"/>
        <v>#NAME?</v>
      </c>
      <c r="K193" s="36" t="str">
        <f t="shared" si="3"/>
        <v/>
      </c>
      <c r="L193" s="37" t="str">
        <f t="shared" si="4"/>
        <v/>
      </c>
      <c r="M193" s="30"/>
      <c r="N193" s="38" t="b">
        <v>0</v>
      </c>
      <c r="O193" s="38" t="b">
        <v>0</v>
      </c>
      <c r="P193" s="38" t="b">
        <v>0</v>
      </c>
      <c r="Q193" s="39" t="e">
        <f>VLOOKUP($B193,'25년 12월 출석표'!$B$2:$BQ$497,16,0)/5</f>
        <v>#N/A</v>
      </c>
      <c r="R193" s="40"/>
      <c r="S193" s="41" t="e">
        <f>VLOOKUP($B193,'25년 12월 출석표'!$B$2:$BQ$497,30,0)/5</f>
        <v>#N/A</v>
      </c>
      <c r="T193" s="40"/>
      <c r="U193" s="41" t="e">
        <f>VLOOKUP($B193,'25년 12월 출석표'!$B$2:$BQ$497,44,0)/5</f>
        <v>#N/A</v>
      </c>
      <c r="V193" s="40"/>
      <c r="W193" s="41" t="e">
        <f>VLOOKUP($B193,'25년 12월 출석표'!$B$2:$BQ$497,58,0)/5</f>
        <v>#N/A</v>
      </c>
      <c r="X193" s="42"/>
      <c r="Y193" s="41" t="e">
        <f>VLOOKUP($B193,'25년 12월 출석표'!$B$2:$BQ$503,66,0)/5</f>
        <v>#N/A</v>
      </c>
      <c r="Z193" s="43"/>
    </row>
    <row r="194" spans="1:26">
      <c r="A194" s="29"/>
      <c r="B194" s="164"/>
      <c r="C194" s="164"/>
      <c r="D194" s="177"/>
      <c r="E194" s="178"/>
      <c r="F194" s="179"/>
      <c r="G194" s="180"/>
      <c r="H194" s="180"/>
      <c r="I194" s="34" t="e">
        <f>VLOOKUP(B194,'25년 12월 출석표'!$B$7:$D$509,3,0)</f>
        <v>#N/A</v>
      </c>
      <c r="J194" s="35" t="e">
        <f t="shared" ca="1" si="0"/>
        <v>#NAME?</v>
      </c>
      <c r="K194" s="36" t="str">
        <f t="shared" si="3"/>
        <v/>
      </c>
      <c r="L194" s="37" t="str">
        <f t="shared" si="4"/>
        <v/>
      </c>
      <c r="M194" s="30"/>
      <c r="N194" s="38" t="b">
        <v>0</v>
      </c>
      <c r="O194" s="38" t="b">
        <v>0</v>
      </c>
      <c r="P194" s="38" t="b">
        <v>0</v>
      </c>
      <c r="Q194" s="39" t="e">
        <f>VLOOKUP($B194,'25년 12월 출석표'!$B$2:$BQ$497,16,0)/5</f>
        <v>#N/A</v>
      </c>
      <c r="R194" s="40"/>
      <c r="S194" s="41" t="e">
        <f>VLOOKUP($B194,'25년 12월 출석표'!$B$2:$BQ$497,30,0)/5</f>
        <v>#N/A</v>
      </c>
      <c r="T194" s="40"/>
      <c r="U194" s="41" t="e">
        <f>VLOOKUP($B194,'25년 12월 출석표'!$B$2:$BQ$497,44,0)/5</f>
        <v>#N/A</v>
      </c>
      <c r="V194" s="40"/>
      <c r="W194" s="41" t="e">
        <f>VLOOKUP($B194,'25년 12월 출석표'!$B$2:$BQ$497,58,0)/5</f>
        <v>#N/A</v>
      </c>
      <c r="X194" s="42"/>
      <c r="Y194" s="41" t="e">
        <f>VLOOKUP($B194,'25년 12월 출석표'!$B$2:$BQ$503,66,0)/5</f>
        <v>#N/A</v>
      </c>
      <c r="Z194" s="43"/>
    </row>
    <row r="195" spans="1:26">
      <c r="A195" s="29"/>
      <c r="B195" s="164"/>
      <c r="C195" s="164"/>
      <c r="D195" s="177"/>
      <c r="E195" s="178"/>
      <c r="F195" s="179"/>
      <c r="G195" s="180"/>
      <c r="H195" s="180"/>
      <c r="I195" s="34" t="e">
        <f>VLOOKUP(B195,'25년 12월 출석표'!$B$7:$D$509,3,0)</f>
        <v>#N/A</v>
      </c>
      <c r="J195" s="35" t="e">
        <f t="shared" ca="1" si="0"/>
        <v>#NAME?</v>
      </c>
      <c r="K195" s="36" t="str">
        <f t="shared" si="3"/>
        <v/>
      </c>
      <c r="L195" s="37" t="str">
        <f t="shared" si="4"/>
        <v/>
      </c>
      <c r="M195" s="30"/>
      <c r="N195" s="38" t="b">
        <v>0</v>
      </c>
      <c r="O195" s="38" t="b">
        <v>0</v>
      </c>
      <c r="P195" s="38" t="b">
        <v>0</v>
      </c>
      <c r="Q195" s="39" t="e">
        <f>VLOOKUP($B195,'25년 12월 출석표'!$B$2:$BQ$497,16,0)/5</f>
        <v>#N/A</v>
      </c>
      <c r="R195" s="40"/>
      <c r="S195" s="41" t="e">
        <f>VLOOKUP($B195,'25년 12월 출석표'!$B$2:$BQ$497,30,0)/5</f>
        <v>#N/A</v>
      </c>
      <c r="T195" s="40"/>
      <c r="U195" s="41" t="e">
        <f>VLOOKUP($B195,'25년 12월 출석표'!$B$2:$BQ$497,44,0)/5</f>
        <v>#N/A</v>
      </c>
      <c r="V195" s="40"/>
      <c r="W195" s="41" t="e">
        <f>VLOOKUP($B195,'25년 12월 출석표'!$B$2:$BQ$497,58,0)/5</f>
        <v>#N/A</v>
      </c>
      <c r="X195" s="42"/>
      <c r="Y195" s="41" t="e">
        <f>VLOOKUP($B195,'25년 12월 출석표'!$B$2:$BQ$503,66,0)/5</f>
        <v>#N/A</v>
      </c>
      <c r="Z195" s="43"/>
    </row>
    <row r="196" spans="1:26">
      <c r="A196" s="29"/>
      <c r="B196" s="164"/>
      <c r="C196" s="164"/>
      <c r="D196" s="177"/>
      <c r="E196" s="178"/>
      <c r="F196" s="179"/>
      <c r="G196" s="180"/>
      <c r="H196" s="180"/>
      <c r="I196" s="34" t="e">
        <f>VLOOKUP(B196,'25년 12월 출석표'!$B$7:$D$509,3,0)</f>
        <v>#N/A</v>
      </c>
      <c r="J196" s="35" t="e">
        <f t="shared" ca="1" si="0"/>
        <v>#NAME?</v>
      </c>
      <c r="K196" s="36" t="str">
        <f t="shared" si="3"/>
        <v/>
      </c>
      <c r="L196" s="37" t="str">
        <f t="shared" si="4"/>
        <v/>
      </c>
      <c r="M196" s="30"/>
      <c r="N196" s="38" t="b">
        <v>0</v>
      </c>
      <c r="O196" s="38" t="b">
        <v>0</v>
      </c>
      <c r="P196" s="38" t="b">
        <v>0</v>
      </c>
      <c r="Q196" s="39" t="e">
        <f>VLOOKUP($B196,'25년 12월 출석표'!$B$2:$BQ$497,16,0)/5</f>
        <v>#N/A</v>
      </c>
      <c r="R196" s="40"/>
      <c r="S196" s="41" t="e">
        <f>VLOOKUP($B196,'25년 12월 출석표'!$B$2:$BQ$497,30,0)/5</f>
        <v>#N/A</v>
      </c>
      <c r="T196" s="40"/>
      <c r="U196" s="41" t="e">
        <f>VLOOKUP($B196,'25년 12월 출석표'!$B$2:$BQ$497,44,0)/5</f>
        <v>#N/A</v>
      </c>
      <c r="V196" s="40"/>
      <c r="W196" s="41" t="e">
        <f>VLOOKUP($B196,'25년 12월 출석표'!$B$2:$BQ$497,58,0)/5</f>
        <v>#N/A</v>
      </c>
      <c r="X196" s="42"/>
      <c r="Y196" s="41" t="e">
        <f>VLOOKUP($B196,'25년 12월 출석표'!$B$2:$BQ$503,66,0)/5</f>
        <v>#N/A</v>
      </c>
      <c r="Z196" s="43"/>
    </row>
    <row r="197" spans="1:26">
      <c r="A197" s="29"/>
      <c r="B197" s="164"/>
      <c r="C197" s="164"/>
      <c r="D197" s="177"/>
      <c r="E197" s="178"/>
      <c r="F197" s="179"/>
      <c r="G197" s="180"/>
      <c r="H197" s="180"/>
      <c r="I197" s="34" t="e">
        <f>VLOOKUP(B197,'25년 12월 출석표'!$B$7:$D$509,3,0)</f>
        <v>#N/A</v>
      </c>
      <c r="J197" s="35" t="e">
        <f t="shared" ca="1" si="0"/>
        <v>#NAME?</v>
      </c>
      <c r="K197" s="36" t="str">
        <f t="shared" si="3"/>
        <v/>
      </c>
      <c r="L197" s="37" t="str">
        <f t="shared" si="4"/>
        <v/>
      </c>
      <c r="M197" s="30"/>
      <c r="N197" s="38" t="b">
        <v>0</v>
      </c>
      <c r="O197" s="38" t="b">
        <v>0</v>
      </c>
      <c r="P197" s="38" t="b">
        <v>0</v>
      </c>
      <c r="Q197" s="39" t="e">
        <f>VLOOKUP($B197,'25년 12월 출석표'!$B$2:$BQ$497,16,0)/5</f>
        <v>#N/A</v>
      </c>
      <c r="R197" s="40"/>
      <c r="S197" s="41" t="e">
        <f>VLOOKUP($B197,'25년 12월 출석표'!$B$2:$BQ$497,30,0)/5</f>
        <v>#N/A</v>
      </c>
      <c r="T197" s="40"/>
      <c r="U197" s="41" t="e">
        <f>VLOOKUP($B197,'25년 12월 출석표'!$B$2:$BQ$497,44,0)/5</f>
        <v>#N/A</v>
      </c>
      <c r="V197" s="40"/>
      <c r="W197" s="41" t="e">
        <f>VLOOKUP($B197,'25년 12월 출석표'!$B$2:$BQ$497,58,0)/5</f>
        <v>#N/A</v>
      </c>
      <c r="X197" s="42"/>
      <c r="Y197" s="41" t="e">
        <f>VLOOKUP($B197,'25년 12월 출석표'!$B$2:$BQ$503,66,0)/5</f>
        <v>#N/A</v>
      </c>
      <c r="Z197" s="43"/>
    </row>
    <row r="198" spans="1:26">
      <c r="A198" s="29"/>
      <c r="B198" s="164"/>
      <c r="C198" s="164"/>
      <c r="D198" s="177"/>
      <c r="E198" s="178"/>
      <c r="F198" s="179"/>
      <c r="G198" s="180"/>
      <c r="H198" s="180"/>
      <c r="I198" s="34" t="e">
        <f>VLOOKUP(B198,'25년 12월 출석표'!$B$7:$D$509,3,0)</f>
        <v>#N/A</v>
      </c>
      <c r="J198" s="35" t="e">
        <f t="shared" ca="1" si="0"/>
        <v>#NAME?</v>
      </c>
      <c r="K198" s="36" t="str">
        <f t="shared" si="3"/>
        <v/>
      </c>
      <c r="L198" s="37" t="str">
        <f t="shared" si="4"/>
        <v/>
      </c>
      <c r="M198" s="30"/>
      <c r="N198" s="38" t="b">
        <v>0</v>
      </c>
      <c r="O198" s="38" t="b">
        <v>0</v>
      </c>
      <c r="P198" s="38" t="b">
        <v>0</v>
      </c>
      <c r="Q198" s="39" t="e">
        <f>VLOOKUP($B198,'25년 12월 출석표'!$B$2:$BQ$497,16,0)/5</f>
        <v>#N/A</v>
      </c>
      <c r="R198" s="40"/>
      <c r="S198" s="41" t="e">
        <f>VLOOKUP($B198,'25년 12월 출석표'!$B$2:$BQ$497,30,0)/5</f>
        <v>#N/A</v>
      </c>
      <c r="T198" s="40"/>
      <c r="U198" s="41" t="e">
        <f>VLOOKUP($B198,'25년 12월 출석표'!$B$2:$BQ$497,44,0)/5</f>
        <v>#N/A</v>
      </c>
      <c r="V198" s="40"/>
      <c r="W198" s="41" t="e">
        <f>VLOOKUP($B198,'25년 12월 출석표'!$B$2:$BQ$497,58,0)/5</f>
        <v>#N/A</v>
      </c>
      <c r="X198" s="42"/>
      <c r="Y198" s="41" t="e">
        <f>VLOOKUP($B198,'25년 12월 출석표'!$B$2:$BQ$503,66,0)/5</f>
        <v>#N/A</v>
      </c>
      <c r="Z198" s="43"/>
    </row>
    <row r="199" spans="1:26">
      <c r="A199" s="29"/>
      <c r="B199" s="164"/>
      <c r="C199" s="164"/>
      <c r="D199" s="177"/>
      <c r="E199" s="178"/>
      <c r="F199" s="179"/>
      <c r="G199" s="180"/>
      <c r="H199" s="180"/>
      <c r="I199" s="34" t="e">
        <f>VLOOKUP(B199,'25년 12월 출석표'!$B$7:$D$509,3,0)</f>
        <v>#N/A</v>
      </c>
      <c r="J199" s="35" t="e">
        <f t="shared" ca="1" si="0"/>
        <v>#NAME?</v>
      </c>
      <c r="K199" s="36" t="str">
        <f t="shared" si="3"/>
        <v/>
      </c>
      <c r="L199" s="37" t="str">
        <f t="shared" si="4"/>
        <v/>
      </c>
      <c r="M199" s="30"/>
      <c r="N199" s="38" t="b">
        <v>0</v>
      </c>
      <c r="O199" s="38" t="b">
        <v>0</v>
      </c>
      <c r="P199" s="38" t="b">
        <v>0</v>
      </c>
      <c r="Q199" s="39" t="e">
        <f>VLOOKUP($B199,'25년 12월 출석표'!$B$2:$BQ$497,16,0)/5</f>
        <v>#N/A</v>
      </c>
      <c r="R199" s="40"/>
      <c r="S199" s="41" t="e">
        <f>VLOOKUP($B199,'25년 12월 출석표'!$B$2:$BQ$497,30,0)/5</f>
        <v>#N/A</v>
      </c>
      <c r="T199" s="40"/>
      <c r="U199" s="41" t="e">
        <f>VLOOKUP($B199,'25년 12월 출석표'!$B$2:$BQ$497,44,0)/5</f>
        <v>#N/A</v>
      </c>
      <c r="V199" s="40"/>
      <c r="W199" s="41" t="e">
        <f>VLOOKUP($B199,'25년 12월 출석표'!$B$2:$BQ$497,58,0)/5</f>
        <v>#N/A</v>
      </c>
      <c r="X199" s="42"/>
      <c r="Y199" s="41" t="e">
        <f>VLOOKUP($B199,'25년 12월 출석표'!$B$2:$BQ$503,66,0)/5</f>
        <v>#N/A</v>
      </c>
      <c r="Z199" s="43"/>
    </row>
    <row r="200" spans="1:26">
      <c r="A200" s="29"/>
      <c r="B200" s="164"/>
      <c r="C200" s="164"/>
      <c r="D200" s="177"/>
      <c r="E200" s="178"/>
      <c r="F200" s="179"/>
      <c r="G200" s="180"/>
      <c r="H200" s="180"/>
      <c r="I200" s="34" t="e">
        <f>VLOOKUP(B200,'25년 12월 출석표'!$B$7:$D$509,3,0)</f>
        <v>#N/A</v>
      </c>
      <c r="J200" s="35" t="e">
        <f t="shared" ca="1" si="0"/>
        <v>#NAME?</v>
      </c>
      <c r="K200" s="36" t="str">
        <f t="shared" si="3"/>
        <v/>
      </c>
      <c r="L200" s="37" t="str">
        <f t="shared" si="4"/>
        <v/>
      </c>
      <c r="M200" s="30"/>
      <c r="N200" s="38" t="b">
        <v>0</v>
      </c>
      <c r="O200" s="38" t="b">
        <v>0</v>
      </c>
      <c r="P200" s="38" t="b">
        <v>0</v>
      </c>
      <c r="Q200" s="39" t="e">
        <f>VLOOKUP($B200,'25년 12월 출석표'!$B$2:$BQ$497,16,0)/5</f>
        <v>#N/A</v>
      </c>
      <c r="R200" s="40"/>
      <c r="S200" s="41" t="e">
        <f>VLOOKUP($B200,'25년 12월 출석표'!$B$2:$BQ$497,30,0)/5</f>
        <v>#N/A</v>
      </c>
      <c r="T200" s="40"/>
      <c r="U200" s="41" t="e">
        <f>VLOOKUP($B200,'25년 12월 출석표'!$B$2:$BQ$497,44,0)/5</f>
        <v>#N/A</v>
      </c>
      <c r="V200" s="40"/>
      <c r="W200" s="41" t="e">
        <f>VLOOKUP($B200,'25년 12월 출석표'!$B$2:$BQ$497,58,0)/5</f>
        <v>#N/A</v>
      </c>
      <c r="X200" s="42"/>
      <c r="Y200" s="41" t="e">
        <f>VLOOKUP($B200,'25년 12월 출석표'!$B$2:$BQ$503,66,0)/5</f>
        <v>#N/A</v>
      </c>
      <c r="Z200" s="43"/>
    </row>
    <row r="201" spans="1:26">
      <c r="A201" s="29"/>
      <c r="B201" s="164"/>
      <c r="C201" s="164"/>
      <c r="D201" s="177"/>
      <c r="E201" s="178"/>
      <c r="F201" s="179"/>
      <c r="G201" s="180"/>
      <c r="H201" s="180"/>
      <c r="I201" s="34" t="e">
        <f>VLOOKUP(B201,'25년 12월 출석표'!$B$7:$D$509,3,0)</f>
        <v>#N/A</v>
      </c>
      <c r="J201" s="35" t="e">
        <f t="shared" ca="1" si="0"/>
        <v>#NAME?</v>
      </c>
      <c r="K201" s="36" t="str">
        <f t="shared" si="3"/>
        <v/>
      </c>
      <c r="L201" s="37" t="str">
        <f t="shared" si="4"/>
        <v/>
      </c>
      <c r="M201" s="30"/>
      <c r="N201" s="38" t="b">
        <v>0</v>
      </c>
      <c r="O201" s="38" t="b">
        <v>0</v>
      </c>
      <c r="P201" s="38" t="b">
        <v>0</v>
      </c>
      <c r="Q201" s="39" t="e">
        <f>VLOOKUP($B201,'25년 12월 출석표'!$B$2:$BQ$497,16,0)/5</f>
        <v>#N/A</v>
      </c>
      <c r="R201" s="40"/>
      <c r="S201" s="41" t="e">
        <f>VLOOKUP($B201,'25년 12월 출석표'!$B$2:$BQ$497,30,0)/5</f>
        <v>#N/A</v>
      </c>
      <c r="T201" s="40"/>
      <c r="U201" s="41" t="e">
        <f>VLOOKUP($B201,'25년 12월 출석표'!$B$2:$BQ$497,44,0)/5</f>
        <v>#N/A</v>
      </c>
      <c r="V201" s="40"/>
      <c r="W201" s="41" t="e">
        <f>VLOOKUP($B201,'25년 12월 출석표'!$B$2:$BQ$497,58,0)/5</f>
        <v>#N/A</v>
      </c>
      <c r="X201" s="42"/>
      <c r="Y201" s="41" t="e">
        <f>VLOOKUP($B201,'25년 12월 출석표'!$B$2:$BQ$503,66,0)/5</f>
        <v>#N/A</v>
      </c>
      <c r="Z201" s="43"/>
    </row>
    <row r="202" spans="1:26">
      <c r="A202" s="29"/>
      <c r="B202" s="164"/>
      <c r="C202" s="164"/>
      <c r="D202" s="177"/>
      <c r="E202" s="178"/>
      <c r="F202" s="179"/>
      <c r="G202" s="180"/>
      <c r="H202" s="180"/>
      <c r="I202" s="34" t="e">
        <f>VLOOKUP(B202,'25년 12월 출석표'!$B$7:$D$509,3,0)</f>
        <v>#N/A</v>
      </c>
      <c r="J202" s="35" t="e">
        <f t="shared" ca="1" si="0"/>
        <v>#NAME?</v>
      </c>
      <c r="K202" s="36" t="str">
        <f t="shared" si="3"/>
        <v/>
      </c>
      <c r="L202" s="37" t="str">
        <f t="shared" si="4"/>
        <v/>
      </c>
      <c r="M202" s="30"/>
      <c r="N202" s="38" t="b">
        <v>0</v>
      </c>
      <c r="O202" s="38" t="b">
        <v>0</v>
      </c>
      <c r="P202" s="38" t="b">
        <v>0</v>
      </c>
      <c r="Q202" s="39" t="e">
        <f>VLOOKUP($B202,'25년 12월 출석표'!$B$2:$BQ$497,16,0)/5</f>
        <v>#N/A</v>
      </c>
      <c r="R202" s="40"/>
      <c r="S202" s="41" t="e">
        <f>VLOOKUP($B202,'25년 12월 출석표'!$B$2:$BQ$497,30,0)/5</f>
        <v>#N/A</v>
      </c>
      <c r="T202" s="40"/>
      <c r="U202" s="41" t="e">
        <f>VLOOKUP($B202,'25년 12월 출석표'!$B$2:$BQ$497,44,0)/5</f>
        <v>#N/A</v>
      </c>
      <c r="V202" s="40"/>
      <c r="W202" s="41" t="e">
        <f>VLOOKUP($B202,'25년 12월 출석표'!$B$2:$BQ$497,58,0)/5</f>
        <v>#N/A</v>
      </c>
      <c r="X202" s="42"/>
      <c r="Y202" s="41" t="e">
        <f>VLOOKUP($B202,'25년 12월 출석표'!$B$2:$BQ$503,66,0)/5</f>
        <v>#N/A</v>
      </c>
      <c r="Z202" s="43"/>
    </row>
    <row r="203" spans="1:26">
      <c r="A203" s="29"/>
      <c r="B203" s="164"/>
      <c r="C203" s="164"/>
      <c r="D203" s="177"/>
      <c r="E203" s="178"/>
      <c r="F203" s="179"/>
      <c r="G203" s="180"/>
      <c r="H203" s="180"/>
      <c r="I203" s="34" t="e">
        <f>VLOOKUP(B203,'25년 12월 출석표'!$B$7:$D$509,3,0)</f>
        <v>#N/A</v>
      </c>
      <c r="J203" s="35" t="e">
        <f t="shared" ca="1" si="0"/>
        <v>#NAME?</v>
      </c>
      <c r="K203" s="36" t="str">
        <f t="shared" si="3"/>
        <v/>
      </c>
      <c r="L203" s="37" t="str">
        <f t="shared" si="4"/>
        <v/>
      </c>
      <c r="M203" s="30"/>
      <c r="N203" s="38" t="b">
        <v>0</v>
      </c>
      <c r="O203" s="38" t="b">
        <v>0</v>
      </c>
      <c r="P203" s="38" t="b">
        <v>0</v>
      </c>
      <c r="Q203" s="39" t="e">
        <f>VLOOKUP($B203,'25년 12월 출석표'!$B$2:$BQ$497,16,0)/5</f>
        <v>#N/A</v>
      </c>
      <c r="R203" s="40"/>
      <c r="S203" s="41" t="e">
        <f>VLOOKUP($B203,'25년 12월 출석표'!$B$2:$BQ$497,30,0)/5</f>
        <v>#N/A</v>
      </c>
      <c r="T203" s="40"/>
      <c r="U203" s="41" t="e">
        <f>VLOOKUP($B203,'25년 12월 출석표'!$B$2:$BQ$497,44,0)/5</f>
        <v>#N/A</v>
      </c>
      <c r="V203" s="40"/>
      <c r="W203" s="41" t="e">
        <f>VLOOKUP($B203,'25년 12월 출석표'!$B$2:$BQ$497,58,0)/5</f>
        <v>#N/A</v>
      </c>
      <c r="X203" s="42"/>
      <c r="Y203" s="41" t="e">
        <f>VLOOKUP($B203,'25년 12월 출석표'!$B$2:$BQ$503,66,0)/5</f>
        <v>#N/A</v>
      </c>
      <c r="Z203" s="43"/>
    </row>
    <row r="204" spans="1:26">
      <c r="A204" s="29"/>
      <c r="B204" s="164"/>
      <c r="C204" s="164"/>
      <c r="D204" s="177"/>
      <c r="E204" s="178"/>
      <c r="F204" s="179"/>
      <c r="G204" s="180"/>
      <c r="H204" s="180"/>
      <c r="I204" s="34" t="e">
        <f>VLOOKUP(B204,'25년 12월 출석표'!$B$7:$D$509,3,0)</f>
        <v>#N/A</v>
      </c>
      <c r="J204" s="35" t="e">
        <f t="shared" ca="1" si="0"/>
        <v>#NAME?</v>
      </c>
      <c r="K204" s="36" t="str">
        <f t="shared" si="3"/>
        <v/>
      </c>
      <c r="L204" s="37" t="str">
        <f t="shared" si="4"/>
        <v/>
      </c>
      <c r="M204" s="30"/>
      <c r="N204" s="38" t="b">
        <v>0</v>
      </c>
      <c r="O204" s="38" t="b">
        <v>0</v>
      </c>
      <c r="P204" s="38" t="b">
        <v>0</v>
      </c>
      <c r="Q204" s="39" t="e">
        <f>VLOOKUP($B204,'25년 12월 출석표'!$B$2:$BQ$497,16,0)/5</f>
        <v>#N/A</v>
      </c>
      <c r="R204" s="40"/>
      <c r="S204" s="41" t="e">
        <f>VLOOKUP($B204,'25년 12월 출석표'!$B$2:$BQ$497,30,0)/5</f>
        <v>#N/A</v>
      </c>
      <c r="T204" s="40"/>
      <c r="U204" s="41" t="e">
        <f>VLOOKUP($B204,'25년 12월 출석표'!$B$2:$BQ$497,44,0)/5</f>
        <v>#N/A</v>
      </c>
      <c r="V204" s="40"/>
      <c r="W204" s="41" t="e">
        <f>VLOOKUP($B204,'25년 12월 출석표'!$B$2:$BQ$497,58,0)/5</f>
        <v>#N/A</v>
      </c>
      <c r="X204" s="42"/>
      <c r="Y204" s="41" t="e">
        <f>VLOOKUP($B204,'25년 12월 출석표'!$B$2:$BQ$503,66,0)/5</f>
        <v>#N/A</v>
      </c>
      <c r="Z204" s="43"/>
    </row>
    <row r="205" spans="1:26">
      <c r="A205" s="29"/>
      <c r="B205" s="164"/>
      <c r="C205" s="164"/>
      <c r="D205" s="177"/>
      <c r="E205" s="178"/>
      <c r="F205" s="179"/>
      <c r="G205" s="180"/>
      <c r="H205" s="180"/>
      <c r="I205" s="34" t="e">
        <f>VLOOKUP(B205,'25년 12월 출석표'!$B$7:$D$509,3,0)</f>
        <v>#N/A</v>
      </c>
      <c r="J205" s="35" t="e">
        <f t="shared" ca="1" si="0"/>
        <v>#NAME?</v>
      </c>
      <c r="K205" s="36" t="str">
        <f t="shared" si="3"/>
        <v/>
      </c>
      <c r="L205" s="37" t="str">
        <f t="shared" si="4"/>
        <v/>
      </c>
      <c r="M205" s="30"/>
      <c r="N205" s="38" t="b">
        <v>0</v>
      </c>
      <c r="O205" s="38" t="b">
        <v>0</v>
      </c>
      <c r="P205" s="38" t="b">
        <v>0</v>
      </c>
      <c r="Q205" s="39" t="e">
        <f>VLOOKUP($B205,'25년 12월 출석표'!$B$2:$BQ$497,16,0)/5</f>
        <v>#N/A</v>
      </c>
      <c r="R205" s="40"/>
      <c r="S205" s="41" t="e">
        <f>VLOOKUP($B205,'25년 12월 출석표'!$B$2:$BQ$497,30,0)/5</f>
        <v>#N/A</v>
      </c>
      <c r="T205" s="40"/>
      <c r="U205" s="41" t="e">
        <f>VLOOKUP($B205,'25년 12월 출석표'!$B$2:$BQ$497,44,0)/5</f>
        <v>#N/A</v>
      </c>
      <c r="V205" s="40"/>
      <c r="W205" s="41" t="e">
        <f>VLOOKUP($B205,'25년 12월 출석표'!$B$2:$BQ$497,58,0)/5</f>
        <v>#N/A</v>
      </c>
      <c r="X205" s="42"/>
      <c r="Y205" s="41" t="e">
        <f>VLOOKUP($B205,'25년 12월 출석표'!$B$2:$BQ$503,66,0)/5</f>
        <v>#N/A</v>
      </c>
      <c r="Z205" s="43"/>
    </row>
    <row r="206" spans="1:26">
      <c r="A206" s="29"/>
      <c r="B206" s="164"/>
      <c r="C206" s="164"/>
      <c r="D206" s="177"/>
      <c r="E206" s="178"/>
      <c r="F206" s="179"/>
      <c r="G206" s="180"/>
      <c r="H206" s="180"/>
      <c r="I206" s="34" t="e">
        <f>VLOOKUP(B206,'25년 12월 출석표'!$B$7:$D$509,3,0)</f>
        <v>#N/A</v>
      </c>
      <c r="J206" s="35" t="e">
        <f t="shared" ca="1" si="0"/>
        <v>#NAME?</v>
      </c>
      <c r="K206" s="36" t="str">
        <f t="shared" si="3"/>
        <v/>
      </c>
      <c r="L206" s="37" t="str">
        <f t="shared" si="4"/>
        <v/>
      </c>
      <c r="M206" s="30"/>
      <c r="N206" s="38" t="b">
        <v>0</v>
      </c>
      <c r="O206" s="38" t="b">
        <v>0</v>
      </c>
      <c r="P206" s="38" t="b">
        <v>0</v>
      </c>
      <c r="Q206" s="39" t="e">
        <f>VLOOKUP($B206,'25년 12월 출석표'!$B$2:$BQ$497,16,0)/5</f>
        <v>#N/A</v>
      </c>
      <c r="R206" s="40"/>
      <c r="S206" s="41" t="e">
        <f>VLOOKUP($B206,'25년 12월 출석표'!$B$2:$BQ$497,30,0)/5</f>
        <v>#N/A</v>
      </c>
      <c r="T206" s="40"/>
      <c r="U206" s="41" t="e">
        <f>VLOOKUP($B206,'25년 12월 출석표'!$B$2:$BQ$497,44,0)/5</f>
        <v>#N/A</v>
      </c>
      <c r="V206" s="40"/>
      <c r="W206" s="41" t="e">
        <f>VLOOKUP($B206,'25년 12월 출석표'!$B$2:$BQ$497,58,0)/5</f>
        <v>#N/A</v>
      </c>
      <c r="X206" s="42"/>
      <c r="Y206" s="41" t="e">
        <f>VLOOKUP($B206,'25년 12월 출석표'!$B$2:$BQ$503,66,0)/5</f>
        <v>#N/A</v>
      </c>
      <c r="Z206" s="43"/>
    </row>
    <row r="207" spans="1:26">
      <c r="A207" s="29"/>
      <c r="B207" s="164"/>
      <c r="C207" s="164"/>
      <c r="D207" s="177"/>
      <c r="E207" s="178"/>
      <c r="F207" s="179"/>
      <c r="G207" s="180"/>
      <c r="H207" s="180"/>
      <c r="I207" s="34" t="e">
        <f>VLOOKUP(B207,'25년 12월 출석표'!$B$7:$D$509,3,0)</f>
        <v>#N/A</v>
      </c>
      <c r="J207" s="35" t="e">
        <f t="shared" ca="1" si="0"/>
        <v>#NAME?</v>
      </c>
      <c r="K207" s="36" t="str">
        <f t="shared" si="3"/>
        <v/>
      </c>
      <c r="L207" s="37" t="str">
        <f t="shared" si="4"/>
        <v/>
      </c>
      <c r="M207" s="30"/>
      <c r="N207" s="38" t="b">
        <v>0</v>
      </c>
      <c r="O207" s="38" t="b">
        <v>0</v>
      </c>
      <c r="P207" s="38" t="b">
        <v>0</v>
      </c>
      <c r="Q207" s="39" t="e">
        <f>VLOOKUP($B207,'25년 12월 출석표'!$B$2:$BQ$497,16,0)/5</f>
        <v>#N/A</v>
      </c>
      <c r="R207" s="40"/>
      <c r="S207" s="41" t="e">
        <f>VLOOKUP($B207,'25년 12월 출석표'!$B$2:$BQ$497,30,0)/5</f>
        <v>#N/A</v>
      </c>
      <c r="T207" s="40"/>
      <c r="U207" s="41" t="e">
        <f>VLOOKUP($B207,'25년 12월 출석표'!$B$2:$BQ$497,44,0)/5</f>
        <v>#N/A</v>
      </c>
      <c r="V207" s="40"/>
      <c r="W207" s="41" t="e">
        <f>VLOOKUP($B207,'25년 12월 출석표'!$B$2:$BQ$497,58,0)/5</f>
        <v>#N/A</v>
      </c>
      <c r="X207" s="42"/>
      <c r="Y207" s="41" t="e">
        <f>VLOOKUP($B207,'25년 12월 출석표'!$B$2:$BQ$503,66,0)/5</f>
        <v>#N/A</v>
      </c>
      <c r="Z207" s="43"/>
    </row>
    <row r="208" spans="1:26">
      <c r="A208" s="29"/>
      <c r="B208" s="164"/>
      <c r="C208" s="164"/>
      <c r="D208" s="177"/>
      <c r="E208" s="178"/>
      <c r="F208" s="179"/>
      <c r="G208" s="180"/>
      <c r="H208" s="180"/>
      <c r="I208" s="34" t="e">
        <f>VLOOKUP(B208,'25년 12월 출석표'!$B$7:$D$509,3,0)</f>
        <v>#N/A</v>
      </c>
      <c r="J208" s="35" t="e">
        <f t="shared" ca="1" si="0"/>
        <v>#NAME?</v>
      </c>
      <c r="K208" s="36" t="str">
        <f t="shared" si="3"/>
        <v/>
      </c>
      <c r="L208" s="37" t="str">
        <f t="shared" si="4"/>
        <v/>
      </c>
      <c r="M208" s="30"/>
      <c r="N208" s="38" t="b">
        <v>0</v>
      </c>
      <c r="O208" s="38" t="b">
        <v>0</v>
      </c>
      <c r="P208" s="38" t="b">
        <v>0</v>
      </c>
      <c r="Q208" s="39" t="e">
        <f>VLOOKUP($B208,'25년 12월 출석표'!$B$2:$BQ$497,16,0)/5</f>
        <v>#N/A</v>
      </c>
      <c r="R208" s="40"/>
      <c r="S208" s="41" t="e">
        <f>VLOOKUP($B208,'25년 12월 출석표'!$B$2:$BQ$497,30,0)/5</f>
        <v>#N/A</v>
      </c>
      <c r="T208" s="40"/>
      <c r="U208" s="41" t="e">
        <f>VLOOKUP($B208,'25년 12월 출석표'!$B$2:$BQ$497,44,0)/5</f>
        <v>#N/A</v>
      </c>
      <c r="V208" s="40"/>
      <c r="W208" s="41" t="e">
        <f>VLOOKUP($B208,'25년 12월 출석표'!$B$2:$BQ$497,58,0)/5</f>
        <v>#N/A</v>
      </c>
      <c r="X208" s="42"/>
      <c r="Y208" s="41" t="e">
        <f>VLOOKUP($B208,'25년 12월 출석표'!$B$2:$BQ$503,66,0)/5</f>
        <v>#N/A</v>
      </c>
      <c r="Z208" s="43"/>
    </row>
    <row r="209" spans="1:26">
      <c r="A209" s="29"/>
      <c r="B209" s="164"/>
      <c r="C209" s="164"/>
      <c r="D209" s="177"/>
      <c r="E209" s="178"/>
      <c r="F209" s="179"/>
      <c r="G209" s="180"/>
      <c r="H209" s="180"/>
      <c r="I209" s="34" t="e">
        <f>VLOOKUP(B209,'25년 12월 출석표'!$B$7:$D$509,3,0)</f>
        <v>#N/A</v>
      </c>
      <c r="J209" s="35" t="e">
        <f t="shared" ca="1" si="0"/>
        <v>#NAME?</v>
      </c>
      <c r="K209" s="36" t="str">
        <f t="shared" si="3"/>
        <v/>
      </c>
      <c r="L209" s="37" t="str">
        <f t="shared" si="4"/>
        <v/>
      </c>
      <c r="M209" s="30"/>
      <c r="N209" s="38" t="b">
        <v>0</v>
      </c>
      <c r="O209" s="38" t="b">
        <v>0</v>
      </c>
      <c r="P209" s="38" t="b">
        <v>0</v>
      </c>
      <c r="Q209" s="39" t="e">
        <f>VLOOKUP($B209,'25년 12월 출석표'!$B$2:$BQ$497,16,0)/5</f>
        <v>#N/A</v>
      </c>
      <c r="R209" s="40"/>
      <c r="S209" s="41" t="e">
        <f>VLOOKUP($B209,'25년 12월 출석표'!$B$2:$BQ$497,30,0)/5</f>
        <v>#N/A</v>
      </c>
      <c r="T209" s="40"/>
      <c r="U209" s="41" t="e">
        <f>VLOOKUP($B209,'25년 12월 출석표'!$B$2:$BQ$497,44,0)/5</f>
        <v>#N/A</v>
      </c>
      <c r="V209" s="40"/>
      <c r="W209" s="41" t="e">
        <f>VLOOKUP($B209,'25년 12월 출석표'!$B$2:$BQ$497,58,0)/5</f>
        <v>#N/A</v>
      </c>
      <c r="X209" s="42"/>
      <c r="Y209" s="41" t="e">
        <f>VLOOKUP($B209,'25년 12월 출석표'!$B$2:$BQ$503,66,0)/5</f>
        <v>#N/A</v>
      </c>
      <c r="Z209" s="43"/>
    </row>
    <row r="210" spans="1:26">
      <c r="A210" s="29"/>
      <c r="B210" s="164"/>
      <c r="C210" s="164"/>
      <c r="D210" s="177"/>
      <c r="E210" s="178"/>
      <c r="F210" s="179"/>
      <c r="G210" s="180"/>
      <c r="H210" s="180"/>
      <c r="I210" s="34" t="e">
        <f>VLOOKUP(B210,'25년 12월 출석표'!$B$7:$D$509,3,0)</f>
        <v>#N/A</v>
      </c>
      <c r="J210" s="35" t="e">
        <f t="shared" ca="1" si="0"/>
        <v>#NAME?</v>
      </c>
      <c r="K210" s="36" t="str">
        <f t="shared" si="3"/>
        <v/>
      </c>
      <c r="L210" s="37" t="str">
        <f t="shared" si="4"/>
        <v/>
      </c>
      <c r="M210" s="30"/>
      <c r="N210" s="38" t="b">
        <v>0</v>
      </c>
      <c r="O210" s="38" t="b">
        <v>0</v>
      </c>
      <c r="P210" s="38" t="b">
        <v>0</v>
      </c>
      <c r="Q210" s="39" t="e">
        <f>VLOOKUP($B210,'25년 12월 출석표'!$B$2:$BQ$497,16,0)/5</f>
        <v>#N/A</v>
      </c>
      <c r="R210" s="40"/>
      <c r="S210" s="41" t="e">
        <f>VLOOKUP($B210,'25년 12월 출석표'!$B$2:$BQ$497,30,0)/5</f>
        <v>#N/A</v>
      </c>
      <c r="T210" s="40"/>
      <c r="U210" s="41" t="e">
        <f>VLOOKUP($B210,'25년 12월 출석표'!$B$2:$BQ$497,44,0)/5</f>
        <v>#N/A</v>
      </c>
      <c r="V210" s="40"/>
      <c r="W210" s="41" t="e">
        <f>VLOOKUP($B210,'25년 12월 출석표'!$B$2:$BQ$497,58,0)/5</f>
        <v>#N/A</v>
      </c>
      <c r="X210" s="42"/>
      <c r="Y210" s="41" t="e">
        <f>VLOOKUP($B210,'25년 12월 출석표'!$B$2:$BQ$503,66,0)/5</f>
        <v>#N/A</v>
      </c>
      <c r="Z210" s="43"/>
    </row>
    <row r="211" spans="1:26">
      <c r="A211" s="29"/>
      <c r="B211" s="164"/>
      <c r="C211" s="164"/>
      <c r="D211" s="177"/>
      <c r="E211" s="178"/>
      <c r="F211" s="179"/>
      <c r="G211" s="180"/>
      <c r="H211" s="180"/>
      <c r="I211" s="34" t="e">
        <f>VLOOKUP(B211,'25년 12월 출석표'!$B$7:$D$509,3,0)</f>
        <v>#N/A</v>
      </c>
      <c r="J211" s="35" t="e">
        <f t="shared" ca="1" si="0"/>
        <v>#NAME?</v>
      </c>
      <c r="K211" s="36" t="str">
        <f t="shared" si="3"/>
        <v/>
      </c>
      <c r="L211" s="37" t="str">
        <f t="shared" si="4"/>
        <v/>
      </c>
      <c r="M211" s="30"/>
      <c r="N211" s="38" t="b">
        <v>0</v>
      </c>
      <c r="O211" s="38" t="b">
        <v>0</v>
      </c>
      <c r="P211" s="38" t="b">
        <v>0</v>
      </c>
      <c r="Q211" s="39" t="e">
        <f>VLOOKUP($B211,'25년 12월 출석표'!$B$2:$BQ$497,16,0)/5</f>
        <v>#N/A</v>
      </c>
      <c r="R211" s="40"/>
      <c r="S211" s="41" t="e">
        <f>VLOOKUP($B211,'25년 12월 출석표'!$B$2:$BQ$497,30,0)/5</f>
        <v>#N/A</v>
      </c>
      <c r="T211" s="40"/>
      <c r="U211" s="41" t="e">
        <f>VLOOKUP($B211,'25년 12월 출석표'!$B$2:$BQ$497,44,0)/5</f>
        <v>#N/A</v>
      </c>
      <c r="V211" s="40"/>
      <c r="W211" s="41" t="e">
        <f>VLOOKUP($B211,'25년 12월 출석표'!$B$2:$BQ$497,58,0)/5</f>
        <v>#N/A</v>
      </c>
      <c r="X211" s="42"/>
      <c r="Y211" s="41" t="e">
        <f>VLOOKUP($B211,'25년 12월 출석표'!$B$2:$BQ$503,66,0)/5</f>
        <v>#N/A</v>
      </c>
      <c r="Z211" s="43"/>
    </row>
    <row r="212" spans="1:26">
      <c r="A212" s="29"/>
      <c r="B212" s="164"/>
      <c r="C212" s="164"/>
      <c r="D212" s="177"/>
      <c r="E212" s="178"/>
      <c r="F212" s="179"/>
      <c r="G212" s="180"/>
      <c r="H212" s="180"/>
      <c r="I212" s="34" t="e">
        <f>VLOOKUP(B212,'25년 12월 출석표'!$B$7:$D$509,3,0)</f>
        <v>#N/A</v>
      </c>
      <c r="J212" s="35" t="e">
        <f t="shared" ca="1" si="0"/>
        <v>#NAME?</v>
      </c>
      <c r="K212" s="36" t="str">
        <f t="shared" si="3"/>
        <v/>
      </c>
      <c r="L212" s="37" t="str">
        <f t="shared" si="4"/>
        <v/>
      </c>
      <c r="M212" s="30"/>
      <c r="N212" s="38" t="b">
        <v>0</v>
      </c>
      <c r="O212" s="38" t="b">
        <v>0</v>
      </c>
      <c r="P212" s="38" t="b">
        <v>0</v>
      </c>
      <c r="Q212" s="39" t="e">
        <f>VLOOKUP($B212,'25년 12월 출석표'!$B$2:$BQ$497,16,0)/5</f>
        <v>#N/A</v>
      </c>
      <c r="R212" s="40"/>
      <c r="S212" s="41" t="e">
        <f>VLOOKUP($B212,'25년 12월 출석표'!$B$2:$BQ$497,30,0)/5</f>
        <v>#N/A</v>
      </c>
      <c r="T212" s="40"/>
      <c r="U212" s="41" t="e">
        <f>VLOOKUP($B212,'25년 12월 출석표'!$B$2:$BQ$497,44,0)/5</f>
        <v>#N/A</v>
      </c>
      <c r="V212" s="40"/>
      <c r="W212" s="41" t="e">
        <f>VLOOKUP($B212,'25년 12월 출석표'!$B$2:$BQ$497,58,0)/5</f>
        <v>#N/A</v>
      </c>
      <c r="X212" s="42"/>
      <c r="Y212" s="41" t="e">
        <f>VLOOKUP($B212,'25년 12월 출석표'!$B$2:$BQ$503,66,0)/5</f>
        <v>#N/A</v>
      </c>
      <c r="Z212" s="43"/>
    </row>
    <row r="213" spans="1:26">
      <c r="A213" s="29"/>
      <c r="B213" s="164"/>
      <c r="C213" s="164"/>
      <c r="D213" s="177"/>
      <c r="E213" s="178"/>
      <c r="F213" s="179"/>
      <c r="G213" s="180"/>
      <c r="H213" s="180"/>
      <c r="I213" s="34" t="e">
        <f>VLOOKUP(B213,'25년 12월 출석표'!$B$7:$D$509,3,0)</f>
        <v>#N/A</v>
      </c>
      <c r="J213" s="35" t="e">
        <f t="shared" ca="1" si="0"/>
        <v>#NAME?</v>
      </c>
      <c r="K213" s="36" t="str">
        <f t="shared" si="3"/>
        <v/>
      </c>
      <c r="L213" s="37" t="str">
        <f t="shared" si="4"/>
        <v/>
      </c>
      <c r="M213" s="30"/>
      <c r="N213" s="38" t="b">
        <v>0</v>
      </c>
      <c r="O213" s="38" t="b">
        <v>0</v>
      </c>
      <c r="P213" s="38" t="b">
        <v>0</v>
      </c>
      <c r="Q213" s="39" t="e">
        <f>VLOOKUP($B213,'25년 12월 출석표'!$B$2:$BQ$497,16,0)/5</f>
        <v>#N/A</v>
      </c>
      <c r="R213" s="40"/>
      <c r="S213" s="41" t="e">
        <f>VLOOKUP($B213,'25년 12월 출석표'!$B$2:$BQ$497,30,0)/5</f>
        <v>#N/A</v>
      </c>
      <c r="T213" s="40"/>
      <c r="U213" s="41" t="e">
        <f>VLOOKUP($B213,'25년 12월 출석표'!$B$2:$BQ$497,44,0)/5</f>
        <v>#N/A</v>
      </c>
      <c r="V213" s="40"/>
      <c r="W213" s="41" t="e">
        <f>VLOOKUP($B213,'25년 12월 출석표'!$B$2:$BQ$497,58,0)/5</f>
        <v>#N/A</v>
      </c>
      <c r="X213" s="42"/>
      <c r="Y213" s="41" t="e">
        <f>VLOOKUP($B213,'25년 12월 출석표'!$B$2:$BQ$503,66,0)/5</f>
        <v>#N/A</v>
      </c>
      <c r="Z213" s="43"/>
    </row>
    <row r="214" spans="1:26">
      <c r="A214" s="29"/>
      <c r="B214" s="164"/>
      <c r="C214" s="164"/>
      <c r="D214" s="177"/>
      <c r="E214" s="178"/>
      <c r="F214" s="179"/>
      <c r="G214" s="180"/>
      <c r="H214" s="180"/>
      <c r="I214" s="34" t="e">
        <f>VLOOKUP(B214,'25년 12월 출석표'!$B$7:$D$509,3,0)</f>
        <v>#N/A</v>
      </c>
      <c r="J214" s="35" t="e">
        <f t="shared" ca="1" si="0"/>
        <v>#NAME?</v>
      </c>
      <c r="K214" s="36" t="str">
        <f t="shared" si="3"/>
        <v/>
      </c>
      <c r="L214" s="37" t="str">
        <f t="shared" si="4"/>
        <v/>
      </c>
      <c r="M214" s="30"/>
      <c r="N214" s="38" t="b">
        <v>0</v>
      </c>
      <c r="O214" s="38" t="b">
        <v>0</v>
      </c>
      <c r="P214" s="38" t="b">
        <v>0</v>
      </c>
      <c r="Q214" s="39" t="e">
        <f>VLOOKUP($B214,'25년 12월 출석표'!$B$2:$BQ$497,16,0)/5</f>
        <v>#N/A</v>
      </c>
      <c r="R214" s="40"/>
      <c r="S214" s="41" t="e">
        <f>VLOOKUP($B214,'25년 12월 출석표'!$B$2:$BQ$497,30,0)/5</f>
        <v>#N/A</v>
      </c>
      <c r="T214" s="40"/>
      <c r="U214" s="41" t="e">
        <f>VLOOKUP($B214,'25년 12월 출석표'!$B$2:$BQ$497,44,0)/5</f>
        <v>#N/A</v>
      </c>
      <c r="V214" s="40"/>
      <c r="W214" s="41" t="e">
        <f>VLOOKUP($B214,'25년 12월 출석표'!$B$2:$BQ$497,58,0)/5</f>
        <v>#N/A</v>
      </c>
      <c r="X214" s="42"/>
      <c r="Y214" s="41" t="e">
        <f>VLOOKUP($B214,'25년 12월 출석표'!$B$2:$BQ$503,66,0)/5</f>
        <v>#N/A</v>
      </c>
      <c r="Z214" s="43"/>
    </row>
    <row r="215" spans="1:26">
      <c r="A215" s="29"/>
      <c r="B215" s="164"/>
      <c r="C215" s="164"/>
      <c r="D215" s="177"/>
      <c r="E215" s="178"/>
      <c r="F215" s="179"/>
      <c r="G215" s="180"/>
      <c r="H215" s="180"/>
      <c r="I215" s="34" t="e">
        <f>VLOOKUP(B215,'25년 12월 출석표'!$B$7:$D$509,3,0)</f>
        <v>#N/A</v>
      </c>
      <c r="J215" s="35" t="e">
        <f t="shared" ca="1" si="0"/>
        <v>#NAME?</v>
      </c>
      <c r="K215" s="36" t="str">
        <f t="shared" si="3"/>
        <v/>
      </c>
      <c r="L215" s="37" t="str">
        <f t="shared" si="4"/>
        <v/>
      </c>
      <c r="M215" s="30"/>
      <c r="N215" s="38" t="b">
        <v>0</v>
      </c>
      <c r="O215" s="38" t="b">
        <v>0</v>
      </c>
      <c r="P215" s="38" t="b">
        <v>0</v>
      </c>
      <c r="Q215" s="39" t="e">
        <f>VLOOKUP($B215,'25년 12월 출석표'!$B$2:$BQ$497,16,0)/5</f>
        <v>#N/A</v>
      </c>
      <c r="R215" s="40"/>
      <c r="S215" s="41" t="e">
        <f>VLOOKUP($B215,'25년 12월 출석표'!$B$2:$BQ$497,30,0)/5</f>
        <v>#N/A</v>
      </c>
      <c r="T215" s="40"/>
      <c r="U215" s="41" t="e">
        <f>VLOOKUP($B215,'25년 12월 출석표'!$B$2:$BQ$497,44,0)/5</f>
        <v>#N/A</v>
      </c>
      <c r="V215" s="40"/>
      <c r="W215" s="41" t="e">
        <f>VLOOKUP($B215,'25년 12월 출석표'!$B$2:$BQ$497,58,0)/5</f>
        <v>#N/A</v>
      </c>
      <c r="X215" s="42"/>
      <c r="Y215" s="41" t="e">
        <f>VLOOKUP($B215,'25년 12월 출석표'!$B$2:$BQ$503,66,0)/5</f>
        <v>#N/A</v>
      </c>
      <c r="Z215" s="43"/>
    </row>
    <row r="216" spans="1:26">
      <c r="A216" s="29"/>
      <c r="B216" s="164"/>
      <c r="C216" s="164"/>
      <c r="D216" s="177"/>
      <c r="E216" s="178"/>
      <c r="F216" s="179"/>
      <c r="G216" s="180"/>
      <c r="H216" s="180"/>
      <c r="I216" s="34" t="e">
        <f>VLOOKUP(B216,'25년 12월 출석표'!$B$7:$D$509,3,0)</f>
        <v>#N/A</v>
      </c>
      <c r="J216" s="35" t="e">
        <f t="shared" ca="1" si="0"/>
        <v>#NAME?</v>
      </c>
      <c r="K216" s="36" t="str">
        <f t="shared" si="3"/>
        <v/>
      </c>
      <c r="L216" s="37" t="str">
        <f t="shared" si="4"/>
        <v/>
      </c>
      <c r="M216" s="30"/>
      <c r="N216" s="38" t="b">
        <v>0</v>
      </c>
      <c r="O216" s="38" t="b">
        <v>0</v>
      </c>
      <c r="P216" s="38" t="b">
        <v>0</v>
      </c>
      <c r="Q216" s="39" t="e">
        <f>VLOOKUP($B216,'25년 12월 출석표'!$B$2:$BQ$497,16,0)/5</f>
        <v>#N/A</v>
      </c>
      <c r="R216" s="40"/>
      <c r="S216" s="41" t="e">
        <f>VLOOKUP($B216,'25년 12월 출석표'!$B$2:$BQ$497,30,0)/5</f>
        <v>#N/A</v>
      </c>
      <c r="T216" s="40"/>
      <c r="U216" s="41" t="e">
        <f>VLOOKUP($B216,'25년 12월 출석표'!$B$2:$BQ$497,44,0)/5</f>
        <v>#N/A</v>
      </c>
      <c r="V216" s="40"/>
      <c r="W216" s="41" t="e">
        <f>VLOOKUP($B216,'25년 12월 출석표'!$B$2:$BQ$497,58,0)/5</f>
        <v>#N/A</v>
      </c>
      <c r="X216" s="42"/>
      <c r="Y216" s="41" t="e">
        <f>VLOOKUP($B216,'25년 12월 출석표'!$B$2:$BQ$503,66,0)/5</f>
        <v>#N/A</v>
      </c>
      <c r="Z216" s="43"/>
    </row>
    <row r="217" spans="1:26">
      <c r="A217" s="29"/>
      <c r="B217" s="164"/>
      <c r="C217" s="164"/>
      <c r="D217" s="177"/>
      <c r="E217" s="178"/>
      <c r="F217" s="179"/>
      <c r="G217" s="180"/>
      <c r="H217" s="180"/>
      <c r="I217" s="34" t="e">
        <f>VLOOKUP(B217,'25년 12월 출석표'!$B$7:$D$509,3,0)</f>
        <v>#N/A</v>
      </c>
      <c r="J217" s="35" t="e">
        <f t="shared" ca="1" si="0"/>
        <v>#NAME?</v>
      </c>
      <c r="K217" s="36" t="str">
        <f t="shared" si="3"/>
        <v/>
      </c>
      <c r="L217" s="37" t="str">
        <f t="shared" si="4"/>
        <v/>
      </c>
      <c r="M217" s="30"/>
      <c r="N217" s="38" t="b">
        <v>0</v>
      </c>
      <c r="O217" s="38" t="b">
        <v>0</v>
      </c>
      <c r="P217" s="38" t="b">
        <v>0</v>
      </c>
      <c r="Q217" s="39" t="e">
        <f>VLOOKUP($B217,'25년 12월 출석표'!$B$2:$BQ$497,16,0)/5</f>
        <v>#N/A</v>
      </c>
      <c r="R217" s="40"/>
      <c r="S217" s="41" t="e">
        <f>VLOOKUP($B217,'25년 12월 출석표'!$B$2:$BQ$497,30,0)/5</f>
        <v>#N/A</v>
      </c>
      <c r="T217" s="40"/>
      <c r="U217" s="41" t="e">
        <f>VLOOKUP($B217,'25년 12월 출석표'!$B$2:$BQ$497,44,0)/5</f>
        <v>#N/A</v>
      </c>
      <c r="V217" s="40"/>
      <c r="W217" s="41" t="e">
        <f>VLOOKUP($B217,'25년 12월 출석표'!$B$2:$BQ$497,58,0)/5</f>
        <v>#N/A</v>
      </c>
      <c r="X217" s="42"/>
      <c r="Y217" s="41" t="e">
        <f>VLOOKUP($B217,'25년 12월 출석표'!$B$2:$BQ$503,66,0)/5</f>
        <v>#N/A</v>
      </c>
      <c r="Z217" s="43"/>
    </row>
    <row r="218" spans="1:26">
      <c r="A218" s="29"/>
      <c r="B218" s="164"/>
      <c r="C218" s="164"/>
      <c r="D218" s="177"/>
      <c r="E218" s="178"/>
      <c r="F218" s="179"/>
      <c r="G218" s="180"/>
      <c r="H218" s="180"/>
      <c r="I218" s="34" t="e">
        <f>VLOOKUP(B218,'25년 12월 출석표'!$B$7:$D$509,3,0)</f>
        <v>#N/A</v>
      </c>
      <c r="J218" s="35" t="e">
        <f t="shared" ca="1" si="0"/>
        <v>#NAME?</v>
      </c>
      <c r="K218" s="36" t="str">
        <f t="shared" si="3"/>
        <v/>
      </c>
      <c r="L218" s="37" t="str">
        <f t="shared" si="4"/>
        <v/>
      </c>
      <c r="M218" s="30"/>
      <c r="N218" s="38" t="b">
        <v>0</v>
      </c>
      <c r="O218" s="38" t="b">
        <v>0</v>
      </c>
      <c r="P218" s="38" t="b">
        <v>0</v>
      </c>
      <c r="Q218" s="39" t="e">
        <f>VLOOKUP($B218,'25년 12월 출석표'!$B$2:$BQ$497,16,0)/5</f>
        <v>#N/A</v>
      </c>
      <c r="R218" s="40"/>
      <c r="S218" s="41" t="e">
        <f>VLOOKUP($B218,'25년 12월 출석표'!$B$2:$BQ$497,30,0)/5</f>
        <v>#N/A</v>
      </c>
      <c r="T218" s="40"/>
      <c r="U218" s="41" t="e">
        <f>VLOOKUP($B218,'25년 12월 출석표'!$B$2:$BQ$497,44,0)/5</f>
        <v>#N/A</v>
      </c>
      <c r="V218" s="40"/>
      <c r="W218" s="41" t="e">
        <f>VLOOKUP($B218,'25년 12월 출석표'!$B$2:$BQ$497,58,0)/5</f>
        <v>#N/A</v>
      </c>
      <c r="X218" s="42"/>
      <c r="Y218" s="41" t="e">
        <f>VLOOKUP($B218,'25년 12월 출석표'!$B$2:$BQ$503,66,0)/5</f>
        <v>#N/A</v>
      </c>
      <c r="Z218" s="43"/>
    </row>
    <row r="219" spans="1:26">
      <c r="A219" s="29"/>
      <c r="B219" s="164"/>
      <c r="C219" s="164"/>
      <c r="D219" s="177"/>
      <c r="E219" s="178"/>
      <c r="F219" s="179"/>
      <c r="G219" s="180"/>
      <c r="H219" s="180"/>
      <c r="I219" s="34" t="e">
        <f>VLOOKUP(B219,'25년 12월 출석표'!$B$7:$D$509,3,0)</f>
        <v>#N/A</v>
      </c>
      <c r="J219" s="35" t="e">
        <f t="shared" ca="1" si="0"/>
        <v>#NAME?</v>
      </c>
      <c r="K219" s="36" t="str">
        <f t="shared" si="3"/>
        <v/>
      </c>
      <c r="L219" s="37" t="str">
        <f t="shared" si="4"/>
        <v/>
      </c>
      <c r="M219" s="30"/>
      <c r="N219" s="38" t="b">
        <v>0</v>
      </c>
      <c r="O219" s="38" t="b">
        <v>0</v>
      </c>
      <c r="P219" s="38" t="b">
        <v>0</v>
      </c>
      <c r="Q219" s="39" t="e">
        <f>VLOOKUP($B219,'25년 12월 출석표'!$B$2:$BQ$497,16,0)/5</f>
        <v>#N/A</v>
      </c>
      <c r="R219" s="40"/>
      <c r="S219" s="41" t="e">
        <f>VLOOKUP($B219,'25년 12월 출석표'!$B$2:$BQ$497,30,0)/5</f>
        <v>#N/A</v>
      </c>
      <c r="T219" s="40"/>
      <c r="U219" s="41" t="e">
        <f>VLOOKUP($B219,'25년 12월 출석표'!$B$2:$BQ$497,44,0)/5</f>
        <v>#N/A</v>
      </c>
      <c r="V219" s="40"/>
      <c r="W219" s="41" t="e">
        <f>VLOOKUP($B219,'25년 12월 출석표'!$B$2:$BQ$497,58,0)/5</f>
        <v>#N/A</v>
      </c>
      <c r="X219" s="42"/>
      <c r="Y219" s="41" t="e">
        <f>VLOOKUP($B219,'25년 12월 출석표'!$B$2:$BQ$503,66,0)/5</f>
        <v>#N/A</v>
      </c>
      <c r="Z219" s="43"/>
    </row>
    <row r="220" spans="1:26">
      <c r="A220" s="29"/>
      <c r="B220" s="164"/>
      <c r="C220" s="164"/>
      <c r="D220" s="177"/>
      <c r="E220" s="178"/>
      <c r="F220" s="179"/>
      <c r="G220" s="180"/>
      <c r="H220" s="180"/>
      <c r="I220" s="34" t="e">
        <f>VLOOKUP(B220,'25년 12월 출석표'!$B$7:$D$509,3,0)</f>
        <v>#N/A</v>
      </c>
      <c r="J220" s="35" t="e">
        <f t="shared" ca="1" si="0"/>
        <v>#NAME?</v>
      </c>
      <c r="K220" s="36" t="str">
        <f t="shared" si="3"/>
        <v/>
      </c>
      <c r="L220" s="37" t="str">
        <f t="shared" si="4"/>
        <v/>
      </c>
      <c r="M220" s="30"/>
      <c r="N220" s="38" t="b">
        <v>0</v>
      </c>
      <c r="O220" s="38" t="b">
        <v>0</v>
      </c>
      <c r="P220" s="38" t="b">
        <v>0</v>
      </c>
      <c r="Q220" s="39" t="e">
        <f>VLOOKUP($B220,'25년 12월 출석표'!$B$2:$BQ$497,16,0)/5</f>
        <v>#N/A</v>
      </c>
      <c r="R220" s="40"/>
      <c r="S220" s="41" t="e">
        <f>VLOOKUP($B220,'25년 12월 출석표'!$B$2:$BQ$497,30,0)/5</f>
        <v>#N/A</v>
      </c>
      <c r="T220" s="40"/>
      <c r="U220" s="41" t="e">
        <f>VLOOKUP($B220,'25년 12월 출석표'!$B$2:$BQ$497,44,0)/5</f>
        <v>#N/A</v>
      </c>
      <c r="V220" s="40"/>
      <c r="W220" s="41" t="e">
        <f>VLOOKUP($B220,'25년 12월 출석표'!$B$2:$BQ$497,58,0)/5</f>
        <v>#N/A</v>
      </c>
      <c r="X220" s="42"/>
      <c r="Y220" s="41" t="e">
        <f>VLOOKUP($B220,'25년 12월 출석표'!$B$2:$BQ$503,66,0)/5</f>
        <v>#N/A</v>
      </c>
      <c r="Z220" s="43"/>
    </row>
    <row r="221" spans="1:26">
      <c r="A221" s="29"/>
      <c r="B221" s="164"/>
      <c r="C221" s="164"/>
      <c r="D221" s="177"/>
      <c r="E221" s="178"/>
      <c r="F221" s="179"/>
      <c r="G221" s="180"/>
      <c r="H221" s="180"/>
      <c r="I221" s="34" t="e">
        <f>VLOOKUP(B221,'25년 12월 출석표'!$B$7:$D$509,3,0)</f>
        <v>#N/A</v>
      </c>
      <c r="J221" s="35" t="e">
        <f t="shared" ca="1" si="0"/>
        <v>#NAME?</v>
      </c>
      <c r="K221" s="36" t="str">
        <f t="shared" si="3"/>
        <v/>
      </c>
      <c r="L221" s="37" t="str">
        <f t="shared" si="4"/>
        <v/>
      </c>
      <c r="M221" s="30"/>
      <c r="N221" s="38" t="b">
        <v>0</v>
      </c>
      <c r="O221" s="38" t="b">
        <v>0</v>
      </c>
      <c r="P221" s="38" t="b">
        <v>0</v>
      </c>
      <c r="Q221" s="39" t="e">
        <f>VLOOKUP($B221,'25년 12월 출석표'!$B$2:$BQ$497,16,0)/5</f>
        <v>#N/A</v>
      </c>
      <c r="R221" s="40"/>
      <c r="S221" s="41" t="e">
        <f>VLOOKUP($B221,'25년 12월 출석표'!$B$2:$BQ$497,30,0)/5</f>
        <v>#N/A</v>
      </c>
      <c r="T221" s="40"/>
      <c r="U221" s="41" t="e">
        <f>VLOOKUP($B221,'25년 12월 출석표'!$B$2:$BQ$497,44,0)/5</f>
        <v>#N/A</v>
      </c>
      <c r="V221" s="40"/>
      <c r="W221" s="41" t="e">
        <f>VLOOKUP($B221,'25년 12월 출석표'!$B$2:$BQ$497,58,0)/5</f>
        <v>#N/A</v>
      </c>
      <c r="X221" s="42"/>
      <c r="Y221" s="41" t="e">
        <f>VLOOKUP($B221,'25년 12월 출석표'!$B$2:$BQ$503,66,0)/5</f>
        <v>#N/A</v>
      </c>
      <c r="Z221" s="43"/>
    </row>
    <row r="222" spans="1:26">
      <c r="A222" s="29"/>
      <c r="B222" s="164"/>
      <c r="C222" s="164"/>
      <c r="D222" s="177"/>
      <c r="E222" s="178"/>
      <c r="F222" s="179"/>
      <c r="G222" s="180"/>
      <c r="H222" s="180"/>
      <c r="I222" s="34" t="e">
        <f>VLOOKUP(B222,'25년 12월 출석표'!$B$7:$D$509,3,0)</f>
        <v>#N/A</v>
      </c>
      <c r="J222" s="35" t="e">
        <f t="shared" ca="1" si="0"/>
        <v>#NAME?</v>
      </c>
      <c r="K222" s="36" t="str">
        <f t="shared" si="3"/>
        <v/>
      </c>
      <c r="L222" s="37" t="str">
        <f t="shared" si="4"/>
        <v/>
      </c>
      <c r="M222" s="30"/>
      <c r="N222" s="38" t="b">
        <v>0</v>
      </c>
      <c r="O222" s="38" t="b">
        <v>0</v>
      </c>
      <c r="P222" s="38" t="b">
        <v>0</v>
      </c>
      <c r="Q222" s="39" t="e">
        <f>VLOOKUP($B222,'25년 12월 출석표'!$B$2:$BQ$497,16,0)/5</f>
        <v>#N/A</v>
      </c>
      <c r="R222" s="40"/>
      <c r="S222" s="41" t="e">
        <f>VLOOKUP($B222,'25년 12월 출석표'!$B$2:$BQ$497,30,0)/5</f>
        <v>#N/A</v>
      </c>
      <c r="T222" s="40"/>
      <c r="U222" s="41" t="e">
        <f>VLOOKUP($B222,'25년 12월 출석표'!$B$2:$BQ$497,44,0)/5</f>
        <v>#N/A</v>
      </c>
      <c r="V222" s="40"/>
      <c r="W222" s="41" t="e">
        <f>VLOOKUP($B222,'25년 12월 출석표'!$B$2:$BQ$497,58,0)/5</f>
        <v>#N/A</v>
      </c>
      <c r="X222" s="42"/>
      <c r="Y222" s="41" t="e">
        <f>VLOOKUP($B222,'25년 12월 출석표'!$B$2:$BQ$503,66,0)/5</f>
        <v>#N/A</v>
      </c>
      <c r="Z222" s="43"/>
    </row>
    <row r="223" spans="1:26">
      <c r="A223" s="29"/>
      <c r="B223" s="164"/>
      <c r="C223" s="164"/>
      <c r="D223" s="177"/>
      <c r="E223" s="178"/>
      <c r="F223" s="179"/>
      <c r="G223" s="180"/>
      <c r="H223" s="180"/>
      <c r="I223" s="34" t="e">
        <f>VLOOKUP(B223,'25년 12월 출석표'!$B$7:$D$509,3,0)</f>
        <v>#N/A</v>
      </c>
      <c r="J223" s="35" t="e">
        <f t="shared" ca="1" si="0"/>
        <v>#NAME?</v>
      </c>
      <c r="K223" s="36" t="str">
        <f t="shared" si="3"/>
        <v/>
      </c>
      <c r="L223" s="37" t="str">
        <f t="shared" si="4"/>
        <v/>
      </c>
      <c r="M223" s="30"/>
      <c r="N223" s="38" t="b">
        <v>0</v>
      </c>
      <c r="O223" s="38" t="b">
        <v>0</v>
      </c>
      <c r="P223" s="38" t="b">
        <v>0</v>
      </c>
      <c r="Q223" s="39" t="e">
        <f>VLOOKUP($B223,'25년 12월 출석표'!$B$2:$BQ$497,16,0)/5</f>
        <v>#N/A</v>
      </c>
      <c r="R223" s="40"/>
      <c r="S223" s="41" t="e">
        <f>VLOOKUP($B223,'25년 12월 출석표'!$B$2:$BQ$497,30,0)/5</f>
        <v>#N/A</v>
      </c>
      <c r="T223" s="40"/>
      <c r="U223" s="41" t="e">
        <f>VLOOKUP($B223,'25년 12월 출석표'!$B$2:$BQ$497,44,0)/5</f>
        <v>#N/A</v>
      </c>
      <c r="V223" s="40"/>
      <c r="W223" s="41" t="e">
        <f>VLOOKUP($B223,'25년 12월 출석표'!$B$2:$BQ$497,58,0)/5</f>
        <v>#N/A</v>
      </c>
      <c r="X223" s="42"/>
      <c r="Y223" s="41" t="e">
        <f>VLOOKUP($B223,'25년 12월 출석표'!$B$2:$BQ$503,66,0)/5</f>
        <v>#N/A</v>
      </c>
      <c r="Z223" s="43"/>
    </row>
    <row r="224" spans="1:26">
      <c r="A224" s="29"/>
      <c r="B224" s="164"/>
      <c r="C224" s="164"/>
      <c r="D224" s="177"/>
      <c r="E224" s="178"/>
      <c r="F224" s="179"/>
      <c r="G224" s="180"/>
      <c r="H224" s="180"/>
      <c r="I224" s="34" t="e">
        <f>VLOOKUP(B224,'25년 12월 출석표'!$B$7:$D$509,3,0)</f>
        <v>#N/A</v>
      </c>
      <c r="J224" s="35" t="e">
        <f t="shared" ca="1" si="0"/>
        <v>#NAME?</v>
      </c>
      <c r="K224" s="36" t="str">
        <f t="shared" si="3"/>
        <v/>
      </c>
      <c r="L224" s="37" t="str">
        <f t="shared" si="4"/>
        <v/>
      </c>
      <c r="M224" s="30"/>
      <c r="N224" s="38" t="b">
        <v>0</v>
      </c>
      <c r="O224" s="38" t="b">
        <v>0</v>
      </c>
      <c r="P224" s="38" t="b">
        <v>0</v>
      </c>
      <c r="Q224" s="39" t="e">
        <f>VLOOKUP($B224,'25년 12월 출석표'!$B$2:$BQ$497,16,0)/5</f>
        <v>#N/A</v>
      </c>
      <c r="R224" s="40"/>
      <c r="S224" s="41" t="e">
        <f>VLOOKUP($B224,'25년 12월 출석표'!$B$2:$BQ$497,30,0)/5</f>
        <v>#N/A</v>
      </c>
      <c r="T224" s="40"/>
      <c r="U224" s="41" t="e">
        <f>VLOOKUP($B224,'25년 12월 출석표'!$B$2:$BQ$497,44,0)/5</f>
        <v>#N/A</v>
      </c>
      <c r="V224" s="40"/>
      <c r="W224" s="41" t="e">
        <f>VLOOKUP($B224,'25년 12월 출석표'!$B$2:$BQ$497,58,0)/5</f>
        <v>#N/A</v>
      </c>
      <c r="X224" s="42"/>
      <c r="Y224" s="41" t="e">
        <f>VLOOKUP($B224,'25년 12월 출석표'!$B$2:$BQ$503,66,0)/5</f>
        <v>#N/A</v>
      </c>
      <c r="Z224" s="43"/>
    </row>
    <row r="225" spans="1:26">
      <c r="A225" s="29"/>
      <c r="B225" s="164"/>
      <c r="C225" s="164"/>
      <c r="D225" s="177"/>
      <c r="E225" s="178"/>
      <c r="F225" s="179"/>
      <c r="G225" s="180"/>
      <c r="H225" s="180"/>
      <c r="I225" s="34" t="e">
        <f>VLOOKUP(B225,'25년 12월 출석표'!$B$7:$D$509,3,0)</f>
        <v>#N/A</v>
      </c>
      <c r="J225" s="35" t="e">
        <f t="shared" ca="1" si="0"/>
        <v>#NAME?</v>
      </c>
      <c r="K225" s="36" t="str">
        <f t="shared" si="3"/>
        <v/>
      </c>
      <c r="L225" s="37" t="str">
        <f t="shared" si="4"/>
        <v/>
      </c>
      <c r="M225" s="30"/>
      <c r="N225" s="38" t="b">
        <v>0</v>
      </c>
      <c r="O225" s="38" t="b">
        <v>0</v>
      </c>
      <c r="P225" s="38" t="b">
        <v>0</v>
      </c>
      <c r="Q225" s="39" t="e">
        <f>VLOOKUP($B225,'25년 12월 출석표'!$B$2:$BQ$497,16,0)/5</f>
        <v>#N/A</v>
      </c>
      <c r="R225" s="40"/>
      <c r="S225" s="41" t="e">
        <f>VLOOKUP($B225,'25년 12월 출석표'!$B$2:$BQ$497,30,0)/5</f>
        <v>#N/A</v>
      </c>
      <c r="T225" s="40"/>
      <c r="U225" s="41" t="e">
        <f>VLOOKUP($B225,'25년 12월 출석표'!$B$2:$BQ$497,44,0)/5</f>
        <v>#N/A</v>
      </c>
      <c r="V225" s="40"/>
      <c r="W225" s="41" t="e">
        <f>VLOOKUP($B225,'25년 12월 출석표'!$B$2:$BQ$497,58,0)/5</f>
        <v>#N/A</v>
      </c>
      <c r="X225" s="42"/>
      <c r="Y225" s="41" t="e">
        <f>VLOOKUP($B225,'25년 12월 출석표'!$B$2:$BQ$503,66,0)/5</f>
        <v>#N/A</v>
      </c>
      <c r="Z225" s="43"/>
    </row>
    <row r="226" spans="1:26">
      <c r="A226" s="29"/>
      <c r="B226" s="164"/>
      <c r="C226" s="164"/>
      <c r="D226" s="177"/>
      <c r="E226" s="178"/>
      <c r="F226" s="179"/>
      <c r="G226" s="180"/>
      <c r="H226" s="180"/>
      <c r="I226" s="34" t="e">
        <f>VLOOKUP(B226,'25년 12월 출석표'!$B$7:$D$509,3,0)</f>
        <v>#N/A</v>
      </c>
      <c r="J226" s="35" t="e">
        <f t="shared" ca="1" si="0"/>
        <v>#NAME?</v>
      </c>
      <c r="K226" s="36" t="str">
        <f t="shared" si="3"/>
        <v/>
      </c>
      <c r="L226" s="37" t="str">
        <f t="shared" si="4"/>
        <v/>
      </c>
      <c r="M226" s="30"/>
      <c r="N226" s="38" t="b">
        <v>0</v>
      </c>
      <c r="O226" s="38" t="b">
        <v>0</v>
      </c>
      <c r="P226" s="38" t="b">
        <v>0</v>
      </c>
      <c r="Q226" s="39" t="e">
        <f>VLOOKUP($B226,'25년 12월 출석표'!$B$2:$BQ$497,16,0)/5</f>
        <v>#N/A</v>
      </c>
      <c r="R226" s="40"/>
      <c r="S226" s="41" t="e">
        <f>VLOOKUP($B226,'25년 12월 출석표'!$B$2:$BQ$497,30,0)/5</f>
        <v>#N/A</v>
      </c>
      <c r="T226" s="40"/>
      <c r="U226" s="41" t="e">
        <f>VLOOKUP($B226,'25년 12월 출석표'!$B$2:$BQ$497,44,0)/5</f>
        <v>#N/A</v>
      </c>
      <c r="V226" s="40"/>
      <c r="W226" s="41" t="e">
        <f>VLOOKUP($B226,'25년 12월 출석표'!$B$2:$BQ$497,58,0)/5</f>
        <v>#N/A</v>
      </c>
      <c r="X226" s="42"/>
      <c r="Y226" s="41" t="e">
        <f>VLOOKUP($B226,'25년 12월 출석표'!$B$2:$BQ$503,66,0)/5</f>
        <v>#N/A</v>
      </c>
      <c r="Z226" s="43"/>
    </row>
    <row r="227" spans="1:26">
      <c r="A227" s="29"/>
      <c r="B227" s="164"/>
      <c r="C227" s="164"/>
      <c r="D227" s="177"/>
      <c r="E227" s="178"/>
      <c r="F227" s="180"/>
      <c r="G227" s="180"/>
      <c r="H227" s="180"/>
      <c r="I227" s="34" t="e">
        <f>VLOOKUP(B227,'25년 12월 출석표'!$B$7:$D$509,3,0)</f>
        <v>#N/A</v>
      </c>
      <c r="J227" s="35" t="e">
        <f t="shared" ca="1" si="0"/>
        <v>#NAME?</v>
      </c>
      <c r="K227" s="36" t="str">
        <f t="shared" si="3"/>
        <v/>
      </c>
      <c r="L227" s="37" t="str">
        <f t="shared" si="4"/>
        <v/>
      </c>
      <c r="M227" s="30"/>
      <c r="N227" s="38" t="b">
        <v>0</v>
      </c>
      <c r="O227" s="38" t="b">
        <v>0</v>
      </c>
      <c r="P227" s="38" t="b">
        <v>0</v>
      </c>
      <c r="Q227" s="39" t="e">
        <f>VLOOKUP($B227,'25년 12월 출석표'!$B$2:$BQ$497,16,0)/5</f>
        <v>#N/A</v>
      </c>
      <c r="R227" s="40"/>
      <c r="S227" s="41" t="e">
        <f>VLOOKUP($B227,'25년 12월 출석표'!$B$2:$BQ$497,30,0)/5</f>
        <v>#N/A</v>
      </c>
      <c r="T227" s="40"/>
      <c r="U227" s="41" t="e">
        <f>VLOOKUP($B227,'25년 12월 출석표'!$B$2:$BQ$497,44,0)/5</f>
        <v>#N/A</v>
      </c>
      <c r="V227" s="40"/>
      <c r="W227" s="41" t="e">
        <f>VLOOKUP($B227,'25년 12월 출석표'!$B$2:$BQ$497,58,0)/5</f>
        <v>#N/A</v>
      </c>
      <c r="X227" s="42"/>
      <c r="Y227" s="41" t="e">
        <f>VLOOKUP($B227,'25년 12월 출석표'!$B$2:$BQ$503,66,0)/5</f>
        <v>#N/A</v>
      </c>
      <c r="Z227" s="43"/>
    </row>
    <row r="228" spans="1:26">
      <c r="A228" s="29"/>
      <c r="B228" s="164"/>
      <c r="C228" s="164"/>
      <c r="D228" s="177"/>
      <c r="E228" s="178"/>
      <c r="F228" s="180"/>
      <c r="G228" s="180"/>
      <c r="H228" s="180"/>
      <c r="I228" s="34" t="e">
        <f>VLOOKUP(B228,'25년 12월 출석표'!$B$7:$D$509,3,0)</f>
        <v>#N/A</v>
      </c>
      <c r="J228" s="35" t="e">
        <f t="shared" ca="1" si="0"/>
        <v>#NAME?</v>
      </c>
      <c r="K228" s="36" t="str">
        <f t="shared" si="3"/>
        <v/>
      </c>
      <c r="L228" s="37" t="str">
        <f t="shared" si="4"/>
        <v/>
      </c>
      <c r="M228" s="30"/>
      <c r="N228" s="38" t="b">
        <v>0</v>
      </c>
      <c r="O228" s="38" t="b">
        <v>0</v>
      </c>
      <c r="P228" s="38" t="b">
        <v>0</v>
      </c>
      <c r="Q228" s="39" t="e">
        <f>VLOOKUP($B228,'25년 12월 출석표'!$B$2:$BQ$497,16,0)/5</f>
        <v>#N/A</v>
      </c>
      <c r="R228" s="40"/>
      <c r="S228" s="41" t="e">
        <f>VLOOKUP($B228,'25년 12월 출석표'!$B$2:$BQ$497,30,0)/5</f>
        <v>#N/A</v>
      </c>
      <c r="T228" s="40"/>
      <c r="U228" s="41" t="e">
        <f>VLOOKUP($B228,'25년 12월 출석표'!$B$2:$BQ$497,44,0)/5</f>
        <v>#N/A</v>
      </c>
      <c r="V228" s="40"/>
      <c r="W228" s="41" t="e">
        <f>VLOOKUP($B228,'25년 12월 출석표'!$B$2:$BQ$497,58,0)/5</f>
        <v>#N/A</v>
      </c>
      <c r="X228" s="42"/>
      <c r="Y228" s="41" t="e">
        <f>VLOOKUP($B228,'25년 12월 출석표'!$B$2:$BQ$503,66,0)/5</f>
        <v>#N/A</v>
      </c>
      <c r="Z228" s="43"/>
    </row>
    <row r="229" spans="1:26">
      <c r="A229" s="29"/>
      <c r="B229" s="164"/>
      <c r="C229" s="164"/>
      <c r="D229" s="177"/>
      <c r="E229" s="178"/>
      <c r="F229" s="180"/>
      <c r="G229" s="180"/>
      <c r="H229" s="180"/>
      <c r="I229" s="34" t="e">
        <f>VLOOKUP(B229,'25년 12월 출석표'!$B$7:$D$509,3,0)</f>
        <v>#N/A</v>
      </c>
      <c r="J229" s="35" t="e">
        <f t="shared" ca="1" si="0"/>
        <v>#NAME?</v>
      </c>
      <c r="K229" s="36" t="str">
        <f t="shared" si="3"/>
        <v/>
      </c>
      <c r="L229" s="37" t="str">
        <f t="shared" si="4"/>
        <v/>
      </c>
      <c r="M229" s="30"/>
      <c r="N229" s="38" t="b">
        <v>0</v>
      </c>
      <c r="O229" s="38" t="b">
        <v>0</v>
      </c>
      <c r="P229" s="38" t="b">
        <v>0</v>
      </c>
      <c r="Q229" s="39" t="e">
        <f>VLOOKUP($B229,'25년 12월 출석표'!$B$2:$BQ$497,16,0)/5</f>
        <v>#N/A</v>
      </c>
      <c r="R229" s="40"/>
      <c r="S229" s="41" t="e">
        <f>VLOOKUP($B229,'25년 12월 출석표'!$B$2:$BQ$497,30,0)/5</f>
        <v>#N/A</v>
      </c>
      <c r="T229" s="40"/>
      <c r="U229" s="41" t="e">
        <f>VLOOKUP($B229,'25년 12월 출석표'!$B$2:$BQ$497,44,0)/5</f>
        <v>#N/A</v>
      </c>
      <c r="V229" s="40"/>
      <c r="W229" s="41" t="e">
        <f>VLOOKUP($B229,'25년 12월 출석표'!$B$2:$BQ$497,58,0)/5</f>
        <v>#N/A</v>
      </c>
      <c r="X229" s="42"/>
      <c r="Y229" s="41" t="e">
        <f>VLOOKUP($B229,'25년 12월 출석표'!$B$2:$BQ$503,66,0)/5</f>
        <v>#N/A</v>
      </c>
      <c r="Z229" s="43"/>
    </row>
    <row r="230" spans="1:26">
      <c r="A230" s="29"/>
      <c r="B230" s="164"/>
      <c r="C230" s="164"/>
      <c r="D230" s="177"/>
      <c r="E230" s="178"/>
      <c r="F230" s="180"/>
      <c r="G230" s="180"/>
      <c r="H230" s="180"/>
      <c r="I230" s="34" t="e">
        <f>VLOOKUP(B230,'25년 12월 출석표'!$B$7:$D$509,3,0)</f>
        <v>#N/A</v>
      </c>
      <c r="J230" s="35" t="e">
        <f t="shared" ca="1" si="0"/>
        <v>#NAME?</v>
      </c>
      <c r="K230" s="36" t="str">
        <f t="shared" si="3"/>
        <v/>
      </c>
      <c r="L230" s="37" t="str">
        <f t="shared" si="4"/>
        <v/>
      </c>
      <c r="M230" s="30"/>
      <c r="N230" s="38" t="b">
        <v>0</v>
      </c>
      <c r="O230" s="38" t="b">
        <v>0</v>
      </c>
      <c r="P230" s="38" t="b">
        <v>0</v>
      </c>
      <c r="Q230" s="39" t="e">
        <f>VLOOKUP($B230,'25년 12월 출석표'!$B$2:$BQ$497,16,0)/5</f>
        <v>#N/A</v>
      </c>
      <c r="R230" s="40"/>
      <c r="S230" s="41" t="e">
        <f>VLOOKUP($B230,'25년 12월 출석표'!$B$2:$BQ$497,30,0)/5</f>
        <v>#N/A</v>
      </c>
      <c r="T230" s="40"/>
      <c r="U230" s="41" t="e">
        <f>VLOOKUP($B230,'25년 12월 출석표'!$B$2:$BQ$497,44,0)/5</f>
        <v>#N/A</v>
      </c>
      <c r="V230" s="40"/>
      <c r="W230" s="41" t="e">
        <f>VLOOKUP($B230,'25년 12월 출석표'!$B$2:$BQ$497,58,0)/5</f>
        <v>#N/A</v>
      </c>
      <c r="X230" s="42"/>
      <c r="Y230" s="41" t="e">
        <f>VLOOKUP($B230,'25년 12월 출석표'!$B$2:$BQ$503,66,0)/5</f>
        <v>#N/A</v>
      </c>
      <c r="Z230" s="43"/>
    </row>
    <row r="231" spans="1:26">
      <c r="A231" s="29"/>
      <c r="B231" s="164"/>
      <c r="C231" s="164"/>
      <c r="D231" s="177"/>
      <c r="E231" s="178"/>
      <c r="F231" s="180"/>
      <c r="G231" s="180"/>
      <c r="H231" s="180"/>
      <c r="I231" s="34" t="e">
        <f>VLOOKUP(B231,'25년 12월 출석표'!$B$7:$D$509,3,0)</f>
        <v>#N/A</v>
      </c>
      <c r="J231" s="35" t="e">
        <f t="shared" ca="1" si="0"/>
        <v>#NAME?</v>
      </c>
      <c r="K231" s="36" t="str">
        <f t="shared" si="3"/>
        <v/>
      </c>
      <c r="L231" s="37" t="str">
        <f t="shared" si="4"/>
        <v/>
      </c>
      <c r="M231" s="30"/>
      <c r="N231" s="38" t="b">
        <v>0</v>
      </c>
      <c r="O231" s="38" t="b">
        <v>0</v>
      </c>
      <c r="P231" s="38" t="b">
        <v>0</v>
      </c>
      <c r="Q231" s="39" t="e">
        <f>VLOOKUP($B231,'25년 12월 출석표'!$B$2:$BQ$497,16,0)/5</f>
        <v>#N/A</v>
      </c>
      <c r="R231" s="40"/>
      <c r="S231" s="41" t="e">
        <f>VLOOKUP($B231,'25년 12월 출석표'!$B$2:$BQ$497,30,0)/5</f>
        <v>#N/A</v>
      </c>
      <c r="T231" s="40"/>
      <c r="U231" s="41" t="e">
        <f>VLOOKUP($B231,'25년 12월 출석표'!$B$2:$BQ$497,44,0)/5</f>
        <v>#N/A</v>
      </c>
      <c r="V231" s="40"/>
      <c r="W231" s="41" t="e">
        <f>VLOOKUP($B231,'25년 12월 출석표'!$B$2:$BQ$497,58,0)/5</f>
        <v>#N/A</v>
      </c>
      <c r="X231" s="42"/>
      <c r="Y231" s="41" t="e">
        <f>VLOOKUP($B231,'25년 12월 출석표'!$B$2:$BQ$503,66,0)/5</f>
        <v>#N/A</v>
      </c>
      <c r="Z231" s="43"/>
    </row>
    <row r="232" spans="1:26">
      <c r="A232" s="29"/>
      <c r="B232" s="164"/>
      <c r="C232" s="164"/>
      <c r="D232" s="177"/>
      <c r="E232" s="178"/>
      <c r="F232" s="180"/>
      <c r="G232" s="180"/>
      <c r="H232" s="180"/>
      <c r="I232" s="34" t="e">
        <f>VLOOKUP(B232,'25년 12월 출석표'!$B$7:$D$509,3,0)</f>
        <v>#N/A</v>
      </c>
      <c r="J232" s="35" t="e">
        <f t="shared" ca="1" si="0"/>
        <v>#NAME?</v>
      </c>
      <c r="K232" s="36" t="str">
        <f t="shared" si="3"/>
        <v/>
      </c>
      <c r="L232" s="37" t="str">
        <f t="shared" si="4"/>
        <v/>
      </c>
      <c r="M232" s="30"/>
      <c r="N232" s="38" t="b">
        <v>0</v>
      </c>
      <c r="O232" s="38" t="b">
        <v>0</v>
      </c>
      <c r="P232" s="38" t="b">
        <v>0</v>
      </c>
      <c r="Q232" s="39" t="e">
        <f>VLOOKUP($B232,'25년 12월 출석표'!$B$2:$BQ$497,16,0)/5</f>
        <v>#N/A</v>
      </c>
      <c r="R232" s="40"/>
      <c r="S232" s="41" t="e">
        <f>VLOOKUP($B232,'25년 12월 출석표'!$B$2:$BQ$497,30,0)/5</f>
        <v>#N/A</v>
      </c>
      <c r="T232" s="40"/>
      <c r="U232" s="41" t="e">
        <f>VLOOKUP($B232,'25년 12월 출석표'!$B$2:$BQ$497,44,0)/5</f>
        <v>#N/A</v>
      </c>
      <c r="V232" s="40"/>
      <c r="W232" s="41" t="e">
        <f>VLOOKUP($B232,'25년 12월 출석표'!$B$2:$BQ$497,58,0)/5</f>
        <v>#N/A</v>
      </c>
      <c r="X232" s="42"/>
      <c r="Y232" s="41" t="e">
        <f>VLOOKUP($B232,'25년 12월 출석표'!$B$2:$BQ$503,66,0)/5</f>
        <v>#N/A</v>
      </c>
      <c r="Z232" s="43"/>
    </row>
    <row r="233" spans="1:26">
      <c r="A233" s="29"/>
      <c r="B233" s="164"/>
      <c r="C233" s="164"/>
      <c r="D233" s="177"/>
      <c r="E233" s="178"/>
      <c r="F233" s="180"/>
      <c r="G233" s="180"/>
      <c r="H233" s="180"/>
      <c r="I233" s="34" t="e">
        <f>VLOOKUP(B233,'25년 12월 출석표'!$B$7:$D$509,3,0)</f>
        <v>#N/A</v>
      </c>
      <c r="J233" s="35" t="e">
        <f t="shared" ca="1" si="0"/>
        <v>#NAME?</v>
      </c>
      <c r="K233" s="36" t="str">
        <f t="shared" si="3"/>
        <v/>
      </c>
      <c r="L233" s="37" t="str">
        <f t="shared" si="4"/>
        <v/>
      </c>
      <c r="M233" s="30"/>
      <c r="N233" s="38" t="b">
        <v>0</v>
      </c>
      <c r="O233" s="38" t="b">
        <v>0</v>
      </c>
      <c r="P233" s="38" t="b">
        <v>0</v>
      </c>
      <c r="Q233" s="39" t="e">
        <f>VLOOKUP($B233,'25년 12월 출석표'!$B$2:$BQ$497,16,0)/5</f>
        <v>#N/A</v>
      </c>
      <c r="R233" s="40"/>
      <c r="S233" s="41" t="e">
        <f>VLOOKUP($B233,'25년 12월 출석표'!$B$2:$BQ$497,30,0)/5</f>
        <v>#N/A</v>
      </c>
      <c r="T233" s="40"/>
      <c r="U233" s="41" t="e">
        <f>VLOOKUP($B233,'25년 12월 출석표'!$B$2:$BQ$497,44,0)/5</f>
        <v>#N/A</v>
      </c>
      <c r="V233" s="40"/>
      <c r="W233" s="41" t="e">
        <f>VLOOKUP($B233,'25년 12월 출석표'!$B$2:$BQ$497,58,0)/5</f>
        <v>#N/A</v>
      </c>
      <c r="X233" s="42"/>
      <c r="Y233" s="41" t="e">
        <f>VLOOKUP($B233,'25년 12월 출석표'!$B$2:$BQ$503,66,0)/5</f>
        <v>#N/A</v>
      </c>
      <c r="Z233" s="43"/>
    </row>
    <row r="234" spans="1:26">
      <c r="A234" s="29"/>
      <c r="B234" s="164"/>
      <c r="C234" s="164"/>
      <c r="D234" s="177"/>
      <c r="E234" s="178"/>
      <c r="F234" s="180"/>
      <c r="G234" s="180"/>
      <c r="H234" s="180"/>
      <c r="I234" s="34" t="e">
        <f>VLOOKUP(B234,'25년 12월 출석표'!$B$7:$D$509,3,0)</f>
        <v>#N/A</v>
      </c>
      <c r="J234" s="35" t="e">
        <f t="shared" ca="1" si="0"/>
        <v>#NAME?</v>
      </c>
      <c r="K234" s="36" t="str">
        <f t="shared" si="3"/>
        <v/>
      </c>
      <c r="L234" s="37" t="str">
        <f t="shared" si="4"/>
        <v/>
      </c>
      <c r="M234" s="30"/>
      <c r="N234" s="38" t="b">
        <v>0</v>
      </c>
      <c r="O234" s="38" t="b">
        <v>0</v>
      </c>
      <c r="P234" s="38" t="b">
        <v>0</v>
      </c>
      <c r="Q234" s="39" t="e">
        <f>VLOOKUP($B234,'25년 12월 출석표'!$B$2:$BQ$497,16,0)/5</f>
        <v>#N/A</v>
      </c>
      <c r="R234" s="40"/>
      <c r="S234" s="41" t="e">
        <f>VLOOKUP($B234,'25년 12월 출석표'!$B$2:$BQ$497,30,0)/5</f>
        <v>#N/A</v>
      </c>
      <c r="T234" s="40"/>
      <c r="U234" s="41" t="e">
        <f>VLOOKUP($B234,'25년 12월 출석표'!$B$2:$BQ$497,44,0)/5</f>
        <v>#N/A</v>
      </c>
      <c r="V234" s="40"/>
      <c r="W234" s="41" t="e">
        <f>VLOOKUP($B234,'25년 12월 출석표'!$B$2:$BQ$497,58,0)/5</f>
        <v>#N/A</v>
      </c>
      <c r="X234" s="42"/>
      <c r="Y234" s="41" t="e">
        <f>VLOOKUP($B234,'25년 12월 출석표'!$B$2:$BQ$503,66,0)/5</f>
        <v>#N/A</v>
      </c>
      <c r="Z234" s="43"/>
    </row>
    <row r="235" spans="1:26">
      <c r="A235" s="29"/>
      <c r="B235" s="164"/>
      <c r="C235" s="164"/>
      <c r="D235" s="177"/>
      <c r="E235" s="178"/>
      <c r="F235" s="180"/>
      <c r="G235" s="180"/>
      <c r="H235" s="180"/>
      <c r="I235" s="34" t="e">
        <f>VLOOKUP(B235,'25년 12월 출석표'!$B$7:$D$509,3,0)</f>
        <v>#N/A</v>
      </c>
      <c r="J235" s="35" t="e">
        <f t="shared" ca="1" si="0"/>
        <v>#NAME?</v>
      </c>
      <c r="K235" s="36" t="str">
        <f t="shared" si="3"/>
        <v/>
      </c>
      <c r="L235" s="37" t="str">
        <f t="shared" si="4"/>
        <v/>
      </c>
      <c r="M235" s="30"/>
      <c r="N235" s="38" t="b">
        <v>0</v>
      </c>
      <c r="O235" s="38" t="b">
        <v>0</v>
      </c>
      <c r="P235" s="38" t="b">
        <v>0</v>
      </c>
      <c r="Q235" s="39" t="e">
        <f>VLOOKUP($B235,'25년 12월 출석표'!$B$2:$BQ$497,16,0)/5</f>
        <v>#N/A</v>
      </c>
      <c r="R235" s="40"/>
      <c r="S235" s="41" t="e">
        <f>VLOOKUP($B235,'25년 12월 출석표'!$B$2:$BQ$497,30,0)/5</f>
        <v>#N/A</v>
      </c>
      <c r="T235" s="40"/>
      <c r="U235" s="41" t="e">
        <f>VLOOKUP($B235,'25년 12월 출석표'!$B$2:$BQ$497,44,0)/5</f>
        <v>#N/A</v>
      </c>
      <c r="V235" s="40"/>
      <c r="W235" s="41" t="e">
        <f>VLOOKUP($B235,'25년 12월 출석표'!$B$2:$BQ$497,58,0)/5</f>
        <v>#N/A</v>
      </c>
      <c r="X235" s="42"/>
      <c r="Y235" s="41" t="e">
        <f>VLOOKUP($B235,'25년 12월 출석표'!$B$2:$BQ$503,66,0)/5</f>
        <v>#N/A</v>
      </c>
      <c r="Z235" s="43"/>
    </row>
    <row r="236" spans="1:26">
      <c r="A236" s="29"/>
      <c r="B236" s="164"/>
      <c r="C236" s="164"/>
      <c r="D236" s="177"/>
      <c r="E236" s="178"/>
      <c r="F236" s="180"/>
      <c r="G236" s="180"/>
      <c r="H236" s="180"/>
      <c r="I236" s="34" t="e">
        <f>VLOOKUP(B236,'25년 12월 출석표'!$B$7:$D$509,3,0)</f>
        <v>#N/A</v>
      </c>
      <c r="J236" s="35" t="e">
        <f t="shared" ca="1" si="0"/>
        <v>#NAME?</v>
      </c>
      <c r="K236" s="36" t="str">
        <f t="shared" si="3"/>
        <v/>
      </c>
      <c r="L236" s="37" t="str">
        <f t="shared" si="4"/>
        <v/>
      </c>
      <c r="M236" s="30"/>
      <c r="N236" s="38" t="b">
        <v>0</v>
      </c>
      <c r="O236" s="38" t="b">
        <v>0</v>
      </c>
      <c r="P236" s="38" t="b">
        <v>0</v>
      </c>
      <c r="Q236" s="39" t="e">
        <f>VLOOKUP($B236,'25년 12월 출석표'!$B$2:$BQ$497,16,0)/5</f>
        <v>#N/A</v>
      </c>
      <c r="R236" s="40"/>
      <c r="S236" s="41" t="e">
        <f>VLOOKUP($B236,'25년 12월 출석표'!$B$2:$BQ$497,30,0)/5</f>
        <v>#N/A</v>
      </c>
      <c r="T236" s="40"/>
      <c r="U236" s="41" t="e">
        <f>VLOOKUP($B236,'25년 12월 출석표'!$B$2:$BQ$497,44,0)/5</f>
        <v>#N/A</v>
      </c>
      <c r="V236" s="40"/>
      <c r="W236" s="41" t="e">
        <f>VLOOKUP($B236,'25년 12월 출석표'!$B$2:$BQ$497,58,0)/5</f>
        <v>#N/A</v>
      </c>
      <c r="X236" s="42"/>
      <c r="Y236" s="41" t="e">
        <f>VLOOKUP($B236,'25년 12월 출석표'!$B$2:$BQ$503,66,0)/5</f>
        <v>#N/A</v>
      </c>
      <c r="Z236" s="43"/>
    </row>
    <row r="237" spans="1:26">
      <c r="A237" s="29"/>
      <c r="B237" s="164"/>
      <c r="C237" s="164"/>
      <c r="D237" s="177"/>
      <c r="E237" s="178"/>
      <c r="F237" s="180"/>
      <c r="G237" s="180"/>
      <c r="H237" s="180"/>
      <c r="I237" s="34" t="e">
        <f>VLOOKUP(B237,'25년 12월 출석표'!$B$7:$D$509,3,0)</f>
        <v>#N/A</v>
      </c>
      <c r="J237" s="35" t="e">
        <f t="shared" ca="1" si="0"/>
        <v>#NAME?</v>
      </c>
      <c r="K237" s="36" t="str">
        <f t="shared" si="3"/>
        <v/>
      </c>
      <c r="L237" s="37" t="str">
        <f t="shared" si="4"/>
        <v/>
      </c>
      <c r="M237" s="30"/>
      <c r="N237" s="38" t="b">
        <v>0</v>
      </c>
      <c r="O237" s="38" t="b">
        <v>0</v>
      </c>
      <c r="P237" s="38" t="b">
        <v>0</v>
      </c>
      <c r="Q237" s="39" t="e">
        <f>VLOOKUP($B237,'25년 12월 출석표'!$B$2:$BQ$497,16,0)/5</f>
        <v>#N/A</v>
      </c>
      <c r="R237" s="40"/>
      <c r="S237" s="41" t="e">
        <f>VLOOKUP($B237,'25년 12월 출석표'!$B$2:$BQ$497,30,0)/5</f>
        <v>#N/A</v>
      </c>
      <c r="T237" s="40"/>
      <c r="U237" s="41" t="e">
        <f>VLOOKUP($B237,'25년 12월 출석표'!$B$2:$BQ$497,44,0)/5</f>
        <v>#N/A</v>
      </c>
      <c r="V237" s="40"/>
      <c r="W237" s="41" t="e">
        <f>VLOOKUP($B237,'25년 12월 출석표'!$B$2:$BQ$497,58,0)/5</f>
        <v>#N/A</v>
      </c>
      <c r="X237" s="42"/>
      <c r="Y237" s="41" t="e">
        <f>VLOOKUP($B237,'25년 12월 출석표'!$B$2:$BQ$503,66,0)/5</f>
        <v>#N/A</v>
      </c>
      <c r="Z237" s="43"/>
    </row>
    <row r="238" spans="1:26">
      <c r="A238" s="29"/>
      <c r="B238" s="164"/>
      <c r="C238" s="164"/>
      <c r="D238" s="177"/>
      <c r="E238" s="178"/>
      <c r="F238" s="180"/>
      <c r="G238" s="180"/>
      <c r="H238" s="180"/>
      <c r="I238" s="34" t="e">
        <f>VLOOKUP(B238,'25년 12월 출석표'!$B$7:$D$509,3,0)</f>
        <v>#N/A</v>
      </c>
      <c r="J238" s="35" t="e">
        <f t="shared" ca="1" si="0"/>
        <v>#NAME?</v>
      </c>
      <c r="K238" s="36" t="str">
        <f t="shared" si="3"/>
        <v/>
      </c>
      <c r="L238" s="37" t="str">
        <f t="shared" si="4"/>
        <v/>
      </c>
      <c r="M238" s="30"/>
      <c r="N238" s="38" t="b">
        <v>0</v>
      </c>
      <c r="O238" s="38" t="b">
        <v>0</v>
      </c>
      <c r="P238" s="38" t="b">
        <v>0</v>
      </c>
      <c r="Q238" s="39" t="e">
        <f>VLOOKUP($B238,'25년 12월 출석표'!$B$2:$BQ$497,16,0)/5</f>
        <v>#N/A</v>
      </c>
      <c r="R238" s="40"/>
      <c r="S238" s="41" t="e">
        <f>VLOOKUP($B238,'25년 12월 출석표'!$B$2:$BQ$497,30,0)/5</f>
        <v>#N/A</v>
      </c>
      <c r="T238" s="40"/>
      <c r="U238" s="41" t="e">
        <f>VLOOKUP($B238,'25년 12월 출석표'!$B$2:$BQ$497,44,0)/5</f>
        <v>#N/A</v>
      </c>
      <c r="V238" s="40"/>
      <c r="W238" s="41" t="e">
        <f>VLOOKUP($B238,'25년 12월 출석표'!$B$2:$BQ$497,58,0)/5</f>
        <v>#N/A</v>
      </c>
      <c r="X238" s="42"/>
      <c r="Y238" s="41" t="e">
        <f>VLOOKUP($B238,'25년 12월 출석표'!$B$2:$BQ$503,66,0)/5</f>
        <v>#N/A</v>
      </c>
      <c r="Z238" s="43"/>
    </row>
    <row r="239" spans="1:26">
      <c r="A239" s="29"/>
      <c r="B239" s="164"/>
      <c r="C239" s="164"/>
      <c r="D239" s="177"/>
      <c r="E239" s="178"/>
      <c r="F239" s="180"/>
      <c r="G239" s="180"/>
      <c r="H239" s="180"/>
      <c r="I239" s="34" t="e">
        <f>VLOOKUP(B239,'25년 12월 출석표'!$B$7:$D$509,3,0)</f>
        <v>#N/A</v>
      </c>
      <c r="J239" s="35" t="e">
        <f t="shared" ca="1" si="0"/>
        <v>#NAME?</v>
      </c>
      <c r="K239" s="36" t="str">
        <f t="shared" si="3"/>
        <v/>
      </c>
      <c r="L239" s="37" t="str">
        <f t="shared" si="4"/>
        <v/>
      </c>
      <c r="M239" s="30"/>
      <c r="N239" s="38" t="b">
        <v>0</v>
      </c>
      <c r="O239" s="38" t="b">
        <v>0</v>
      </c>
      <c r="P239" s="38" t="b">
        <v>0</v>
      </c>
      <c r="Q239" s="39" t="e">
        <f>VLOOKUP($B239,'25년 12월 출석표'!$B$2:$BQ$497,16,0)/5</f>
        <v>#N/A</v>
      </c>
      <c r="R239" s="40"/>
      <c r="S239" s="41" t="e">
        <f>VLOOKUP($B239,'25년 12월 출석표'!$B$2:$BQ$497,30,0)/5</f>
        <v>#N/A</v>
      </c>
      <c r="T239" s="40"/>
      <c r="U239" s="41" t="e">
        <f>VLOOKUP($B239,'25년 12월 출석표'!$B$2:$BQ$497,44,0)/5</f>
        <v>#N/A</v>
      </c>
      <c r="V239" s="40"/>
      <c r="W239" s="41" t="e">
        <f>VLOOKUP($B239,'25년 12월 출석표'!$B$2:$BQ$497,58,0)/5</f>
        <v>#N/A</v>
      </c>
      <c r="X239" s="42"/>
      <c r="Y239" s="41" t="e">
        <f>VLOOKUP($B239,'25년 12월 출석표'!$B$2:$BQ$503,66,0)/5</f>
        <v>#N/A</v>
      </c>
      <c r="Z239" s="43"/>
    </row>
    <row r="240" spans="1:26">
      <c r="A240" s="29"/>
      <c r="B240" s="164"/>
      <c r="C240" s="164"/>
      <c r="D240" s="177"/>
      <c r="E240" s="178"/>
      <c r="F240" s="180"/>
      <c r="G240" s="180"/>
      <c r="H240" s="180"/>
      <c r="I240" s="34" t="e">
        <f>VLOOKUP(B240,'25년 12월 출석표'!$B$7:$D$509,3,0)</f>
        <v>#N/A</v>
      </c>
      <c r="J240" s="35" t="e">
        <f t="shared" ca="1" si="0"/>
        <v>#NAME?</v>
      </c>
      <c r="K240" s="36" t="str">
        <f t="shared" si="3"/>
        <v/>
      </c>
      <c r="L240" s="37" t="str">
        <f t="shared" si="4"/>
        <v/>
      </c>
      <c r="M240" s="30"/>
      <c r="N240" s="38" t="b">
        <v>0</v>
      </c>
      <c r="O240" s="38" t="b">
        <v>0</v>
      </c>
      <c r="P240" s="38" t="b">
        <v>0</v>
      </c>
      <c r="Q240" s="39" t="e">
        <f>VLOOKUP($B240,'25년 12월 출석표'!$B$2:$BQ$497,16,0)/5</f>
        <v>#N/A</v>
      </c>
      <c r="R240" s="40"/>
      <c r="S240" s="41" t="e">
        <f>VLOOKUP($B240,'25년 12월 출석표'!$B$2:$BQ$497,30,0)/5</f>
        <v>#N/A</v>
      </c>
      <c r="T240" s="40"/>
      <c r="U240" s="41" t="e">
        <f>VLOOKUP($B240,'25년 12월 출석표'!$B$2:$BQ$497,44,0)/5</f>
        <v>#N/A</v>
      </c>
      <c r="V240" s="40"/>
      <c r="W240" s="41" t="e">
        <f>VLOOKUP($B240,'25년 12월 출석표'!$B$2:$BQ$497,58,0)/5</f>
        <v>#N/A</v>
      </c>
      <c r="X240" s="42"/>
      <c r="Y240" s="41" t="e">
        <f>VLOOKUP($B240,'25년 12월 출석표'!$B$2:$BQ$503,66,0)/5</f>
        <v>#N/A</v>
      </c>
      <c r="Z240" s="43"/>
    </row>
    <row r="241" spans="1:26">
      <c r="A241" s="29"/>
      <c r="B241" s="164"/>
      <c r="C241" s="164"/>
      <c r="D241" s="177"/>
      <c r="E241" s="178"/>
      <c r="F241" s="180"/>
      <c r="G241" s="180"/>
      <c r="H241" s="180"/>
      <c r="I241" s="34" t="e">
        <f>VLOOKUP(B241,'25년 12월 출석표'!$B$7:$D$509,3,0)</f>
        <v>#N/A</v>
      </c>
      <c r="J241" s="35" t="e">
        <f t="shared" ca="1" si="0"/>
        <v>#NAME?</v>
      </c>
      <c r="K241" s="36" t="str">
        <f t="shared" si="3"/>
        <v/>
      </c>
      <c r="L241" s="37" t="str">
        <f t="shared" si="4"/>
        <v/>
      </c>
      <c r="M241" s="30"/>
      <c r="N241" s="38" t="b">
        <v>0</v>
      </c>
      <c r="O241" s="38" t="b">
        <v>0</v>
      </c>
      <c r="P241" s="38" t="b">
        <v>0</v>
      </c>
      <c r="Q241" s="39" t="e">
        <f>VLOOKUP($B241,'25년 12월 출석표'!$B$2:$BQ$497,16,0)/5</f>
        <v>#N/A</v>
      </c>
      <c r="R241" s="40"/>
      <c r="S241" s="41" t="e">
        <f>VLOOKUP($B241,'25년 12월 출석표'!$B$2:$BQ$497,30,0)/5</f>
        <v>#N/A</v>
      </c>
      <c r="T241" s="40"/>
      <c r="U241" s="41" t="e">
        <f>VLOOKUP($B241,'25년 12월 출석표'!$B$2:$BQ$497,44,0)/5</f>
        <v>#N/A</v>
      </c>
      <c r="V241" s="40"/>
      <c r="W241" s="41" t="e">
        <f>VLOOKUP($B241,'25년 12월 출석표'!$B$2:$BQ$497,58,0)/5</f>
        <v>#N/A</v>
      </c>
      <c r="X241" s="42"/>
      <c r="Y241" s="41" t="e">
        <f>VLOOKUP($B241,'25년 12월 출석표'!$B$2:$BQ$503,66,0)/5</f>
        <v>#N/A</v>
      </c>
      <c r="Z241" s="43"/>
    </row>
    <row r="242" spans="1:26">
      <c r="A242" s="29"/>
      <c r="B242" s="164"/>
      <c r="C242" s="164"/>
      <c r="D242" s="177"/>
      <c r="E242" s="178"/>
      <c r="F242" s="180"/>
      <c r="G242" s="180"/>
      <c r="H242" s="180"/>
      <c r="I242" s="34" t="e">
        <f>VLOOKUP(B242,'25년 12월 출석표'!$B$7:$D$509,3,0)</f>
        <v>#N/A</v>
      </c>
      <c r="J242" s="35" t="e">
        <f t="shared" ca="1" si="0"/>
        <v>#NAME?</v>
      </c>
      <c r="K242" s="36" t="str">
        <f t="shared" si="3"/>
        <v/>
      </c>
      <c r="L242" s="37" t="str">
        <f t="shared" si="4"/>
        <v/>
      </c>
      <c r="M242" s="30"/>
      <c r="N242" s="38" t="b">
        <v>0</v>
      </c>
      <c r="O242" s="38" t="b">
        <v>0</v>
      </c>
      <c r="P242" s="38" t="b">
        <v>0</v>
      </c>
      <c r="Q242" s="39" t="e">
        <f>VLOOKUP($B242,'25년 12월 출석표'!$B$2:$BQ$497,16,0)/5</f>
        <v>#N/A</v>
      </c>
      <c r="R242" s="40"/>
      <c r="S242" s="41" t="e">
        <f>VLOOKUP($B242,'25년 12월 출석표'!$B$2:$BQ$497,30,0)/5</f>
        <v>#N/A</v>
      </c>
      <c r="T242" s="40"/>
      <c r="U242" s="41" t="e">
        <f>VLOOKUP($B242,'25년 12월 출석표'!$B$2:$BQ$497,44,0)/5</f>
        <v>#N/A</v>
      </c>
      <c r="V242" s="40"/>
      <c r="W242" s="41" t="e">
        <f>VLOOKUP($B242,'25년 12월 출석표'!$B$2:$BQ$497,58,0)/5</f>
        <v>#N/A</v>
      </c>
      <c r="X242" s="42"/>
      <c r="Y242" s="41" t="e">
        <f>VLOOKUP($B242,'25년 12월 출석표'!$B$2:$BQ$503,66,0)/5</f>
        <v>#N/A</v>
      </c>
      <c r="Z242" s="43"/>
    </row>
    <row r="243" spans="1:26">
      <c r="A243" s="29"/>
      <c r="B243" s="164"/>
      <c r="C243" s="164"/>
      <c r="D243" s="177"/>
      <c r="E243" s="178"/>
      <c r="F243" s="180"/>
      <c r="G243" s="180"/>
      <c r="H243" s="180"/>
      <c r="I243" s="34" t="e">
        <f>VLOOKUP(B243,'25년 12월 출석표'!$B$7:$D$509,3,0)</f>
        <v>#N/A</v>
      </c>
      <c r="J243" s="35" t="e">
        <f t="shared" ca="1" si="0"/>
        <v>#NAME?</v>
      </c>
      <c r="K243" s="36" t="str">
        <f t="shared" si="3"/>
        <v/>
      </c>
      <c r="L243" s="37" t="str">
        <f t="shared" si="4"/>
        <v/>
      </c>
      <c r="M243" s="30"/>
      <c r="N243" s="38" t="b">
        <v>0</v>
      </c>
      <c r="O243" s="38" t="b">
        <v>0</v>
      </c>
      <c r="P243" s="38" t="b">
        <v>0</v>
      </c>
      <c r="Q243" s="39" t="e">
        <f>VLOOKUP($B243,'25년 12월 출석표'!$B$2:$BQ$497,16,0)/5</f>
        <v>#N/A</v>
      </c>
      <c r="R243" s="40"/>
      <c r="S243" s="41" t="e">
        <f>VLOOKUP($B243,'25년 12월 출석표'!$B$2:$BQ$497,30,0)/5</f>
        <v>#N/A</v>
      </c>
      <c r="T243" s="40"/>
      <c r="U243" s="41" t="e">
        <f>VLOOKUP($B243,'25년 12월 출석표'!$B$2:$BQ$497,44,0)/5</f>
        <v>#N/A</v>
      </c>
      <c r="V243" s="40"/>
      <c r="W243" s="41" t="e">
        <f>VLOOKUP($B243,'25년 12월 출석표'!$B$2:$BQ$497,58,0)/5</f>
        <v>#N/A</v>
      </c>
      <c r="X243" s="42"/>
      <c r="Y243" s="41" t="e">
        <f>VLOOKUP($B243,'25년 12월 출석표'!$B$2:$BQ$503,66,0)/5</f>
        <v>#N/A</v>
      </c>
      <c r="Z243" s="43"/>
    </row>
    <row r="244" spans="1:26">
      <c r="A244" s="29"/>
      <c r="B244" s="164"/>
      <c r="C244" s="164"/>
      <c r="D244" s="177"/>
      <c r="E244" s="178"/>
      <c r="F244" s="180"/>
      <c r="G244" s="180"/>
      <c r="H244" s="180"/>
      <c r="I244" s="34" t="e">
        <f>VLOOKUP(B244,'25년 12월 출석표'!$B$7:$D$509,3,0)</f>
        <v>#N/A</v>
      </c>
      <c r="J244" s="35" t="e">
        <f t="shared" ca="1" si="0"/>
        <v>#NAME?</v>
      </c>
      <c r="K244" s="36" t="str">
        <f t="shared" si="3"/>
        <v/>
      </c>
      <c r="L244" s="37" t="str">
        <f t="shared" si="4"/>
        <v/>
      </c>
      <c r="M244" s="30"/>
      <c r="N244" s="38" t="b">
        <v>0</v>
      </c>
      <c r="O244" s="38" t="b">
        <v>0</v>
      </c>
      <c r="P244" s="38" t="b">
        <v>0</v>
      </c>
      <c r="Q244" s="39" t="e">
        <f>VLOOKUP($B244,'25년 12월 출석표'!$B$2:$BQ$497,16,0)/5</f>
        <v>#N/A</v>
      </c>
      <c r="R244" s="40"/>
      <c r="S244" s="41" t="e">
        <f>VLOOKUP($B244,'25년 12월 출석표'!$B$2:$BQ$497,30,0)/5</f>
        <v>#N/A</v>
      </c>
      <c r="T244" s="40"/>
      <c r="U244" s="41" t="e">
        <f>VLOOKUP($B244,'25년 12월 출석표'!$B$2:$BQ$497,44,0)/5</f>
        <v>#N/A</v>
      </c>
      <c r="V244" s="40"/>
      <c r="W244" s="41" t="e">
        <f>VLOOKUP($B244,'25년 12월 출석표'!$B$2:$BQ$497,58,0)/5</f>
        <v>#N/A</v>
      </c>
      <c r="X244" s="42"/>
      <c r="Y244" s="41" t="e">
        <f>VLOOKUP($B244,'25년 12월 출석표'!$B$2:$BQ$503,66,0)/5</f>
        <v>#N/A</v>
      </c>
      <c r="Z244" s="43"/>
    </row>
    <row r="245" spans="1:26">
      <c r="A245" s="29"/>
      <c r="B245" s="164"/>
      <c r="C245" s="164"/>
      <c r="D245" s="177"/>
      <c r="E245" s="178"/>
      <c r="F245" s="180"/>
      <c r="G245" s="180"/>
      <c r="H245" s="180"/>
      <c r="I245" s="34" t="e">
        <f>VLOOKUP(B245,'25년 12월 출석표'!$B$7:$D$509,3,0)</f>
        <v>#N/A</v>
      </c>
      <c r="J245" s="35" t="e">
        <f t="shared" ca="1" si="0"/>
        <v>#NAME?</v>
      </c>
      <c r="K245" s="36" t="str">
        <f t="shared" si="3"/>
        <v/>
      </c>
      <c r="L245" s="37" t="str">
        <f t="shared" si="4"/>
        <v/>
      </c>
      <c r="M245" s="30"/>
      <c r="N245" s="38" t="b">
        <v>0</v>
      </c>
      <c r="O245" s="38" t="b">
        <v>0</v>
      </c>
      <c r="P245" s="38" t="b">
        <v>0</v>
      </c>
      <c r="Q245" s="39" t="e">
        <f>VLOOKUP($B245,'25년 12월 출석표'!$B$2:$BQ$497,16,0)/5</f>
        <v>#N/A</v>
      </c>
      <c r="R245" s="40"/>
      <c r="S245" s="41" t="e">
        <f>VLOOKUP($B245,'25년 12월 출석표'!$B$2:$BQ$497,30,0)/5</f>
        <v>#N/A</v>
      </c>
      <c r="T245" s="40"/>
      <c r="U245" s="41" t="e">
        <f>VLOOKUP($B245,'25년 12월 출석표'!$B$2:$BQ$497,44,0)/5</f>
        <v>#N/A</v>
      </c>
      <c r="V245" s="40"/>
      <c r="W245" s="41" t="e">
        <f>VLOOKUP($B245,'25년 12월 출석표'!$B$2:$BQ$497,58,0)/5</f>
        <v>#N/A</v>
      </c>
      <c r="X245" s="42"/>
      <c r="Y245" s="41" t="e">
        <f>VLOOKUP($B245,'25년 12월 출석표'!$B$2:$BQ$503,66,0)/5</f>
        <v>#N/A</v>
      </c>
      <c r="Z245" s="43"/>
    </row>
    <row r="246" spans="1:26">
      <c r="A246" s="29"/>
      <c r="B246" s="164"/>
      <c r="C246" s="164"/>
      <c r="D246" s="177"/>
      <c r="E246" s="178"/>
      <c r="F246" s="180"/>
      <c r="G246" s="180"/>
      <c r="H246" s="180"/>
      <c r="I246" s="34" t="e">
        <f>VLOOKUP(B246,'25년 12월 출석표'!$B$7:$D$509,3,0)</f>
        <v>#N/A</v>
      </c>
      <c r="J246" s="35" t="e">
        <f t="shared" ca="1" si="0"/>
        <v>#NAME?</v>
      </c>
      <c r="K246" s="36" t="str">
        <f t="shared" si="3"/>
        <v/>
      </c>
      <c r="L246" s="37" t="str">
        <f t="shared" si="4"/>
        <v/>
      </c>
      <c r="M246" s="30"/>
      <c r="N246" s="38" t="b">
        <v>0</v>
      </c>
      <c r="O246" s="38" t="b">
        <v>0</v>
      </c>
      <c r="P246" s="38" t="b">
        <v>0</v>
      </c>
      <c r="Q246" s="39" t="e">
        <f>VLOOKUP($B246,'25년 12월 출석표'!$B$2:$BQ$497,16,0)/5</f>
        <v>#N/A</v>
      </c>
      <c r="R246" s="40"/>
      <c r="S246" s="41" t="e">
        <f>VLOOKUP($B246,'25년 12월 출석표'!$B$2:$BQ$497,30,0)/5</f>
        <v>#N/A</v>
      </c>
      <c r="T246" s="40"/>
      <c r="U246" s="41" t="e">
        <f>VLOOKUP($B246,'25년 12월 출석표'!$B$2:$BQ$497,44,0)/5</f>
        <v>#N/A</v>
      </c>
      <c r="V246" s="40"/>
      <c r="W246" s="41" t="e">
        <f>VLOOKUP($B246,'25년 12월 출석표'!$B$2:$BQ$497,58,0)/5</f>
        <v>#N/A</v>
      </c>
      <c r="X246" s="42"/>
      <c r="Y246" s="41" t="e">
        <f>VLOOKUP($B246,'25년 12월 출석표'!$B$2:$BQ$503,66,0)/5</f>
        <v>#N/A</v>
      </c>
      <c r="Z246" s="43"/>
    </row>
    <row r="247" spans="1:26">
      <c r="A247" s="29"/>
      <c r="B247" s="164"/>
      <c r="C247" s="164"/>
      <c r="D247" s="177"/>
      <c r="E247" s="178"/>
      <c r="F247" s="180"/>
      <c r="G247" s="180"/>
      <c r="H247" s="180"/>
      <c r="I247" s="34" t="e">
        <f>VLOOKUP(B247,'25년 12월 출석표'!$B$7:$D$509,3,0)</f>
        <v>#N/A</v>
      </c>
      <c r="J247" s="35" t="e">
        <f t="shared" ca="1" si="0"/>
        <v>#NAME?</v>
      </c>
      <c r="K247" s="36" t="str">
        <f t="shared" si="3"/>
        <v/>
      </c>
      <c r="L247" s="37" t="str">
        <f t="shared" si="4"/>
        <v/>
      </c>
      <c r="M247" s="30"/>
      <c r="N247" s="38" t="b">
        <v>0</v>
      </c>
      <c r="O247" s="38" t="b">
        <v>0</v>
      </c>
      <c r="P247" s="38" t="b">
        <v>0</v>
      </c>
      <c r="Q247" s="39" t="e">
        <f>VLOOKUP($B247,'25년 12월 출석표'!$B$2:$BQ$497,16,0)/5</f>
        <v>#N/A</v>
      </c>
      <c r="R247" s="40"/>
      <c r="S247" s="41" t="e">
        <f>VLOOKUP($B247,'25년 12월 출석표'!$B$2:$BQ$497,30,0)/5</f>
        <v>#N/A</v>
      </c>
      <c r="T247" s="40"/>
      <c r="U247" s="41" t="e">
        <f>VLOOKUP($B247,'25년 12월 출석표'!$B$2:$BQ$497,44,0)/5</f>
        <v>#N/A</v>
      </c>
      <c r="V247" s="40"/>
      <c r="W247" s="41" t="e">
        <f>VLOOKUP($B247,'25년 12월 출석표'!$B$2:$BQ$497,58,0)/5</f>
        <v>#N/A</v>
      </c>
      <c r="X247" s="42"/>
      <c r="Y247" s="41" t="e">
        <f>VLOOKUP($B247,'25년 12월 출석표'!$B$2:$BQ$503,66,0)/5</f>
        <v>#N/A</v>
      </c>
      <c r="Z247" s="43"/>
    </row>
    <row r="248" spans="1:26">
      <c r="A248" s="29"/>
      <c r="B248" s="164"/>
      <c r="C248" s="164"/>
      <c r="D248" s="177"/>
      <c r="E248" s="178"/>
      <c r="F248" s="180"/>
      <c r="G248" s="180"/>
      <c r="H248" s="180"/>
      <c r="I248" s="34" t="e">
        <f>VLOOKUP(B248,'25년 12월 출석표'!$B$7:$D$509,3,0)</f>
        <v>#N/A</v>
      </c>
      <c r="J248" s="35" t="e">
        <f t="shared" ca="1" si="0"/>
        <v>#NAME?</v>
      </c>
      <c r="K248" s="36" t="str">
        <f t="shared" si="3"/>
        <v/>
      </c>
      <c r="L248" s="37" t="str">
        <f t="shared" si="4"/>
        <v/>
      </c>
      <c r="M248" s="30"/>
      <c r="N248" s="38" t="b">
        <v>0</v>
      </c>
      <c r="O248" s="38" t="b">
        <v>0</v>
      </c>
      <c r="P248" s="38" t="b">
        <v>0</v>
      </c>
      <c r="Q248" s="39" t="e">
        <f>VLOOKUP($B248,'25년 12월 출석표'!$B$2:$BQ$497,16,0)/5</f>
        <v>#N/A</v>
      </c>
      <c r="R248" s="40"/>
      <c r="S248" s="41" t="e">
        <f>VLOOKUP($B248,'25년 12월 출석표'!$B$2:$BQ$497,30,0)/5</f>
        <v>#N/A</v>
      </c>
      <c r="T248" s="40"/>
      <c r="U248" s="41" t="e">
        <f>VLOOKUP($B248,'25년 12월 출석표'!$B$2:$BQ$497,44,0)/5</f>
        <v>#N/A</v>
      </c>
      <c r="V248" s="40"/>
      <c r="W248" s="41" t="e">
        <f>VLOOKUP($B248,'25년 12월 출석표'!$B$2:$BQ$497,58,0)/5</f>
        <v>#N/A</v>
      </c>
      <c r="X248" s="42"/>
      <c r="Y248" s="41" t="e">
        <f>VLOOKUP($B248,'25년 12월 출석표'!$B$2:$BQ$503,66,0)/5</f>
        <v>#N/A</v>
      </c>
      <c r="Z248" s="43"/>
    </row>
    <row r="249" spans="1:26">
      <c r="A249" s="29"/>
      <c r="B249" s="164"/>
      <c r="C249" s="164"/>
      <c r="D249" s="177"/>
      <c r="E249" s="178"/>
      <c r="F249" s="180"/>
      <c r="G249" s="180"/>
      <c r="H249" s="180"/>
      <c r="I249" s="34" t="e">
        <f>VLOOKUP(B249,'25년 12월 출석표'!$B$7:$D$509,3,0)</f>
        <v>#N/A</v>
      </c>
      <c r="J249" s="35" t="e">
        <f t="shared" ca="1" si="0"/>
        <v>#NAME?</v>
      </c>
      <c r="K249" s="36" t="str">
        <f t="shared" si="3"/>
        <v/>
      </c>
      <c r="L249" s="37" t="str">
        <f t="shared" si="4"/>
        <v/>
      </c>
      <c r="M249" s="30"/>
      <c r="N249" s="38" t="b">
        <v>0</v>
      </c>
      <c r="O249" s="38" t="b">
        <v>0</v>
      </c>
      <c r="P249" s="38" t="b">
        <v>0</v>
      </c>
      <c r="Q249" s="39" t="e">
        <f>VLOOKUP($B249,'25년 12월 출석표'!$B$2:$BQ$497,16,0)/5</f>
        <v>#N/A</v>
      </c>
      <c r="R249" s="40"/>
      <c r="S249" s="41" t="e">
        <f>VLOOKUP($B249,'25년 12월 출석표'!$B$2:$BQ$497,30,0)/5</f>
        <v>#N/A</v>
      </c>
      <c r="T249" s="40"/>
      <c r="U249" s="41" t="e">
        <f>VLOOKUP($B249,'25년 12월 출석표'!$B$2:$BQ$497,44,0)/5</f>
        <v>#N/A</v>
      </c>
      <c r="V249" s="40"/>
      <c r="W249" s="41" t="e">
        <f>VLOOKUP($B249,'25년 12월 출석표'!$B$2:$BQ$497,58,0)/5</f>
        <v>#N/A</v>
      </c>
      <c r="X249" s="42"/>
      <c r="Y249" s="41" t="e">
        <f>VLOOKUP($B249,'25년 12월 출석표'!$B$2:$BQ$503,66,0)/5</f>
        <v>#N/A</v>
      </c>
      <c r="Z249" s="43"/>
    </row>
    <row r="250" spans="1:26">
      <c r="A250" s="29"/>
      <c r="B250" s="164"/>
      <c r="C250" s="164"/>
      <c r="D250" s="177"/>
      <c r="E250" s="178"/>
      <c r="F250" s="180"/>
      <c r="G250" s="180"/>
      <c r="H250" s="180"/>
      <c r="I250" s="34" t="e">
        <f>VLOOKUP(B250,'25년 12월 출석표'!$B$7:$D$509,3,0)</f>
        <v>#N/A</v>
      </c>
      <c r="J250" s="35" t="e">
        <f t="shared" ca="1" si="0"/>
        <v>#NAME?</v>
      </c>
      <c r="K250" s="36" t="str">
        <f t="shared" si="3"/>
        <v/>
      </c>
      <c r="L250" s="37" t="str">
        <f t="shared" si="4"/>
        <v/>
      </c>
      <c r="M250" s="30"/>
      <c r="N250" s="38" t="b">
        <v>0</v>
      </c>
      <c r="O250" s="38" t="b">
        <v>0</v>
      </c>
      <c r="P250" s="38" t="b">
        <v>0</v>
      </c>
      <c r="Q250" s="39" t="e">
        <f>VLOOKUP($B250,'25년 12월 출석표'!$B$2:$BQ$497,16,0)/5</f>
        <v>#N/A</v>
      </c>
      <c r="R250" s="40"/>
      <c r="S250" s="41" t="e">
        <f>VLOOKUP($B250,'25년 12월 출석표'!$B$2:$BQ$497,30,0)/5</f>
        <v>#N/A</v>
      </c>
      <c r="T250" s="40"/>
      <c r="U250" s="41" t="e">
        <f>VLOOKUP($B250,'25년 12월 출석표'!$B$2:$BQ$497,44,0)/5</f>
        <v>#N/A</v>
      </c>
      <c r="V250" s="40"/>
      <c r="W250" s="41" t="e">
        <f>VLOOKUP($B250,'25년 12월 출석표'!$B$2:$BQ$497,58,0)/5</f>
        <v>#N/A</v>
      </c>
      <c r="X250" s="42"/>
      <c r="Y250" s="41" t="e">
        <f>VLOOKUP($B250,'25년 12월 출석표'!$B$2:$BQ$503,66,0)/5</f>
        <v>#N/A</v>
      </c>
      <c r="Z250" s="43"/>
    </row>
    <row r="251" spans="1:26">
      <c r="A251" s="29"/>
      <c r="B251" s="164"/>
      <c r="C251" s="164"/>
      <c r="D251" s="177"/>
      <c r="E251" s="178"/>
      <c r="F251" s="180"/>
      <c r="G251" s="180"/>
      <c r="H251" s="180"/>
      <c r="I251" s="34" t="e">
        <f>VLOOKUP(B251,'25년 12월 출석표'!$B$7:$D$509,3,0)</f>
        <v>#N/A</v>
      </c>
      <c r="J251" s="35" t="e">
        <f t="shared" ca="1" si="0"/>
        <v>#NAME?</v>
      </c>
      <c r="K251" s="36" t="str">
        <f t="shared" si="3"/>
        <v/>
      </c>
      <c r="L251" s="37" t="str">
        <f t="shared" si="4"/>
        <v/>
      </c>
      <c r="M251" s="30"/>
      <c r="N251" s="38" t="b">
        <v>0</v>
      </c>
      <c r="O251" s="38" t="b">
        <v>0</v>
      </c>
      <c r="P251" s="38" t="b">
        <v>0</v>
      </c>
      <c r="Q251" s="39" t="e">
        <f>VLOOKUP($B251,'25년 12월 출석표'!$B$2:$BQ$497,16,0)/5</f>
        <v>#N/A</v>
      </c>
      <c r="R251" s="40"/>
      <c r="S251" s="41" t="e">
        <f>VLOOKUP($B251,'25년 12월 출석표'!$B$2:$BQ$497,30,0)/5</f>
        <v>#N/A</v>
      </c>
      <c r="T251" s="40"/>
      <c r="U251" s="41" t="e">
        <f>VLOOKUP($B251,'25년 12월 출석표'!$B$2:$BQ$497,44,0)/5</f>
        <v>#N/A</v>
      </c>
      <c r="V251" s="40"/>
      <c r="W251" s="41" t="e">
        <f>VLOOKUP($B251,'25년 12월 출석표'!$B$2:$BQ$497,58,0)/5</f>
        <v>#N/A</v>
      </c>
      <c r="X251" s="42"/>
      <c r="Y251" s="41" t="e">
        <f>VLOOKUP($B251,'25년 12월 출석표'!$B$2:$BQ$503,66,0)/5</f>
        <v>#N/A</v>
      </c>
      <c r="Z251" s="43"/>
    </row>
    <row r="252" spans="1:26">
      <c r="A252" s="29"/>
      <c r="B252" s="164"/>
      <c r="C252" s="164"/>
      <c r="D252" s="177"/>
      <c r="E252" s="178"/>
      <c r="F252" s="180"/>
      <c r="G252" s="180"/>
      <c r="H252" s="180"/>
      <c r="I252" s="34" t="e">
        <f>VLOOKUP(B252,'25년 12월 출석표'!$B$7:$D$509,3,0)</f>
        <v>#N/A</v>
      </c>
      <c r="J252" s="35" t="e">
        <f t="shared" ca="1" si="0"/>
        <v>#NAME?</v>
      </c>
      <c r="K252" s="36" t="str">
        <f t="shared" si="3"/>
        <v/>
      </c>
      <c r="L252" s="37" t="str">
        <f t="shared" si="4"/>
        <v/>
      </c>
      <c r="M252" s="30"/>
      <c r="N252" s="38" t="b">
        <v>0</v>
      </c>
      <c r="O252" s="38" t="b">
        <v>0</v>
      </c>
      <c r="P252" s="38" t="b">
        <v>0</v>
      </c>
      <c r="Q252" s="39" t="e">
        <f>VLOOKUP($B252,'25년 12월 출석표'!$B$2:$BQ$497,16,0)/5</f>
        <v>#N/A</v>
      </c>
      <c r="R252" s="40"/>
      <c r="S252" s="41" t="e">
        <f>VLOOKUP($B252,'25년 12월 출석표'!$B$2:$BQ$497,30,0)/5</f>
        <v>#N/A</v>
      </c>
      <c r="T252" s="40"/>
      <c r="U252" s="41" t="e">
        <f>VLOOKUP($B252,'25년 12월 출석표'!$B$2:$BQ$497,44,0)/5</f>
        <v>#N/A</v>
      </c>
      <c r="V252" s="40"/>
      <c r="W252" s="41" t="e">
        <f>VLOOKUP($B252,'25년 12월 출석표'!$B$2:$BQ$497,58,0)/5</f>
        <v>#N/A</v>
      </c>
      <c r="X252" s="42"/>
      <c r="Y252" s="41" t="e">
        <f>VLOOKUP($B252,'25년 12월 출석표'!$B$2:$BQ$503,66,0)/5</f>
        <v>#N/A</v>
      </c>
      <c r="Z252" s="43"/>
    </row>
    <row r="253" spans="1:26">
      <c r="A253" s="29"/>
      <c r="B253" s="164"/>
      <c r="C253" s="164"/>
      <c r="D253" s="177"/>
      <c r="E253" s="178"/>
      <c r="F253" s="180"/>
      <c r="G253" s="180"/>
      <c r="H253" s="180"/>
      <c r="I253" s="34" t="e">
        <f>VLOOKUP(B253,'25년 12월 출석표'!$B$7:$D$509,3,0)</f>
        <v>#N/A</v>
      </c>
      <c r="J253" s="35" t="e">
        <f t="shared" ca="1" si="0"/>
        <v>#NAME?</v>
      </c>
      <c r="K253" s="36" t="str">
        <f t="shared" si="3"/>
        <v/>
      </c>
      <c r="L253" s="37" t="str">
        <f t="shared" si="4"/>
        <v/>
      </c>
      <c r="M253" s="30"/>
      <c r="N253" s="38" t="b">
        <v>0</v>
      </c>
      <c r="O253" s="38" t="b">
        <v>0</v>
      </c>
      <c r="P253" s="38" t="b">
        <v>0</v>
      </c>
      <c r="Q253" s="39" t="e">
        <f>VLOOKUP($B253,'25년 12월 출석표'!$B$2:$BQ$497,16,0)/5</f>
        <v>#N/A</v>
      </c>
      <c r="R253" s="40"/>
      <c r="S253" s="41" t="e">
        <f>VLOOKUP($B253,'25년 12월 출석표'!$B$2:$BQ$497,30,0)/5</f>
        <v>#N/A</v>
      </c>
      <c r="T253" s="40"/>
      <c r="U253" s="41" t="e">
        <f>VLOOKUP($B253,'25년 12월 출석표'!$B$2:$BQ$497,44,0)/5</f>
        <v>#N/A</v>
      </c>
      <c r="V253" s="40"/>
      <c r="W253" s="41" t="e">
        <f>VLOOKUP($B253,'25년 12월 출석표'!$B$2:$BQ$497,58,0)/5</f>
        <v>#N/A</v>
      </c>
      <c r="X253" s="42"/>
      <c r="Y253" s="41" t="e">
        <f>VLOOKUP($B253,'25년 12월 출석표'!$B$2:$BQ$503,66,0)/5</f>
        <v>#N/A</v>
      </c>
      <c r="Z253" s="43"/>
    </row>
    <row r="254" spans="1:26">
      <c r="A254" s="29"/>
      <c r="B254" s="164"/>
      <c r="C254" s="164"/>
      <c r="D254" s="177"/>
      <c r="E254" s="178"/>
      <c r="F254" s="180"/>
      <c r="G254" s="180"/>
      <c r="H254" s="180"/>
      <c r="I254" s="34" t="e">
        <f>VLOOKUP(B254,'25년 12월 출석표'!$B$7:$D$509,3,0)</f>
        <v>#N/A</v>
      </c>
      <c r="J254" s="35" t="e">
        <f t="shared" ca="1" si="0"/>
        <v>#NAME?</v>
      </c>
      <c r="K254" s="36" t="str">
        <f t="shared" si="3"/>
        <v/>
      </c>
      <c r="L254" s="37" t="str">
        <f t="shared" si="4"/>
        <v/>
      </c>
      <c r="M254" s="30"/>
      <c r="N254" s="38" t="b">
        <v>0</v>
      </c>
      <c r="O254" s="38" t="b">
        <v>0</v>
      </c>
      <c r="P254" s="38" t="b">
        <v>0</v>
      </c>
      <c r="Q254" s="39" t="e">
        <f>VLOOKUP($B254,'25년 12월 출석표'!$B$2:$BQ$497,16,0)/5</f>
        <v>#N/A</v>
      </c>
      <c r="R254" s="40"/>
      <c r="S254" s="41" t="e">
        <f>VLOOKUP($B254,'25년 12월 출석표'!$B$2:$BQ$497,30,0)/5</f>
        <v>#N/A</v>
      </c>
      <c r="T254" s="40"/>
      <c r="U254" s="41" t="e">
        <f>VLOOKUP($B254,'25년 12월 출석표'!$B$2:$BQ$497,44,0)/5</f>
        <v>#N/A</v>
      </c>
      <c r="V254" s="40"/>
      <c r="W254" s="41" t="e">
        <f>VLOOKUP($B254,'25년 12월 출석표'!$B$2:$BQ$497,58,0)/5</f>
        <v>#N/A</v>
      </c>
      <c r="X254" s="42"/>
      <c r="Y254" s="41" t="e">
        <f>VLOOKUP($B254,'25년 12월 출석표'!$B$2:$BQ$503,66,0)/5</f>
        <v>#N/A</v>
      </c>
      <c r="Z254" s="43"/>
    </row>
    <row r="255" spans="1:26">
      <c r="A255" s="29"/>
      <c r="B255" s="164"/>
      <c r="C255" s="164"/>
      <c r="D255" s="177"/>
      <c r="E255" s="178"/>
      <c r="F255" s="180"/>
      <c r="G255" s="180"/>
      <c r="H255" s="180"/>
      <c r="I255" s="34" t="e">
        <f>VLOOKUP(B255,'25년 12월 출석표'!$B$7:$D$509,3,0)</f>
        <v>#N/A</v>
      </c>
      <c r="J255" s="35" t="e">
        <f t="shared" ca="1" si="0"/>
        <v>#NAME?</v>
      </c>
      <c r="K255" s="36" t="str">
        <f t="shared" si="3"/>
        <v/>
      </c>
      <c r="L255" s="37" t="str">
        <f t="shared" si="4"/>
        <v/>
      </c>
      <c r="M255" s="30"/>
      <c r="N255" s="38" t="b">
        <v>0</v>
      </c>
      <c r="O255" s="38" t="b">
        <v>0</v>
      </c>
      <c r="P255" s="38" t="b">
        <v>0</v>
      </c>
      <c r="Q255" s="39" t="e">
        <f>VLOOKUP($B255,'25년 12월 출석표'!$B$2:$BQ$497,16,0)/5</f>
        <v>#N/A</v>
      </c>
      <c r="R255" s="40"/>
      <c r="S255" s="41" t="e">
        <f>VLOOKUP($B255,'25년 12월 출석표'!$B$2:$BQ$497,30,0)/5</f>
        <v>#N/A</v>
      </c>
      <c r="T255" s="40"/>
      <c r="U255" s="41" t="e">
        <f>VLOOKUP($B255,'25년 12월 출석표'!$B$2:$BQ$497,44,0)/5</f>
        <v>#N/A</v>
      </c>
      <c r="V255" s="40"/>
      <c r="W255" s="41" t="e">
        <f>VLOOKUP($B255,'25년 12월 출석표'!$B$2:$BQ$497,58,0)/5</f>
        <v>#N/A</v>
      </c>
      <c r="X255" s="42"/>
      <c r="Y255" s="41" t="e">
        <f>VLOOKUP($B255,'25년 12월 출석표'!$B$2:$BQ$503,66,0)/5</f>
        <v>#N/A</v>
      </c>
      <c r="Z255" s="43"/>
    </row>
    <row r="256" spans="1:26">
      <c r="A256" s="29"/>
      <c r="B256" s="164"/>
      <c r="C256" s="164"/>
      <c r="D256" s="177"/>
      <c r="E256" s="178"/>
      <c r="F256" s="180"/>
      <c r="G256" s="180"/>
      <c r="H256" s="180"/>
      <c r="I256" s="34" t="e">
        <f>VLOOKUP(B256,'25년 12월 출석표'!$B$7:$D$509,3,0)</f>
        <v>#N/A</v>
      </c>
      <c r="J256" s="35" t="e">
        <f t="shared" ca="1" si="0"/>
        <v>#NAME?</v>
      </c>
      <c r="K256" s="36" t="str">
        <f t="shared" si="3"/>
        <v/>
      </c>
      <c r="L256" s="37" t="str">
        <f t="shared" si="4"/>
        <v/>
      </c>
      <c r="M256" s="30"/>
      <c r="N256" s="38" t="b">
        <v>0</v>
      </c>
      <c r="O256" s="38" t="b">
        <v>0</v>
      </c>
      <c r="P256" s="38" t="b">
        <v>0</v>
      </c>
      <c r="Q256" s="39" t="e">
        <f>VLOOKUP($B256,'25년 12월 출석표'!$B$2:$BQ$497,16,0)/5</f>
        <v>#N/A</v>
      </c>
      <c r="R256" s="40"/>
      <c r="S256" s="41" t="e">
        <f>VLOOKUP($B256,'25년 12월 출석표'!$B$2:$BQ$497,30,0)/5</f>
        <v>#N/A</v>
      </c>
      <c r="T256" s="40"/>
      <c r="U256" s="41" t="e">
        <f>VLOOKUP($B256,'25년 12월 출석표'!$B$2:$BQ$497,44,0)/5</f>
        <v>#N/A</v>
      </c>
      <c r="V256" s="40"/>
      <c r="W256" s="41" t="e">
        <f>VLOOKUP($B256,'25년 12월 출석표'!$B$2:$BQ$497,58,0)/5</f>
        <v>#N/A</v>
      </c>
      <c r="X256" s="42"/>
      <c r="Y256" s="41" t="e">
        <f>VLOOKUP($B256,'25년 12월 출석표'!$B$2:$BQ$503,66,0)/5</f>
        <v>#N/A</v>
      </c>
      <c r="Z256" s="43"/>
    </row>
    <row r="257" spans="1:26">
      <c r="A257" s="29"/>
      <c r="B257" s="164"/>
      <c r="C257" s="164"/>
      <c r="D257" s="177"/>
      <c r="E257" s="178"/>
      <c r="F257" s="180"/>
      <c r="G257" s="180"/>
      <c r="H257" s="180"/>
      <c r="I257" s="34" t="e">
        <f>VLOOKUP(B257,'25년 12월 출석표'!$B$7:$D$509,3,0)</f>
        <v>#N/A</v>
      </c>
      <c r="J257" s="35" t="e">
        <f t="shared" ca="1" si="0"/>
        <v>#NAME?</v>
      </c>
      <c r="K257" s="36" t="str">
        <f t="shared" si="3"/>
        <v/>
      </c>
      <c r="L257" s="37" t="str">
        <f t="shared" si="4"/>
        <v/>
      </c>
      <c r="M257" s="30"/>
      <c r="N257" s="38" t="b">
        <v>0</v>
      </c>
      <c r="O257" s="38" t="b">
        <v>0</v>
      </c>
      <c r="P257" s="38" t="b">
        <v>0</v>
      </c>
      <c r="Q257" s="39" t="e">
        <f>VLOOKUP($B257,'25년 12월 출석표'!$B$2:$BQ$497,16,0)/5</f>
        <v>#N/A</v>
      </c>
      <c r="R257" s="40"/>
      <c r="S257" s="41" t="e">
        <f>VLOOKUP($B257,'25년 12월 출석표'!$B$2:$BQ$497,30,0)/5</f>
        <v>#N/A</v>
      </c>
      <c r="T257" s="40"/>
      <c r="U257" s="41" t="e">
        <f>VLOOKUP($B257,'25년 12월 출석표'!$B$2:$BQ$497,44,0)/5</f>
        <v>#N/A</v>
      </c>
      <c r="V257" s="40"/>
      <c r="W257" s="41" t="e">
        <f>VLOOKUP($B257,'25년 12월 출석표'!$B$2:$BQ$497,58,0)/5</f>
        <v>#N/A</v>
      </c>
      <c r="X257" s="42"/>
      <c r="Y257" s="41" t="e">
        <f>VLOOKUP($B257,'25년 12월 출석표'!$B$2:$BQ$503,66,0)/5</f>
        <v>#N/A</v>
      </c>
      <c r="Z257" s="43"/>
    </row>
    <row r="258" spans="1:26">
      <c r="A258" s="29"/>
      <c r="B258" s="164"/>
      <c r="C258" s="164"/>
      <c r="D258" s="177"/>
      <c r="E258" s="178"/>
      <c r="F258" s="180"/>
      <c r="G258" s="180"/>
      <c r="H258" s="180"/>
      <c r="I258" s="34" t="e">
        <f>VLOOKUP(B258,'25년 12월 출석표'!$B$7:$D$509,3,0)</f>
        <v>#N/A</v>
      </c>
      <c r="J258" s="35" t="e">
        <f t="shared" ca="1" si="0"/>
        <v>#NAME?</v>
      </c>
      <c r="K258" s="36" t="str">
        <f t="shared" si="3"/>
        <v/>
      </c>
      <c r="L258" s="37" t="str">
        <f t="shared" si="4"/>
        <v/>
      </c>
      <c r="M258" s="30"/>
      <c r="N258" s="38" t="b">
        <v>0</v>
      </c>
      <c r="O258" s="38" t="b">
        <v>0</v>
      </c>
      <c r="P258" s="38" t="b">
        <v>0</v>
      </c>
      <c r="Q258" s="39" t="e">
        <f>VLOOKUP($B258,'25년 12월 출석표'!$B$2:$BQ$497,16,0)/5</f>
        <v>#N/A</v>
      </c>
      <c r="R258" s="40"/>
      <c r="S258" s="41" t="e">
        <f>VLOOKUP($B258,'25년 12월 출석표'!$B$2:$BQ$497,30,0)/5</f>
        <v>#N/A</v>
      </c>
      <c r="T258" s="40"/>
      <c r="U258" s="41" t="e">
        <f>VLOOKUP($B258,'25년 12월 출석표'!$B$2:$BQ$497,44,0)/5</f>
        <v>#N/A</v>
      </c>
      <c r="V258" s="40"/>
      <c r="W258" s="41" t="e">
        <f>VLOOKUP($B258,'25년 12월 출석표'!$B$2:$BQ$497,58,0)/5</f>
        <v>#N/A</v>
      </c>
      <c r="X258" s="42"/>
      <c r="Y258" s="41" t="e">
        <f>VLOOKUP($B258,'25년 12월 출석표'!$B$2:$BQ$503,66,0)/5</f>
        <v>#N/A</v>
      </c>
      <c r="Z258" s="43"/>
    </row>
    <row r="259" spans="1:26">
      <c r="A259" s="29"/>
      <c r="B259" s="164"/>
      <c r="C259" s="164"/>
      <c r="D259" s="177"/>
      <c r="E259" s="178"/>
      <c r="F259" s="180"/>
      <c r="G259" s="180"/>
      <c r="H259" s="180"/>
      <c r="I259" s="34" t="e">
        <f>VLOOKUP(B259,'25년 12월 출석표'!$B$7:$D$509,3,0)</f>
        <v>#N/A</v>
      </c>
      <c r="J259" s="35" t="e">
        <f t="shared" ca="1" si="0"/>
        <v>#NAME?</v>
      </c>
      <c r="K259" s="36" t="str">
        <f t="shared" si="3"/>
        <v/>
      </c>
      <c r="L259" s="37" t="str">
        <f t="shared" si="4"/>
        <v/>
      </c>
      <c r="M259" s="30"/>
      <c r="N259" s="38" t="b">
        <v>0</v>
      </c>
      <c r="O259" s="38" t="b">
        <v>0</v>
      </c>
      <c r="P259" s="38" t="b">
        <v>0</v>
      </c>
      <c r="Q259" s="39" t="e">
        <f>VLOOKUP($B259,'25년 12월 출석표'!$B$2:$BQ$497,16,0)/5</f>
        <v>#N/A</v>
      </c>
      <c r="R259" s="40"/>
      <c r="S259" s="41" t="e">
        <f>VLOOKUP($B259,'25년 12월 출석표'!$B$2:$BQ$497,30,0)/5</f>
        <v>#N/A</v>
      </c>
      <c r="T259" s="40"/>
      <c r="U259" s="41" t="e">
        <f>VLOOKUP($B259,'25년 12월 출석표'!$B$2:$BQ$497,44,0)/5</f>
        <v>#N/A</v>
      </c>
      <c r="V259" s="40"/>
      <c r="W259" s="41" t="e">
        <f>VLOOKUP($B259,'25년 12월 출석표'!$B$2:$BQ$497,58,0)/5</f>
        <v>#N/A</v>
      </c>
      <c r="X259" s="42"/>
      <c r="Y259" s="41" t="e">
        <f>VLOOKUP($B259,'25년 12월 출석표'!$B$2:$BQ$503,66,0)/5</f>
        <v>#N/A</v>
      </c>
      <c r="Z259" s="43"/>
    </row>
    <row r="260" spans="1:26">
      <c r="A260" s="29"/>
      <c r="B260" s="164"/>
      <c r="C260" s="164"/>
      <c r="D260" s="177"/>
      <c r="E260" s="178"/>
      <c r="F260" s="180"/>
      <c r="G260" s="180"/>
      <c r="H260" s="180"/>
      <c r="I260" s="34" t="e">
        <f>VLOOKUP(B260,'25년 12월 출석표'!$B$7:$D$509,3,0)</f>
        <v>#N/A</v>
      </c>
      <c r="J260" s="35" t="e">
        <f t="shared" ca="1" si="0"/>
        <v>#NAME?</v>
      </c>
      <c r="K260" s="36" t="str">
        <f t="shared" si="3"/>
        <v/>
      </c>
      <c r="L260" s="37" t="str">
        <f t="shared" si="4"/>
        <v/>
      </c>
      <c r="M260" s="30"/>
      <c r="N260" s="38" t="b">
        <v>0</v>
      </c>
      <c r="O260" s="38" t="b">
        <v>0</v>
      </c>
      <c r="P260" s="38" t="b">
        <v>0</v>
      </c>
      <c r="Q260" s="39" t="e">
        <f>VLOOKUP($B260,'25년 12월 출석표'!$B$2:$BQ$497,16,0)/5</f>
        <v>#N/A</v>
      </c>
      <c r="R260" s="40"/>
      <c r="S260" s="41" t="e">
        <f>VLOOKUP($B260,'25년 12월 출석표'!$B$2:$BQ$497,30,0)/5</f>
        <v>#N/A</v>
      </c>
      <c r="T260" s="40"/>
      <c r="U260" s="41" t="e">
        <f>VLOOKUP($B260,'25년 12월 출석표'!$B$2:$BQ$497,44,0)/5</f>
        <v>#N/A</v>
      </c>
      <c r="V260" s="40"/>
      <c r="W260" s="41" t="e">
        <f>VLOOKUP($B260,'25년 12월 출석표'!$B$2:$BQ$497,58,0)/5</f>
        <v>#N/A</v>
      </c>
      <c r="X260" s="42"/>
      <c r="Y260" s="41" t="e">
        <f>VLOOKUP($B260,'25년 12월 출석표'!$B$2:$BQ$503,66,0)/5</f>
        <v>#N/A</v>
      </c>
      <c r="Z260" s="43"/>
    </row>
    <row r="261" spans="1:26">
      <c r="A261" s="29"/>
      <c r="B261" s="164"/>
      <c r="C261" s="164"/>
      <c r="D261" s="177"/>
      <c r="E261" s="178"/>
      <c r="F261" s="180"/>
      <c r="G261" s="180"/>
      <c r="H261" s="180"/>
      <c r="I261" s="34" t="e">
        <f>VLOOKUP(B261,'25년 12월 출석표'!$B$7:$D$509,3,0)</f>
        <v>#N/A</v>
      </c>
      <c r="J261" s="35" t="e">
        <f t="shared" ca="1" si="0"/>
        <v>#NAME?</v>
      </c>
      <c r="K261" s="36" t="str">
        <f t="shared" si="3"/>
        <v/>
      </c>
      <c r="L261" s="37" t="str">
        <f t="shared" si="4"/>
        <v/>
      </c>
      <c r="M261" s="30"/>
      <c r="N261" s="38" t="b">
        <v>0</v>
      </c>
      <c r="O261" s="38" t="b">
        <v>0</v>
      </c>
      <c r="P261" s="38" t="b">
        <v>0</v>
      </c>
      <c r="Q261" s="39" t="e">
        <f>VLOOKUP($B261,'25년 12월 출석표'!$B$2:$BQ$497,16,0)/5</f>
        <v>#N/A</v>
      </c>
      <c r="R261" s="40"/>
      <c r="S261" s="41" t="e">
        <f>VLOOKUP($B261,'25년 12월 출석표'!$B$2:$BQ$497,30,0)/5</f>
        <v>#N/A</v>
      </c>
      <c r="T261" s="40"/>
      <c r="U261" s="41" t="e">
        <f>VLOOKUP($B261,'25년 12월 출석표'!$B$2:$BQ$497,44,0)/5</f>
        <v>#N/A</v>
      </c>
      <c r="V261" s="40"/>
      <c r="W261" s="41" t="e">
        <f>VLOOKUP($B261,'25년 12월 출석표'!$B$2:$BQ$497,58,0)/5</f>
        <v>#N/A</v>
      </c>
      <c r="X261" s="42"/>
      <c r="Y261" s="41" t="e">
        <f>VLOOKUP($B261,'25년 12월 출석표'!$B$2:$BQ$503,66,0)/5</f>
        <v>#N/A</v>
      </c>
      <c r="Z261" s="43"/>
    </row>
    <row r="262" spans="1:26">
      <c r="A262" s="29"/>
      <c r="B262" s="164"/>
      <c r="C262" s="164"/>
      <c r="D262" s="177"/>
      <c r="E262" s="178"/>
      <c r="F262" s="180"/>
      <c r="G262" s="180"/>
      <c r="H262" s="180"/>
      <c r="I262" s="34" t="e">
        <f>VLOOKUP(B262,'25년 12월 출석표'!$B$7:$D$509,3,0)</f>
        <v>#N/A</v>
      </c>
      <c r="J262" s="35" t="e">
        <f t="shared" ca="1" si="0"/>
        <v>#NAME?</v>
      </c>
      <c r="K262" s="36" t="str">
        <f t="shared" si="3"/>
        <v/>
      </c>
      <c r="L262" s="37" t="str">
        <f t="shared" si="4"/>
        <v/>
      </c>
      <c r="M262" s="30"/>
      <c r="N262" s="38" t="b">
        <v>0</v>
      </c>
      <c r="O262" s="38" t="b">
        <v>0</v>
      </c>
      <c r="P262" s="38" t="b">
        <v>0</v>
      </c>
      <c r="Q262" s="39" t="e">
        <f>VLOOKUP($B262,'25년 12월 출석표'!$B$2:$BQ$497,16,0)/5</f>
        <v>#N/A</v>
      </c>
      <c r="R262" s="40"/>
      <c r="S262" s="41" t="e">
        <f>VLOOKUP($B262,'25년 12월 출석표'!$B$2:$BQ$497,30,0)/5</f>
        <v>#N/A</v>
      </c>
      <c r="T262" s="40"/>
      <c r="U262" s="41" t="e">
        <f>VLOOKUP($B262,'25년 12월 출석표'!$B$2:$BQ$497,44,0)/5</f>
        <v>#N/A</v>
      </c>
      <c r="V262" s="40"/>
      <c r="W262" s="41" t="e">
        <f>VLOOKUP($B262,'25년 12월 출석표'!$B$2:$BQ$497,58,0)/5</f>
        <v>#N/A</v>
      </c>
      <c r="X262" s="42"/>
      <c r="Y262" s="41" t="e">
        <f>VLOOKUP($B262,'25년 12월 출석표'!$B$2:$BQ$503,66,0)/5</f>
        <v>#N/A</v>
      </c>
      <c r="Z262" s="43"/>
    </row>
    <row r="263" spans="1:26">
      <c r="A263" s="29"/>
      <c r="B263" s="164"/>
      <c r="C263" s="164"/>
      <c r="D263" s="177"/>
      <c r="E263" s="178"/>
      <c r="F263" s="180"/>
      <c r="G263" s="180"/>
      <c r="H263" s="180"/>
      <c r="I263" s="34" t="e">
        <f>VLOOKUP(B263,'25년 12월 출석표'!$B$7:$D$509,3,0)</f>
        <v>#N/A</v>
      </c>
      <c r="J263" s="35" t="e">
        <f t="shared" ca="1" si="0"/>
        <v>#NAME?</v>
      </c>
      <c r="K263" s="36" t="str">
        <f t="shared" si="3"/>
        <v/>
      </c>
      <c r="L263" s="37" t="str">
        <f t="shared" si="4"/>
        <v/>
      </c>
      <c r="M263" s="30"/>
      <c r="N263" s="38" t="b">
        <v>0</v>
      </c>
      <c r="O263" s="38" t="b">
        <v>0</v>
      </c>
      <c r="P263" s="38" t="b">
        <v>0</v>
      </c>
      <c r="Q263" s="39" t="e">
        <f>VLOOKUP($B263,'25년 12월 출석표'!$B$2:$BQ$497,16,0)/5</f>
        <v>#N/A</v>
      </c>
      <c r="R263" s="40"/>
      <c r="S263" s="41" t="e">
        <f>VLOOKUP($B263,'25년 12월 출석표'!$B$2:$BQ$497,30,0)/5</f>
        <v>#N/A</v>
      </c>
      <c r="T263" s="40"/>
      <c r="U263" s="41" t="e">
        <f>VLOOKUP($B263,'25년 12월 출석표'!$B$2:$BQ$497,44,0)/5</f>
        <v>#N/A</v>
      </c>
      <c r="V263" s="40"/>
      <c r="W263" s="41" t="e">
        <f>VLOOKUP($B263,'25년 12월 출석표'!$B$2:$BQ$497,58,0)/5</f>
        <v>#N/A</v>
      </c>
      <c r="X263" s="42"/>
      <c r="Y263" s="41" t="e">
        <f>VLOOKUP($B263,'25년 12월 출석표'!$B$2:$BQ$503,66,0)/5</f>
        <v>#N/A</v>
      </c>
      <c r="Z263" s="43"/>
    </row>
    <row r="264" spans="1:26">
      <c r="A264" s="29"/>
      <c r="B264" s="164"/>
      <c r="C264" s="164"/>
      <c r="D264" s="177"/>
      <c r="E264" s="178"/>
      <c r="F264" s="180"/>
      <c r="G264" s="180"/>
      <c r="H264" s="180"/>
      <c r="I264" s="34" t="e">
        <f>VLOOKUP(B264,'25년 12월 출석표'!$B$7:$D$509,3,0)</f>
        <v>#N/A</v>
      </c>
      <c r="J264" s="35" t="e">
        <f t="shared" ca="1" si="0"/>
        <v>#NAME?</v>
      </c>
      <c r="K264" s="36" t="str">
        <f t="shared" si="3"/>
        <v/>
      </c>
      <c r="L264" s="37" t="str">
        <f t="shared" si="4"/>
        <v/>
      </c>
      <c r="M264" s="30"/>
      <c r="N264" s="38" t="b">
        <v>0</v>
      </c>
      <c r="O264" s="38" t="b">
        <v>0</v>
      </c>
      <c r="P264" s="38" t="b">
        <v>0</v>
      </c>
      <c r="Q264" s="39" t="e">
        <f>VLOOKUP($B264,'25년 12월 출석표'!$B$2:$BQ$497,16,0)/5</f>
        <v>#N/A</v>
      </c>
      <c r="R264" s="40"/>
      <c r="S264" s="41" t="e">
        <f>VLOOKUP($B264,'25년 12월 출석표'!$B$2:$BQ$497,30,0)/5</f>
        <v>#N/A</v>
      </c>
      <c r="T264" s="40"/>
      <c r="U264" s="41" t="e">
        <f>VLOOKUP($B264,'25년 12월 출석표'!$B$2:$BQ$497,44,0)/5</f>
        <v>#N/A</v>
      </c>
      <c r="V264" s="40"/>
      <c r="W264" s="41" t="e">
        <f>VLOOKUP($B264,'25년 12월 출석표'!$B$2:$BQ$497,58,0)/5</f>
        <v>#N/A</v>
      </c>
      <c r="X264" s="42"/>
      <c r="Y264" s="41" t="e">
        <f>VLOOKUP($B264,'25년 12월 출석표'!$B$2:$BQ$503,66,0)/5</f>
        <v>#N/A</v>
      </c>
      <c r="Z264" s="43"/>
    </row>
    <row r="265" spans="1:26">
      <c r="A265" s="29"/>
      <c r="B265" s="164"/>
      <c r="C265" s="164"/>
      <c r="D265" s="177"/>
      <c r="E265" s="178"/>
      <c r="F265" s="180"/>
      <c r="G265" s="180"/>
      <c r="H265" s="180"/>
      <c r="I265" s="34" t="e">
        <f>VLOOKUP(B265,'25년 12월 출석표'!$B$7:$D$509,3,0)</f>
        <v>#N/A</v>
      </c>
      <c r="J265" s="35" t="e">
        <f t="shared" ca="1" si="0"/>
        <v>#NAME?</v>
      </c>
      <c r="K265" s="36" t="str">
        <f t="shared" si="3"/>
        <v/>
      </c>
      <c r="L265" s="37" t="str">
        <f t="shared" si="4"/>
        <v/>
      </c>
      <c r="M265" s="30"/>
      <c r="N265" s="38" t="b">
        <v>0</v>
      </c>
      <c r="O265" s="38" t="b">
        <v>0</v>
      </c>
      <c r="P265" s="38" t="b">
        <v>0</v>
      </c>
      <c r="Q265" s="39" t="e">
        <f>VLOOKUP($B265,'25년 12월 출석표'!$B$2:$BQ$497,16,0)/5</f>
        <v>#N/A</v>
      </c>
      <c r="R265" s="40"/>
      <c r="S265" s="41" t="e">
        <f>VLOOKUP($B265,'25년 12월 출석표'!$B$2:$BQ$497,30,0)/5</f>
        <v>#N/A</v>
      </c>
      <c r="T265" s="40"/>
      <c r="U265" s="41" t="e">
        <f>VLOOKUP($B265,'25년 12월 출석표'!$B$2:$BQ$497,44,0)/5</f>
        <v>#N/A</v>
      </c>
      <c r="V265" s="40"/>
      <c r="W265" s="41" t="e">
        <f>VLOOKUP($B265,'25년 12월 출석표'!$B$2:$BQ$497,58,0)/5</f>
        <v>#N/A</v>
      </c>
      <c r="X265" s="42"/>
      <c r="Y265" s="41" t="e">
        <f>VLOOKUP($B265,'25년 12월 출석표'!$B$2:$BQ$503,66,0)/5</f>
        <v>#N/A</v>
      </c>
      <c r="Z265" s="43"/>
    </row>
    <row r="266" spans="1:26">
      <c r="A266" s="29"/>
      <c r="B266" s="164"/>
      <c r="C266" s="164"/>
      <c r="D266" s="177"/>
      <c r="E266" s="178"/>
      <c r="F266" s="180"/>
      <c r="G266" s="180"/>
      <c r="H266" s="180"/>
      <c r="I266" s="34" t="e">
        <f>VLOOKUP(B266,'25년 12월 출석표'!$B$7:$D$509,3,0)</f>
        <v>#N/A</v>
      </c>
      <c r="J266" s="35" t="e">
        <f t="shared" ca="1" si="0"/>
        <v>#NAME?</v>
      </c>
      <c r="K266" s="36" t="str">
        <f t="shared" si="3"/>
        <v/>
      </c>
      <c r="L266" s="37" t="str">
        <f t="shared" si="4"/>
        <v/>
      </c>
      <c r="M266" s="30"/>
      <c r="N266" s="38" t="b">
        <v>0</v>
      </c>
      <c r="O266" s="38" t="b">
        <v>0</v>
      </c>
      <c r="P266" s="38" t="b">
        <v>0</v>
      </c>
      <c r="Q266" s="39" t="e">
        <f>VLOOKUP($B266,'25년 12월 출석표'!$B$2:$BQ$497,16,0)/5</f>
        <v>#N/A</v>
      </c>
      <c r="R266" s="40"/>
      <c r="S266" s="41" t="e">
        <f>VLOOKUP($B266,'25년 12월 출석표'!$B$2:$BQ$497,30,0)/5</f>
        <v>#N/A</v>
      </c>
      <c r="T266" s="40"/>
      <c r="U266" s="41" t="e">
        <f>VLOOKUP($B266,'25년 12월 출석표'!$B$2:$BQ$497,44,0)/5</f>
        <v>#N/A</v>
      </c>
      <c r="V266" s="40"/>
      <c r="W266" s="41" t="e">
        <f>VLOOKUP($B266,'25년 12월 출석표'!$B$2:$BQ$497,58,0)/5</f>
        <v>#N/A</v>
      </c>
      <c r="X266" s="42"/>
      <c r="Y266" s="41" t="e">
        <f>VLOOKUP($B266,'25년 12월 출석표'!$B$2:$BQ$503,66,0)/5</f>
        <v>#N/A</v>
      </c>
      <c r="Z266" s="43"/>
    </row>
    <row r="267" spans="1:26">
      <c r="A267" s="29"/>
      <c r="B267" s="164"/>
      <c r="C267" s="164"/>
      <c r="D267" s="177"/>
      <c r="E267" s="178"/>
      <c r="F267" s="180"/>
      <c r="G267" s="180"/>
      <c r="H267" s="180"/>
      <c r="I267" s="34" t="e">
        <f>VLOOKUP(B267,'25년 12월 출석표'!$B$7:$D$509,3,0)</f>
        <v>#N/A</v>
      </c>
      <c r="J267" s="35" t="e">
        <f t="shared" ca="1" si="0"/>
        <v>#NAME?</v>
      </c>
      <c r="K267" s="36" t="str">
        <f t="shared" si="3"/>
        <v/>
      </c>
      <c r="L267" s="37" t="str">
        <f t="shared" si="4"/>
        <v/>
      </c>
      <c r="M267" s="30"/>
      <c r="N267" s="38" t="b">
        <v>0</v>
      </c>
      <c r="O267" s="38" t="b">
        <v>0</v>
      </c>
      <c r="P267" s="38" t="b">
        <v>0</v>
      </c>
      <c r="Q267" s="39" t="e">
        <f>VLOOKUP($B267,'25년 12월 출석표'!$B$2:$BQ$497,16,0)/5</f>
        <v>#N/A</v>
      </c>
      <c r="R267" s="40"/>
      <c r="S267" s="41" t="e">
        <f>VLOOKUP($B267,'25년 12월 출석표'!$B$2:$BQ$497,30,0)/5</f>
        <v>#N/A</v>
      </c>
      <c r="T267" s="40"/>
      <c r="U267" s="41" t="e">
        <f>VLOOKUP($B267,'25년 12월 출석표'!$B$2:$BQ$497,44,0)/5</f>
        <v>#N/A</v>
      </c>
      <c r="V267" s="40"/>
      <c r="W267" s="41" t="e">
        <f>VLOOKUP($B267,'25년 12월 출석표'!$B$2:$BQ$497,58,0)/5</f>
        <v>#N/A</v>
      </c>
      <c r="X267" s="42"/>
      <c r="Y267" s="41" t="e">
        <f>VLOOKUP($B267,'25년 12월 출석표'!$B$2:$BQ$503,66,0)/5</f>
        <v>#N/A</v>
      </c>
      <c r="Z267" s="43"/>
    </row>
    <row r="268" spans="1:26">
      <c r="A268" s="29"/>
      <c r="B268" s="164"/>
      <c r="C268" s="164"/>
      <c r="D268" s="177"/>
      <c r="E268" s="178"/>
      <c r="F268" s="180"/>
      <c r="G268" s="180"/>
      <c r="H268" s="180"/>
      <c r="I268" s="34" t="e">
        <f>VLOOKUP(B268,'25년 12월 출석표'!$B$7:$D$509,3,0)</f>
        <v>#N/A</v>
      </c>
      <c r="J268" s="35" t="e">
        <f t="shared" ca="1" si="0"/>
        <v>#NAME?</v>
      </c>
      <c r="K268" s="36" t="str">
        <f t="shared" si="3"/>
        <v/>
      </c>
      <c r="L268" s="37" t="str">
        <f t="shared" si="4"/>
        <v/>
      </c>
      <c r="M268" s="30"/>
      <c r="N268" s="38" t="b">
        <v>0</v>
      </c>
      <c r="O268" s="38" t="b">
        <v>0</v>
      </c>
      <c r="P268" s="38" t="b">
        <v>0</v>
      </c>
      <c r="Q268" s="39" t="e">
        <f>VLOOKUP($B268,'25년 12월 출석표'!$B$2:$BQ$497,16,0)/5</f>
        <v>#N/A</v>
      </c>
      <c r="R268" s="40"/>
      <c r="S268" s="41" t="e">
        <f>VLOOKUP($B268,'25년 12월 출석표'!$B$2:$BQ$497,30,0)/5</f>
        <v>#N/A</v>
      </c>
      <c r="T268" s="40"/>
      <c r="U268" s="41" t="e">
        <f>VLOOKUP($B268,'25년 12월 출석표'!$B$2:$BQ$497,44,0)/5</f>
        <v>#N/A</v>
      </c>
      <c r="V268" s="40"/>
      <c r="W268" s="41" t="e">
        <f>VLOOKUP($B268,'25년 12월 출석표'!$B$2:$BQ$497,58,0)/5</f>
        <v>#N/A</v>
      </c>
      <c r="X268" s="42"/>
      <c r="Y268" s="41" t="e">
        <f>VLOOKUP($B268,'25년 12월 출석표'!$B$2:$BQ$503,66,0)/5</f>
        <v>#N/A</v>
      </c>
      <c r="Z268" s="43"/>
    </row>
    <row r="269" spans="1:26">
      <c r="A269" s="29"/>
      <c r="B269" s="164"/>
      <c r="C269" s="164"/>
      <c r="D269" s="177"/>
      <c r="E269" s="178"/>
      <c r="F269" s="180"/>
      <c r="G269" s="180"/>
      <c r="H269" s="180"/>
      <c r="I269" s="34" t="e">
        <f>VLOOKUP(B269,'25년 12월 출석표'!$B$7:$D$509,3,0)</f>
        <v>#N/A</v>
      </c>
      <c r="J269" s="35" t="e">
        <f t="shared" ca="1" si="0"/>
        <v>#NAME?</v>
      </c>
      <c r="K269" s="36" t="str">
        <f t="shared" si="3"/>
        <v/>
      </c>
      <c r="L269" s="37" t="str">
        <f t="shared" si="4"/>
        <v/>
      </c>
      <c r="M269" s="30"/>
      <c r="N269" s="38" t="b">
        <v>0</v>
      </c>
      <c r="O269" s="38" t="b">
        <v>0</v>
      </c>
      <c r="P269" s="38" t="b">
        <v>0</v>
      </c>
      <c r="Q269" s="39" t="e">
        <f>VLOOKUP($B269,'25년 12월 출석표'!$B$2:$BQ$497,16,0)/5</f>
        <v>#N/A</v>
      </c>
      <c r="R269" s="40"/>
      <c r="S269" s="41" t="e">
        <f>VLOOKUP($B269,'25년 12월 출석표'!$B$2:$BQ$497,30,0)/5</f>
        <v>#N/A</v>
      </c>
      <c r="T269" s="40"/>
      <c r="U269" s="41" t="e">
        <f>VLOOKUP($B269,'25년 12월 출석표'!$B$2:$BQ$497,44,0)/5</f>
        <v>#N/A</v>
      </c>
      <c r="V269" s="40"/>
      <c r="W269" s="41" t="e">
        <f>VLOOKUP($B269,'25년 12월 출석표'!$B$2:$BQ$497,58,0)/5</f>
        <v>#N/A</v>
      </c>
      <c r="X269" s="42"/>
      <c r="Y269" s="41" t="e">
        <f>VLOOKUP($B269,'25년 12월 출석표'!$B$2:$BQ$503,66,0)/5</f>
        <v>#N/A</v>
      </c>
      <c r="Z269" s="43"/>
    </row>
    <row r="270" spans="1:26">
      <c r="A270" s="29"/>
      <c r="B270" s="164"/>
      <c r="C270" s="164"/>
      <c r="D270" s="177"/>
      <c r="E270" s="178"/>
      <c r="F270" s="180"/>
      <c r="G270" s="180"/>
      <c r="H270" s="180"/>
      <c r="I270" s="34" t="e">
        <f>VLOOKUP(B270,'25년 12월 출석표'!$B$7:$D$509,3,0)</f>
        <v>#N/A</v>
      </c>
      <c r="J270" s="35" t="e">
        <f t="shared" ca="1" si="0"/>
        <v>#NAME?</v>
      </c>
      <c r="K270" s="36" t="str">
        <f t="shared" si="3"/>
        <v/>
      </c>
      <c r="L270" s="37" t="str">
        <f t="shared" si="4"/>
        <v/>
      </c>
      <c r="M270" s="30"/>
      <c r="N270" s="38" t="b">
        <v>0</v>
      </c>
      <c r="O270" s="38" t="b">
        <v>0</v>
      </c>
      <c r="P270" s="38" t="b">
        <v>0</v>
      </c>
      <c r="Q270" s="39" t="e">
        <f>VLOOKUP($B270,'25년 12월 출석표'!$B$2:$BQ$497,16,0)/5</f>
        <v>#N/A</v>
      </c>
      <c r="R270" s="40"/>
      <c r="S270" s="41" t="e">
        <f>VLOOKUP($B270,'25년 12월 출석표'!$B$2:$BQ$497,30,0)/5</f>
        <v>#N/A</v>
      </c>
      <c r="T270" s="40"/>
      <c r="U270" s="41" t="e">
        <f>VLOOKUP($B270,'25년 12월 출석표'!$B$2:$BQ$497,44,0)/5</f>
        <v>#N/A</v>
      </c>
      <c r="V270" s="40"/>
      <c r="W270" s="41" t="e">
        <f>VLOOKUP($B270,'25년 12월 출석표'!$B$2:$BQ$497,58,0)/5</f>
        <v>#N/A</v>
      </c>
      <c r="X270" s="42"/>
      <c r="Y270" s="41" t="e">
        <f>VLOOKUP($B270,'25년 12월 출석표'!$B$2:$BQ$503,66,0)/5</f>
        <v>#N/A</v>
      </c>
      <c r="Z270" s="43"/>
    </row>
    <row r="271" spans="1:26">
      <c r="A271" s="29"/>
      <c r="B271" s="164"/>
      <c r="C271" s="164"/>
      <c r="D271" s="177"/>
      <c r="E271" s="178"/>
      <c r="F271" s="180"/>
      <c r="G271" s="180"/>
      <c r="H271" s="180"/>
      <c r="I271" s="34" t="e">
        <f>VLOOKUP(B271,'25년 12월 출석표'!$B$7:$D$509,3,0)</f>
        <v>#N/A</v>
      </c>
      <c r="J271" s="35" t="e">
        <f t="shared" ca="1" si="0"/>
        <v>#NAME?</v>
      </c>
      <c r="K271" s="36" t="str">
        <f t="shared" si="3"/>
        <v/>
      </c>
      <c r="L271" s="37" t="str">
        <f t="shared" si="4"/>
        <v/>
      </c>
      <c r="M271" s="30"/>
      <c r="N271" s="38" t="b">
        <v>0</v>
      </c>
      <c r="O271" s="38" t="b">
        <v>0</v>
      </c>
      <c r="P271" s="38" t="b">
        <v>0</v>
      </c>
      <c r="Q271" s="39" t="e">
        <f>VLOOKUP($B271,'25년 12월 출석표'!$B$2:$BQ$497,16,0)/5</f>
        <v>#N/A</v>
      </c>
      <c r="R271" s="40"/>
      <c r="S271" s="41" t="e">
        <f>VLOOKUP($B271,'25년 12월 출석표'!$B$2:$BQ$497,30,0)/5</f>
        <v>#N/A</v>
      </c>
      <c r="T271" s="40"/>
      <c r="U271" s="41" t="e">
        <f>VLOOKUP($B271,'25년 12월 출석표'!$B$2:$BQ$497,44,0)/5</f>
        <v>#N/A</v>
      </c>
      <c r="V271" s="40"/>
      <c r="W271" s="41" t="e">
        <f>VLOOKUP($B271,'25년 12월 출석표'!$B$2:$BQ$497,58,0)/5</f>
        <v>#N/A</v>
      </c>
      <c r="X271" s="42"/>
      <c r="Y271" s="41" t="e">
        <f>VLOOKUP($B271,'25년 12월 출석표'!$B$2:$BQ$503,66,0)/5</f>
        <v>#N/A</v>
      </c>
      <c r="Z271" s="43"/>
    </row>
    <row r="272" spans="1:26">
      <c r="A272" s="29"/>
      <c r="B272" s="164"/>
      <c r="C272" s="164"/>
      <c r="D272" s="177"/>
      <c r="E272" s="178"/>
      <c r="F272" s="180"/>
      <c r="G272" s="180"/>
      <c r="H272" s="180"/>
      <c r="I272" s="34" t="e">
        <f>VLOOKUP(B272,'25년 12월 출석표'!$B$7:$D$509,3,0)</f>
        <v>#N/A</v>
      </c>
      <c r="J272" s="35" t="e">
        <f t="shared" ca="1" si="0"/>
        <v>#NAME?</v>
      </c>
      <c r="K272" s="36" t="str">
        <f t="shared" si="3"/>
        <v/>
      </c>
      <c r="L272" s="37" t="str">
        <f t="shared" si="4"/>
        <v/>
      </c>
      <c r="M272" s="30"/>
      <c r="N272" s="38" t="b">
        <v>0</v>
      </c>
      <c r="O272" s="38" t="b">
        <v>0</v>
      </c>
      <c r="P272" s="38" t="b">
        <v>0</v>
      </c>
      <c r="Q272" s="39" t="e">
        <f>VLOOKUP($B272,'25년 12월 출석표'!$B$2:$BQ$497,16,0)/5</f>
        <v>#N/A</v>
      </c>
      <c r="R272" s="40"/>
      <c r="S272" s="41" t="e">
        <f>VLOOKUP($B272,'25년 12월 출석표'!$B$2:$BQ$497,30,0)/5</f>
        <v>#N/A</v>
      </c>
      <c r="T272" s="40"/>
      <c r="U272" s="41" t="e">
        <f>VLOOKUP($B272,'25년 12월 출석표'!$B$2:$BQ$497,44,0)/5</f>
        <v>#N/A</v>
      </c>
      <c r="V272" s="40"/>
      <c r="W272" s="41" t="e">
        <f>VLOOKUP($B272,'25년 12월 출석표'!$B$2:$BQ$497,58,0)/5</f>
        <v>#N/A</v>
      </c>
      <c r="X272" s="42"/>
      <c r="Y272" s="41" t="e">
        <f>VLOOKUP($B272,'25년 12월 출석표'!$B$2:$BQ$503,66,0)/5</f>
        <v>#N/A</v>
      </c>
      <c r="Z272" s="43"/>
    </row>
    <row r="273" spans="1:26">
      <c r="A273" s="29"/>
      <c r="B273" s="164"/>
      <c r="C273" s="164"/>
      <c r="D273" s="177"/>
      <c r="E273" s="178"/>
      <c r="F273" s="180"/>
      <c r="G273" s="180"/>
      <c r="H273" s="180"/>
      <c r="I273" s="34" t="e">
        <f>VLOOKUP(B273,'25년 12월 출석표'!$B$7:$D$509,3,0)</f>
        <v>#N/A</v>
      </c>
      <c r="J273" s="35" t="e">
        <f t="shared" ca="1" si="0"/>
        <v>#NAME?</v>
      </c>
      <c r="K273" s="36" t="str">
        <f t="shared" si="3"/>
        <v/>
      </c>
      <c r="L273" s="37" t="str">
        <f t="shared" si="4"/>
        <v/>
      </c>
      <c r="M273" s="30"/>
      <c r="N273" s="38" t="b">
        <v>0</v>
      </c>
      <c r="O273" s="38" t="b">
        <v>0</v>
      </c>
      <c r="P273" s="38" t="b">
        <v>0</v>
      </c>
      <c r="Q273" s="39" t="e">
        <f>VLOOKUP($B273,'25년 12월 출석표'!$B$2:$BQ$497,16,0)/5</f>
        <v>#N/A</v>
      </c>
      <c r="R273" s="40"/>
      <c r="S273" s="41" t="e">
        <f>VLOOKUP($B273,'25년 12월 출석표'!$B$2:$BQ$497,30,0)/5</f>
        <v>#N/A</v>
      </c>
      <c r="T273" s="40"/>
      <c r="U273" s="41" t="e">
        <f>VLOOKUP($B273,'25년 12월 출석표'!$B$2:$BQ$497,44,0)/5</f>
        <v>#N/A</v>
      </c>
      <c r="V273" s="40"/>
      <c r="W273" s="41" t="e">
        <f>VLOOKUP($B273,'25년 12월 출석표'!$B$2:$BQ$497,58,0)/5</f>
        <v>#N/A</v>
      </c>
      <c r="X273" s="42"/>
      <c r="Y273" s="41" t="e">
        <f>VLOOKUP($B273,'25년 12월 출석표'!$B$2:$BQ$503,66,0)/5</f>
        <v>#N/A</v>
      </c>
      <c r="Z273" s="43"/>
    </row>
    <row r="274" spans="1:26">
      <c r="A274" s="29"/>
      <c r="B274" s="164"/>
      <c r="C274" s="164"/>
      <c r="D274" s="177"/>
      <c r="E274" s="178"/>
      <c r="F274" s="180"/>
      <c r="G274" s="180"/>
      <c r="H274" s="180"/>
      <c r="I274" s="34" t="e">
        <f>VLOOKUP(B274,'25년 12월 출석표'!$B$7:$D$509,3,0)</f>
        <v>#N/A</v>
      </c>
      <c r="J274" s="35" t="e">
        <f t="shared" ca="1" si="0"/>
        <v>#NAME?</v>
      </c>
      <c r="K274" s="36" t="str">
        <f t="shared" si="3"/>
        <v/>
      </c>
      <c r="L274" s="37" t="str">
        <f t="shared" si="4"/>
        <v/>
      </c>
      <c r="M274" s="30"/>
      <c r="N274" s="38" t="b">
        <v>0</v>
      </c>
      <c r="O274" s="38" t="b">
        <v>0</v>
      </c>
      <c r="P274" s="38" t="b">
        <v>0</v>
      </c>
      <c r="Q274" s="39" t="e">
        <f>VLOOKUP($B274,'25년 12월 출석표'!$B$2:$BQ$497,16,0)/5</f>
        <v>#N/A</v>
      </c>
      <c r="R274" s="40"/>
      <c r="S274" s="41" t="e">
        <f>VLOOKUP($B274,'25년 12월 출석표'!$B$2:$BQ$497,30,0)/5</f>
        <v>#N/A</v>
      </c>
      <c r="T274" s="40"/>
      <c r="U274" s="41" t="e">
        <f>VLOOKUP($B274,'25년 12월 출석표'!$B$2:$BQ$497,44,0)/5</f>
        <v>#N/A</v>
      </c>
      <c r="V274" s="40"/>
      <c r="W274" s="41" t="e">
        <f>VLOOKUP($B274,'25년 12월 출석표'!$B$2:$BQ$497,58,0)/5</f>
        <v>#N/A</v>
      </c>
      <c r="X274" s="42"/>
      <c r="Y274" s="41" t="e">
        <f>VLOOKUP($B274,'25년 12월 출석표'!$B$2:$BQ$503,66,0)/5</f>
        <v>#N/A</v>
      </c>
      <c r="Z274" s="43"/>
    </row>
    <row r="275" spans="1:26">
      <c r="A275" s="29"/>
      <c r="B275" s="164"/>
      <c r="C275" s="164"/>
      <c r="D275" s="177"/>
      <c r="E275" s="178"/>
      <c r="F275" s="180"/>
      <c r="G275" s="180"/>
      <c r="H275" s="180"/>
      <c r="I275" s="34" t="e">
        <f>VLOOKUP(B275,'25년 12월 출석표'!$B$7:$D$509,3,0)</f>
        <v>#N/A</v>
      </c>
      <c r="J275" s="35" t="e">
        <f t="shared" ca="1" si="0"/>
        <v>#NAME?</v>
      </c>
      <c r="K275" s="36" t="str">
        <f t="shared" si="3"/>
        <v/>
      </c>
      <c r="L275" s="37" t="str">
        <f t="shared" si="4"/>
        <v/>
      </c>
      <c r="M275" s="30"/>
      <c r="N275" s="38" t="b">
        <v>0</v>
      </c>
      <c r="O275" s="38" t="b">
        <v>0</v>
      </c>
      <c r="P275" s="38" t="b">
        <v>0</v>
      </c>
      <c r="Q275" s="39" t="e">
        <f>VLOOKUP($B275,'25년 12월 출석표'!$B$2:$BQ$497,16,0)/5</f>
        <v>#N/A</v>
      </c>
      <c r="R275" s="40"/>
      <c r="S275" s="41" t="e">
        <f>VLOOKUP($B275,'25년 12월 출석표'!$B$2:$BQ$497,30,0)/5</f>
        <v>#N/A</v>
      </c>
      <c r="T275" s="40"/>
      <c r="U275" s="41" t="e">
        <f>VLOOKUP($B275,'25년 12월 출석표'!$B$2:$BQ$497,44,0)/5</f>
        <v>#N/A</v>
      </c>
      <c r="V275" s="40"/>
      <c r="W275" s="41" t="e">
        <f>VLOOKUP($B275,'25년 12월 출석표'!$B$2:$BQ$497,58,0)/5</f>
        <v>#N/A</v>
      </c>
      <c r="X275" s="42"/>
      <c r="Y275" s="41" t="e">
        <f>VLOOKUP($B275,'25년 12월 출석표'!$B$2:$BQ$503,66,0)/5</f>
        <v>#N/A</v>
      </c>
      <c r="Z275" s="43"/>
    </row>
    <row r="276" spans="1:26">
      <c r="A276" s="29"/>
      <c r="B276" s="164"/>
      <c r="C276" s="164"/>
      <c r="D276" s="177"/>
      <c r="E276" s="178"/>
      <c r="F276" s="180"/>
      <c r="G276" s="180"/>
      <c r="H276" s="180"/>
      <c r="I276" s="34" t="e">
        <f>VLOOKUP(B276,'25년 12월 출석표'!$B$7:$D$509,3,0)</f>
        <v>#N/A</v>
      </c>
      <c r="J276" s="35" t="e">
        <f t="shared" ca="1" si="0"/>
        <v>#NAME?</v>
      </c>
      <c r="K276" s="36" t="str">
        <f t="shared" si="3"/>
        <v/>
      </c>
      <c r="L276" s="37" t="str">
        <f t="shared" si="4"/>
        <v/>
      </c>
      <c r="M276" s="30"/>
      <c r="N276" s="38" t="b">
        <v>0</v>
      </c>
      <c r="O276" s="38" t="b">
        <v>0</v>
      </c>
      <c r="P276" s="38" t="b">
        <v>0</v>
      </c>
      <c r="Q276" s="39" t="e">
        <f>VLOOKUP($B276,'25년 12월 출석표'!$B$2:$BQ$497,16,0)/5</f>
        <v>#N/A</v>
      </c>
      <c r="R276" s="40"/>
      <c r="S276" s="41" t="e">
        <f>VLOOKUP($B276,'25년 12월 출석표'!$B$2:$BQ$497,30,0)/5</f>
        <v>#N/A</v>
      </c>
      <c r="T276" s="40"/>
      <c r="U276" s="41" t="e">
        <f>VLOOKUP($B276,'25년 12월 출석표'!$B$2:$BQ$497,44,0)/5</f>
        <v>#N/A</v>
      </c>
      <c r="V276" s="40"/>
      <c r="W276" s="41" t="e">
        <f>VLOOKUP($B276,'25년 12월 출석표'!$B$2:$BQ$497,58,0)/5</f>
        <v>#N/A</v>
      </c>
      <c r="X276" s="42"/>
      <c r="Y276" s="41" t="e">
        <f>VLOOKUP($B276,'25년 12월 출석표'!$B$2:$BQ$503,66,0)/5</f>
        <v>#N/A</v>
      </c>
      <c r="Z276" s="43"/>
    </row>
    <row r="277" spans="1:26">
      <c r="A277" s="29"/>
      <c r="B277" s="164"/>
      <c r="C277" s="164"/>
      <c r="D277" s="177"/>
      <c r="E277" s="178"/>
      <c r="F277" s="180"/>
      <c r="G277" s="180"/>
      <c r="H277" s="180"/>
      <c r="I277" s="34" t="e">
        <f>VLOOKUP(B277,'25년 12월 출석표'!$B$7:$D$509,3,0)</f>
        <v>#N/A</v>
      </c>
      <c r="J277" s="35" t="e">
        <f t="shared" ca="1" si="0"/>
        <v>#NAME?</v>
      </c>
      <c r="K277" s="36" t="str">
        <f t="shared" si="3"/>
        <v/>
      </c>
      <c r="L277" s="37" t="str">
        <f t="shared" si="4"/>
        <v/>
      </c>
      <c r="M277" s="30"/>
      <c r="N277" s="38" t="b">
        <v>0</v>
      </c>
      <c r="O277" s="38" t="b">
        <v>0</v>
      </c>
      <c r="P277" s="38" t="b">
        <v>0</v>
      </c>
      <c r="Q277" s="39" t="e">
        <f>VLOOKUP($B277,'25년 12월 출석표'!$B$2:$BQ$497,16,0)/5</f>
        <v>#N/A</v>
      </c>
      <c r="R277" s="40"/>
      <c r="S277" s="41" t="e">
        <f>VLOOKUP($B277,'25년 12월 출석표'!$B$2:$BQ$497,30,0)/5</f>
        <v>#N/A</v>
      </c>
      <c r="T277" s="40"/>
      <c r="U277" s="41" t="e">
        <f>VLOOKUP($B277,'25년 12월 출석표'!$B$2:$BQ$497,44,0)/5</f>
        <v>#N/A</v>
      </c>
      <c r="V277" s="40"/>
      <c r="W277" s="41" t="e">
        <f>VLOOKUP($B277,'25년 12월 출석표'!$B$2:$BQ$497,58,0)/5</f>
        <v>#N/A</v>
      </c>
      <c r="X277" s="42"/>
      <c r="Y277" s="41" t="e">
        <f>VLOOKUP($B277,'25년 12월 출석표'!$B$2:$BQ$503,66,0)/5</f>
        <v>#N/A</v>
      </c>
      <c r="Z277" s="43"/>
    </row>
    <row r="278" spans="1:26">
      <c r="A278" s="29"/>
      <c r="B278" s="164"/>
      <c r="C278" s="164"/>
      <c r="D278" s="177"/>
      <c r="E278" s="178"/>
      <c r="F278" s="180"/>
      <c r="G278" s="180"/>
      <c r="H278" s="180"/>
      <c r="I278" s="34" t="e">
        <f>VLOOKUP(B278,'25년 12월 출석표'!$B$7:$D$509,3,0)</f>
        <v>#N/A</v>
      </c>
      <c r="J278" s="35" t="e">
        <f t="shared" ca="1" si="0"/>
        <v>#NAME?</v>
      </c>
      <c r="K278" s="36" t="str">
        <f t="shared" si="3"/>
        <v/>
      </c>
      <c r="L278" s="37" t="str">
        <f t="shared" si="4"/>
        <v/>
      </c>
      <c r="M278" s="30"/>
      <c r="N278" s="38" t="b">
        <v>0</v>
      </c>
      <c r="O278" s="38" t="b">
        <v>0</v>
      </c>
      <c r="P278" s="38" t="b">
        <v>0</v>
      </c>
      <c r="Q278" s="39" t="e">
        <f>VLOOKUP($B278,'25년 12월 출석표'!$B$2:$BQ$497,16,0)/5</f>
        <v>#N/A</v>
      </c>
      <c r="R278" s="40"/>
      <c r="S278" s="41" t="e">
        <f>VLOOKUP($B278,'25년 12월 출석표'!$B$2:$BQ$497,30,0)/5</f>
        <v>#N/A</v>
      </c>
      <c r="T278" s="40"/>
      <c r="U278" s="41" t="e">
        <f>VLOOKUP($B278,'25년 12월 출석표'!$B$2:$BQ$497,44,0)/5</f>
        <v>#N/A</v>
      </c>
      <c r="V278" s="40"/>
      <c r="W278" s="41" t="e">
        <f>VLOOKUP($B278,'25년 12월 출석표'!$B$2:$BQ$497,58,0)/5</f>
        <v>#N/A</v>
      </c>
      <c r="X278" s="42"/>
      <c r="Y278" s="41" t="e">
        <f>VLOOKUP($B278,'25년 12월 출석표'!$B$2:$BQ$503,66,0)/5</f>
        <v>#N/A</v>
      </c>
      <c r="Z278" s="43"/>
    </row>
    <row r="279" spans="1:26">
      <c r="A279" s="29"/>
      <c r="B279" s="164"/>
      <c r="C279" s="164"/>
      <c r="D279" s="177"/>
      <c r="E279" s="178"/>
      <c r="F279" s="180"/>
      <c r="G279" s="180"/>
      <c r="H279" s="180"/>
      <c r="I279" s="34" t="e">
        <f>VLOOKUP(B279,'25년 12월 출석표'!$B$7:$D$509,3,0)</f>
        <v>#N/A</v>
      </c>
      <c r="J279" s="35" t="e">
        <f t="shared" ca="1" si="0"/>
        <v>#NAME?</v>
      </c>
      <c r="K279" s="36" t="str">
        <f t="shared" si="3"/>
        <v/>
      </c>
      <c r="L279" s="37" t="str">
        <f t="shared" si="4"/>
        <v/>
      </c>
      <c r="M279" s="30"/>
      <c r="N279" s="38" t="b">
        <v>0</v>
      </c>
      <c r="O279" s="38" t="b">
        <v>0</v>
      </c>
      <c r="P279" s="38" t="b">
        <v>0</v>
      </c>
      <c r="Q279" s="39" t="e">
        <f>VLOOKUP($B279,'25년 12월 출석표'!$B$2:$BQ$497,16,0)/5</f>
        <v>#N/A</v>
      </c>
      <c r="R279" s="40"/>
      <c r="S279" s="41" t="e">
        <f>VLOOKUP($B279,'25년 12월 출석표'!$B$2:$BQ$497,30,0)/5</f>
        <v>#N/A</v>
      </c>
      <c r="T279" s="40"/>
      <c r="U279" s="41" t="e">
        <f>VLOOKUP($B279,'25년 12월 출석표'!$B$2:$BQ$497,44,0)/5</f>
        <v>#N/A</v>
      </c>
      <c r="V279" s="40"/>
      <c r="W279" s="41" t="e">
        <f>VLOOKUP($B279,'25년 12월 출석표'!$B$2:$BQ$497,58,0)/5</f>
        <v>#N/A</v>
      </c>
      <c r="X279" s="42"/>
      <c r="Y279" s="41" t="e">
        <f>VLOOKUP($B279,'25년 12월 출석표'!$B$2:$BQ$503,66,0)/5</f>
        <v>#N/A</v>
      </c>
      <c r="Z279" s="43"/>
    </row>
    <row r="280" spans="1:26">
      <c r="A280" s="29"/>
      <c r="B280" s="164"/>
      <c r="C280" s="164"/>
      <c r="D280" s="177"/>
      <c r="E280" s="178"/>
      <c r="F280" s="180"/>
      <c r="G280" s="180"/>
      <c r="H280" s="180"/>
      <c r="I280" s="34" t="e">
        <f>VLOOKUP(B280,'25년 12월 출석표'!$B$7:$D$509,3,0)</f>
        <v>#N/A</v>
      </c>
      <c r="J280" s="35" t="e">
        <f t="shared" ca="1" si="0"/>
        <v>#NAME?</v>
      </c>
      <c r="K280" s="36" t="str">
        <f t="shared" si="3"/>
        <v/>
      </c>
      <c r="L280" s="37" t="str">
        <f t="shared" si="4"/>
        <v/>
      </c>
      <c r="M280" s="30"/>
      <c r="N280" s="38" t="b">
        <v>0</v>
      </c>
      <c r="O280" s="38" t="b">
        <v>0</v>
      </c>
      <c r="P280" s="38" t="b">
        <v>0</v>
      </c>
      <c r="Q280" s="39" t="e">
        <f>VLOOKUP($B280,'25년 12월 출석표'!$B$2:$BQ$497,16,0)/5</f>
        <v>#N/A</v>
      </c>
      <c r="R280" s="40"/>
      <c r="S280" s="41" t="e">
        <f>VLOOKUP($B280,'25년 12월 출석표'!$B$2:$BQ$497,30,0)/5</f>
        <v>#N/A</v>
      </c>
      <c r="T280" s="40"/>
      <c r="U280" s="41" t="e">
        <f>VLOOKUP($B280,'25년 12월 출석표'!$B$2:$BQ$497,44,0)/5</f>
        <v>#N/A</v>
      </c>
      <c r="V280" s="40"/>
      <c r="W280" s="41" t="e">
        <f>VLOOKUP($B280,'25년 12월 출석표'!$B$2:$BQ$497,58,0)/5</f>
        <v>#N/A</v>
      </c>
      <c r="X280" s="42"/>
      <c r="Y280" s="41" t="e">
        <f>VLOOKUP($B280,'25년 12월 출석표'!$B$2:$BQ$503,66,0)/5</f>
        <v>#N/A</v>
      </c>
      <c r="Z280" s="43"/>
    </row>
    <row r="281" spans="1:26">
      <c r="A281" s="29"/>
      <c r="B281" s="164"/>
      <c r="C281" s="164"/>
      <c r="D281" s="177"/>
      <c r="E281" s="178"/>
      <c r="F281" s="180"/>
      <c r="G281" s="180"/>
      <c r="H281" s="180"/>
      <c r="I281" s="34" t="e">
        <f>VLOOKUP(B281,'25년 12월 출석표'!$B$7:$D$509,3,0)</f>
        <v>#N/A</v>
      </c>
      <c r="J281" s="35" t="e">
        <f t="shared" ca="1" si="0"/>
        <v>#NAME?</v>
      </c>
      <c r="K281" s="36" t="str">
        <f t="shared" si="3"/>
        <v/>
      </c>
      <c r="L281" s="37" t="str">
        <f t="shared" si="4"/>
        <v/>
      </c>
      <c r="M281" s="30"/>
      <c r="N281" s="38" t="b">
        <v>0</v>
      </c>
      <c r="O281" s="38" t="b">
        <v>0</v>
      </c>
      <c r="P281" s="38" t="b">
        <v>0</v>
      </c>
      <c r="Q281" s="39" t="e">
        <f>VLOOKUP($B281,'25년 12월 출석표'!$B$2:$BQ$497,16,0)/5</f>
        <v>#N/A</v>
      </c>
      <c r="R281" s="40"/>
      <c r="S281" s="41" t="e">
        <f>VLOOKUP($B281,'25년 12월 출석표'!$B$2:$BQ$497,30,0)/5</f>
        <v>#N/A</v>
      </c>
      <c r="T281" s="40"/>
      <c r="U281" s="41" t="e">
        <f>VLOOKUP($B281,'25년 12월 출석표'!$B$2:$BQ$497,44,0)/5</f>
        <v>#N/A</v>
      </c>
      <c r="V281" s="40"/>
      <c r="W281" s="41" t="e">
        <f>VLOOKUP($B281,'25년 12월 출석표'!$B$2:$BQ$497,58,0)/5</f>
        <v>#N/A</v>
      </c>
      <c r="X281" s="42"/>
      <c r="Y281" s="41" t="e">
        <f>VLOOKUP($B281,'25년 12월 출석표'!$B$2:$BQ$503,66,0)/5</f>
        <v>#N/A</v>
      </c>
      <c r="Z281" s="43"/>
    </row>
    <row r="282" spans="1:26">
      <c r="A282" s="29"/>
      <c r="B282" s="164"/>
      <c r="C282" s="164"/>
      <c r="D282" s="177"/>
      <c r="E282" s="178"/>
      <c r="F282" s="180"/>
      <c r="G282" s="180"/>
      <c r="H282" s="180"/>
      <c r="I282" s="34" t="e">
        <f>VLOOKUP(B282,'25년 12월 출석표'!$B$7:$D$509,3,0)</f>
        <v>#N/A</v>
      </c>
      <c r="J282" s="35" t="e">
        <f t="shared" ca="1" si="0"/>
        <v>#NAME?</v>
      </c>
      <c r="K282" s="36" t="str">
        <f t="shared" si="3"/>
        <v/>
      </c>
      <c r="L282" s="37" t="str">
        <f t="shared" si="4"/>
        <v/>
      </c>
      <c r="M282" s="30"/>
      <c r="N282" s="38" t="b">
        <v>0</v>
      </c>
      <c r="O282" s="38" t="b">
        <v>0</v>
      </c>
      <c r="P282" s="38" t="b">
        <v>0</v>
      </c>
      <c r="Q282" s="39" t="e">
        <f>VLOOKUP($B282,'25년 12월 출석표'!$B$2:$BQ$497,16,0)/5</f>
        <v>#N/A</v>
      </c>
      <c r="R282" s="40"/>
      <c r="S282" s="41" t="e">
        <f>VLOOKUP($B282,'25년 12월 출석표'!$B$2:$BQ$497,30,0)/5</f>
        <v>#N/A</v>
      </c>
      <c r="T282" s="40"/>
      <c r="U282" s="41" t="e">
        <f>VLOOKUP($B282,'25년 12월 출석표'!$B$2:$BQ$497,44,0)/5</f>
        <v>#N/A</v>
      </c>
      <c r="V282" s="40"/>
      <c r="W282" s="41" t="e">
        <f>VLOOKUP($B282,'25년 12월 출석표'!$B$2:$BQ$497,58,0)/5</f>
        <v>#N/A</v>
      </c>
      <c r="X282" s="42"/>
      <c r="Y282" s="41" t="e">
        <f>VLOOKUP($B282,'25년 12월 출석표'!$B$2:$BQ$503,66,0)/5</f>
        <v>#N/A</v>
      </c>
      <c r="Z282" s="43"/>
    </row>
    <row r="283" spans="1:26">
      <c r="A283" s="29"/>
      <c r="B283" s="164"/>
      <c r="C283" s="164"/>
      <c r="D283" s="177"/>
      <c r="E283" s="178"/>
      <c r="F283" s="180"/>
      <c r="G283" s="180"/>
      <c r="H283" s="180"/>
      <c r="I283" s="34" t="e">
        <f>VLOOKUP(B283,'25년 12월 출석표'!$B$7:$D$509,3,0)</f>
        <v>#N/A</v>
      </c>
      <c r="J283" s="35" t="e">
        <f t="shared" ca="1" si="0"/>
        <v>#NAME?</v>
      </c>
      <c r="K283" s="36" t="str">
        <f t="shared" si="3"/>
        <v/>
      </c>
      <c r="L283" s="37" t="str">
        <f t="shared" si="4"/>
        <v/>
      </c>
      <c r="M283" s="30"/>
      <c r="N283" s="38" t="b">
        <v>0</v>
      </c>
      <c r="O283" s="38" t="b">
        <v>0</v>
      </c>
      <c r="P283" s="38" t="b">
        <v>0</v>
      </c>
      <c r="Q283" s="39" t="e">
        <f>VLOOKUP($B283,'25년 12월 출석표'!$B$2:$BQ$497,16,0)/5</f>
        <v>#N/A</v>
      </c>
      <c r="R283" s="40"/>
      <c r="S283" s="41" t="e">
        <f>VLOOKUP($B283,'25년 12월 출석표'!$B$2:$BQ$497,30,0)/5</f>
        <v>#N/A</v>
      </c>
      <c r="T283" s="40"/>
      <c r="U283" s="41" t="e">
        <f>VLOOKUP($B283,'25년 12월 출석표'!$B$2:$BQ$497,44,0)/5</f>
        <v>#N/A</v>
      </c>
      <c r="V283" s="40"/>
      <c r="W283" s="41" t="e">
        <f>VLOOKUP($B283,'25년 12월 출석표'!$B$2:$BQ$497,58,0)/5</f>
        <v>#N/A</v>
      </c>
      <c r="X283" s="42"/>
      <c r="Y283" s="41" t="e">
        <f>VLOOKUP($B283,'25년 12월 출석표'!$B$2:$BQ$503,66,0)/5</f>
        <v>#N/A</v>
      </c>
      <c r="Z283" s="43"/>
    </row>
    <row r="284" spans="1:26">
      <c r="A284" s="29"/>
      <c r="B284" s="164"/>
      <c r="C284" s="164"/>
      <c r="D284" s="177"/>
      <c r="E284" s="178"/>
      <c r="F284" s="180"/>
      <c r="G284" s="180"/>
      <c r="H284" s="180"/>
      <c r="I284" s="34" t="e">
        <f>VLOOKUP(B284,'25년 12월 출석표'!$B$7:$D$509,3,0)</f>
        <v>#N/A</v>
      </c>
      <c r="J284" s="35" t="e">
        <f t="shared" ca="1" si="0"/>
        <v>#NAME?</v>
      </c>
      <c r="K284" s="36" t="str">
        <f t="shared" si="3"/>
        <v/>
      </c>
      <c r="L284" s="37" t="str">
        <f t="shared" si="4"/>
        <v/>
      </c>
      <c r="M284" s="30"/>
      <c r="N284" s="38" t="b">
        <v>0</v>
      </c>
      <c r="O284" s="38" t="b">
        <v>0</v>
      </c>
      <c r="P284" s="38" t="b">
        <v>0</v>
      </c>
      <c r="Q284" s="39" t="e">
        <f>VLOOKUP($B284,'25년 12월 출석표'!$B$2:$BQ$497,16,0)/5</f>
        <v>#N/A</v>
      </c>
      <c r="R284" s="40"/>
      <c r="S284" s="41" t="e">
        <f>VLOOKUP($B284,'25년 12월 출석표'!$B$2:$BQ$497,30,0)/5</f>
        <v>#N/A</v>
      </c>
      <c r="T284" s="40"/>
      <c r="U284" s="41" t="e">
        <f>VLOOKUP($B284,'25년 12월 출석표'!$B$2:$BQ$497,44,0)/5</f>
        <v>#N/A</v>
      </c>
      <c r="V284" s="40"/>
      <c r="W284" s="41" t="e">
        <f>VLOOKUP($B284,'25년 12월 출석표'!$B$2:$BQ$497,58,0)/5</f>
        <v>#N/A</v>
      </c>
      <c r="X284" s="42"/>
      <c r="Y284" s="41" t="e">
        <f>VLOOKUP($B284,'25년 12월 출석표'!$B$2:$BQ$503,66,0)/5</f>
        <v>#N/A</v>
      </c>
      <c r="Z284" s="43"/>
    </row>
    <row r="285" spans="1:26">
      <c r="A285" s="29"/>
      <c r="B285" s="164"/>
      <c r="C285" s="164"/>
      <c r="D285" s="177"/>
      <c r="E285" s="178"/>
      <c r="F285" s="180"/>
      <c r="G285" s="180"/>
      <c r="H285" s="180"/>
      <c r="I285" s="34" t="e">
        <f>VLOOKUP(B285,'25년 12월 출석표'!$B$7:$D$509,3,0)</f>
        <v>#N/A</v>
      </c>
      <c r="J285" s="35" t="e">
        <f t="shared" ca="1" si="0"/>
        <v>#NAME?</v>
      </c>
      <c r="K285" s="36" t="str">
        <f t="shared" si="3"/>
        <v/>
      </c>
      <c r="L285" s="37" t="str">
        <f t="shared" si="4"/>
        <v/>
      </c>
      <c r="M285" s="30"/>
      <c r="N285" s="38" t="b">
        <v>0</v>
      </c>
      <c r="O285" s="38" t="b">
        <v>0</v>
      </c>
      <c r="P285" s="38" t="b">
        <v>0</v>
      </c>
      <c r="Q285" s="39" t="e">
        <f>VLOOKUP($B285,'25년 12월 출석표'!$B$2:$BQ$497,16,0)/5</f>
        <v>#N/A</v>
      </c>
      <c r="R285" s="40"/>
      <c r="S285" s="41" t="e">
        <f>VLOOKUP($B285,'25년 12월 출석표'!$B$2:$BQ$497,30,0)/5</f>
        <v>#N/A</v>
      </c>
      <c r="T285" s="40"/>
      <c r="U285" s="41" t="e">
        <f>VLOOKUP($B285,'25년 12월 출석표'!$B$2:$BQ$497,44,0)/5</f>
        <v>#N/A</v>
      </c>
      <c r="V285" s="40"/>
      <c r="W285" s="41" t="e">
        <f>VLOOKUP($B285,'25년 12월 출석표'!$B$2:$BQ$497,58,0)/5</f>
        <v>#N/A</v>
      </c>
      <c r="X285" s="42"/>
      <c r="Y285" s="41" t="e">
        <f>VLOOKUP($B285,'25년 12월 출석표'!$B$2:$BQ$503,66,0)/5</f>
        <v>#N/A</v>
      </c>
      <c r="Z285" s="43"/>
    </row>
    <row r="286" spans="1:26">
      <c r="A286" s="29"/>
      <c r="B286" s="164"/>
      <c r="C286" s="164"/>
      <c r="D286" s="177"/>
      <c r="E286" s="178"/>
      <c r="F286" s="180"/>
      <c r="G286" s="180"/>
      <c r="H286" s="180"/>
      <c r="I286" s="34" t="e">
        <f>VLOOKUP(B286,'25년 12월 출석표'!$B$7:$D$509,3,0)</f>
        <v>#N/A</v>
      </c>
      <c r="J286" s="35" t="e">
        <f t="shared" ca="1" si="0"/>
        <v>#NAME?</v>
      </c>
      <c r="K286" s="36" t="str">
        <f t="shared" si="3"/>
        <v/>
      </c>
      <c r="L286" s="37" t="str">
        <f t="shared" si="4"/>
        <v/>
      </c>
      <c r="M286" s="30"/>
      <c r="N286" s="38" t="b">
        <v>0</v>
      </c>
      <c r="O286" s="38" t="b">
        <v>0</v>
      </c>
      <c r="P286" s="38" t="b">
        <v>0</v>
      </c>
      <c r="Q286" s="39" t="e">
        <f>VLOOKUP($B286,'25년 12월 출석표'!$B$2:$BQ$497,16,0)/5</f>
        <v>#N/A</v>
      </c>
      <c r="R286" s="40"/>
      <c r="S286" s="41" t="e">
        <f>VLOOKUP($B286,'25년 12월 출석표'!$B$2:$BQ$497,30,0)/5</f>
        <v>#N/A</v>
      </c>
      <c r="T286" s="40"/>
      <c r="U286" s="41" t="e">
        <f>VLOOKUP($B286,'25년 12월 출석표'!$B$2:$BQ$497,44,0)/5</f>
        <v>#N/A</v>
      </c>
      <c r="V286" s="40"/>
      <c r="W286" s="41" t="e">
        <f>VLOOKUP($B286,'25년 12월 출석표'!$B$2:$BQ$497,58,0)/5</f>
        <v>#N/A</v>
      </c>
      <c r="X286" s="42"/>
      <c r="Y286" s="41" t="e">
        <f>VLOOKUP($B286,'25년 12월 출석표'!$B$2:$BQ$503,66,0)/5</f>
        <v>#N/A</v>
      </c>
      <c r="Z286" s="43"/>
    </row>
    <row r="287" spans="1:26">
      <c r="A287" s="29"/>
      <c r="B287" s="164"/>
      <c r="C287" s="164"/>
      <c r="D287" s="177"/>
      <c r="E287" s="178"/>
      <c r="F287" s="180"/>
      <c r="G287" s="180"/>
      <c r="H287" s="180"/>
      <c r="I287" s="34" t="e">
        <f>VLOOKUP(B287,'25년 12월 출석표'!$B$7:$D$509,3,0)</f>
        <v>#N/A</v>
      </c>
      <c r="J287" s="35" t="e">
        <f t="shared" ca="1" si="0"/>
        <v>#NAME?</v>
      </c>
      <c r="K287" s="36" t="str">
        <f t="shared" si="3"/>
        <v/>
      </c>
      <c r="L287" s="37" t="str">
        <f t="shared" si="4"/>
        <v/>
      </c>
      <c r="M287" s="30"/>
      <c r="N287" s="38" t="b">
        <v>0</v>
      </c>
      <c r="O287" s="38" t="b">
        <v>0</v>
      </c>
      <c r="P287" s="38" t="b">
        <v>0</v>
      </c>
      <c r="Q287" s="39" t="e">
        <f>VLOOKUP($B287,'25년 12월 출석표'!$B$2:$BQ$497,16,0)/5</f>
        <v>#N/A</v>
      </c>
      <c r="R287" s="40"/>
      <c r="S287" s="41" t="e">
        <f>VLOOKUP($B287,'25년 12월 출석표'!$B$2:$BQ$497,30,0)/5</f>
        <v>#N/A</v>
      </c>
      <c r="T287" s="40"/>
      <c r="U287" s="41" t="e">
        <f>VLOOKUP($B287,'25년 12월 출석표'!$B$2:$BQ$497,44,0)/5</f>
        <v>#N/A</v>
      </c>
      <c r="V287" s="40"/>
      <c r="W287" s="41" t="e">
        <f>VLOOKUP($B287,'25년 12월 출석표'!$B$2:$BQ$497,58,0)/5</f>
        <v>#N/A</v>
      </c>
      <c r="X287" s="42"/>
      <c r="Y287" s="41" t="e">
        <f>VLOOKUP($B287,'25년 12월 출석표'!$B$2:$BQ$503,66,0)/5</f>
        <v>#N/A</v>
      </c>
      <c r="Z287" s="43"/>
    </row>
    <row r="288" spans="1:26">
      <c r="A288" s="29"/>
      <c r="B288" s="164"/>
      <c r="C288" s="164"/>
      <c r="D288" s="177"/>
      <c r="E288" s="178"/>
      <c r="F288" s="180"/>
      <c r="G288" s="180"/>
      <c r="H288" s="180"/>
      <c r="I288" s="34" t="e">
        <f>VLOOKUP(B288,'25년 12월 출석표'!$B$7:$D$509,3,0)</f>
        <v>#N/A</v>
      </c>
      <c r="J288" s="35" t="e">
        <f t="shared" ca="1" si="0"/>
        <v>#NAME?</v>
      </c>
      <c r="K288" s="36" t="str">
        <f t="shared" si="3"/>
        <v/>
      </c>
      <c r="L288" s="37" t="str">
        <f t="shared" si="4"/>
        <v/>
      </c>
      <c r="M288" s="30"/>
      <c r="N288" s="38" t="b">
        <v>0</v>
      </c>
      <c r="O288" s="38" t="b">
        <v>0</v>
      </c>
      <c r="P288" s="38" t="b">
        <v>0</v>
      </c>
      <c r="Q288" s="39" t="e">
        <f>VLOOKUP($B288,'25년 12월 출석표'!$B$2:$BQ$497,16,0)/5</f>
        <v>#N/A</v>
      </c>
      <c r="R288" s="40"/>
      <c r="S288" s="41" t="e">
        <f>VLOOKUP($B288,'25년 12월 출석표'!$B$2:$BQ$497,30,0)/5</f>
        <v>#N/A</v>
      </c>
      <c r="T288" s="40"/>
      <c r="U288" s="41" t="e">
        <f>VLOOKUP($B288,'25년 12월 출석표'!$B$2:$BQ$497,44,0)/5</f>
        <v>#N/A</v>
      </c>
      <c r="V288" s="40"/>
      <c r="W288" s="41" t="e">
        <f>VLOOKUP($B288,'25년 12월 출석표'!$B$2:$BQ$497,58,0)/5</f>
        <v>#N/A</v>
      </c>
      <c r="X288" s="42"/>
      <c r="Y288" s="41" t="e">
        <f>VLOOKUP($B288,'25년 12월 출석표'!$B$2:$BQ$503,66,0)/5</f>
        <v>#N/A</v>
      </c>
      <c r="Z288" s="43"/>
    </row>
    <row r="289" spans="1:26">
      <c r="A289" s="29"/>
      <c r="B289" s="164"/>
      <c r="C289" s="164"/>
      <c r="D289" s="177"/>
      <c r="E289" s="178"/>
      <c r="F289" s="180"/>
      <c r="G289" s="180"/>
      <c r="H289" s="180"/>
      <c r="I289" s="34" t="e">
        <f>VLOOKUP(B289,'25년 12월 출석표'!$B$7:$D$509,3,0)</f>
        <v>#N/A</v>
      </c>
      <c r="J289" s="35" t="e">
        <f t="shared" ca="1" si="0"/>
        <v>#NAME?</v>
      </c>
      <c r="K289" s="36" t="str">
        <f t="shared" si="3"/>
        <v/>
      </c>
      <c r="L289" s="37" t="str">
        <f t="shared" si="4"/>
        <v/>
      </c>
      <c r="M289" s="30"/>
      <c r="N289" s="38" t="b">
        <v>0</v>
      </c>
      <c r="O289" s="38" t="b">
        <v>0</v>
      </c>
      <c r="P289" s="38" t="b">
        <v>0</v>
      </c>
      <c r="Q289" s="39" t="e">
        <f>VLOOKUP($B289,'25년 12월 출석표'!$B$2:$BQ$497,16,0)/5</f>
        <v>#N/A</v>
      </c>
      <c r="R289" s="40"/>
      <c r="S289" s="41" t="e">
        <f>VLOOKUP($B289,'25년 12월 출석표'!$B$2:$BQ$497,30,0)/5</f>
        <v>#N/A</v>
      </c>
      <c r="T289" s="40"/>
      <c r="U289" s="41" t="e">
        <f>VLOOKUP($B289,'25년 12월 출석표'!$B$2:$BQ$497,44,0)/5</f>
        <v>#N/A</v>
      </c>
      <c r="V289" s="40"/>
      <c r="W289" s="41" t="e">
        <f>VLOOKUP($B289,'25년 12월 출석표'!$B$2:$BQ$497,58,0)/5</f>
        <v>#N/A</v>
      </c>
      <c r="X289" s="42"/>
      <c r="Y289" s="41" t="e">
        <f>VLOOKUP($B289,'25년 12월 출석표'!$B$2:$BQ$503,66,0)/5</f>
        <v>#N/A</v>
      </c>
      <c r="Z289" s="43"/>
    </row>
    <row r="290" spans="1:26">
      <c r="A290" s="29"/>
      <c r="B290" s="164"/>
      <c r="C290" s="164"/>
      <c r="D290" s="177"/>
      <c r="E290" s="178"/>
      <c r="F290" s="180"/>
      <c r="G290" s="180"/>
      <c r="H290" s="180"/>
      <c r="I290" s="34" t="e">
        <f>VLOOKUP(B290,'25년 12월 출석표'!$B$7:$D$509,3,0)</f>
        <v>#N/A</v>
      </c>
      <c r="J290" s="35" t="e">
        <f t="shared" ca="1" si="0"/>
        <v>#NAME?</v>
      </c>
      <c r="K290" s="36" t="str">
        <f t="shared" si="3"/>
        <v/>
      </c>
      <c r="L290" s="37" t="str">
        <f t="shared" si="4"/>
        <v/>
      </c>
      <c r="M290" s="30"/>
      <c r="N290" s="38" t="b">
        <v>0</v>
      </c>
      <c r="O290" s="38" t="b">
        <v>0</v>
      </c>
      <c r="P290" s="38" t="b">
        <v>0</v>
      </c>
      <c r="Q290" s="39" t="e">
        <f>VLOOKUP($B290,'25년 12월 출석표'!$B$2:$BQ$497,16,0)/5</f>
        <v>#N/A</v>
      </c>
      <c r="R290" s="40"/>
      <c r="S290" s="41" t="e">
        <f>VLOOKUP($B290,'25년 12월 출석표'!$B$2:$BQ$497,30,0)/5</f>
        <v>#N/A</v>
      </c>
      <c r="T290" s="40"/>
      <c r="U290" s="41" t="e">
        <f>VLOOKUP($B290,'25년 12월 출석표'!$B$2:$BQ$497,44,0)/5</f>
        <v>#N/A</v>
      </c>
      <c r="V290" s="40"/>
      <c r="W290" s="41" t="e">
        <f>VLOOKUP($B290,'25년 12월 출석표'!$B$2:$BQ$497,58,0)/5</f>
        <v>#N/A</v>
      </c>
      <c r="X290" s="42"/>
      <c r="Y290" s="41" t="e">
        <f>VLOOKUP($B290,'25년 12월 출석표'!$B$2:$BQ$503,66,0)/5</f>
        <v>#N/A</v>
      </c>
      <c r="Z290" s="43"/>
    </row>
    <row r="291" spans="1:26">
      <c r="A291" s="29"/>
      <c r="B291" s="164"/>
      <c r="C291" s="164"/>
      <c r="D291" s="177"/>
      <c r="E291" s="178"/>
      <c r="F291" s="180"/>
      <c r="G291" s="180"/>
      <c r="H291" s="180"/>
      <c r="I291" s="34" t="e">
        <f>VLOOKUP(B291,'25년 12월 출석표'!$B$7:$D$509,3,0)</f>
        <v>#N/A</v>
      </c>
      <c r="J291" s="35" t="e">
        <f t="shared" ca="1" si="0"/>
        <v>#NAME?</v>
      </c>
      <c r="K291" s="36" t="str">
        <f t="shared" si="3"/>
        <v/>
      </c>
      <c r="L291" s="37" t="str">
        <f t="shared" si="4"/>
        <v/>
      </c>
      <c r="M291" s="30"/>
      <c r="N291" s="38" t="b">
        <v>0</v>
      </c>
      <c r="O291" s="38" t="b">
        <v>0</v>
      </c>
      <c r="P291" s="38" t="b">
        <v>0</v>
      </c>
      <c r="Q291" s="39" t="e">
        <f>VLOOKUP($B291,'25년 12월 출석표'!$B$2:$BQ$497,16,0)/5</f>
        <v>#N/A</v>
      </c>
      <c r="R291" s="40"/>
      <c r="S291" s="41" t="e">
        <f>VLOOKUP($B291,'25년 12월 출석표'!$B$2:$BQ$497,30,0)/5</f>
        <v>#N/A</v>
      </c>
      <c r="T291" s="40"/>
      <c r="U291" s="41" t="e">
        <f>VLOOKUP($B291,'25년 12월 출석표'!$B$2:$BQ$497,44,0)/5</f>
        <v>#N/A</v>
      </c>
      <c r="V291" s="40"/>
      <c r="W291" s="41" t="e">
        <f>VLOOKUP($B291,'25년 12월 출석표'!$B$2:$BQ$497,58,0)/5</f>
        <v>#N/A</v>
      </c>
      <c r="X291" s="42"/>
      <c r="Y291" s="41" t="e">
        <f>VLOOKUP($B291,'25년 12월 출석표'!$B$2:$BQ$503,66,0)/5</f>
        <v>#N/A</v>
      </c>
      <c r="Z291" s="43"/>
    </row>
    <row r="292" spans="1:26">
      <c r="A292" s="29"/>
      <c r="B292" s="164"/>
      <c r="C292" s="164"/>
      <c r="D292" s="177"/>
      <c r="E292" s="178"/>
      <c r="F292" s="180"/>
      <c r="G292" s="180"/>
      <c r="H292" s="180"/>
      <c r="I292" s="34" t="e">
        <f>VLOOKUP(B292,'25년 12월 출석표'!$B$7:$D$509,3,0)</f>
        <v>#N/A</v>
      </c>
      <c r="J292" s="35" t="e">
        <f t="shared" ca="1" si="0"/>
        <v>#NAME?</v>
      </c>
      <c r="K292" s="36" t="str">
        <f t="shared" si="3"/>
        <v/>
      </c>
      <c r="L292" s="37" t="str">
        <f t="shared" si="4"/>
        <v/>
      </c>
      <c r="M292" s="30"/>
      <c r="N292" s="38" t="b">
        <v>0</v>
      </c>
      <c r="O292" s="38" t="b">
        <v>0</v>
      </c>
      <c r="P292" s="38" t="b">
        <v>0</v>
      </c>
      <c r="Q292" s="39" t="e">
        <f>VLOOKUP($B292,'25년 12월 출석표'!$B$2:$BQ$497,16,0)/5</f>
        <v>#N/A</v>
      </c>
      <c r="R292" s="40"/>
      <c r="S292" s="41" t="e">
        <f>VLOOKUP($B292,'25년 12월 출석표'!$B$2:$BQ$497,30,0)/5</f>
        <v>#N/A</v>
      </c>
      <c r="T292" s="40"/>
      <c r="U292" s="41" t="e">
        <f>VLOOKUP($B292,'25년 12월 출석표'!$B$2:$BQ$497,44,0)/5</f>
        <v>#N/A</v>
      </c>
      <c r="V292" s="40"/>
      <c r="W292" s="41" t="e">
        <f>VLOOKUP($B292,'25년 12월 출석표'!$B$2:$BQ$497,58,0)/5</f>
        <v>#N/A</v>
      </c>
      <c r="X292" s="42"/>
      <c r="Y292" s="41" t="e">
        <f>VLOOKUP($B292,'25년 12월 출석표'!$B$2:$BQ$503,66,0)/5</f>
        <v>#N/A</v>
      </c>
      <c r="Z292" s="43"/>
    </row>
    <row r="293" spans="1:26">
      <c r="A293" s="29"/>
      <c r="B293" s="164"/>
      <c r="C293" s="164"/>
      <c r="D293" s="177"/>
      <c r="E293" s="178"/>
      <c r="F293" s="180"/>
      <c r="G293" s="180"/>
      <c r="H293" s="180"/>
      <c r="I293" s="34" t="e">
        <f>VLOOKUP(B293,'25년 12월 출석표'!$B$7:$D$509,3,0)</f>
        <v>#N/A</v>
      </c>
      <c r="J293" s="35" t="e">
        <f t="shared" ca="1" si="0"/>
        <v>#NAME?</v>
      </c>
      <c r="K293" s="36" t="str">
        <f t="shared" si="3"/>
        <v/>
      </c>
      <c r="L293" s="37" t="str">
        <f t="shared" si="4"/>
        <v/>
      </c>
      <c r="M293" s="30"/>
      <c r="N293" s="38" t="b">
        <v>0</v>
      </c>
      <c r="O293" s="38" t="b">
        <v>0</v>
      </c>
      <c r="P293" s="38" t="b">
        <v>0</v>
      </c>
      <c r="Q293" s="39" t="e">
        <f>VLOOKUP($B293,'25년 12월 출석표'!$B$2:$BQ$497,16,0)/5</f>
        <v>#N/A</v>
      </c>
      <c r="R293" s="40"/>
      <c r="S293" s="41" t="e">
        <f>VLOOKUP($B293,'25년 12월 출석표'!$B$2:$BQ$497,30,0)/5</f>
        <v>#N/A</v>
      </c>
      <c r="T293" s="40"/>
      <c r="U293" s="41" t="e">
        <f>VLOOKUP($B293,'25년 12월 출석표'!$B$2:$BQ$497,44,0)/5</f>
        <v>#N/A</v>
      </c>
      <c r="V293" s="40"/>
      <c r="W293" s="41" t="e">
        <f>VLOOKUP($B293,'25년 12월 출석표'!$B$2:$BQ$497,58,0)/5</f>
        <v>#N/A</v>
      </c>
      <c r="X293" s="42"/>
      <c r="Y293" s="41" t="e">
        <f>VLOOKUP($B293,'25년 12월 출석표'!$B$2:$BQ$503,66,0)/5</f>
        <v>#N/A</v>
      </c>
      <c r="Z293" s="43"/>
    </row>
    <row r="294" spans="1:26">
      <c r="A294" s="29"/>
      <c r="B294" s="164"/>
      <c r="C294" s="164"/>
      <c r="D294" s="177"/>
      <c r="E294" s="178"/>
      <c r="F294" s="180"/>
      <c r="G294" s="180"/>
      <c r="H294" s="180"/>
      <c r="I294" s="34" t="e">
        <f>VLOOKUP(B294,'25년 12월 출석표'!$B$7:$D$509,3,0)</f>
        <v>#N/A</v>
      </c>
      <c r="J294" s="35" t="e">
        <f t="shared" ca="1" si="0"/>
        <v>#NAME?</v>
      </c>
      <c r="K294" s="36" t="str">
        <f t="shared" si="3"/>
        <v/>
      </c>
      <c r="L294" s="37" t="str">
        <f t="shared" si="4"/>
        <v/>
      </c>
      <c r="M294" s="30"/>
      <c r="N294" s="38" t="b">
        <v>0</v>
      </c>
      <c r="O294" s="38" t="b">
        <v>0</v>
      </c>
      <c r="P294" s="38" t="b">
        <v>0</v>
      </c>
      <c r="Q294" s="39" t="e">
        <f>VLOOKUP($B294,'25년 12월 출석표'!$B$2:$BQ$497,16,0)/5</f>
        <v>#N/A</v>
      </c>
      <c r="R294" s="40"/>
      <c r="S294" s="41" t="e">
        <f>VLOOKUP($B294,'25년 12월 출석표'!$B$2:$BQ$497,30,0)/5</f>
        <v>#N/A</v>
      </c>
      <c r="T294" s="40"/>
      <c r="U294" s="41" t="e">
        <f>VLOOKUP($B294,'25년 12월 출석표'!$B$2:$BQ$497,44,0)/5</f>
        <v>#N/A</v>
      </c>
      <c r="V294" s="40"/>
      <c r="W294" s="41" t="e">
        <f>VLOOKUP($B294,'25년 12월 출석표'!$B$2:$BQ$497,58,0)/5</f>
        <v>#N/A</v>
      </c>
      <c r="X294" s="42"/>
      <c r="Y294" s="41" t="e">
        <f>VLOOKUP($B294,'25년 12월 출석표'!$B$2:$BQ$503,66,0)/5</f>
        <v>#N/A</v>
      </c>
      <c r="Z294" s="43"/>
    </row>
    <row r="295" spans="1:26">
      <c r="A295" s="29"/>
      <c r="B295" s="164"/>
      <c r="C295" s="164"/>
      <c r="D295" s="177"/>
      <c r="E295" s="178"/>
      <c r="F295" s="180"/>
      <c r="G295" s="180"/>
      <c r="H295" s="180"/>
      <c r="I295" s="34" t="e">
        <f>VLOOKUP(B295,'25년 12월 출석표'!$B$7:$D$509,3,0)</f>
        <v>#N/A</v>
      </c>
      <c r="J295" s="35" t="e">
        <f t="shared" ca="1" si="0"/>
        <v>#NAME?</v>
      </c>
      <c r="K295" s="36" t="str">
        <f t="shared" si="3"/>
        <v/>
      </c>
      <c r="L295" s="37" t="str">
        <f t="shared" si="4"/>
        <v/>
      </c>
      <c r="M295" s="30"/>
      <c r="N295" s="38" t="b">
        <v>0</v>
      </c>
      <c r="O295" s="38" t="b">
        <v>0</v>
      </c>
      <c r="P295" s="38" t="b">
        <v>0</v>
      </c>
      <c r="Q295" s="39" t="e">
        <f>VLOOKUP($B295,'25년 12월 출석표'!$B$2:$BQ$497,16,0)/5</f>
        <v>#N/A</v>
      </c>
      <c r="R295" s="40"/>
      <c r="S295" s="41" t="e">
        <f>VLOOKUP($B295,'25년 12월 출석표'!$B$2:$BQ$497,30,0)/5</f>
        <v>#N/A</v>
      </c>
      <c r="T295" s="40"/>
      <c r="U295" s="41" t="e">
        <f>VLOOKUP($B295,'25년 12월 출석표'!$B$2:$BQ$497,44,0)/5</f>
        <v>#N/A</v>
      </c>
      <c r="V295" s="40"/>
      <c r="W295" s="41" t="e">
        <f>VLOOKUP($B295,'25년 12월 출석표'!$B$2:$BQ$497,58,0)/5</f>
        <v>#N/A</v>
      </c>
      <c r="X295" s="42"/>
      <c r="Y295" s="41" t="e">
        <f>VLOOKUP($B295,'25년 12월 출석표'!$B$2:$BQ$503,66,0)/5</f>
        <v>#N/A</v>
      </c>
      <c r="Z295" s="43"/>
    </row>
    <row r="296" spans="1:26">
      <c r="A296" s="29"/>
      <c r="B296" s="164"/>
      <c r="C296" s="164"/>
      <c r="D296" s="177"/>
      <c r="E296" s="178"/>
      <c r="F296" s="180"/>
      <c r="G296" s="180"/>
      <c r="H296" s="180"/>
      <c r="I296" s="34" t="e">
        <f>VLOOKUP(B296,'25년 12월 출석표'!$B$7:$D$509,3,0)</f>
        <v>#N/A</v>
      </c>
      <c r="J296" s="35" t="e">
        <f t="shared" ca="1" si="0"/>
        <v>#NAME?</v>
      </c>
      <c r="K296" s="36" t="str">
        <f t="shared" si="3"/>
        <v/>
      </c>
      <c r="L296" s="37" t="str">
        <f t="shared" si="4"/>
        <v/>
      </c>
      <c r="M296" s="30"/>
      <c r="N296" s="38" t="b">
        <v>0</v>
      </c>
      <c r="O296" s="38" t="b">
        <v>0</v>
      </c>
      <c r="P296" s="38" t="b">
        <v>0</v>
      </c>
      <c r="Q296" s="39" t="e">
        <f>VLOOKUP($B296,'25년 12월 출석표'!$B$2:$BQ$497,16,0)/5</f>
        <v>#N/A</v>
      </c>
      <c r="R296" s="40"/>
      <c r="S296" s="41" t="e">
        <f>VLOOKUP($B296,'25년 12월 출석표'!$B$2:$BQ$497,30,0)/5</f>
        <v>#N/A</v>
      </c>
      <c r="T296" s="40"/>
      <c r="U296" s="41" t="e">
        <f>VLOOKUP($B296,'25년 12월 출석표'!$B$2:$BQ$497,44,0)/5</f>
        <v>#N/A</v>
      </c>
      <c r="V296" s="40"/>
      <c r="W296" s="41" t="e">
        <f>VLOOKUP($B296,'25년 12월 출석표'!$B$2:$BQ$497,58,0)/5</f>
        <v>#N/A</v>
      </c>
      <c r="X296" s="42"/>
      <c r="Y296" s="41" t="e">
        <f>VLOOKUP($B296,'25년 12월 출석표'!$B$2:$BQ$503,66,0)/5</f>
        <v>#N/A</v>
      </c>
      <c r="Z296" s="43"/>
    </row>
    <row r="297" spans="1:26">
      <c r="A297" s="29"/>
      <c r="B297" s="164"/>
      <c r="C297" s="164"/>
      <c r="D297" s="177"/>
      <c r="E297" s="178"/>
      <c r="F297" s="180"/>
      <c r="G297" s="180"/>
      <c r="H297" s="180"/>
      <c r="I297" s="34" t="e">
        <f>VLOOKUP(B297,'25년 12월 출석표'!$B$7:$D$509,3,0)</f>
        <v>#N/A</v>
      </c>
      <c r="J297" s="35" t="e">
        <f t="shared" ca="1" si="0"/>
        <v>#NAME?</v>
      </c>
      <c r="K297" s="36" t="str">
        <f t="shared" si="3"/>
        <v/>
      </c>
      <c r="L297" s="37" t="str">
        <f t="shared" si="4"/>
        <v/>
      </c>
      <c r="M297" s="30"/>
      <c r="N297" s="38" t="b">
        <v>0</v>
      </c>
      <c r="O297" s="38" t="b">
        <v>0</v>
      </c>
      <c r="P297" s="38" t="b">
        <v>0</v>
      </c>
      <c r="Q297" s="39" t="e">
        <f>VLOOKUP($B297,'25년 12월 출석표'!$B$2:$BQ$497,16,0)/5</f>
        <v>#N/A</v>
      </c>
      <c r="R297" s="40"/>
      <c r="S297" s="41" t="e">
        <f>VLOOKUP($B297,'25년 12월 출석표'!$B$2:$BQ$497,30,0)/5</f>
        <v>#N/A</v>
      </c>
      <c r="T297" s="40"/>
      <c r="U297" s="41" t="e">
        <f>VLOOKUP($B297,'25년 12월 출석표'!$B$2:$BQ$497,44,0)/5</f>
        <v>#N/A</v>
      </c>
      <c r="V297" s="40"/>
      <c r="W297" s="41" t="e">
        <f>VLOOKUP($B297,'25년 12월 출석표'!$B$2:$BQ$497,58,0)/5</f>
        <v>#N/A</v>
      </c>
      <c r="X297" s="42"/>
      <c r="Y297" s="41" t="e">
        <f>VLOOKUP($B297,'25년 12월 출석표'!$B$2:$BQ$503,66,0)/5</f>
        <v>#N/A</v>
      </c>
      <c r="Z297" s="43"/>
    </row>
    <row r="298" spans="1:26">
      <c r="A298" s="29"/>
      <c r="B298" s="164"/>
      <c r="C298" s="164"/>
      <c r="D298" s="177"/>
      <c r="E298" s="178"/>
      <c r="F298" s="180"/>
      <c r="G298" s="180"/>
      <c r="H298" s="180"/>
      <c r="I298" s="34" t="e">
        <f>VLOOKUP(B298,'25년 12월 출석표'!$B$7:$D$509,3,0)</f>
        <v>#N/A</v>
      </c>
      <c r="J298" s="35" t="e">
        <f t="shared" ca="1" si="0"/>
        <v>#NAME?</v>
      </c>
      <c r="K298" s="36" t="str">
        <f t="shared" si="3"/>
        <v/>
      </c>
      <c r="L298" s="37" t="str">
        <f t="shared" si="4"/>
        <v/>
      </c>
      <c r="M298" s="30"/>
      <c r="N298" s="38" t="b">
        <v>0</v>
      </c>
      <c r="O298" s="38" t="b">
        <v>0</v>
      </c>
      <c r="P298" s="38" t="b">
        <v>0</v>
      </c>
      <c r="Q298" s="39" t="e">
        <f>VLOOKUP($B298,'25년 12월 출석표'!$B$2:$BQ$497,16,0)/5</f>
        <v>#N/A</v>
      </c>
      <c r="R298" s="40"/>
      <c r="S298" s="41" t="e">
        <f>VLOOKUP($B298,'25년 12월 출석표'!$B$2:$BQ$497,30,0)/5</f>
        <v>#N/A</v>
      </c>
      <c r="T298" s="40"/>
      <c r="U298" s="41" t="e">
        <f>VLOOKUP($B298,'25년 12월 출석표'!$B$2:$BQ$497,44,0)/5</f>
        <v>#N/A</v>
      </c>
      <c r="V298" s="40"/>
      <c r="W298" s="41" t="e">
        <f>VLOOKUP($B298,'25년 12월 출석표'!$B$2:$BQ$497,58,0)/5</f>
        <v>#N/A</v>
      </c>
      <c r="X298" s="42"/>
      <c r="Y298" s="41" t="e">
        <f>VLOOKUP($B298,'25년 12월 출석표'!$B$2:$BQ$503,66,0)/5</f>
        <v>#N/A</v>
      </c>
      <c r="Z298" s="43"/>
    </row>
    <row r="299" spans="1:26">
      <c r="A299" s="29"/>
      <c r="B299" s="164"/>
      <c r="C299" s="164"/>
      <c r="D299" s="177"/>
      <c r="E299" s="178"/>
      <c r="F299" s="180"/>
      <c r="G299" s="180"/>
      <c r="H299" s="180"/>
      <c r="I299" s="34" t="e">
        <f>VLOOKUP(B299,'25년 12월 출석표'!$B$7:$D$509,3,0)</f>
        <v>#N/A</v>
      </c>
      <c r="J299" s="35" t="e">
        <f t="shared" ca="1" si="0"/>
        <v>#NAME?</v>
      </c>
      <c r="K299" s="36" t="str">
        <f t="shared" si="3"/>
        <v/>
      </c>
      <c r="L299" s="37" t="str">
        <f t="shared" si="4"/>
        <v/>
      </c>
      <c r="M299" s="30"/>
      <c r="N299" s="38" t="b">
        <v>0</v>
      </c>
      <c r="O299" s="38" t="b">
        <v>0</v>
      </c>
      <c r="P299" s="38" t="b">
        <v>0</v>
      </c>
      <c r="Q299" s="39" t="e">
        <f>VLOOKUP($B299,'25년 12월 출석표'!$B$2:$BQ$497,16,0)/5</f>
        <v>#N/A</v>
      </c>
      <c r="R299" s="40"/>
      <c r="S299" s="41" t="e">
        <f>VLOOKUP($B299,'25년 12월 출석표'!$B$2:$BQ$497,30,0)/5</f>
        <v>#N/A</v>
      </c>
      <c r="T299" s="40"/>
      <c r="U299" s="41" t="e">
        <f>VLOOKUP($B299,'25년 12월 출석표'!$B$2:$BQ$497,44,0)/5</f>
        <v>#N/A</v>
      </c>
      <c r="V299" s="40"/>
      <c r="W299" s="41" t="e">
        <f>VLOOKUP($B299,'25년 12월 출석표'!$B$2:$BQ$497,58,0)/5</f>
        <v>#N/A</v>
      </c>
      <c r="X299" s="42"/>
      <c r="Y299" s="41" t="e">
        <f>VLOOKUP($B299,'25년 12월 출석표'!$B$2:$BQ$503,66,0)/5</f>
        <v>#N/A</v>
      </c>
      <c r="Z299" s="43"/>
    </row>
    <row r="300" spans="1:26">
      <c r="A300" s="29"/>
      <c r="B300" s="164"/>
      <c r="C300" s="164"/>
      <c r="D300" s="177"/>
      <c r="E300" s="178"/>
      <c r="F300" s="180"/>
      <c r="G300" s="180"/>
      <c r="H300" s="180"/>
      <c r="I300" s="34" t="e">
        <f>VLOOKUP(B300,'25년 12월 출석표'!$B$7:$D$509,3,0)</f>
        <v>#N/A</v>
      </c>
      <c r="J300" s="35" t="e">
        <f t="shared" ca="1" si="0"/>
        <v>#NAME?</v>
      </c>
      <c r="K300" s="36" t="str">
        <f t="shared" si="3"/>
        <v/>
      </c>
      <c r="L300" s="37" t="str">
        <f t="shared" si="4"/>
        <v/>
      </c>
      <c r="M300" s="30"/>
      <c r="N300" s="38" t="b">
        <v>0</v>
      </c>
      <c r="O300" s="38" t="b">
        <v>0</v>
      </c>
      <c r="P300" s="38" t="b">
        <v>0</v>
      </c>
      <c r="Q300" s="39" t="e">
        <f>VLOOKUP($B300,'25년 12월 출석표'!$B$2:$BQ$497,16,0)/5</f>
        <v>#N/A</v>
      </c>
      <c r="R300" s="40"/>
      <c r="S300" s="41" t="e">
        <f>VLOOKUP($B300,'25년 12월 출석표'!$B$2:$BQ$497,30,0)/5</f>
        <v>#N/A</v>
      </c>
      <c r="T300" s="40"/>
      <c r="U300" s="41" t="e">
        <f>VLOOKUP($B300,'25년 12월 출석표'!$B$2:$BQ$497,44,0)/5</f>
        <v>#N/A</v>
      </c>
      <c r="V300" s="40"/>
      <c r="W300" s="41" t="e">
        <f>VLOOKUP($B300,'25년 12월 출석표'!$B$2:$BQ$497,58,0)/5</f>
        <v>#N/A</v>
      </c>
      <c r="X300" s="42"/>
      <c r="Y300" s="41" t="e">
        <f>VLOOKUP($B300,'25년 12월 출석표'!$B$2:$BQ$503,66,0)/5</f>
        <v>#N/A</v>
      </c>
      <c r="Z300" s="43"/>
    </row>
    <row r="301" spans="1:26">
      <c r="A301" s="29"/>
      <c r="B301" s="164"/>
      <c r="C301" s="164"/>
      <c r="D301" s="177"/>
      <c r="E301" s="178"/>
      <c r="F301" s="180"/>
      <c r="G301" s="180"/>
      <c r="H301" s="180"/>
      <c r="I301" s="34" t="e">
        <f>VLOOKUP(B301,'25년 12월 출석표'!$B$7:$D$509,3,0)</f>
        <v>#N/A</v>
      </c>
      <c r="J301" s="35" t="e">
        <f t="shared" ca="1" si="0"/>
        <v>#NAME?</v>
      </c>
      <c r="K301" s="36" t="str">
        <f t="shared" si="3"/>
        <v/>
      </c>
      <c r="L301" s="37" t="str">
        <f t="shared" si="4"/>
        <v/>
      </c>
      <c r="M301" s="30"/>
      <c r="N301" s="38" t="b">
        <v>0</v>
      </c>
      <c r="O301" s="38" t="b">
        <v>0</v>
      </c>
      <c r="P301" s="38" t="b">
        <v>0</v>
      </c>
      <c r="Q301" s="39" t="e">
        <f>VLOOKUP($B301,'25년 12월 출석표'!$B$2:$BQ$497,16,0)/5</f>
        <v>#N/A</v>
      </c>
      <c r="R301" s="40"/>
      <c r="S301" s="41" t="e">
        <f>VLOOKUP($B301,'25년 12월 출석표'!$B$2:$BQ$497,30,0)/5</f>
        <v>#N/A</v>
      </c>
      <c r="T301" s="40"/>
      <c r="U301" s="41" t="e">
        <f>VLOOKUP($B301,'25년 12월 출석표'!$B$2:$BQ$497,44,0)/5</f>
        <v>#N/A</v>
      </c>
      <c r="V301" s="40"/>
      <c r="W301" s="41" t="e">
        <f>VLOOKUP($B301,'25년 12월 출석표'!$B$2:$BQ$497,58,0)/5</f>
        <v>#N/A</v>
      </c>
      <c r="X301" s="42"/>
      <c r="Y301" s="41" t="e">
        <f>VLOOKUP($B301,'25년 12월 출석표'!$B$2:$BQ$503,66,0)/5</f>
        <v>#N/A</v>
      </c>
      <c r="Z301" s="43"/>
    </row>
    <row r="302" spans="1:26">
      <c r="A302" s="29"/>
      <c r="B302" s="164"/>
      <c r="C302" s="164"/>
      <c r="D302" s="177"/>
      <c r="E302" s="178"/>
      <c r="F302" s="180"/>
      <c r="G302" s="180"/>
      <c r="H302" s="180"/>
      <c r="I302" s="34" t="e">
        <f>VLOOKUP(B302,'25년 12월 출석표'!$B$7:$D$509,3,0)</f>
        <v>#N/A</v>
      </c>
      <c r="J302" s="35" t="e">
        <f t="shared" ca="1" si="0"/>
        <v>#NAME?</v>
      </c>
      <c r="K302" s="36" t="str">
        <f t="shared" si="3"/>
        <v/>
      </c>
      <c r="L302" s="37" t="str">
        <f t="shared" si="4"/>
        <v/>
      </c>
      <c r="M302" s="30"/>
      <c r="N302" s="38" t="b">
        <v>0</v>
      </c>
      <c r="O302" s="38" t="b">
        <v>0</v>
      </c>
      <c r="P302" s="38" t="b">
        <v>0</v>
      </c>
      <c r="Q302" s="39" t="e">
        <f>VLOOKUP($B302,'25년 12월 출석표'!$B$2:$BQ$497,16,0)/5</f>
        <v>#N/A</v>
      </c>
      <c r="R302" s="40"/>
      <c r="S302" s="41" t="e">
        <f>VLOOKUP($B302,'25년 12월 출석표'!$B$2:$BQ$497,30,0)/5</f>
        <v>#N/A</v>
      </c>
      <c r="T302" s="40"/>
      <c r="U302" s="41" t="e">
        <f>VLOOKUP($B302,'25년 12월 출석표'!$B$2:$BQ$497,44,0)/5</f>
        <v>#N/A</v>
      </c>
      <c r="V302" s="40"/>
      <c r="W302" s="41" t="e">
        <f>VLOOKUP($B302,'25년 12월 출석표'!$B$2:$BQ$497,58,0)/5</f>
        <v>#N/A</v>
      </c>
      <c r="X302" s="42"/>
      <c r="Y302" s="41" t="e">
        <f>VLOOKUP($B302,'25년 12월 출석표'!$B$2:$BQ$503,66,0)/5</f>
        <v>#N/A</v>
      </c>
      <c r="Z302" s="43"/>
    </row>
    <row r="303" spans="1:26">
      <c r="A303" s="29"/>
      <c r="B303" s="164"/>
      <c r="C303" s="164"/>
      <c r="D303" s="177"/>
      <c r="E303" s="178"/>
      <c r="F303" s="180"/>
      <c r="G303" s="180"/>
      <c r="H303" s="180"/>
      <c r="I303" s="34" t="e">
        <f>VLOOKUP(B303,'25년 12월 출석표'!$B$7:$D$509,3,0)</f>
        <v>#N/A</v>
      </c>
      <c r="J303" s="35" t="e">
        <f t="shared" ca="1" si="0"/>
        <v>#NAME?</v>
      </c>
      <c r="K303" s="36" t="str">
        <f t="shared" si="3"/>
        <v/>
      </c>
      <c r="L303" s="37" t="str">
        <f t="shared" si="4"/>
        <v/>
      </c>
      <c r="M303" s="30"/>
      <c r="N303" s="38" t="b">
        <v>0</v>
      </c>
      <c r="O303" s="38" t="b">
        <v>0</v>
      </c>
      <c r="P303" s="38" t="b">
        <v>0</v>
      </c>
      <c r="Q303" s="39" t="e">
        <f>VLOOKUP($B303,'25년 12월 출석표'!$B$2:$BQ$497,16,0)/5</f>
        <v>#N/A</v>
      </c>
      <c r="R303" s="40"/>
      <c r="S303" s="41" t="e">
        <f>VLOOKUP($B303,'25년 12월 출석표'!$B$2:$BQ$497,30,0)/5</f>
        <v>#N/A</v>
      </c>
      <c r="T303" s="40"/>
      <c r="U303" s="41" t="e">
        <f>VLOOKUP($B303,'25년 12월 출석표'!$B$2:$BQ$497,44,0)/5</f>
        <v>#N/A</v>
      </c>
      <c r="V303" s="40"/>
      <c r="W303" s="41" t="e">
        <f>VLOOKUP($B303,'25년 12월 출석표'!$B$2:$BQ$497,58,0)/5</f>
        <v>#N/A</v>
      </c>
      <c r="X303" s="42"/>
      <c r="Y303" s="41" t="e">
        <f>VLOOKUP($B303,'25년 12월 출석표'!$B$2:$BQ$503,66,0)/5</f>
        <v>#N/A</v>
      </c>
      <c r="Z303" s="43"/>
    </row>
    <row r="304" spans="1:26">
      <c r="A304" s="29"/>
      <c r="B304" s="164"/>
      <c r="C304" s="164"/>
      <c r="D304" s="177"/>
      <c r="E304" s="178"/>
      <c r="F304" s="180"/>
      <c r="G304" s="180"/>
      <c r="H304" s="180"/>
      <c r="I304" s="34" t="e">
        <f>VLOOKUP(B304,'25년 12월 출석표'!$B$7:$D$509,3,0)</f>
        <v>#N/A</v>
      </c>
      <c r="J304" s="35" t="e">
        <f t="shared" ca="1" si="0"/>
        <v>#NAME?</v>
      </c>
      <c r="K304" s="36" t="str">
        <f t="shared" si="3"/>
        <v/>
      </c>
      <c r="L304" s="37" t="str">
        <f t="shared" si="4"/>
        <v/>
      </c>
      <c r="M304" s="30"/>
      <c r="N304" s="38" t="b">
        <v>0</v>
      </c>
      <c r="O304" s="38" t="b">
        <v>0</v>
      </c>
      <c r="P304" s="38" t="b">
        <v>0</v>
      </c>
      <c r="Q304" s="39" t="e">
        <f>VLOOKUP($B304,'25년 12월 출석표'!$B$2:$BQ$497,16,0)/5</f>
        <v>#N/A</v>
      </c>
      <c r="R304" s="40"/>
      <c r="S304" s="41" t="e">
        <f>VLOOKUP($B304,'25년 12월 출석표'!$B$2:$BQ$497,30,0)/5</f>
        <v>#N/A</v>
      </c>
      <c r="T304" s="40"/>
      <c r="U304" s="41" t="e">
        <f>VLOOKUP($B304,'25년 12월 출석표'!$B$2:$BQ$497,44,0)/5</f>
        <v>#N/A</v>
      </c>
      <c r="V304" s="40"/>
      <c r="W304" s="41" t="e">
        <f>VLOOKUP($B304,'25년 12월 출석표'!$B$2:$BQ$497,58,0)/5</f>
        <v>#N/A</v>
      </c>
      <c r="X304" s="42"/>
      <c r="Y304" s="41" t="e">
        <f>VLOOKUP($B304,'25년 12월 출석표'!$B$2:$BQ$503,66,0)/5</f>
        <v>#N/A</v>
      </c>
      <c r="Z304" s="43"/>
    </row>
    <row r="305" spans="1:26">
      <c r="A305" s="29"/>
      <c r="B305" s="164"/>
      <c r="C305" s="164"/>
      <c r="D305" s="177"/>
      <c r="E305" s="178"/>
      <c r="F305" s="180"/>
      <c r="G305" s="180"/>
      <c r="H305" s="180"/>
      <c r="I305" s="34" t="e">
        <f>VLOOKUP(B305,'25년 12월 출석표'!$B$7:$D$509,3,0)</f>
        <v>#N/A</v>
      </c>
      <c r="J305" s="35" t="e">
        <f t="shared" ca="1" si="0"/>
        <v>#NAME?</v>
      </c>
      <c r="K305" s="36" t="str">
        <f t="shared" si="3"/>
        <v/>
      </c>
      <c r="L305" s="37" t="str">
        <f t="shared" si="4"/>
        <v/>
      </c>
      <c r="M305" s="30"/>
      <c r="N305" s="38" t="b">
        <v>0</v>
      </c>
      <c r="O305" s="38" t="b">
        <v>0</v>
      </c>
      <c r="P305" s="38" t="b">
        <v>0</v>
      </c>
      <c r="Q305" s="39" t="e">
        <f>VLOOKUP($B305,'25년 12월 출석표'!$B$2:$BQ$497,16,0)/5</f>
        <v>#N/A</v>
      </c>
      <c r="R305" s="40"/>
      <c r="S305" s="41" t="e">
        <f>VLOOKUP($B305,'25년 12월 출석표'!$B$2:$BQ$497,30,0)/5</f>
        <v>#N/A</v>
      </c>
      <c r="T305" s="40"/>
      <c r="U305" s="41" t="e">
        <f>VLOOKUP($B305,'25년 12월 출석표'!$B$2:$BQ$497,44,0)/5</f>
        <v>#N/A</v>
      </c>
      <c r="V305" s="40"/>
      <c r="W305" s="41" t="e">
        <f>VLOOKUP($B305,'25년 12월 출석표'!$B$2:$BQ$497,58,0)/5</f>
        <v>#N/A</v>
      </c>
      <c r="X305" s="42"/>
      <c r="Y305" s="41" t="e">
        <f>VLOOKUP($B305,'25년 12월 출석표'!$B$2:$BQ$503,66,0)/5</f>
        <v>#N/A</v>
      </c>
      <c r="Z305" s="43"/>
    </row>
    <row r="306" spans="1:26">
      <c r="A306" s="29"/>
      <c r="B306" s="164"/>
      <c r="C306" s="164"/>
      <c r="D306" s="177"/>
      <c r="E306" s="178"/>
      <c r="F306" s="180"/>
      <c r="G306" s="180"/>
      <c r="H306" s="180"/>
      <c r="I306" s="34" t="e">
        <f>VLOOKUP(B306,'25년 12월 출석표'!$B$7:$D$509,3,0)</f>
        <v>#N/A</v>
      </c>
      <c r="J306" s="35" t="e">
        <f t="shared" ca="1" si="0"/>
        <v>#NAME?</v>
      </c>
      <c r="K306" s="36" t="str">
        <f t="shared" si="3"/>
        <v/>
      </c>
      <c r="L306" s="37" t="str">
        <f t="shared" si="4"/>
        <v/>
      </c>
      <c r="M306" s="30"/>
      <c r="N306" s="38" t="b">
        <v>0</v>
      </c>
      <c r="O306" s="38" t="b">
        <v>0</v>
      </c>
      <c r="P306" s="38" t="b">
        <v>0</v>
      </c>
      <c r="Q306" s="39" t="e">
        <f>VLOOKUP($B306,'25년 12월 출석표'!$B$2:$BQ$497,16,0)/5</f>
        <v>#N/A</v>
      </c>
      <c r="R306" s="40"/>
      <c r="S306" s="41" t="e">
        <f>VLOOKUP($B306,'25년 12월 출석표'!$B$2:$BQ$497,30,0)/5</f>
        <v>#N/A</v>
      </c>
      <c r="T306" s="40"/>
      <c r="U306" s="41" t="e">
        <f>VLOOKUP($B306,'25년 12월 출석표'!$B$2:$BQ$497,44,0)/5</f>
        <v>#N/A</v>
      </c>
      <c r="V306" s="40"/>
      <c r="W306" s="41" t="e">
        <f>VLOOKUP($B306,'25년 12월 출석표'!$B$2:$BQ$497,58,0)/5</f>
        <v>#N/A</v>
      </c>
      <c r="X306" s="42"/>
      <c r="Y306" s="41" t="e">
        <f>VLOOKUP($B306,'25년 12월 출석표'!$B$2:$BQ$503,66,0)/5</f>
        <v>#N/A</v>
      </c>
      <c r="Z306" s="43"/>
    </row>
    <row r="307" spans="1:26">
      <c r="A307" s="29"/>
      <c r="B307" s="164"/>
      <c r="C307" s="164"/>
      <c r="D307" s="177"/>
      <c r="E307" s="178"/>
      <c r="F307" s="180"/>
      <c r="G307" s="180"/>
      <c r="H307" s="180"/>
      <c r="I307" s="34" t="e">
        <f>VLOOKUP(B307,'25년 12월 출석표'!$B$7:$D$509,3,0)</f>
        <v>#N/A</v>
      </c>
      <c r="J307" s="35" t="e">
        <f t="shared" ca="1" si="0"/>
        <v>#NAME?</v>
      </c>
      <c r="K307" s="36" t="str">
        <f t="shared" si="3"/>
        <v/>
      </c>
      <c r="L307" s="37" t="str">
        <f t="shared" si="4"/>
        <v/>
      </c>
      <c r="M307" s="30"/>
      <c r="N307" s="38" t="b">
        <v>0</v>
      </c>
      <c r="O307" s="38" t="b">
        <v>0</v>
      </c>
      <c r="P307" s="38" t="b">
        <v>0</v>
      </c>
      <c r="Q307" s="39" t="e">
        <f>VLOOKUP($B307,'25년 12월 출석표'!$B$2:$BQ$497,16,0)/5</f>
        <v>#N/A</v>
      </c>
      <c r="R307" s="40"/>
      <c r="S307" s="41" t="e">
        <f>VLOOKUP($B307,'25년 12월 출석표'!$B$2:$BQ$497,30,0)/5</f>
        <v>#N/A</v>
      </c>
      <c r="T307" s="40"/>
      <c r="U307" s="41" t="e">
        <f>VLOOKUP($B307,'25년 12월 출석표'!$B$2:$BQ$497,44,0)/5</f>
        <v>#N/A</v>
      </c>
      <c r="V307" s="40"/>
      <c r="W307" s="41" t="e">
        <f>VLOOKUP($B307,'25년 12월 출석표'!$B$2:$BQ$497,58,0)/5</f>
        <v>#N/A</v>
      </c>
      <c r="X307" s="42"/>
      <c r="Y307" s="41" t="e">
        <f>VLOOKUP($B307,'25년 12월 출석표'!$B$2:$BQ$503,66,0)/5</f>
        <v>#N/A</v>
      </c>
      <c r="Z307" s="43"/>
    </row>
    <row r="308" spans="1:26">
      <c r="A308" s="29"/>
      <c r="B308" s="164"/>
      <c r="C308" s="164"/>
      <c r="D308" s="177"/>
      <c r="E308" s="178"/>
      <c r="F308" s="180"/>
      <c r="G308" s="180"/>
      <c r="H308" s="180"/>
      <c r="I308" s="34" t="e">
        <f>VLOOKUP(B308,'25년 12월 출석표'!$B$7:$D$509,3,0)</f>
        <v>#N/A</v>
      </c>
      <c r="J308" s="35" t="e">
        <f t="shared" ca="1" si="0"/>
        <v>#NAME?</v>
      </c>
      <c r="K308" s="36" t="str">
        <f t="shared" si="3"/>
        <v/>
      </c>
      <c r="L308" s="37" t="str">
        <f t="shared" si="4"/>
        <v/>
      </c>
      <c r="M308" s="30"/>
      <c r="N308" s="38" t="b">
        <v>0</v>
      </c>
      <c r="O308" s="38" t="b">
        <v>0</v>
      </c>
      <c r="P308" s="38" t="b">
        <v>0</v>
      </c>
      <c r="Q308" s="39" t="e">
        <f>VLOOKUP($B308,'25년 12월 출석표'!$B$2:$BQ$497,16,0)/5</f>
        <v>#N/A</v>
      </c>
      <c r="R308" s="40"/>
      <c r="S308" s="41" t="e">
        <f>VLOOKUP($B308,'25년 12월 출석표'!$B$2:$BQ$497,30,0)/5</f>
        <v>#N/A</v>
      </c>
      <c r="T308" s="40"/>
      <c r="U308" s="41" t="e">
        <f>VLOOKUP($B308,'25년 12월 출석표'!$B$2:$BQ$497,44,0)/5</f>
        <v>#N/A</v>
      </c>
      <c r="V308" s="40"/>
      <c r="W308" s="41" t="e">
        <f>VLOOKUP($B308,'25년 12월 출석표'!$B$2:$BQ$497,58,0)/5</f>
        <v>#N/A</v>
      </c>
      <c r="X308" s="42"/>
      <c r="Y308" s="41" t="e">
        <f>VLOOKUP($B308,'25년 12월 출석표'!$B$2:$BQ$503,66,0)/5</f>
        <v>#N/A</v>
      </c>
      <c r="Z308" s="43"/>
    </row>
    <row r="309" spans="1:26">
      <c r="A309" s="29"/>
      <c r="B309" s="164"/>
      <c r="C309" s="164"/>
      <c r="D309" s="177"/>
      <c r="E309" s="178"/>
      <c r="F309" s="180"/>
      <c r="G309" s="180"/>
      <c r="H309" s="180"/>
      <c r="I309" s="34" t="e">
        <f>VLOOKUP(B309,'25년 12월 출석표'!$B$7:$D$509,3,0)</f>
        <v>#N/A</v>
      </c>
      <c r="J309" s="35" t="e">
        <f t="shared" ca="1" si="0"/>
        <v>#NAME?</v>
      </c>
      <c r="K309" s="36" t="str">
        <f t="shared" si="3"/>
        <v/>
      </c>
      <c r="L309" s="37" t="str">
        <f t="shared" si="4"/>
        <v/>
      </c>
      <c r="M309" s="30"/>
      <c r="N309" s="38" t="b">
        <v>0</v>
      </c>
      <c r="O309" s="38" t="b">
        <v>0</v>
      </c>
      <c r="P309" s="38" t="b">
        <v>0</v>
      </c>
      <c r="Q309" s="39" t="e">
        <f>VLOOKUP($B309,'25년 12월 출석표'!$B$2:$BQ$497,16,0)/5</f>
        <v>#N/A</v>
      </c>
      <c r="R309" s="40"/>
      <c r="S309" s="41" t="e">
        <f>VLOOKUP($B309,'25년 12월 출석표'!$B$2:$BQ$497,30,0)/5</f>
        <v>#N/A</v>
      </c>
      <c r="T309" s="40"/>
      <c r="U309" s="41" t="e">
        <f>VLOOKUP($B309,'25년 12월 출석표'!$B$2:$BQ$497,44,0)/5</f>
        <v>#N/A</v>
      </c>
      <c r="V309" s="40"/>
      <c r="W309" s="41" t="e">
        <f>VLOOKUP($B309,'25년 12월 출석표'!$B$2:$BQ$497,58,0)/5</f>
        <v>#N/A</v>
      </c>
      <c r="X309" s="42"/>
      <c r="Y309" s="41" t="e">
        <f>VLOOKUP($B309,'25년 12월 출석표'!$B$2:$BQ$503,66,0)/5</f>
        <v>#N/A</v>
      </c>
      <c r="Z309" s="43"/>
    </row>
    <row r="310" spans="1:26">
      <c r="A310" s="29"/>
      <c r="B310" s="164"/>
      <c r="C310" s="164"/>
      <c r="D310" s="177"/>
      <c r="E310" s="178"/>
      <c r="F310" s="180"/>
      <c r="G310" s="180"/>
      <c r="H310" s="180"/>
      <c r="I310" s="34" t="e">
        <f>VLOOKUP(B310,'25년 12월 출석표'!$B$7:$D$509,3,0)</f>
        <v>#N/A</v>
      </c>
      <c r="J310" s="35" t="e">
        <f t="shared" ca="1" si="0"/>
        <v>#NAME?</v>
      </c>
      <c r="K310" s="36" t="str">
        <f t="shared" si="3"/>
        <v/>
      </c>
      <c r="L310" s="37" t="str">
        <f t="shared" si="4"/>
        <v/>
      </c>
      <c r="M310" s="30"/>
      <c r="N310" s="38" t="b">
        <v>0</v>
      </c>
      <c r="O310" s="38" t="b">
        <v>0</v>
      </c>
      <c r="P310" s="38" t="b">
        <v>0</v>
      </c>
      <c r="Q310" s="39" t="e">
        <f>VLOOKUP($B310,'25년 12월 출석표'!$B$2:$BQ$497,16,0)/5</f>
        <v>#N/A</v>
      </c>
      <c r="R310" s="40"/>
      <c r="S310" s="41" t="e">
        <f>VLOOKUP($B310,'25년 12월 출석표'!$B$2:$BQ$497,30,0)/5</f>
        <v>#N/A</v>
      </c>
      <c r="T310" s="40"/>
      <c r="U310" s="41" t="e">
        <f>VLOOKUP($B310,'25년 12월 출석표'!$B$2:$BQ$497,44,0)/5</f>
        <v>#N/A</v>
      </c>
      <c r="V310" s="40"/>
      <c r="W310" s="41" t="e">
        <f>VLOOKUP($B310,'25년 12월 출석표'!$B$2:$BQ$497,58,0)/5</f>
        <v>#N/A</v>
      </c>
      <c r="X310" s="42"/>
      <c r="Y310" s="41" t="e">
        <f>VLOOKUP($B310,'25년 12월 출석표'!$B$2:$BQ$503,66,0)/5</f>
        <v>#N/A</v>
      </c>
      <c r="Z310" s="43"/>
    </row>
    <row r="311" spans="1:26">
      <c r="A311" s="29"/>
      <c r="B311" s="164"/>
      <c r="C311" s="164"/>
      <c r="D311" s="177"/>
      <c r="E311" s="178"/>
      <c r="F311" s="180"/>
      <c r="G311" s="180"/>
      <c r="H311" s="180"/>
      <c r="I311" s="34" t="e">
        <f>VLOOKUP(B311,'25년 12월 출석표'!$B$7:$D$509,3,0)</f>
        <v>#N/A</v>
      </c>
      <c r="J311" s="35" t="e">
        <f t="shared" ca="1" si="0"/>
        <v>#NAME?</v>
      </c>
      <c r="K311" s="36" t="str">
        <f t="shared" si="3"/>
        <v/>
      </c>
      <c r="L311" s="37" t="str">
        <f t="shared" si="4"/>
        <v/>
      </c>
      <c r="M311" s="30"/>
      <c r="N311" s="38" t="b">
        <v>0</v>
      </c>
      <c r="O311" s="38" t="b">
        <v>0</v>
      </c>
      <c r="P311" s="38" t="b">
        <v>0</v>
      </c>
      <c r="Q311" s="39" t="e">
        <f>VLOOKUP($B311,'25년 12월 출석표'!$B$2:$BQ$497,16,0)/5</f>
        <v>#N/A</v>
      </c>
      <c r="R311" s="40"/>
      <c r="S311" s="41" t="e">
        <f>VLOOKUP($B311,'25년 12월 출석표'!$B$2:$BQ$497,30,0)/5</f>
        <v>#N/A</v>
      </c>
      <c r="T311" s="40"/>
      <c r="U311" s="41" t="e">
        <f>VLOOKUP($B311,'25년 12월 출석표'!$B$2:$BQ$497,44,0)/5</f>
        <v>#N/A</v>
      </c>
      <c r="V311" s="40"/>
      <c r="W311" s="41" t="e">
        <f>VLOOKUP($B311,'25년 12월 출석표'!$B$2:$BQ$497,58,0)/5</f>
        <v>#N/A</v>
      </c>
      <c r="X311" s="42"/>
      <c r="Y311" s="41" t="e">
        <f>VLOOKUP($B311,'25년 12월 출석표'!$B$2:$BQ$503,66,0)/5</f>
        <v>#N/A</v>
      </c>
      <c r="Z311" s="43"/>
    </row>
    <row r="312" spans="1:26">
      <c r="A312" s="29"/>
      <c r="B312" s="164"/>
      <c r="C312" s="164"/>
      <c r="D312" s="177"/>
      <c r="E312" s="178"/>
      <c r="F312" s="180"/>
      <c r="G312" s="180"/>
      <c r="H312" s="180"/>
      <c r="I312" s="34" t="e">
        <f>VLOOKUP(B312,'25년 12월 출석표'!$B$7:$D$509,3,0)</f>
        <v>#N/A</v>
      </c>
      <c r="J312" s="35" t="e">
        <f t="shared" ca="1" si="0"/>
        <v>#NAME?</v>
      </c>
      <c r="K312" s="36" t="str">
        <f t="shared" si="3"/>
        <v/>
      </c>
      <c r="L312" s="37" t="str">
        <f t="shared" si="4"/>
        <v/>
      </c>
      <c r="M312" s="30"/>
      <c r="N312" s="38" t="b">
        <v>0</v>
      </c>
      <c r="O312" s="38" t="b">
        <v>0</v>
      </c>
      <c r="P312" s="38" t="b">
        <v>0</v>
      </c>
      <c r="Q312" s="39" t="e">
        <f>VLOOKUP($B312,'25년 12월 출석표'!$B$2:$BQ$497,16,0)/5</f>
        <v>#N/A</v>
      </c>
      <c r="R312" s="40"/>
      <c r="S312" s="41" t="e">
        <f>VLOOKUP($B312,'25년 12월 출석표'!$B$2:$BQ$497,30,0)/5</f>
        <v>#N/A</v>
      </c>
      <c r="T312" s="40"/>
      <c r="U312" s="41" t="e">
        <f>VLOOKUP($B312,'25년 12월 출석표'!$B$2:$BQ$497,44,0)/5</f>
        <v>#N/A</v>
      </c>
      <c r="V312" s="40"/>
      <c r="W312" s="41" t="e">
        <f>VLOOKUP($B312,'25년 12월 출석표'!$B$2:$BQ$497,58,0)/5</f>
        <v>#N/A</v>
      </c>
      <c r="X312" s="42"/>
      <c r="Y312" s="41" t="e">
        <f>VLOOKUP($B312,'25년 12월 출석표'!$B$2:$BQ$503,66,0)/5</f>
        <v>#N/A</v>
      </c>
      <c r="Z312" s="43"/>
    </row>
    <row r="313" spans="1:26">
      <c r="A313" s="29"/>
      <c r="B313" s="164"/>
      <c r="C313" s="164"/>
      <c r="D313" s="177"/>
      <c r="E313" s="178"/>
      <c r="F313" s="180"/>
      <c r="G313" s="180"/>
      <c r="H313" s="180"/>
      <c r="I313" s="34" t="e">
        <f>VLOOKUP(B313,'25년 12월 출석표'!$B$7:$D$509,3,0)</f>
        <v>#N/A</v>
      </c>
      <c r="J313" s="35" t="e">
        <f t="shared" ca="1" si="0"/>
        <v>#NAME?</v>
      </c>
      <c r="K313" s="36" t="str">
        <f t="shared" si="3"/>
        <v/>
      </c>
      <c r="L313" s="37" t="str">
        <f t="shared" si="4"/>
        <v/>
      </c>
      <c r="M313" s="30"/>
      <c r="N313" s="38" t="b">
        <v>0</v>
      </c>
      <c r="O313" s="38" t="b">
        <v>0</v>
      </c>
      <c r="P313" s="38" t="b">
        <v>0</v>
      </c>
      <c r="Q313" s="39" t="e">
        <f>VLOOKUP($B313,'25년 12월 출석표'!$B$2:$BQ$497,16,0)/5</f>
        <v>#N/A</v>
      </c>
      <c r="R313" s="40"/>
      <c r="S313" s="41" t="e">
        <f>VLOOKUP($B313,'25년 12월 출석표'!$B$2:$BQ$497,30,0)/5</f>
        <v>#N/A</v>
      </c>
      <c r="T313" s="40"/>
      <c r="U313" s="41" t="e">
        <f>VLOOKUP($B313,'25년 12월 출석표'!$B$2:$BQ$497,44,0)/5</f>
        <v>#N/A</v>
      </c>
      <c r="V313" s="40"/>
      <c r="W313" s="41" t="e">
        <f>VLOOKUP($B313,'25년 12월 출석표'!$B$2:$BQ$497,58,0)/5</f>
        <v>#N/A</v>
      </c>
      <c r="X313" s="42"/>
      <c r="Y313" s="41" t="e">
        <f>VLOOKUP($B313,'25년 12월 출석표'!$B$2:$BQ$503,66,0)/5</f>
        <v>#N/A</v>
      </c>
      <c r="Z313" s="43"/>
    </row>
    <row r="314" spans="1:26">
      <c r="A314" s="29"/>
      <c r="B314" s="164"/>
      <c r="C314" s="164"/>
      <c r="D314" s="177"/>
      <c r="E314" s="178"/>
      <c r="F314" s="180"/>
      <c r="G314" s="180"/>
      <c r="H314" s="180"/>
      <c r="I314" s="34" t="e">
        <f>VLOOKUP(B314,'25년 12월 출석표'!$B$7:$D$509,3,0)</f>
        <v>#N/A</v>
      </c>
      <c r="J314" s="35" t="e">
        <f t="shared" ca="1" si="0"/>
        <v>#NAME?</v>
      </c>
      <c r="K314" s="36" t="str">
        <f t="shared" si="3"/>
        <v/>
      </c>
      <c r="L314" s="37" t="str">
        <f t="shared" si="4"/>
        <v/>
      </c>
      <c r="M314" s="30"/>
      <c r="N314" s="38" t="b">
        <v>0</v>
      </c>
      <c r="O314" s="38" t="b">
        <v>0</v>
      </c>
      <c r="P314" s="38" t="b">
        <v>0</v>
      </c>
      <c r="Q314" s="39" t="e">
        <f>VLOOKUP($B314,'25년 12월 출석표'!$B$2:$BQ$497,16,0)/5</f>
        <v>#N/A</v>
      </c>
      <c r="R314" s="40"/>
      <c r="S314" s="41" t="e">
        <f>VLOOKUP($B314,'25년 12월 출석표'!$B$2:$BQ$497,30,0)/5</f>
        <v>#N/A</v>
      </c>
      <c r="T314" s="40"/>
      <c r="U314" s="41" t="e">
        <f>VLOOKUP($B314,'25년 12월 출석표'!$B$2:$BQ$497,44,0)/5</f>
        <v>#N/A</v>
      </c>
      <c r="V314" s="40"/>
      <c r="W314" s="41" t="e">
        <f>VLOOKUP($B314,'25년 12월 출석표'!$B$2:$BQ$497,58,0)/5</f>
        <v>#N/A</v>
      </c>
      <c r="X314" s="42"/>
      <c r="Y314" s="41" t="e">
        <f>VLOOKUP($B314,'25년 12월 출석표'!$B$2:$BQ$503,66,0)/5</f>
        <v>#N/A</v>
      </c>
      <c r="Z314" s="43"/>
    </row>
    <row r="315" spans="1:26">
      <c r="A315" s="29"/>
      <c r="B315" s="164"/>
      <c r="C315" s="164"/>
      <c r="D315" s="177"/>
      <c r="E315" s="178"/>
      <c r="F315" s="180"/>
      <c r="G315" s="180"/>
      <c r="H315" s="180"/>
      <c r="I315" s="34" t="e">
        <f>VLOOKUP(B315,'25년 12월 출석표'!$B$7:$D$509,3,0)</f>
        <v>#N/A</v>
      </c>
      <c r="J315" s="35" t="e">
        <f t="shared" ca="1" si="0"/>
        <v>#NAME?</v>
      </c>
      <c r="K315" s="36" t="str">
        <f t="shared" si="3"/>
        <v/>
      </c>
      <c r="L315" s="37" t="str">
        <f t="shared" si="4"/>
        <v/>
      </c>
      <c r="M315" s="30"/>
      <c r="N315" s="38" t="b">
        <v>0</v>
      </c>
      <c r="O315" s="38" t="b">
        <v>0</v>
      </c>
      <c r="P315" s="38" t="b">
        <v>0</v>
      </c>
      <c r="Q315" s="39" t="e">
        <f>VLOOKUP($B315,'25년 12월 출석표'!$B$2:$BQ$497,16,0)/5</f>
        <v>#N/A</v>
      </c>
      <c r="R315" s="40"/>
      <c r="S315" s="41" t="e">
        <f>VLOOKUP($B315,'25년 12월 출석표'!$B$2:$BQ$497,30,0)/5</f>
        <v>#N/A</v>
      </c>
      <c r="T315" s="40"/>
      <c r="U315" s="41" t="e">
        <f>VLOOKUP($B315,'25년 12월 출석표'!$B$2:$BQ$497,44,0)/5</f>
        <v>#N/A</v>
      </c>
      <c r="V315" s="40"/>
      <c r="W315" s="41" t="e">
        <f>VLOOKUP($B315,'25년 12월 출석표'!$B$2:$BQ$497,58,0)/5</f>
        <v>#N/A</v>
      </c>
      <c r="X315" s="42"/>
      <c r="Y315" s="41" t="e">
        <f>VLOOKUP($B315,'25년 12월 출석표'!$B$2:$BQ$503,66,0)/5</f>
        <v>#N/A</v>
      </c>
      <c r="Z315" s="43"/>
    </row>
    <row r="316" spans="1:26">
      <c r="A316" s="29"/>
      <c r="B316" s="164"/>
      <c r="C316" s="164"/>
      <c r="D316" s="177"/>
      <c r="E316" s="178"/>
      <c r="F316" s="180"/>
      <c r="G316" s="180"/>
      <c r="H316" s="180"/>
      <c r="I316" s="34" t="e">
        <f>VLOOKUP(B316,'25년 12월 출석표'!$B$7:$D$509,3,0)</f>
        <v>#N/A</v>
      </c>
      <c r="J316" s="35" t="e">
        <f t="shared" ca="1" si="0"/>
        <v>#NAME?</v>
      </c>
      <c r="K316" s="36" t="str">
        <f t="shared" si="3"/>
        <v/>
      </c>
      <c r="L316" s="37" t="str">
        <f t="shared" si="4"/>
        <v/>
      </c>
      <c r="M316" s="30"/>
      <c r="N316" s="38" t="b">
        <v>0</v>
      </c>
      <c r="O316" s="38" t="b">
        <v>0</v>
      </c>
      <c r="P316" s="38" t="b">
        <v>0</v>
      </c>
      <c r="Q316" s="39" t="e">
        <f>VLOOKUP($B316,'25년 12월 출석표'!$B$2:$BQ$497,16,0)/5</f>
        <v>#N/A</v>
      </c>
      <c r="R316" s="40"/>
      <c r="S316" s="41" t="e">
        <f>VLOOKUP($B316,'25년 12월 출석표'!$B$2:$BQ$497,30,0)/5</f>
        <v>#N/A</v>
      </c>
      <c r="T316" s="40"/>
      <c r="U316" s="41" t="e">
        <f>VLOOKUP($B316,'25년 12월 출석표'!$B$2:$BQ$497,44,0)/5</f>
        <v>#N/A</v>
      </c>
      <c r="V316" s="40"/>
      <c r="W316" s="41" t="e">
        <f>VLOOKUP($B316,'25년 12월 출석표'!$B$2:$BQ$497,58,0)/5</f>
        <v>#N/A</v>
      </c>
      <c r="X316" s="42"/>
      <c r="Y316" s="41" t="e">
        <f>VLOOKUP($B316,'25년 12월 출석표'!$B$2:$BQ$503,66,0)/5</f>
        <v>#N/A</v>
      </c>
      <c r="Z316" s="43"/>
    </row>
    <row r="317" spans="1:26">
      <c r="A317" s="29"/>
      <c r="B317" s="164"/>
      <c r="C317" s="164"/>
      <c r="D317" s="177"/>
      <c r="E317" s="178"/>
      <c r="F317" s="180"/>
      <c r="G317" s="180"/>
      <c r="H317" s="180"/>
      <c r="I317" s="34" t="e">
        <f>VLOOKUP(B317,'25년 12월 출석표'!$B$7:$D$509,3,0)</f>
        <v>#N/A</v>
      </c>
      <c r="J317" s="35" t="e">
        <f t="shared" ca="1" si="0"/>
        <v>#NAME?</v>
      </c>
      <c r="K317" s="36" t="str">
        <f t="shared" si="3"/>
        <v/>
      </c>
      <c r="L317" s="37" t="str">
        <f t="shared" si="4"/>
        <v/>
      </c>
      <c r="M317" s="30"/>
      <c r="N317" s="38" t="b">
        <v>0</v>
      </c>
      <c r="O317" s="38" t="b">
        <v>0</v>
      </c>
      <c r="P317" s="38" t="b">
        <v>0</v>
      </c>
      <c r="Q317" s="39" t="e">
        <f>VLOOKUP($B317,'25년 12월 출석표'!$B$2:$BQ$497,16,0)/5</f>
        <v>#N/A</v>
      </c>
      <c r="R317" s="40"/>
      <c r="S317" s="41" t="e">
        <f>VLOOKUP($B317,'25년 12월 출석표'!$B$2:$BQ$497,30,0)/5</f>
        <v>#N/A</v>
      </c>
      <c r="T317" s="40"/>
      <c r="U317" s="41" t="e">
        <f>VLOOKUP($B317,'25년 12월 출석표'!$B$2:$BQ$497,44,0)/5</f>
        <v>#N/A</v>
      </c>
      <c r="V317" s="40"/>
      <c r="W317" s="41" t="e">
        <f>VLOOKUP($B317,'25년 12월 출석표'!$B$2:$BQ$497,58,0)/5</f>
        <v>#N/A</v>
      </c>
      <c r="X317" s="42"/>
      <c r="Y317" s="41" t="e">
        <f>VLOOKUP($B317,'25년 12월 출석표'!$B$2:$BQ$503,66,0)/5</f>
        <v>#N/A</v>
      </c>
      <c r="Z317" s="43"/>
    </row>
    <row r="318" spans="1:26">
      <c r="A318" s="29"/>
      <c r="B318" s="164"/>
      <c r="C318" s="164"/>
      <c r="D318" s="177"/>
      <c r="E318" s="178"/>
      <c r="F318" s="180"/>
      <c r="G318" s="180"/>
      <c r="H318" s="180"/>
      <c r="I318" s="34" t="e">
        <f>VLOOKUP(B318,'25년 12월 출석표'!$B$7:$D$509,3,0)</f>
        <v>#N/A</v>
      </c>
      <c r="J318" s="35" t="e">
        <f t="shared" ca="1" si="0"/>
        <v>#NAME?</v>
      </c>
      <c r="K318" s="36" t="str">
        <f t="shared" si="3"/>
        <v/>
      </c>
      <c r="L318" s="37" t="str">
        <f t="shared" si="4"/>
        <v/>
      </c>
      <c r="M318" s="30"/>
      <c r="N318" s="38" t="b">
        <v>0</v>
      </c>
      <c r="O318" s="38" t="b">
        <v>0</v>
      </c>
      <c r="P318" s="38" t="b">
        <v>0</v>
      </c>
      <c r="Q318" s="39" t="e">
        <f>VLOOKUP($B318,'25년 12월 출석표'!$B$2:$BQ$497,16,0)/5</f>
        <v>#N/A</v>
      </c>
      <c r="R318" s="40"/>
      <c r="S318" s="41" t="e">
        <f>VLOOKUP($B318,'25년 12월 출석표'!$B$2:$BQ$497,30,0)/5</f>
        <v>#N/A</v>
      </c>
      <c r="T318" s="40"/>
      <c r="U318" s="41" t="e">
        <f>VLOOKUP($B318,'25년 12월 출석표'!$B$2:$BQ$497,44,0)/5</f>
        <v>#N/A</v>
      </c>
      <c r="V318" s="40"/>
      <c r="W318" s="41" t="e">
        <f>VLOOKUP($B318,'25년 12월 출석표'!$B$2:$BQ$497,58,0)/5</f>
        <v>#N/A</v>
      </c>
      <c r="X318" s="42"/>
      <c r="Y318" s="41" t="e">
        <f>VLOOKUP($B318,'25년 12월 출석표'!$B$2:$BQ$503,66,0)/5</f>
        <v>#N/A</v>
      </c>
      <c r="Z318" s="43"/>
    </row>
    <row r="319" spans="1:26">
      <c r="A319" s="29"/>
      <c r="B319" s="164"/>
      <c r="C319" s="164"/>
      <c r="D319" s="177"/>
      <c r="E319" s="178"/>
      <c r="F319" s="180"/>
      <c r="G319" s="180"/>
      <c r="H319" s="180"/>
      <c r="I319" s="34" t="e">
        <f>VLOOKUP(B319,'25년 12월 출석표'!$B$7:$D$509,3,0)</f>
        <v>#N/A</v>
      </c>
      <c r="J319" s="35" t="e">
        <f t="shared" ca="1" si="0"/>
        <v>#NAME?</v>
      </c>
      <c r="K319" s="36" t="str">
        <f t="shared" si="3"/>
        <v/>
      </c>
      <c r="L319" s="37" t="str">
        <f t="shared" si="4"/>
        <v/>
      </c>
      <c r="M319" s="30"/>
      <c r="N319" s="38" t="b">
        <v>0</v>
      </c>
      <c r="O319" s="38" t="b">
        <v>0</v>
      </c>
      <c r="P319" s="38" t="b">
        <v>0</v>
      </c>
      <c r="Q319" s="39" t="e">
        <f>VLOOKUP($B319,'25년 12월 출석표'!$B$2:$BQ$497,16,0)/5</f>
        <v>#N/A</v>
      </c>
      <c r="R319" s="40"/>
      <c r="S319" s="41" t="e">
        <f>VLOOKUP($B319,'25년 12월 출석표'!$B$2:$BQ$497,30,0)/5</f>
        <v>#N/A</v>
      </c>
      <c r="T319" s="40"/>
      <c r="U319" s="41" t="e">
        <f>VLOOKUP($B319,'25년 12월 출석표'!$B$2:$BQ$497,44,0)/5</f>
        <v>#N/A</v>
      </c>
      <c r="V319" s="40"/>
      <c r="W319" s="41" t="e">
        <f>VLOOKUP($B319,'25년 12월 출석표'!$B$2:$BQ$497,58,0)/5</f>
        <v>#N/A</v>
      </c>
      <c r="X319" s="42"/>
      <c r="Y319" s="41" t="e">
        <f>VLOOKUP($B319,'25년 12월 출석표'!$B$2:$BQ$503,66,0)/5</f>
        <v>#N/A</v>
      </c>
      <c r="Z319" s="43"/>
    </row>
    <row r="320" spans="1:26">
      <c r="A320" s="29"/>
      <c r="B320" s="164"/>
      <c r="C320" s="164"/>
      <c r="D320" s="177"/>
      <c r="E320" s="178"/>
      <c r="F320" s="180"/>
      <c r="G320" s="180"/>
      <c r="H320" s="180"/>
      <c r="I320" s="34" t="e">
        <f>VLOOKUP(B320,'25년 12월 출석표'!$B$7:$D$509,3,0)</f>
        <v>#N/A</v>
      </c>
      <c r="J320" s="35" t="e">
        <f t="shared" ca="1" si="0"/>
        <v>#NAME?</v>
      </c>
      <c r="K320" s="36" t="str">
        <f t="shared" si="3"/>
        <v/>
      </c>
      <c r="L320" s="37" t="str">
        <f t="shared" si="4"/>
        <v/>
      </c>
      <c r="M320" s="30"/>
      <c r="N320" s="38" t="b">
        <v>0</v>
      </c>
      <c r="O320" s="38" t="b">
        <v>0</v>
      </c>
      <c r="P320" s="38" t="b">
        <v>0</v>
      </c>
      <c r="Q320" s="39" t="e">
        <f>VLOOKUP($B320,'25년 12월 출석표'!$B$2:$BQ$497,16,0)/5</f>
        <v>#N/A</v>
      </c>
      <c r="R320" s="40"/>
      <c r="S320" s="41" t="e">
        <f>VLOOKUP($B320,'25년 12월 출석표'!$B$2:$BQ$497,30,0)/5</f>
        <v>#N/A</v>
      </c>
      <c r="T320" s="40"/>
      <c r="U320" s="41" t="e">
        <f>VLOOKUP($B320,'25년 12월 출석표'!$B$2:$BQ$497,44,0)/5</f>
        <v>#N/A</v>
      </c>
      <c r="V320" s="40"/>
      <c r="W320" s="41" t="e">
        <f>VLOOKUP($B320,'25년 12월 출석표'!$B$2:$BQ$497,58,0)/5</f>
        <v>#N/A</v>
      </c>
      <c r="X320" s="42"/>
      <c r="Y320" s="41" t="e">
        <f>VLOOKUP($B320,'25년 12월 출석표'!$B$2:$BQ$503,66,0)/5</f>
        <v>#N/A</v>
      </c>
      <c r="Z320" s="43"/>
    </row>
    <row r="321" spans="1:26">
      <c r="A321" s="29"/>
      <c r="B321" s="164"/>
      <c r="C321" s="164"/>
      <c r="D321" s="177"/>
      <c r="E321" s="178"/>
      <c r="F321" s="180"/>
      <c r="G321" s="180"/>
      <c r="H321" s="180"/>
      <c r="I321" s="34" t="e">
        <f>VLOOKUP(B321,'25년 12월 출석표'!$B$7:$D$509,3,0)</f>
        <v>#N/A</v>
      </c>
      <c r="J321" s="35" t="e">
        <f t="shared" ca="1" si="0"/>
        <v>#NAME?</v>
      </c>
      <c r="K321" s="36" t="str">
        <f t="shared" si="3"/>
        <v/>
      </c>
      <c r="L321" s="37" t="str">
        <f t="shared" si="4"/>
        <v/>
      </c>
      <c r="M321" s="30"/>
      <c r="N321" s="38" t="b">
        <v>0</v>
      </c>
      <c r="O321" s="38" t="b">
        <v>0</v>
      </c>
      <c r="P321" s="38" t="b">
        <v>0</v>
      </c>
      <c r="Q321" s="39" t="e">
        <f>VLOOKUP($B321,'25년 12월 출석표'!$B$2:$BQ$497,16,0)/5</f>
        <v>#N/A</v>
      </c>
      <c r="R321" s="40"/>
      <c r="S321" s="41" t="e">
        <f>VLOOKUP($B321,'25년 12월 출석표'!$B$2:$BQ$497,30,0)/5</f>
        <v>#N/A</v>
      </c>
      <c r="T321" s="40"/>
      <c r="U321" s="41" t="e">
        <f>VLOOKUP($B321,'25년 12월 출석표'!$B$2:$BQ$497,44,0)/5</f>
        <v>#N/A</v>
      </c>
      <c r="V321" s="40"/>
      <c r="W321" s="41" t="e">
        <f>VLOOKUP($B321,'25년 12월 출석표'!$B$2:$BQ$497,58,0)/5</f>
        <v>#N/A</v>
      </c>
      <c r="X321" s="42"/>
      <c r="Y321" s="41" t="e">
        <f>VLOOKUP($B321,'25년 12월 출석표'!$B$2:$BQ$503,66,0)/5</f>
        <v>#N/A</v>
      </c>
      <c r="Z321" s="43"/>
    </row>
    <row r="322" spans="1:26">
      <c r="A322" s="29"/>
      <c r="B322" s="164"/>
      <c r="C322" s="164"/>
      <c r="D322" s="177"/>
      <c r="E322" s="178"/>
      <c r="F322" s="180"/>
      <c r="G322" s="180"/>
      <c r="H322" s="180"/>
      <c r="I322" s="34" t="e">
        <f>VLOOKUP(B322,'25년 12월 출석표'!$B$7:$D$509,3,0)</f>
        <v>#N/A</v>
      </c>
      <c r="J322" s="35" t="e">
        <f t="shared" ca="1" si="0"/>
        <v>#NAME?</v>
      </c>
      <c r="K322" s="36" t="str">
        <f t="shared" si="3"/>
        <v/>
      </c>
      <c r="L322" s="37" t="str">
        <f t="shared" si="4"/>
        <v/>
      </c>
      <c r="M322" s="30"/>
      <c r="N322" s="38" t="b">
        <v>0</v>
      </c>
      <c r="O322" s="38" t="b">
        <v>0</v>
      </c>
      <c r="P322" s="38" t="b">
        <v>0</v>
      </c>
      <c r="Q322" s="39" t="e">
        <f>VLOOKUP($B322,'25년 12월 출석표'!$B$2:$BQ$497,16,0)/5</f>
        <v>#N/A</v>
      </c>
      <c r="R322" s="40"/>
      <c r="S322" s="41" t="e">
        <f>VLOOKUP($B322,'25년 12월 출석표'!$B$2:$BQ$497,30,0)/5</f>
        <v>#N/A</v>
      </c>
      <c r="T322" s="40"/>
      <c r="U322" s="41" t="e">
        <f>VLOOKUP($B322,'25년 12월 출석표'!$B$2:$BQ$497,44,0)/5</f>
        <v>#N/A</v>
      </c>
      <c r="V322" s="40"/>
      <c r="W322" s="41" t="e">
        <f>VLOOKUP($B322,'25년 12월 출석표'!$B$2:$BQ$497,58,0)/5</f>
        <v>#N/A</v>
      </c>
      <c r="X322" s="42"/>
      <c r="Y322" s="41" t="e">
        <f>VLOOKUP($B322,'25년 12월 출석표'!$B$2:$BQ$503,66,0)/5</f>
        <v>#N/A</v>
      </c>
      <c r="Z322" s="43"/>
    </row>
    <row r="323" spans="1:26">
      <c r="A323" s="29"/>
      <c r="B323" s="164"/>
      <c r="C323" s="164"/>
      <c r="D323" s="177"/>
      <c r="E323" s="178"/>
      <c r="F323" s="180"/>
      <c r="G323" s="180"/>
      <c r="H323" s="180"/>
      <c r="I323" s="34" t="e">
        <f>VLOOKUP(B323,'25년 12월 출석표'!$B$7:$D$509,3,0)</f>
        <v>#N/A</v>
      </c>
      <c r="J323" s="35" t="e">
        <f t="shared" ca="1" si="0"/>
        <v>#NAME?</v>
      </c>
      <c r="K323" s="36" t="str">
        <f t="shared" si="3"/>
        <v/>
      </c>
      <c r="L323" s="37" t="str">
        <f t="shared" si="4"/>
        <v/>
      </c>
      <c r="M323" s="30"/>
      <c r="N323" s="38" t="b">
        <v>0</v>
      </c>
      <c r="O323" s="38" t="b">
        <v>0</v>
      </c>
      <c r="P323" s="38" t="b">
        <v>0</v>
      </c>
      <c r="Q323" s="39" t="e">
        <f>VLOOKUP($B323,'25년 12월 출석표'!$B$2:$BQ$497,16,0)/5</f>
        <v>#N/A</v>
      </c>
      <c r="R323" s="40"/>
      <c r="S323" s="41" t="e">
        <f>VLOOKUP($B323,'25년 12월 출석표'!$B$2:$BQ$497,30,0)/5</f>
        <v>#N/A</v>
      </c>
      <c r="T323" s="40"/>
      <c r="U323" s="41" t="e">
        <f>VLOOKUP($B323,'25년 12월 출석표'!$B$2:$BQ$497,44,0)/5</f>
        <v>#N/A</v>
      </c>
      <c r="V323" s="40"/>
      <c r="W323" s="41" t="e">
        <f>VLOOKUP($B323,'25년 12월 출석표'!$B$2:$BQ$497,58,0)/5</f>
        <v>#N/A</v>
      </c>
      <c r="X323" s="42"/>
      <c r="Y323" s="41" t="e">
        <f>VLOOKUP($B323,'25년 12월 출석표'!$B$2:$BQ$503,66,0)/5</f>
        <v>#N/A</v>
      </c>
      <c r="Z323" s="43"/>
    </row>
    <row r="324" spans="1:26">
      <c r="A324" s="29"/>
      <c r="B324" s="164"/>
      <c r="C324" s="164"/>
      <c r="D324" s="177"/>
      <c r="E324" s="178"/>
      <c r="F324" s="180"/>
      <c r="G324" s="180"/>
      <c r="H324" s="180"/>
      <c r="I324" s="34" t="e">
        <f>VLOOKUP(B324,'25년 12월 출석표'!$B$7:$D$509,3,0)</f>
        <v>#N/A</v>
      </c>
      <c r="J324" s="35" t="e">
        <f t="shared" ca="1" si="0"/>
        <v>#NAME?</v>
      </c>
      <c r="K324" s="36" t="str">
        <f t="shared" si="3"/>
        <v/>
      </c>
      <c r="L324" s="37" t="str">
        <f t="shared" si="4"/>
        <v/>
      </c>
      <c r="M324" s="30"/>
      <c r="N324" s="38" t="b">
        <v>0</v>
      </c>
      <c r="O324" s="38" t="b">
        <v>0</v>
      </c>
      <c r="P324" s="38" t="b">
        <v>0</v>
      </c>
      <c r="Q324" s="39" t="e">
        <f>VLOOKUP($B324,'25년 12월 출석표'!$B$2:$BQ$497,16,0)/5</f>
        <v>#N/A</v>
      </c>
      <c r="R324" s="40"/>
      <c r="S324" s="41" t="e">
        <f>VLOOKUP($B324,'25년 12월 출석표'!$B$2:$BQ$497,30,0)/5</f>
        <v>#N/A</v>
      </c>
      <c r="T324" s="40"/>
      <c r="U324" s="41" t="e">
        <f>VLOOKUP($B324,'25년 12월 출석표'!$B$2:$BQ$497,44,0)/5</f>
        <v>#N/A</v>
      </c>
      <c r="V324" s="40"/>
      <c r="W324" s="41" t="e">
        <f>VLOOKUP($B324,'25년 12월 출석표'!$B$2:$BQ$497,58,0)/5</f>
        <v>#N/A</v>
      </c>
      <c r="X324" s="42"/>
      <c r="Y324" s="41" t="e">
        <f>VLOOKUP($B324,'25년 12월 출석표'!$B$2:$BQ$503,66,0)/5</f>
        <v>#N/A</v>
      </c>
      <c r="Z324" s="43"/>
    </row>
    <row r="325" spans="1:26">
      <c r="A325" s="29"/>
      <c r="B325" s="164"/>
      <c r="C325" s="164"/>
      <c r="D325" s="177"/>
      <c r="E325" s="178"/>
      <c r="F325" s="180"/>
      <c r="G325" s="180"/>
      <c r="H325" s="180"/>
      <c r="I325" s="34" t="e">
        <f>VLOOKUP(B325,'25년 12월 출석표'!$B$7:$D$509,3,0)</f>
        <v>#N/A</v>
      </c>
      <c r="J325" s="35" t="e">
        <f t="shared" ca="1" si="0"/>
        <v>#NAME?</v>
      </c>
      <c r="K325" s="36" t="str">
        <f t="shared" si="3"/>
        <v/>
      </c>
      <c r="L325" s="37" t="str">
        <f t="shared" si="4"/>
        <v/>
      </c>
      <c r="M325" s="30"/>
      <c r="N325" s="38" t="b">
        <v>0</v>
      </c>
      <c r="O325" s="38" t="b">
        <v>0</v>
      </c>
      <c r="P325" s="38" t="b">
        <v>0</v>
      </c>
      <c r="Q325" s="39" t="e">
        <f>VLOOKUP($B325,'25년 12월 출석표'!$B$2:$BQ$497,16,0)/5</f>
        <v>#N/A</v>
      </c>
      <c r="R325" s="40"/>
      <c r="S325" s="41" t="e">
        <f>VLOOKUP($B325,'25년 12월 출석표'!$B$2:$BQ$497,30,0)/5</f>
        <v>#N/A</v>
      </c>
      <c r="T325" s="40"/>
      <c r="U325" s="41" t="e">
        <f>VLOOKUP($B325,'25년 12월 출석표'!$B$2:$BQ$497,44,0)/5</f>
        <v>#N/A</v>
      </c>
      <c r="V325" s="40"/>
      <c r="W325" s="41" t="e">
        <f>VLOOKUP($B325,'25년 12월 출석표'!$B$2:$BQ$497,58,0)/5</f>
        <v>#N/A</v>
      </c>
      <c r="X325" s="42"/>
      <c r="Y325" s="41" t="e">
        <f>VLOOKUP($B325,'25년 12월 출석표'!$B$2:$BQ$503,66,0)/5</f>
        <v>#N/A</v>
      </c>
      <c r="Z325" s="43"/>
    </row>
    <row r="326" spans="1:26">
      <c r="A326" s="29"/>
      <c r="B326" s="164"/>
      <c r="C326" s="164"/>
      <c r="D326" s="177"/>
      <c r="E326" s="178"/>
      <c r="F326" s="180"/>
      <c r="G326" s="180"/>
      <c r="H326" s="180"/>
      <c r="I326" s="34" t="e">
        <f>VLOOKUP(B326,'25년 12월 출석표'!$B$7:$D$509,3,0)</f>
        <v>#N/A</v>
      </c>
      <c r="J326" s="35" t="e">
        <f t="shared" ca="1" si="0"/>
        <v>#NAME?</v>
      </c>
      <c r="K326" s="36" t="str">
        <f t="shared" si="3"/>
        <v/>
      </c>
      <c r="L326" s="37" t="str">
        <f t="shared" si="4"/>
        <v/>
      </c>
      <c r="M326" s="30"/>
      <c r="N326" s="38" t="b">
        <v>0</v>
      </c>
      <c r="O326" s="38" t="b">
        <v>0</v>
      </c>
      <c r="P326" s="38" t="b">
        <v>0</v>
      </c>
      <c r="Q326" s="39" t="e">
        <f>VLOOKUP($B326,'25년 12월 출석표'!$B$2:$BQ$497,16,0)/5</f>
        <v>#N/A</v>
      </c>
      <c r="R326" s="40"/>
      <c r="S326" s="41" t="e">
        <f>VLOOKUP($B326,'25년 12월 출석표'!$B$2:$BQ$497,30,0)/5</f>
        <v>#N/A</v>
      </c>
      <c r="T326" s="40"/>
      <c r="U326" s="41" t="e">
        <f>VLOOKUP($B326,'25년 12월 출석표'!$B$2:$BQ$497,44,0)/5</f>
        <v>#N/A</v>
      </c>
      <c r="V326" s="40"/>
      <c r="W326" s="41" t="e">
        <f>VLOOKUP($B326,'25년 12월 출석표'!$B$2:$BQ$497,58,0)/5</f>
        <v>#N/A</v>
      </c>
      <c r="X326" s="42"/>
      <c r="Y326" s="41" t="e">
        <f>VLOOKUP($B326,'25년 12월 출석표'!$B$2:$BQ$503,66,0)/5</f>
        <v>#N/A</v>
      </c>
      <c r="Z326" s="43"/>
    </row>
    <row r="327" spans="1:26">
      <c r="A327" s="29"/>
      <c r="B327" s="164"/>
      <c r="C327" s="164"/>
      <c r="D327" s="177"/>
      <c r="E327" s="178"/>
      <c r="F327" s="180"/>
      <c r="G327" s="180"/>
      <c r="H327" s="180"/>
      <c r="I327" s="34" t="e">
        <f>VLOOKUP(B327,'25년 12월 출석표'!$B$7:$D$509,3,0)</f>
        <v>#N/A</v>
      </c>
      <c r="J327" s="35" t="e">
        <f t="shared" ca="1" si="0"/>
        <v>#NAME?</v>
      </c>
      <c r="K327" s="36" t="str">
        <f t="shared" si="3"/>
        <v/>
      </c>
      <c r="L327" s="37" t="str">
        <f t="shared" si="4"/>
        <v/>
      </c>
      <c r="M327" s="30"/>
      <c r="N327" s="38" t="b">
        <v>0</v>
      </c>
      <c r="O327" s="38" t="b">
        <v>0</v>
      </c>
      <c r="P327" s="38" t="b">
        <v>0</v>
      </c>
      <c r="Q327" s="39" t="e">
        <f>VLOOKUP($B327,'25년 12월 출석표'!$B$2:$BQ$497,16,0)/5</f>
        <v>#N/A</v>
      </c>
      <c r="R327" s="40"/>
      <c r="S327" s="41" t="e">
        <f>VLOOKUP($B327,'25년 12월 출석표'!$B$2:$BQ$497,30,0)/5</f>
        <v>#N/A</v>
      </c>
      <c r="T327" s="40"/>
      <c r="U327" s="41" t="e">
        <f>VLOOKUP($B327,'25년 12월 출석표'!$B$2:$BQ$497,44,0)/5</f>
        <v>#N/A</v>
      </c>
      <c r="V327" s="40"/>
      <c r="W327" s="41" t="e">
        <f>VLOOKUP($B327,'25년 12월 출석표'!$B$2:$BQ$497,58,0)/5</f>
        <v>#N/A</v>
      </c>
      <c r="X327" s="42"/>
      <c r="Y327" s="41" t="e">
        <f>VLOOKUP($B327,'25년 12월 출석표'!$B$2:$BQ$503,66,0)/5</f>
        <v>#N/A</v>
      </c>
      <c r="Z327" s="43"/>
    </row>
    <row r="328" spans="1:26">
      <c r="A328" s="29"/>
      <c r="B328" s="164"/>
      <c r="C328" s="164"/>
      <c r="D328" s="177"/>
      <c r="E328" s="178"/>
      <c r="F328" s="180"/>
      <c r="G328" s="180"/>
      <c r="H328" s="180"/>
      <c r="I328" s="34" t="e">
        <f>VLOOKUP(B328,'25년 12월 출석표'!$B$7:$D$509,3,0)</f>
        <v>#N/A</v>
      </c>
      <c r="J328" s="35" t="e">
        <f t="shared" ca="1" si="0"/>
        <v>#NAME?</v>
      </c>
      <c r="K328" s="36" t="str">
        <f t="shared" si="3"/>
        <v/>
      </c>
      <c r="L328" s="37" t="str">
        <f t="shared" si="4"/>
        <v/>
      </c>
      <c r="M328" s="30"/>
      <c r="N328" s="38" t="b">
        <v>0</v>
      </c>
      <c r="O328" s="38" t="b">
        <v>0</v>
      </c>
      <c r="P328" s="38" t="b">
        <v>0</v>
      </c>
      <c r="Q328" s="39" t="e">
        <f>VLOOKUP($B328,'25년 12월 출석표'!$B$2:$BQ$497,16,0)/5</f>
        <v>#N/A</v>
      </c>
      <c r="R328" s="40"/>
      <c r="S328" s="41" t="e">
        <f>VLOOKUP($B328,'25년 12월 출석표'!$B$2:$BQ$497,30,0)/5</f>
        <v>#N/A</v>
      </c>
      <c r="T328" s="40"/>
      <c r="U328" s="41" t="e">
        <f>VLOOKUP($B328,'25년 12월 출석표'!$B$2:$BQ$497,44,0)/5</f>
        <v>#N/A</v>
      </c>
      <c r="V328" s="40"/>
      <c r="W328" s="41" t="e">
        <f>VLOOKUP($B328,'25년 12월 출석표'!$B$2:$BQ$497,58,0)/5</f>
        <v>#N/A</v>
      </c>
      <c r="X328" s="42"/>
      <c r="Y328" s="41" t="e">
        <f>VLOOKUP($B328,'25년 12월 출석표'!$B$2:$BQ$503,66,0)/5</f>
        <v>#N/A</v>
      </c>
      <c r="Z328" s="43"/>
    </row>
    <row r="329" spans="1:26">
      <c r="A329" s="29"/>
      <c r="B329" s="164"/>
      <c r="C329" s="164"/>
      <c r="D329" s="177"/>
      <c r="E329" s="178"/>
      <c r="F329" s="180"/>
      <c r="G329" s="180"/>
      <c r="H329" s="180"/>
      <c r="I329" s="34" t="e">
        <f>VLOOKUP(B329,'25년 12월 출석표'!$B$7:$D$509,3,0)</f>
        <v>#N/A</v>
      </c>
      <c r="J329" s="35" t="e">
        <f t="shared" ca="1" si="0"/>
        <v>#NAME?</v>
      </c>
      <c r="K329" s="36" t="str">
        <f t="shared" si="3"/>
        <v/>
      </c>
      <c r="L329" s="37" t="str">
        <f t="shared" si="4"/>
        <v/>
      </c>
      <c r="M329" s="30"/>
      <c r="N329" s="38" t="b">
        <v>0</v>
      </c>
      <c r="O329" s="38" t="b">
        <v>0</v>
      </c>
      <c r="P329" s="38" t="b">
        <v>0</v>
      </c>
      <c r="Q329" s="39" t="e">
        <f>VLOOKUP($B329,'25년 12월 출석표'!$B$2:$BQ$497,16,0)/5</f>
        <v>#N/A</v>
      </c>
      <c r="R329" s="40"/>
      <c r="S329" s="41" t="e">
        <f>VLOOKUP($B329,'25년 12월 출석표'!$B$2:$BQ$497,30,0)/5</f>
        <v>#N/A</v>
      </c>
      <c r="T329" s="40"/>
      <c r="U329" s="41" t="e">
        <f>VLOOKUP($B329,'25년 12월 출석표'!$B$2:$BQ$497,44,0)/5</f>
        <v>#N/A</v>
      </c>
      <c r="V329" s="40"/>
      <c r="W329" s="41" t="e">
        <f>VLOOKUP($B329,'25년 12월 출석표'!$B$2:$BQ$497,58,0)/5</f>
        <v>#N/A</v>
      </c>
      <c r="X329" s="42"/>
      <c r="Y329" s="41" t="e">
        <f>VLOOKUP($B329,'25년 12월 출석표'!$B$2:$BQ$503,66,0)/5</f>
        <v>#N/A</v>
      </c>
      <c r="Z329" s="43"/>
    </row>
    <row r="330" spans="1:26">
      <c r="A330" s="29"/>
      <c r="B330" s="164"/>
      <c r="C330" s="164"/>
      <c r="D330" s="177"/>
      <c r="E330" s="178"/>
      <c r="F330" s="180"/>
      <c r="G330" s="180"/>
      <c r="H330" s="180"/>
      <c r="I330" s="34" t="e">
        <f>VLOOKUP(B330,'25년 12월 출석표'!$B$7:$D$509,3,0)</f>
        <v>#N/A</v>
      </c>
      <c r="J330" s="35" t="e">
        <f t="shared" ca="1" si="0"/>
        <v>#NAME?</v>
      </c>
      <c r="K330" s="36" t="str">
        <f t="shared" si="3"/>
        <v/>
      </c>
      <c r="L330" s="37" t="str">
        <f t="shared" si="4"/>
        <v/>
      </c>
      <c r="M330" s="30"/>
      <c r="N330" s="38" t="b">
        <v>0</v>
      </c>
      <c r="O330" s="38" t="b">
        <v>0</v>
      </c>
      <c r="P330" s="38" t="b">
        <v>0</v>
      </c>
      <c r="Q330" s="39" t="e">
        <f>VLOOKUP($B330,'25년 12월 출석표'!$B$2:$BQ$497,16,0)/5</f>
        <v>#N/A</v>
      </c>
      <c r="R330" s="40"/>
      <c r="S330" s="41" t="e">
        <f>VLOOKUP($B330,'25년 12월 출석표'!$B$2:$BQ$497,30,0)/5</f>
        <v>#N/A</v>
      </c>
      <c r="T330" s="40"/>
      <c r="U330" s="41" t="e">
        <f>VLOOKUP($B330,'25년 12월 출석표'!$B$2:$BQ$497,44,0)/5</f>
        <v>#N/A</v>
      </c>
      <c r="V330" s="40"/>
      <c r="W330" s="41" t="e">
        <f>VLOOKUP($B330,'25년 12월 출석표'!$B$2:$BQ$497,58,0)/5</f>
        <v>#N/A</v>
      </c>
      <c r="X330" s="42"/>
      <c r="Y330" s="41" t="e">
        <f>VLOOKUP($B330,'25년 12월 출석표'!$B$2:$BQ$503,66,0)/5</f>
        <v>#N/A</v>
      </c>
      <c r="Z330" s="43"/>
    </row>
    <row r="331" spans="1:26">
      <c r="A331" s="29"/>
      <c r="B331" s="164"/>
      <c r="C331" s="164"/>
      <c r="D331" s="177"/>
      <c r="E331" s="178"/>
      <c r="F331" s="180"/>
      <c r="G331" s="180"/>
      <c r="H331" s="180"/>
      <c r="I331" s="34" t="e">
        <f>VLOOKUP(B331,'25년 12월 출석표'!$B$7:$D$509,3,0)</f>
        <v>#N/A</v>
      </c>
      <c r="J331" s="35" t="e">
        <f t="shared" ca="1" si="0"/>
        <v>#NAME?</v>
      </c>
      <c r="K331" s="36" t="str">
        <f t="shared" si="3"/>
        <v/>
      </c>
      <c r="L331" s="37" t="str">
        <f t="shared" si="4"/>
        <v/>
      </c>
      <c r="M331" s="30"/>
      <c r="N331" s="38" t="b">
        <v>0</v>
      </c>
      <c r="O331" s="38" t="b">
        <v>0</v>
      </c>
      <c r="P331" s="38" t="b">
        <v>0</v>
      </c>
      <c r="Q331" s="39" t="e">
        <f>VLOOKUP($B331,'25년 12월 출석표'!$B$2:$BQ$497,16,0)/5</f>
        <v>#N/A</v>
      </c>
      <c r="R331" s="40"/>
      <c r="S331" s="41" t="e">
        <f>VLOOKUP($B331,'25년 12월 출석표'!$B$2:$BQ$497,30,0)/5</f>
        <v>#N/A</v>
      </c>
      <c r="T331" s="40"/>
      <c r="U331" s="41" t="e">
        <f>VLOOKUP($B331,'25년 12월 출석표'!$B$2:$BQ$497,44,0)/5</f>
        <v>#N/A</v>
      </c>
      <c r="V331" s="40"/>
      <c r="W331" s="41" t="e">
        <f>VLOOKUP($B331,'25년 12월 출석표'!$B$2:$BQ$497,58,0)/5</f>
        <v>#N/A</v>
      </c>
      <c r="X331" s="42"/>
      <c r="Y331" s="41" t="e">
        <f>VLOOKUP($B331,'25년 12월 출석표'!$B$2:$BQ$503,66,0)/5</f>
        <v>#N/A</v>
      </c>
      <c r="Z331" s="43"/>
    </row>
    <row r="332" spans="1:26">
      <c r="A332" s="29"/>
      <c r="B332" s="164"/>
      <c r="C332" s="164"/>
      <c r="D332" s="177"/>
      <c r="E332" s="178"/>
      <c r="F332" s="180"/>
      <c r="G332" s="180"/>
      <c r="H332" s="180"/>
      <c r="I332" s="34" t="e">
        <f>VLOOKUP(B332,'25년 12월 출석표'!$B$7:$D$509,3,0)</f>
        <v>#N/A</v>
      </c>
      <c r="J332" s="35" t="e">
        <f t="shared" ca="1" si="0"/>
        <v>#NAME?</v>
      </c>
      <c r="K332" s="36" t="str">
        <f t="shared" si="3"/>
        <v/>
      </c>
      <c r="L332" s="37" t="str">
        <f t="shared" si="4"/>
        <v/>
      </c>
      <c r="M332" s="30"/>
      <c r="N332" s="38" t="b">
        <v>0</v>
      </c>
      <c r="O332" s="38" t="b">
        <v>0</v>
      </c>
      <c r="P332" s="38" t="b">
        <v>0</v>
      </c>
      <c r="Q332" s="39" t="e">
        <f>VLOOKUP($B332,'25년 12월 출석표'!$B$2:$BQ$497,16,0)/5</f>
        <v>#N/A</v>
      </c>
      <c r="R332" s="40"/>
      <c r="S332" s="41" t="e">
        <f>VLOOKUP($B332,'25년 12월 출석표'!$B$2:$BQ$497,30,0)/5</f>
        <v>#N/A</v>
      </c>
      <c r="T332" s="40"/>
      <c r="U332" s="41" t="e">
        <f>VLOOKUP($B332,'25년 12월 출석표'!$B$2:$BQ$497,44,0)/5</f>
        <v>#N/A</v>
      </c>
      <c r="V332" s="40"/>
      <c r="W332" s="41" t="e">
        <f>VLOOKUP($B332,'25년 12월 출석표'!$B$2:$BQ$497,58,0)/5</f>
        <v>#N/A</v>
      </c>
      <c r="X332" s="42"/>
      <c r="Y332" s="41" t="e">
        <f>VLOOKUP($B332,'25년 12월 출석표'!$B$2:$BQ$503,66,0)/5</f>
        <v>#N/A</v>
      </c>
      <c r="Z332" s="43"/>
    </row>
    <row r="333" spans="1:26">
      <c r="A333" s="29"/>
      <c r="B333" s="164"/>
      <c r="C333" s="164"/>
      <c r="D333" s="177"/>
      <c r="E333" s="178"/>
      <c r="F333" s="180"/>
      <c r="G333" s="180"/>
      <c r="H333" s="180"/>
      <c r="I333" s="34" t="e">
        <f>VLOOKUP(B333,'25년 12월 출석표'!$B$7:$D$509,3,0)</f>
        <v>#N/A</v>
      </c>
      <c r="J333" s="35" t="e">
        <f t="shared" ca="1" si="0"/>
        <v>#NAME?</v>
      </c>
      <c r="K333" s="36" t="str">
        <f t="shared" si="3"/>
        <v/>
      </c>
      <c r="L333" s="37" t="str">
        <f t="shared" si="4"/>
        <v/>
      </c>
      <c r="M333" s="30"/>
      <c r="N333" s="38" t="b">
        <v>0</v>
      </c>
      <c r="O333" s="38" t="b">
        <v>0</v>
      </c>
      <c r="P333" s="38" t="b">
        <v>0</v>
      </c>
      <c r="Q333" s="39" t="e">
        <f>VLOOKUP($B333,'25년 12월 출석표'!$B$2:$BQ$497,16,0)/5</f>
        <v>#N/A</v>
      </c>
      <c r="R333" s="40"/>
      <c r="S333" s="41" t="e">
        <f>VLOOKUP($B333,'25년 12월 출석표'!$B$2:$BQ$497,30,0)/5</f>
        <v>#N/A</v>
      </c>
      <c r="T333" s="40"/>
      <c r="U333" s="41" t="e">
        <f>VLOOKUP($B333,'25년 12월 출석표'!$B$2:$BQ$497,44,0)/5</f>
        <v>#N/A</v>
      </c>
      <c r="V333" s="40"/>
      <c r="W333" s="41" t="e">
        <f>VLOOKUP($B333,'25년 12월 출석표'!$B$2:$BQ$497,58,0)/5</f>
        <v>#N/A</v>
      </c>
      <c r="X333" s="42"/>
      <c r="Y333" s="41" t="e">
        <f>VLOOKUP($B333,'25년 12월 출석표'!$B$2:$BQ$503,66,0)/5</f>
        <v>#N/A</v>
      </c>
      <c r="Z333" s="43"/>
    </row>
    <row r="334" spans="1:26">
      <c r="A334" s="29"/>
      <c r="B334" s="164"/>
      <c r="C334" s="164"/>
      <c r="D334" s="177"/>
      <c r="E334" s="178"/>
      <c r="F334" s="180"/>
      <c r="G334" s="180"/>
      <c r="H334" s="180"/>
      <c r="I334" s="34" t="e">
        <f>VLOOKUP(B334,'25년 12월 출석표'!$B$7:$D$509,3,0)</f>
        <v>#N/A</v>
      </c>
      <c r="J334" s="35" t="e">
        <f t="shared" ca="1" si="0"/>
        <v>#NAME?</v>
      </c>
      <c r="K334" s="36" t="str">
        <f t="shared" si="3"/>
        <v/>
      </c>
      <c r="L334" s="37" t="str">
        <f t="shared" si="4"/>
        <v/>
      </c>
      <c r="M334" s="30"/>
      <c r="N334" s="38" t="b">
        <v>0</v>
      </c>
      <c r="O334" s="38" t="b">
        <v>0</v>
      </c>
      <c r="P334" s="38" t="b">
        <v>0</v>
      </c>
      <c r="Q334" s="39" t="e">
        <f>VLOOKUP($B334,'25년 12월 출석표'!$B$2:$BQ$497,16,0)/5</f>
        <v>#N/A</v>
      </c>
      <c r="R334" s="40"/>
      <c r="S334" s="41" t="e">
        <f>VLOOKUP($B334,'25년 12월 출석표'!$B$2:$BQ$497,30,0)/5</f>
        <v>#N/A</v>
      </c>
      <c r="T334" s="40"/>
      <c r="U334" s="41" t="e">
        <f>VLOOKUP($B334,'25년 12월 출석표'!$B$2:$BQ$497,44,0)/5</f>
        <v>#N/A</v>
      </c>
      <c r="V334" s="40"/>
      <c r="W334" s="41" t="e">
        <f>VLOOKUP($B334,'25년 12월 출석표'!$B$2:$BQ$497,58,0)/5</f>
        <v>#N/A</v>
      </c>
      <c r="X334" s="42"/>
      <c r="Y334" s="41" t="e">
        <f>VLOOKUP($B334,'25년 12월 출석표'!$B$2:$BQ$503,66,0)/5</f>
        <v>#N/A</v>
      </c>
      <c r="Z334" s="43"/>
    </row>
    <row r="335" spans="1:26">
      <c r="A335" s="29"/>
      <c r="B335" s="164"/>
      <c r="C335" s="164"/>
      <c r="D335" s="177"/>
      <c r="E335" s="178"/>
      <c r="F335" s="180"/>
      <c r="G335" s="180"/>
      <c r="H335" s="180"/>
      <c r="I335" s="34" t="e">
        <f>VLOOKUP(B335,'25년 12월 출석표'!$B$7:$D$509,3,0)</f>
        <v>#N/A</v>
      </c>
      <c r="J335" s="35" t="e">
        <f t="shared" ca="1" si="0"/>
        <v>#NAME?</v>
      </c>
      <c r="K335" s="36" t="str">
        <f t="shared" si="3"/>
        <v/>
      </c>
      <c r="L335" s="37" t="str">
        <f t="shared" si="4"/>
        <v/>
      </c>
      <c r="M335" s="30"/>
      <c r="N335" s="38" t="b">
        <v>0</v>
      </c>
      <c r="O335" s="38" t="b">
        <v>0</v>
      </c>
      <c r="P335" s="38" t="b">
        <v>0</v>
      </c>
      <c r="Q335" s="39" t="e">
        <f>VLOOKUP($B335,'25년 12월 출석표'!$B$2:$BQ$497,16,0)/5</f>
        <v>#N/A</v>
      </c>
      <c r="R335" s="40"/>
      <c r="S335" s="41" t="e">
        <f>VLOOKUP($B335,'25년 12월 출석표'!$B$2:$BQ$497,30,0)/5</f>
        <v>#N/A</v>
      </c>
      <c r="T335" s="40"/>
      <c r="U335" s="41" t="e">
        <f>VLOOKUP($B335,'25년 12월 출석표'!$B$2:$BQ$497,44,0)/5</f>
        <v>#N/A</v>
      </c>
      <c r="V335" s="40"/>
      <c r="W335" s="41" t="e">
        <f>VLOOKUP($B335,'25년 12월 출석표'!$B$2:$BQ$497,58,0)/5</f>
        <v>#N/A</v>
      </c>
      <c r="X335" s="42"/>
      <c r="Y335" s="41" t="e">
        <f>VLOOKUP($B335,'25년 12월 출석표'!$B$2:$BQ$503,66,0)/5</f>
        <v>#N/A</v>
      </c>
      <c r="Z335" s="43"/>
    </row>
    <row r="336" spans="1:26">
      <c r="A336" s="29"/>
      <c r="B336" s="164"/>
      <c r="C336" s="164"/>
      <c r="D336" s="177"/>
      <c r="E336" s="178"/>
      <c r="F336" s="180"/>
      <c r="G336" s="180"/>
      <c r="H336" s="180"/>
      <c r="I336" s="34" t="e">
        <f>VLOOKUP(B336,'25년 12월 출석표'!$B$7:$D$509,3,0)</f>
        <v>#N/A</v>
      </c>
      <c r="J336" s="35" t="e">
        <f t="shared" ca="1" si="0"/>
        <v>#NAME?</v>
      </c>
      <c r="K336" s="36" t="str">
        <f t="shared" si="3"/>
        <v/>
      </c>
      <c r="L336" s="37" t="str">
        <f t="shared" si="4"/>
        <v/>
      </c>
      <c r="M336" s="30"/>
      <c r="N336" s="38" t="b">
        <v>0</v>
      </c>
      <c r="O336" s="38" t="b">
        <v>0</v>
      </c>
      <c r="P336" s="38" t="b">
        <v>0</v>
      </c>
      <c r="Q336" s="39" t="e">
        <f>VLOOKUP($B336,'25년 12월 출석표'!$B$2:$BQ$497,16,0)/5</f>
        <v>#N/A</v>
      </c>
      <c r="R336" s="40"/>
      <c r="S336" s="41" t="e">
        <f>VLOOKUP($B336,'25년 12월 출석표'!$B$2:$BQ$497,30,0)/5</f>
        <v>#N/A</v>
      </c>
      <c r="T336" s="40"/>
      <c r="U336" s="41" t="e">
        <f>VLOOKUP($B336,'25년 12월 출석표'!$B$2:$BQ$497,44,0)/5</f>
        <v>#N/A</v>
      </c>
      <c r="V336" s="40"/>
      <c r="W336" s="41" t="e">
        <f>VLOOKUP($B336,'25년 12월 출석표'!$B$2:$BQ$497,58,0)/5</f>
        <v>#N/A</v>
      </c>
      <c r="X336" s="42"/>
      <c r="Y336" s="41" t="e">
        <f>VLOOKUP($B336,'25년 12월 출석표'!$B$2:$BQ$503,66,0)/5</f>
        <v>#N/A</v>
      </c>
      <c r="Z336" s="43"/>
    </row>
    <row r="337" spans="1:26">
      <c r="A337" s="29"/>
      <c r="B337" s="164"/>
      <c r="C337" s="164"/>
      <c r="D337" s="177"/>
      <c r="E337" s="178"/>
      <c r="F337" s="180"/>
      <c r="G337" s="180"/>
      <c r="H337" s="180"/>
      <c r="I337" s="34" t="e">
        <f>VLOOKUP(B337,'25년 12월 출석표'!$B$7:$D$509,3,0)</f>
        <v>#N/A</v>
      </c>
      <c r="J337" s="35" t="e">
        <f t="shared" ca="1" si="0"/>
        <v>#NAME?</v>
      </c>
      <c r="K337" s="36" t="str">
        <f t="shared" si="3"/>
        <v/>
      </c>
      <c r="L337" s="37" t="str">
        <f t="shared" si="4"/>
        <v/>
      </c>
      <c r="M337" s="30"/>
      <c r="N337" s="38" t="b">
        <v>0</v>
      </c>
      <c r="O337" s="38" t="b">
        <v>0</v>
      </c>
      <c r="P337" s="38" t="b">
        <v>0</v>
      </c>
      <c r="Q337" s="39" t="e">
        <f>VLOOKUP($B337,'25년 12월 출석표'!$B$2:$BQ$497,16,0)/5</f>
        <v>#N/A</v>
      </c>
      <c r="R337" s="40"/>
      <c r="S337" s="41" t="e">
        <f>VLOOKUP($B337,'25년 12월 출석표'!$B$2:$BQ$497,30,0)/5</f>
        <v>#N/A</v>
      </c>
      <c r="T337" s="40"/>
      <c r="U337" s="41" t="e">
        <f>VLOOKUP($B337,'25년 12월 출석표'!$B$2:$BQ$497,44,0)/5</f>
        <v>#N/A</v>
      </c>
      <c r="V337" s="40"/>
      <c r="W337" s="41" t="e">
        <f>VLOOKUP($B337,'25년 12월 출석표'!$B$2:$BQ$497,58,0)/5</f>
        <v>#N/A</v>
      </c>
      <c r="X337" s="42"/>
      <c r="Y337" s="41" t="e">
        <f>VLOOKUP($B337,'25년 12월 출석표'!$B$2:$BQ$503,66,0)/5</f>
        <v>#N/A</v>
      </c>
      <c r="Z337" s="43"/>
    </row>
    <row r="338" spans="1:26">
      <c r="A338" s="29"/>
      <c r="B338" s="164"/>
      <c r="C338" s="164"/>
      <c r="D338" s="177"/>
      <c r="E338" s="178"/>
      <c r="F338" s="180"/>
      <c r="G338" s="180"/>
      <c r="H338" s="180"/>
      <c r="I338" s="34" t="e">
        <f>VLOOKUP(B338,'25년 12월 출석표'!$B$7:$D$509,3,0)</f>
        <v>#N/A</v>
      </c>
      <c r="J338" s="35" t="e">
        <f t="shared" ca="1" si="0"/>
        <v>#NAME?</v>
      </c>
      <c r="K338" s="36" t="str">
        <f t="shared" si="3"/>
        <v/>
      </c>
      <c r="L338" s="37" t="str">
        <f t="shared" si="4"/>
        <v/>
      </c>
      <c r="M338" s="30"/>
      <c r="N338" s="38" t="b">
        <v>0</v>
      </c>
      <c r="O338" s="38" t="b">
        <v>0</v>
      </c>
      <c r="P338" s="38" t="b">
        <v>0</v>
      </c>
      <c r="Q338" s="39" t="e">
        <f>VLOOKUP($B338,'25년 12월 출석표'!$B$2:$BQ$497,16,0)/5</f>
        <v>#N/A</v>
      </c>
      <c r="R338" s="40"/>
      <c r="S338" s="41" t="e">
        <f>VLOOKUP($B338,'25년 12월 출석표'!$B$2:$BQ$497,30,0)/5</f>
        <v>#N/A</v>
      </c>
      <c r="T338" s="40"/>
      <c r="U338" s="41" t="e">
        <f>VLOOKUP($B338,'25년 12월 출석표'!$B$2:$BQ$497,44,0)/5</f>
        <v>#N/A</v>
      </c>
      <c r="V338" s="40"/>
      <c r="W338" s="41" t="e">
        <f>VLOOKUP($B338,'25년 12월 출석표'!$B$2:$BQ$497,58,0)/5</f>
        <v>#N/A</v>
      </c>
      <c r="X338" s="42"/>
      <c r="Y338" s="41" t="e">
        <f>VLOOKUP($B338,'25년 12월 출석표'!$B$2:$BQ$503,66,0)/5</f>
        <v>#N/A</v>
      </c>
      <c r="Z338" s="43"/>
    </row>
    <row r="339" spans="1:26">
      <c r="A339" s="29"/>
      <c r="B339" s="164"/>
      <c r="C339" s="164"/>
      <c r="D339" s="177"/>
      <c r="E339" s="178"/>
      <c r="F339" s="180"/>
      <c r="G339" s="180"/>
      <c r="H339" s="180"/>
      <c r="I339" s="34" t="e">
        <f>VLOOKUP(B339,'25년 12월 출석표'!$B$7:$D$509,3,0)</f>
        <v>#N/A</v>
      </c>
      <c r="J339" s="35" t="e">
        <f t="shared" ca="1" si="0"/>
        <v>#NAME?</v>
      </c>
      <c r="K339" s="36" t="str">
        <f t="shared" si="3"/>
        <v/>
      </c>
      <c r="L339" s="37" t="str">
        <f t="shared" si="4"/>
        <v/>
      </c>
      <c r="M339" s="30"/>
      <c r="N339" s="38" t="b">
        <v>0</v>
      </c>
      <c r="O339" s="38" t="b">
        <v>0</v>
      </c>
      <c r="P339" s="38" t="b">
        <v>0</v>
      </c>
      <c r="Q339" s="39" t="e">
        <f>VLOOKUP($B339,'25년 12월 출석표'!$B$2:$BQ$497,16,0)/5</f>
        <v>#N/A</v>
      </c>
      <c r="R339" s="40"/>
      <c r="S339" s="41" t="e">
        <f>VLOOKUP($B339,'25년 12월 출석표'!$B$2:$BQ$497,30,0)/5</f>
        <v>#N/A</v>
      </c>
      <c r="T339" s="40"/>
      <c r="U339" s="41" t="e">
        <f>VLOOKUP($B339,'25년 12월 출석표'!$B$2:$BQ$497,44,0)/5</f>
        <v>#N/A</v>
      </c>
      <c r="V339" s="40"/>
      <c r="W339" s="41" t="e">
        <f>VLOOKUP($B339,'25년 12월 출석표'!$B$2:$BQ$497,58,0)/5</f>
        <v>#N/A</v>
      </c>
      <c r="X339" s="42"/>
      <c r="Y339" s="41" t="e">
        <f>VLOOKUP($B339,'25년 12월 출석표'!$B$2:$BQ$503,66,0)/5</f>
        <v>#N/A</v>
      </c>
      <c r="Z339" s="43"/>
    </row>
    <row r="340" spans="1:26">
      <c r="A340" s="29"/>
      <c r="B340" s="164"/>
      <c r="C340" s="164"/>
      <c r="D340" s="177"/>
      <c r="E340" s="178"/>
      <c r="F340" s="180"/>
      <c r="G340" s="180"/>
      <c r="H340" s="180"/>
      <c r="I340" s="34" t="e">
        <f>VLOOKUP(B340,'25년 12월 출석표'!$B$7:$D$509,3,0)</f>
        <v>#N/A</v>
      </c>
      <c r="J340" s="35" t="e">
        <f t="shared" ca="1" si="0"/>
        <v>#NAME?</v>
      </c>
      <c r="K340" s="36" t="str">
        <f t="shared" si="3"/>
        <v/>
      </c>
      <c r="L340" s="37" t="str">
        <f t="shared" si="4"/>
        <v/>
      </c>
      <c r="M340" s="30"/>
      <c r="N340" s="38" t="b">
        <v>0</v>
      </c>
      <c r="O340" s="38" t="b">
        <v>0</v>
      </c>
      <c r="P340" s="38" t="b">
        <v>0</v>
      </c>
      <c r="Q340" s="39" t="e">
        <f>VLOOKUP($B340,'25년 12월 출석표'!$B$2:$BQ$497,16,0)/5</f>
        <v>#N/A</v>
      </c>
      <c r="R340" s="40"/>
      <c r="S340" s="41" t="e">
        <f>VLOOKUP($B340,'25년 12월 출석표'!$B$2:$BQ$497,30,0)/5</f>
        <v>#N/A</v>
      </c>
      <c r="T340" s="40"/>
      <c r="U340" s="41" t="e">
        <f>VLOOKUP($B340,'25년 12월 출석표'!$B$2:$BQ$497,44,0)/5</f>
        <v>#N/A</v>
      </c>
      <c r="V340" s="40"/>
      <c r="W340" s="41" t="e">
        <f>VLOOKUP($B340,'25년 12월 출석표'!$B$2:$BQ$497,58,0)/5</f>
        <v>#N/A</v>
      </c>
      <c r="X340" s="42"/>
      <c r="Y340" s="41" t="e">
        <f>VLOOKUP($B340,'25년 12월 출석표'!$B$2:$BQ$503,66,0)/5</f>
        <v>#N/A</v>
      </c>
      <c r="Z340" s="43"/>
    </row>
    <row r="341" spans="1:26">
      <c r="A341" s="29"/>
      <c r="B341" s="164"/>
      <c r="C341" s="164"/>
      <c r="D341" s="177"/>
      <c r="E341" s="178"/>
      <c r="F341" s="180"/>
      <c r="G341" s="180"/>
      <c r="H341" s="180"/>
      <c r="I341" s="34" t="e">
        <f>VLOOKUP(B341,'25년 12월 출석표'!$B$7:$D$509,3,0)</f>
        <v>#N/A</v>
      </c>
      <c r="J341" s="35" t="e">
        <f t="shared" ca="1" si="0"/>
        <v>#NAME?</v>
      </c>
      <c r="K341" s="36" t="str">
        <f t="shared" si="3"/>
        <v/>
      </c>
      <c r="L341" s="37" t="str">
        <f t="shared" si="4"/>
        <v/>
      </c>
      <c r="M341" s="30"/>
      <c r="N341" s="38" t="b">
        <v>0</v>
      </c>
      <c r="O341" s="38" t="b">
        <v>0</v>
      </c>
      <c r="P341" s="38" t="b">
        <v>0</v>
      </c>
      <c r="Q341" s="39" t="e">
        <f>VLOOKUP($B341,'25년 12월 출석표'!$B$2:$BQ$497,16,0)/5</f>
        <v>#N/A</v>
      </c>
      <c r="R341" s="40"/>
      <c r="S341" s="41" t="e">
        <f>VLOOKUP($B341,'25년 12월 출석표'!$B$2:$BQ$497,30,0)/5</f>
        <v>#N/A</v>
      </c>
      <c r="T341" s="40"/>
      <c r="U341" s="41" t="e">
        <f>VLOOKUP($B341,'25년 12월 출석표'!$B$2:$BQ$497,44,0)/5</f>
        <v>#N/A</v>
      </c>
      <c r="V341" s="40"/>
      <c r="W341" s="41" t="e">
        <f>VLOOKUP($B341,'25년 12월 출석표'!$B$2:$BQ$497,58,0)/5</f>
        <v>#N/A</v>
      </c>
      <c r="X341" s="42"/>
      <c r="Y341" s="41" t="e">
        <f>VLOOKUP($B341,'25년 12월 출석표'!$B$2:$BQ$503,66,0)/5</f>
        <v>#N/A</v>
      </c>
      <c r="Z341" s="43"/>
    </row>
    <row r="342" spans="1:26">
      <c r="A342" s="29"/>
      <c r="B342" s="164"/>
      <c r="C342" s="164"/>
      <c r="D342" s="177"/>
      <c r="E342" s="178"/>
      <c r="F342" s="180"/>
      <c r="G342" s="180"/>
      <c r="H342" s="180"/>
      <c r="I342" s="34" t="e">
        <f>VLOOKUP(B342,'25년 12월 출석표'!$B$7:$D$509,3,0)</f>
        <v>#N/A</v>
      </c>
      <c r="J342" s="35" t="e">
        <f t="shared" ca="1" si="0"/>
        <v>#NAME?</v>
      </c>
      <c r="K342" s="36" t="str">
        <f t="shared" si="3"/>
        <v/>
      </c>
      <c r="L342" s="37" t="str">
        <f t="shared" si="4"/>
        <v/>
      </c>
      <c r="M342" s="30"/>
      <c r="N342" s="38" t="b">
        <v>0</v>
      </c>
      <c r="O342" s="38" t="b">
        <v>0</v>
      </c>
      <c r="P342" s="38" t="b">
        <v>0</v>
      </c>
      <c r="Q342" s="39" t="e">
        <f>VLOOKUP($B342,'25년 12월 출석표'!$B$2:$BQ$497,16,0)/5</f>
        <v>#N/A</v>
      </c>
      <c r="R342" s="40"/>
      <c r="S342" s="41" t="e">
        <f>VLOOKUP($B342,'25년 12월 출석표'!$B$2:$BQ$497,30,0)/5</f>
        <v>#N/A</v>
      </c>
      <c r="T342" s="40"/>
      <c r="U342" s="41" t="e">
        <f>VLOOKUP($B342,'25년 12월 출석표'!$B$2:$BQ$497,44,0)/5</f>
        <v>#N/A</v>
      </c>
      <c r="V342" s="40"/>
      <c r="W342" s="41" t="e">
        <f>VLOOKUP($B342,'25년 12월 출석표'!$B$2:$BQ$497,58,0)/5</f>
        <v>#N/A</v>
      </c>
      <c r="X342" s="42"/>
      <c r="Y342" s="41" t="e">
        <f>VLOOKUP($B342,'25년 12월 출석표'!$B$2:$BQ$503,66,0)/5</f>
        <v>#N/A</v>
      </c>
      <c r="Z342" s="43"/>
    </row>
    <row r="343" spans="1:26">
      <c r="A343" s="29"/>
      <c r="B343" s="164"/>
      <c r="C343" s="164"/>
      <c r="D343" s="177"/>
      <c r="E343" s="178"/>
      <c r="F343" s="180"/>
      <c r="G343" s="180"/>
      <c r="H343" s="180"/>
      <c r="I343" s="34" t="e">
        <f>VLOOKUP(B343,'25년 12월 출석표'!$B$7:$D$509,3,0)</f>
        <v>#N/A</v>
      </c>
      <c r="J343" s="35" t="e">
        <f t="shared" ca="1" si="0"/>
        <v>#NAME?</v>
      </c>
      <c r="K343" s="36" t="str">
        <f t="shared" si="3"/>
        <v/>
      </c>
      <c r="L343" s="37" t="str">
        <f t="shared" si="4"/>
        <v/>
      </c>
      <c r="M343" s="30"/>
      <c r="N343" s="38" t="b">
        <v>0</v>
      </c>
      <c r="O343" s="38" t="b">
        <v>0</v>
      </c>
      <c r="P343" s="38" t="b">
        <v>0</v>
      </c>
      <c r="Q343" s="39" t="e">
        <f>VLOOKUP($B343,'25년 12월 출석표'!$B$2:$BQ$497,16,0)/5</f>
        <v>#N/A</v>
      </c>
      <c r="R343" s="40"/>
      <c r="S343" s="41" t="e">
        <f>VLOOKUP($B343,'25년 12월 출석표'!$B$2:$BQ$497,30,0)/5</f>
        <v>#N/A</v>
      </c>
      <c r="T343" s="40"/>
      <c r="U343" s="41" t="e">
        <f>VLOOKUP($B343,'25년 12월 출석표'!$B$2:$BQ$497,44,0)/5</f>
        <v>#N/A</v>
      </c>
      <c r="V343" s="40"/>
      <c r="W343" s="41" t="e">
        <f>VLOOKUP($B343,'25년 12월 출석표'!$B$2:$BQ$497,58,0)/5</f>
        <v>#N/A</v>
      </c>
      <c r="X343" s="42"/>
      <c r="Y343" s="41" t="e">
        <f>VLOOKUP($B343,'25년 12월 출석표'!$B$2:$BQ$503,66,0)/5</f>
        <v>#N/A</v>
      </c>
      <c r="Z343" s="43"/>
    </row>
    <row r="344" spans="1:26">
      <c r="A344" s="29"/>
      <c r="B344" s="164"/>
      <c r="C344" s="164"/>
      <c r="D344" s="177"/>
      <c r="E344" s="178"/>
      <c r="F344" s="180"/>
      <c r="G344" s="180"/>
      <c r="H344" s="180"/>
      <c r="I344" s="34" t="e">
        <f>VLOOKUP(B344,'25년 12월 출석표'!$B$7:$D$509,3,0)</f>
        <v>#N/A</v>
      </c>
      <c r="J344" s="35" t="e">
        <f t="shared" ca="1" si="0"/>
        <v>#NAME?</v>
      </c>
      <c r="K344" s="36" t="str">
        <f t="shared" si="3"/>
        <v/>
      </c>
      <c r="L344" s="37" t="str">
        <f t="shared" si="4"/>
        <v/>
      </c>
      <c r="M344" s="30"/>
      <c r="N344" s="38" t="b">
        <v>0</v>
      </c>
      <c r="O344" s="38" t="b">
        <v>0</v>
      </c>
      <c r="P344" s="38" t="b">
        <v>0</v>
      </c>
      <c r="Q344" s="39" t="e">
        <f>VLOOKUP($B344,'25년 12월 출석표'!$B$2:$BQ$497,16,0)/5</f>
        <v>#N/A</v>
      </c>
      <c r="R344" s="40"/>
      <c r="S344" s="41" t="e">
        <f>VLOOKUP($B344,'25년 12월 출석표'!$B$2:$BQ$497,30,0)/5</f>
        <v>#N/A</v>
      </c>
      <c r="T344" s="40"/>
      <c r="U344" s="41" t="e">
        <f>VLOOKUP($B344,'25년 12월 출석표'!$B$2:$BQ$497,44,0)/5</f>
        <v>#N/A</v>
      </c>
      <c r="V344" s="40"/>
      <c r="W344" s="41" t="e">
        <f>VLOOKUP($B344,'25년 12월 출석표'!$B$2:$BQ$497,58,0)/5</f>
        <v>#N/A</v>
      </c>
      <c r="X344" s="42"/>
      <c r="Y344" s="41" t="e">
        <f>VLOOKUP($B344,'25년 12월 출석표'!$B$2:$BQ$503,66,0)/5</f>
        <v>#N/A</v>
      </c>
      <c r="Z344" s="43"/>
    </row>
    <row r="345" spans="1:26">
      <c r="A345" s="29"/>
      <c r="B345" s="164"/>
      <c r="C345" s="164"/>
      <c r="D345" s="177"/>
      <c r="E345" s="178"/>
      <c r="F345" s="180"/>
      <c r="G345" s="180"/>
      <c r="H345" s="180"/>
      <c r="I345" s="34" t="e">
        <f>VLOOKUP(B345,'25년 12월 출석표'!$B$7:$D$509,3,0)</f>
        <v>#N/A</v>
      </c>
      <c r="J345" s="35" t="e">
        <f t="shared" ca="1" si="0"/>
        <v>#NAME?</v>
      </c>
      <c r="K345" s="36" t="str">
        <f t="shared" si="3"/>
        <v/>
      </c>
      <c r="L345" s="37" t="str">
        <f t="shared" si="4"/>
        <v/>
      </c>
      <c r="M345" s="30"/>
      <c r="N345" s="38" t="b">
        <v>0</v>
      </c>
      <c r="O345" s="38" t="b">
        <v>0</v>
      </c>
      <c r="P345" s="38" t="b">
        <v>0</v>
      </c>
      <c r="Q345" s="39" t="e">
        <f>VLOOKUP($B345,'25년 12월 출석표'!$B$2:$BQ$497,16,0)/5</f>
        <v>#N/A</v>
      </c>
      <c r="R345" s="40"/>
      <c r="S345" s="41" t="e">
        <f>VLOOKUP($B345,'25년 12월 출석표'!$B$2:$BQ$497,30,0)/5</f>
        <v>#N/A</v>
      </c>
      <c r="T345" s="40"/>
      <c r="U345" s="41" t="e">
        <f>VLOOKUP($B345,'25년 12월 출석표'!$B$2:$BQ$497,44,0)/5</f>
        <v>#N/A</v>
      </c>
      <c r="V345" s="40"/>
      <c r="W345" s="41" t="e">
        <f>VLOOKUP($B345,'25년 12월 출석표'!$B$2:$BQ$497,58,0)/5</f>
        <v>#N/A</v>
      </c>
      <c r="X345" s="42"/>
      <c r="Y345" s="41" t="e">
        <f>VLOOKUP($B345,'25년 12월 출석표'!$B$2:$BQ$503,66,0)/5</f>
        <v>#N/A</v>
      </c>
      <c r="Z345" s="43"/>
    </row>
    <row r="346" spans="1:26">
      <c r="A346" s="29"/>
      <c r="B346" s="164"/>
      <c r="C346" s="164"/>
      <c r="D346" s="177"/>
      <c r="E346" s="178"/>
      <c r="F346" s="180"/>
      <c r="G346" s="180"/>
      <c r="H346" s="180"/>
      <c r="I346" s="34" t="e">
        <f>VLOOKUP(B346,'25년 12월 출석표'!$B$7:$D$509,3,0)</f>
        <v>#N/A</v>
      </c>
      <c r="J346" s="35" t="e">
        <f t="shared" ca="1" si="0"/>
        <v>#NAME?</v>
      </c>
      <c r="K346" s="36" t="str">
        <f t="shared" si="3"/>
        <v/>
      </c>
      <c r="L346" s="37" t="str">
        <f t="shared" si="4"/>
        <v/>
      </c>
      <c r="M346" s="30"/>
      <c r="N346" s="38" t="b">
        <v>0</v>
      </c>
      <c r="O346" s="38" t="b">
        <v>0</v>
      </c>
      <c r="P346" s="38" t="b">
        <v>0</v>
      </c>
      <c r="Q346" s="39" t="e">
        <f>VLOOKUP($B346,'25년 12월 출석표'!$B$2:$BQ$497,16,0)/5</f>
        <v>#N/A</v>
      </c>
      <c r="R346" s="40"/>
      <c r="S346" s="41" t="e">
        <f>VLOOKUP($B346,'25년 12월 출석표'!$B$2:$BQ$497,30,0)/5</f>
        <v>#N/A</v>
      </c>
      <c r="T346" s="40"/>
      <c r="U346" s="41" t="e">
        <f>VLOOKUP($B346,'25년 12월 출석표'!$B$2:$BQ$497,44,0)/5</f>
        <v>#N/A</v>
      </c>
      <c r="V346" s="40"/>
      <c r="W346" s="41" t="e">
        <f>VLOOKUP($B346,'25년 12월 출석표'!$B$2:$BQ$497,58,0)/5</f>
        <v>#N/A</v>
      </c>
      <c r="X346" s="42"/>
      <c r="Y346" s="41" t="e">
        <f>VLOOKUP($B346,'25년 12월 출석표'!$B$2:$BQ$503,66,0)/5</f>
        <v>#N/A</v>
      </c>
      <c r="Z346" s="43"/>
    </row>
    <row r="347" spans="1:26">
      <c r="A347" s="29"/>
      <c r="B347" s="164"/>
      <c r="C347" s="164"/>
      <c r="D347" s="177"/>
      <c r="E347" s="178"/>
      <c r="F347" s="180"/>
      <c r="G347" s="180"/>
      <c r="H347" s="180"/>
      <c r="I347" s="34" t="e">
        <f>VLOOKUP(B347,'25년 12월 출석표'!$B$7:$D$509,3,0)</f>
        <v>#N/A</v>
      </c>
      <c r="J347" s="35" t="e">
        <f t="shared" ca="1" si="0"/>
        <v>#NAME?</v>
      </c>
      <c r="K347" s="36" t="str">
        <f t="shared" si="3"/>
        <v/>
      </c>
      <c r="L347" s="37" t="str">
        <f t="shared" si="4"/>
        <v/>
      </c>
      <c r="M347" s="30"/>
      <c r="N347" s="38" t="b">
        <v>0</v>
      </c>
      <c r="O347" s="38" t="b">
        <v>0</v>
      </c>
      <c r="P347" s="38" t="b">
        <v>0</v>
      </c>
      <c r="Q347" s="39" t="e">
        <f>VLOOKUP($B347,'25년 12월 출석표'!$B$2:$BQ$497,16,0)/5</f>
        <v>#N/A</v>
      </c>
      <c r="R347" s="40"/>
      <c r="S347" s="41" t="e">
        <f>VLOOKUP($B347,'25년 12월 출석표'!$B$2:$BQ$497,30,0)/5</f>
        <v>#N/A</v>
      </c>
      <c r="T347" s="40"/>
      <c r="U347" s="41" t="e">
        <f>VLOOKUP($B347,'25년 12월 출석표'!$B$2:$BQ$497,44,0)/5</f>
        <v>#N/A</v>
      </c>
      <c r="V347" s="40"/>
      <c r="W347" s="41" t="e">
        <f>VLOOKUP($B347,'25년 12월 출석표'!$B$2:$BQ$497,58,0)/5</f>
        <v>#N/A</v>
      </c>
      <c r="X347" s="42"/>
      <c r="Y347" s="41" t="e">
        <f>VLOOKUP($B347,'25년 12월 출석표'!$B$2:$BQ$503,66,0)/5</f>
        <v>#N/A</v>
      </c>
      <c r="Z347" s="43"/>
    </row>
    <row r="348" spans="1:26">
      <c r="A348" s="29"/>
      <c r="B348" s="164"/>
      <c r="C348" s="164"/>
      <c r="D348" s="177"/>
      <c r="E348" s="178"/>
      <c r="F348" s="180"/>
      <c r="G348" s="180"/>
      <c r="H348" s="180"/>
      <c r="I348" s="34" t="e">
        <f>VLOOKUP(B348,'25년 12월 출석표'!$B$7:$D$509,3,0)</f>
        <v>#N/A</v>
      </c>
      <c r="J348" s="35" t="e">
        <f t="shared" ca="1" si="0"/>
        <v>#NAME?</v>
      </c>
      <c r="K348" s="36" t="str">
        <f t="shared" si="3"/>
        <v/>
      </c>
      <c r="L348" s="37" t="str">
        <f t="shared" si="4"/>
        <v/>
      </c>
      <c r="M348" s="30"/>
      <c r="N348" s="38" t="b">
        <v>0</v>
      </c>
      <c r="O348" s="38" t="b">
        <v>0</v>
      </c>
      <c r="P348" s="38" t="b">
        <v>0</v>
      </c>
      <c r="Q348" s="39" t="e">
        <f>VLOOKUP($B348,'25년 12월 출석표'!$B$2:$BQ$497,16,0)/5</f>
        <v>#N/A</v>
      </c>
      <c r="R348" s="40"/>
      <c r="S348" s="41" t="e">
        <f>VLOOKUP($B348,'25년 12월 출석표'!$B$2:$BQ$497,30,0)/5</f>
        <v>#N/A</v>
      </c>
      <c r="T348" s="40"/>
      <c r="U348" s="41" t="e">
        <f>VLOOKUP($B348,'25년 12월 출석표'!$B$2:$BQ$497,44,0)/5</f>
        <v>#N/A</v>
      </c>
      <c r="V348" s="40"/>
      <c r="W348" s="41" t="e">
        <f>VLOOKUP($B348,'25년 12월 출석표'!$B$2:$BQ$497,58,0)/5</f>
        <v>#N/A</v>
      </c>
      <c r="X348" s="42"/>
      <c r="Y348" s="41" t="e">
        <f>VLOOKUP($B348,'25년 12월 출석표'!$B$2:$BQ$503,66,0)/5</f>
        <v>#N/A</v>
      </c>
      <c r="Z348" s="43"/>
    </row>
    <row r="349" spans="1:26">
      <c r="A349" s="29"/>
      <c r="B349" s="164"/>
      <c r="C349" s="164"/>
      <c r="D349" s="177"/>
      <c r="E349" s="178"/>
      <c r="F349" s="180"/>
      <c r="G349" s="180"/>
      <c r="H349" s="180"/>
      <c r="I349" s="34" t="e">
        <f>VLOOKUP(B349,'25년 12월 출석표'!$B$7:$D$509,3,0)</f>
        <v>#N/A</v>
      </c>
      <c r="J349" s="35" t="e">
        <f t="shared" ca="1" si="0"/>
        <v>#NAME?</v>
      </c>
      <c r="K349" s="36" t="str">
        <f t="shared" si="3"/>
        <v/>
      </c>
      <c r="L349" s="37" t="str">
        <f t="shared" si="4"/>
        <v/>
      </c>
      <c r="M349" s="30"/>
      <c r="N349" s="38" t="b">
        <v>0</v>
      </c>
      <c r="O349" s="38" t="b">
        <v>0</v>
      </c>
      <c r="P349" s="38" t="b">
        <v>0</v>
      </c>
      <c r="Q349" s="39" t="e">
        <f>VLOOKUP($B349,'25년 12월 출석표'!$B$2:$BQ$497,16,0)/5</f>
        <v>#N/A</v>
      </c>
      <c r="R349" s="40"/>
      <c r="S349" s="41" t="e">
        <f>VLOOKUP($B349,'25년 12월 출석표'!$B$2:$BQ$497,30,0)/5</f>
        <v>#N/A</v>
      </c>
      <c r="T349" s="40"/>
      <c r="U349" s="41" t="e">
        <f>VLOOKUP($B349,'25년 12월 출석표'!$B$2:$BQ$497,44,0)/5</f>
        <v>#N/A</v>
      </c>
      <c r="V349" s="40"/>
      <c r="W349" s="41" t="e">
        <f>VLOOKUP($B349,'25년 12월 출석표'!$B$2:$BQ$497,58,0)/5</f>
        <v>#N/A</v>
      </c>
      <c r="X349" s="42"/>
      <c r="Y349" s="41" t="e">
        <f>VLOOKUP($B349,'25년 12월 출석표'!$B$2:$BQ$503,66,0)/5</f>
        <v>#N/A</v>
      </c>
      <c r="Z349" s="43"/>
    </row>
    <row r="350" spans="1:26">
      <c r="A350" s="29"/>
      <c r="B350" s="164"/>
      <c r="C350" s="164"/>
      <c r="D350" s="177"/>
      <c r="E350" s="178"/>
      <c r="F350" s="180"/>
      <c r="G350" s="180"/>
      <c r="H350" s="180"/>
      <c r="I350" s="34" t="e">
        <f>VLOOKUP(B350,'25년 12월 출석표'!$B$7:$D$509,3,0)</f>
        <v>#N/A</v>
      </c>
      <c r="J350" s="35" t="e">
        <f t="shared" ca="1" si="0"/>
        <v>#NAME?</v>
      </c>
      <c r="K350" s="36" t="str">
        <f t="shared" si="3"/>
        <v/>
      </c>
      <c r="L350" s="37" t="str">
        <f t="shared" si="4"/>
        <v/>
      </c>
      <c r="M350" s="30"/>
      <c r="N350" s="38" t="b">
        <v>0</v>
      </c>
      <c r="O350" s="38" t="b">
        <v>0</v>
      </c>
      <c r="P350" s="38" t="b">
        <v>0</v>
      </c>
      <c r="Q350" s="39" t="e">
        <f>VLOOKUP($B350,'25년 12월 출석표'!$B$2:$BQ$497,16,0)/5</f>
        <v>#N/A</v>
      </c>
      <c r="R350" s="40"/>
      <c r="S350" s="41" t="e">
        <f>VLOOKUP($B350,'25년 12월 출석표'!$B$2:$BQ$497,30,0)/5</f>
        <v>#N/A</v>
      </c>
      <c r="T350" s="40"/>
      <c r="U350" s="41" t="e">
        <f>VLOOKUP($B350,'25년 12월 출석표'!$B$2:$BQ$497,44,0)/5</f>
        <v>#N/A</v>
      </c>
      <c r="V350" s="40"/>
      <c r="W350" s="41" t="e">
        <f>VLOOKUP($B350,'25년 12월 출석표'!$B$2:$BQ$497,58,0)/5</f>
        <v>#N/A</v>
      </c>
      <c r="X350" s="42"/>
      <c r="Y350" s="41" t="e">
        <f>VLOOKUP($B350,'25년 12월 출석표'!$B$2:$BQ$503,66,0)/5</f>
        <v>#N/A</v>
      </c>
      <c r="Z350" s="43"/>
    </row>
    <row r="351" spans="1:26">
      <c r="A351" s="29"/>
      <c r="B351" s="164"/>
      <c r="C351" s="164"/>
      <c r="D351" s="177"/>
      <c r="E351" s="178"/>
      <c r="F351" s="180"/>
      <c r="G351" s="180"/>
      <c r="H351" s="180"/>
      <c r="I351" s="34" t="e">
        <f>VLOOKUP(B351,'25년 12월 출석표'!$B$7:$D$509,3,0)</f>
        <v>#N/A</v>
      </c>
      <c r="J351" s="35" t="e">
        <f t="shared" ca="1" si="0"/>
        <v>#NAME?</v>
      </c>
      <c r="K351" s="36" t="str">
        <f t="shared" si="3"/>
        <v/>
      </c>
      <c r="L351" s="37" t="str">
        <f t="shared" si="4"/>
        <v/>
      </c>
      <c r="M351" s="30"/>
      <c r="N351" s="38" t="b">
        <v>0</v>
      </c>
      <c r="O351" s="38" t="b">
        <v>0</v>
      </c>
      <c r="P351" s="38" t="b">
        <v>0</v>
      </c>
      <c r="Q351" s="39" t="e">
        <f>VLOOKUP($B351,'25년 12월 출석표'!$B$2:$BQ$497,16,0)/5</f>
        <v>#N/A</v>
      </c>
      <c r="R351" s="40"/>
      <c r="S351" s="41" t="e">
        <f>VLOOKUP($B351,'25년 12월 출석표'!$B$2:$BQ$497,30,0)/5</f>
        <v>#N/A</v>
      </c>
      <c r="T351" s="40"/>
      <c r="U351" s="41" t="e">
        <f>VLOOKUP($B351,'25년 12월 출석표'!$B$2:$BQ$497,44,0)/5</f>
        <v>#N/A</v>
      </c>
      <c r="V351" s="40"/>
      <c r="W351" s="41" t="e">
        <f>VLOOKUP($B351,'25년 12월 출석표'!$B$2:$BQ$497,58,0)/5</f>
        <v>#N/A</v>
      </c>
      <c r="X351" s="42"/>
      <c r="Y351" s="41" t="e">
        <f>VLOOKUP($B351,'25년 12월 출석표'!$B$2:$BQ$503,66,0)/5</f>
        <v>#N/A</v>
      </c>
      <c r="Z351" s="43"/>
    </row>
    <row r="352" spans="1:26">
      <c r="A352" s="29"/>
      <c r="B352" s="164"/>
      <c r="C352" s="164"/>
      <c r="D352" s="177"/>
      <c r="E352" s="178"/>
      <c r="F352" s="180"/>
      <c r="G352" s="180"/>
      <c r="H352" s="180"/>
      <c r="I352" s="34" t="e">
        <f>VLOOKUP(B352,'25년 12월 출석표'!$B$7:$D$509,3,0)</f>
        <v>#N/A</v>
      </c>
      <c r="J352" s="35" t="e">
        <f t="shared" ca="1" si="0"/>
        <v>#NAME?</v>
      </c>
      <c r="K352" s="36" t="str">
        <f t="shared" si="3"/>
        <v/>
      </c>
      <c r="L352" s="37" t="str">
        <f t="shared" si="4"/>
        <v/>
      </c>
      <c r="M352" s="30"/>
      <c r="N352" s="38" t="b">
        <v>0</v>
      </c>
      <c r="O352" s="38" t="b">
        <v>0</v>
      </c>
      <c r="P352" s="38" t="b">
        <v>0</v>
      </c>
      <c r="Q352" s="39" t="e">
        <f>VLOOKUP($B352,'25년 12월 출석표'!$B$2:$BQ$497,16,0)/5</f>
        <v>#N/A</v>
      </c>
      <c r="R352" s="40"/>
      <c r="S352" s="41" t="e">
        <f>VLOOKUP($B352,'25년 12월 출석표'!$B$2:$BQ$497,30,0)/5</f>
        <v>#N/A</v>
      </c>
      <c r="T352" s="40"/>
      <c r="U352" s="41" t="e">
        <f>VLOOKUP($B352,'25년 12월 출석표'!$B$2:$BQ$497,44,0)/5</f>
        <v>#N/A</v>
      </c>
      <c r="V352" s="40"/>
      <c r="W352" s="41" t="e">
        <f>VLOOKUP($B352,'25년 12월 출석표'!$B$2:$BQ$497,58,0)/5</f>
        <v>#N/A</v>
      </c>
      <c r="X352" s="42"/>
      <c r="Y352" s="41" t="e">
        <f>VLOOKUP($B352,'25년 12월 출석표'!$B$2:$BQ$503,66,0)/5</f>
        <v>#N/A</v>
      </c>
      <c r="Z352" s="43"/>
    </row>
    <row r="353" spans="1:26">
      <c r="A353" s="29"/>
      <c r="B353" s="164"/>
      <c r="C353" s="164"/>
      <c r="D353" s="177"/>
      <c r="E353" s="178"/>
      <c r="F353" s="180"/>
      <c r="G353" s="180"/>
      <c r="H353" s="180"/>
      <c r="I353" s="34" t="e">
        <f>VLOOKUP(B353,'25년 12월 출석표'!$B$7:$D$509,3,0)</f>
        <v>#N/A</v>
      </c>
      <c r="J353" s="35" t="e">
        <f t="shared" ca="1" si="0"/>
        <v>#NAME?</v>
      </c>
      <c r="K353" s="36" t="str">
        <f t="shared" si="3"/>
        <v/>
      </c>
      <c r="L353" s="37" t="str">
        <f t="shared" si="4"/>
        <v/>
      </c>
      <c r="M353" s="30"/>
      <c r="N353" s="38" t="b">
        <v>0</v>
      </c>
      <c r="O353" s="38" t="b">
        <v>0</v>
      </c>
      <c r="P353" s="38" t="b">
        <v>0</v>
      </c>
      <c r="Q353" s="39" t="e">
        <f>VLOOKUP($B353,'25년 12월 출석표'!$B$2:$BQ$497,16,0)/5</f>
        <v>#N/A</v>
      </c>
      <c r="R353" s="40"/>
      <c r="S353" s="41" t="e">
        <f>VLOOKUP($B353,'25년 12월 출석표'!$B$2:$BQ$497,30,0)/5</f>
        <v>#N/A</v>
      </c>
      <c r="T353" s="40"/>
      <c r="U353" s="41" t="e">
        <f>VLOOKUP($B353,'25년 12월 출석표'!$B$2:$BQ$497,44,0)/5</f>
        <v>#N/A</v>
      </c>
      <c r="V353" s="40"/>
      <c r="W353" s="41" t="e">
        <f>VLOOKUP($B353,'25년 12월 출석표'!$B$2:$BQ$497,58,0)/5</f>
        <v>#N/A</v>
      </c>
      <c r="X353" s="42"/>
      <c r="Y353" s="41" t="e">
        <f>VLOOKUP($B353,'25년 12월 출석표'!$B$2:$BQ$503,66,0)/5</f>
        <v>#N/A</v>
      </c>
      <c r="Z353" s="43"/>
    </row>
    <row r="354" spans="1:26">
      <c r="A354" s="29"/>
      <c r="B354" s="164"/>
      <c r="C354" s="164"/>
      <c r="D354" s="177"/>
      <c r="E354" s="178"/>
      <c r="F354" s="180"/>
      <c r="G354" s="180"/>
      <c r="H354" s="180"/>
      <c r="I354" s="34" t="e">
        <f>VLOOKUP(B354,'25년 12월 출석표'!$B$7:$D$509,3,0)</f>
        <v>#N/A</v>
      </c>
      <c r="J354" s="35" t="e">
        <f t="shared" ca="1" si="0"/>
        <v>#NAME?</v>
      </c>
      <c r="K354" s="36" t="str">
        <f t="shared" si="3"/>
        <v/>
      </c>
      <c r="L354" s="37" t="str">
        <f t="shared" si="4"/>
        <v/>
      </c>
      <c r="M354" s="30"/>
      <c r="N354" s="38" t="b">
        <v>0</v>
      </c>
      <c r="O354" s="38" t="b">
        <v>0</v>
      </c>
      <c r="P354" s="38" t="b">
        <v>0</v>
      </c>
      <c r="Q354" s="39" t="e">
        <f>VLOOKUP($B354,'25년 12월 출석표'!$B$2:$BQ$497,16,0)/5</f>
        <v>#N/A</v>
      </c>
      <c r="R354" s="40"/>
      <c r="S354" s="41" t="e">
        <f>VLOOKUP($B354,'25년 12월 출석표'!$B$2:$BQ$497,30,0)/5</f>
        <v>#N/A</v>
      </c>
      <c r="T354" s="40"/>
      <c r="U354" s="41" t="e">
        <f>VLOOKUP($B354,'25년 12월 출석표'!$B$2:$BQ$497,44,0)/5</f>
        <v>#N/A</v>
      </c>
      <c r="V354" s="40"/>
      <c r="W354" s="41" t="e">
        <f>VLOOKUP($B354,'25년 12월 출석표'!$B$2:$BQ$497,58,0)/5</f>
        <v>#N/A</v>
      </c>
      <c r="X354" s="42"/>
      <c r="Y354" s="41" t="e">
        <f>VLOOKUP($B354,'25년 12월 출석표'!$B$2:$BQ$503,66,0)/5</f>
        <v>#N/A</v>
      </c>
      <c r="Z354" s="43"/>
    </row>
    <row r="355" spans="1:26">
      <c r="A355" s="29"/>
      <c r="B355" s="164"/>
      <c r="C355" s="164"/>
      <c r="D355" s="177"/>
      <c r="E355" s="178"/>
      <c r="F355" s="180"/>
      <c r="G355" s="180"/>
      <c r="H355" s="180"/>
      <c r="I355" s="34" t="e">
        <f>VLOOKUP(B355,'25년 12월 출석표'!$B$7:$D$509,3,0)</f>
        <v>#N/A</v>
      </c>
      <c r="J355" s="35" t="e">
        <f t="shared" ca="1" si="0"/>
        <v>#NAME?</v>
      </c>
      <c r="K355" s="36" t="str">
        <f t="shared" si="3"/>
        <v/>
      </c>
      <c r="L355" s="37" t="str">
        <f t="shared" si="4"/>
        <v/>
      </c>
      <c r="M355" s="30"/>
      <c r="N355" s="38" t="b">
        <v>0</v>
      </c>
      <c r="O355" s="38" t="b">
        <v>0</v>
      </c>
      <c r="P355" s="38" t="b">
        <v>0</v>
      </c>
      <c r="Q355" s="39" t="e">
        <f>VLOOKUP($B355,'25년 12월 출석표'!$B$2:$BQ$497,16,0)/5</f>
        <v>#N/A</v>
      </c>
      <c r="R355" s="40"/>
      <c r="S355" s="41" t="e">
        <f>VLOOKUP($B355,'25년 12월 출석표'!$B$2:$BQ$497,30,0)/5</f>
        <v>#N/A</v>
      </c>
      <c r="T355" s="40"/>
      <c r="U355" s="41" t="e">
        <f>VLOOKUP($B355,'25년 12월 출석표'!$B$2:$BQ$497,44,0)/5</f>
        <v>#N/A</v>
      </c>
      <c r="V355" s="40"/>
      <c r="W355" s="41" t="e">
        <f>VLOOKUP($B355,'25년 12월 출석표'!$B$2:$BQ$497,58,0)/5</f>
        <v>#N/A</v>
      </c>
      <c r="X355" s="42"/>
      <c r="Y355" s="41" t="e">
        <f>VLOOKUP($B355,'25년 12월 출석표'!$B$2:$BQ$503,66,0)/5</f>
        <v>#N/A</v>
      </c>
      <c r="Z355" s="43"/>
    </row>
    <row r="356" spans="1:26">
      <c r="A356" s="29"/>
      <c r="B356" s="164"/>
      <c r="C356" s="164"/>
      <c r="D356" s="177"/>
      <c r="E356" s="178"/>
      <c r="F356" s="180"/>
      <c r="G356" s="180"/>
      <c r="H356" s="180"/>
      <c r="I356" s="34" t="e">
        <f>VLOOKUP(B356,'25년 12월 출석표'!$B$7:$D$509,3,0)</f>
        <v>#N/A</v>
      </c>
      <c r="J356" s="35" t="e">
        <f t="shared" ca="1" si="0"/>
        <v>#NAME?</v>
      </c>
      <c r="K356" s="36" t="str">
        <f t="shared" si="3"/>
        <v/>
      </c>
      <c r="L356" s="37" t="str">
        <f t="shared" si="4"/>
        <v/>
      </c>
      <c r="M356" s="30"/>
      <c r="N356" s="38" t="b">
        <v>0</v>
      </c>
      <c r="O356" s="38" t="b">
        <v>0</v>
      </c>
      <c r="P356" s="38" t="b">
        <v>0</v>
      </c>
      <c r="Q356" s="39" t="e">
        <f>VLOOKUP($B356,'25년 12월 출석표'!$B$2:$BQ$497,16,0)/5</f>
        <v>#N/A</v>
      </c>
      <c r="R356" s="40"/>
      <c r="S356" s="41" t="e">
        <f>VLOOKUP($B356,'25년 12월 출석표'!$B$2:$BQ$497,30,0)/5</f>
        <v>#N/A</v>
      </c>
      <c r="T356" s="40"/>
      <c r="U356" s="41" t="e">
        <f>VLOOKUP($B356,'25년 12월 출석표'!$B$2:$BQ$497,44,0)/5</f>
        <v>#N/A</v>
      </c>
      <c r="V356" s="40"/>
      <c r="W356" s="41" t="e">
        <f>VLOOKUP($B356,'25년 12월 출석표'!$B$2:$BQ$497,58,0)/5</f>
        <v>#N/A</v>
      </c>
      <c r="X356" s="42"/>
      <c r="Y356" s="41" t="e">
        <f>VLOOKUP($B356,'25년 12월 출석표'!$B$2:$BQ$503,66,0)/5</f>
        <v>#N/A</v>
      </c>
      <c r="Z356" s="43"/>
    </row>
    <row r="357" spans="1:26">
      <c r="A357" s="29"/>
      <c r="B357" s="164"/>
      <c r="C357" s="164"/>
      <c r="D357" s="177"/>
      <c r="E357" s="178"/>
      <c r="F357" s="180"/>
      <c r="G357" s="180"/>
      <c r="H357" s="180"/>
      <c r="I357" s="34" t="e">
        <f>VLOOKUP(B357,'25년 12월 출석표'!$B$7:$D$509,3,0)</f>
        <v>#N/A</v>
      </c>
      <c r="J357" s="35" t="e">
        <f t="shared" ca="1" si="0"/>
        <v>#NAME?</v>
      </c>
      <c r="K357" s="36" t="str">
        <f t="shared" si="3"/>
        <v/>
      </c>
      <c r="L357" s="37" t="str">
        <f t="shared" si="4"/>
        <v/>
      </c>
      <c r="M357" s="30"/>
      <c r="N357" s="38" t="b">
        <v>0</v>
      </c>
      <c r="O357" s="38" t="b">
        <v>0</v>
      </c>
      <c r="P357" s="38" t="b">
        <v>0</v>
      </c>
      <c r="Q357" s="39" t="e">
        <f>VLOOKUP($B357,'25년 12월 출석표'!$B$2:$BQ$497,16,0)/5</f>
        <v>#N/A</v>
      </c>
      <c r="R357" s="40"/>
      <c r="S357" s="41" t="e">
        <f>VLOOKUP($B357,'25년 12월 출석표'!$B$2:$BQ$497,30,0)/5</f>
        <v>#N/A</v>
      </c>
      <c r="T357" s="40"/>
      <c r="U357" s="41" t="e">
        <f>VLOOKUP($B357,'25년 12월 출석표'!$B$2:$BQ$497,44,0)/5</f>
        <v>#N/A</v>
      </c>
      <c r="V357" s="40"/>
      <c r="W357" s="41" t="e">
        <f>VLOOKUP($B357,'25년 12월 출석표'!$B$2:$BQ$497,58,0)/5</f>
        <v>#N/A</v>
      </c>
      <c r="X357" s="42"/>
      <c r="Y357" s="41" t="e">
        <f>VLOOKUP($B357,'25년 12월 출석표'!$B$2:$BQ$503,66,0)/5</f>
        <v>#N/A</v>
      </c>
      <c r="Z357" s="43"/>
    </row>
    <row r="358" spans="1:26">
      <c r="A358" s="29"/>
      <c r="B358" s="164"/>
      <c r="C358" s="164"/>
      <c r="D358" s="177"/>
      <c r="E358" s="178"/>
      <c r="F358" s="180"/>
      <c r="G358" s="180"/>
      <c r="H358" s="180"/>
      <c r="I358" s="34" t="e">
        <f>VLOOKUP(B358,'25년 12월 출석표'!$B$7:$D$509,3,0)</f>
        <v>#N/A</v>
      </c>
      <c r="J358" s="35" t="e">
        <f t="shared" ca="1" si="0"/>
        <v>#NAME?</v>
      </c>
      <c r="K358" s="36" t="str">
        <f t="shared" si="3"/>
        <v/>
      </c>
      <c r="L358" s="37" t="str">
        <f t="shared" si="4"/>
        <v/>
      </c>
      <c r="M358" s="30"/>
      <c r="N358" s="38" t="b">
        <v>0</v>
      </c>
      <c r="O358" s="38" t="b">
        <v>0</v>
      </c>
      <c r="P358" s="38" t="b">
        <v>0</v>
      </c>
      <c r="Q358" s="39" t="e">
        <f>VLOOKUP($B358,'25년 12월 출석표'!$B$2:$BQ$497,16,0)/5</f>
        <v>#N/A</v>
      </c>
      <c r="R358" s="40"/>
      <c r="S358" s="41" t="e">
        <f>VLOOKUP($B358,'25년 12월 출석표'!$B$2:$BQ$497,30,0)/5</f>
        <v>#N/A</v>
      </c>
      <c r="T358" s="40"/>
      <c r="U358" s="41" t="e">
        <f>VLOOKUP($B358,'25년 12월 출석표'!$B$2:$BQ$497,44,0)/5</f>
        <v>#N/A</v>
      </c>
      <c r="V358" s="40"/>
      <c r="W358" s="41" t="e">
        <f>VLOOKUP($B358,'25년 12월 출석표'!$B$2:$BQ$497,58,0)/5</f>
        <v>#N/A</v>
      </c>
      <c r="X358" s="42"/>
      <c r="Y358" s="41" t="e">
        <f>VLOOKUP($B358,'25년 12월 출석표'!$B$2:$BQ$503,66,0)/5</f>
        <v>#N/A</v>
      </c>
      <c r="Z358" s="43"/>
    </row>
    <row r="359" spans="1:26">
      <c r="A359" s="29"/>
      <c r="B359" s="164"/>
      <c r="C359" s="164"/>
      <c r="D359" s="177"/>
      <c r="E359" s="178"/>
      <c r="F359" s="180"/>
      <c r="G359" s="180"/>
      <c r="H359" s="180"/>
      <c r="I359" s="34" t="e">
        <f>VLOOKUP(B359,'25년 12월 출석표'!$B$7:$D$509,3,0)</f>
        <v>#N/A</v>
      </c>
      <c r="J359" s="35" t="e">
        <f t="shared" ca="1" si="0"/>
        <v>#NAME?</v>
      </c>
      <c r="K359" s="36" t="str">
        <f t="shared" si="3"/>
        <v/>
      </c>
      <c r="L359" s="37" t="str">
        <f t="shared" si="4"/>
        <v/>
      </c>
      <c r="M359" s="30"/>
      <c r="N359" s="38" t="b">
        <v>0</v>
      </c>
      <c r="O359" s="38" t="b">
        <v>0</v>
      </c>
      <c r="P359" s="38" t="b">
        <v>0</v>
      </c>
      <c r="Q359" s="39" t="e">
        <f>VLOOKUP($B359,'25년 12월 출석표'!$B$2:$BQ$497,16,0)/5</f>
        <v>#N/A</v>
      </c>
      <c r="R359" s="40"/>
      <c r="S359" s="41" t="e">
        <f>VLOOKUP($B359,'25년 12월 출석표'!$B$2:$BQ$497,30,0)/5</f>
        <v>#N/A</v>
      </c>
      <c r="T359" s="40"/>
      <c r="U359" s="41" t="e">
        <f>VLOOKUP($B359,'25년 12월 출석표'!$B$2:$BQ$497,44,0)/5</f>
        <v>#N/A</v>
      </c>
      <c r="V359" s="40"/>
      <c r="W359" s="41" t="e">
        <f>VLOOKUP($B359,'25년 12월 출석표'!$B$2:$BQ$497,58,0)/5</f>
        <v>#N/A</v>
      </c>
      <c r="X359" s="42"/>
      <c r="Y359" s="41" t="e">
        <f>VLOOKUP($B359,'25년 12월 출석표'!$B$2:$BQ$503,66,0)/5</f>
        <v>#N/A</v>
      </c>
      <c r="Z359" s="43"/>
    </row>
    <row r="360" spans="1:26">
      <c r="A360" s="29"/>
      <c r="B360" s="164"/>
      <c r="C360" s="164"/>
      <c r="D360" s="177"/>
      <c r="E360" s="178"/>
      <c r="F360" s="180"/>
      <c r="G360" s="180"/>
      <c r="H360" s="180"/>
      <c r="I360" s="34" t="e">
        <f>VLOOKUP(B360,'25년 12월 출석표'!$B$7:$D$509,3,0)</f>
        <v>#N/A</v>
      </c>
      <c r="J360" s="35" t="e">
        <f t="shared" ca="1" si="0"/>
        <v>#NAME?</v>
      </c>
      <c r="K360" s="36" t="str">
        <f t="shared" si="3"/>
        <v/>
      </c>
      <c r="L360" s="37" t="str">
        <f t="shared" si="4"/>
        <v/>
      </c>
      <c r="M360" s="30"/>
      <c r="N360" s="38" t="b">
        <v>0</v>
      </c>
      <c r="O360" s="38" t="b">
        <v>0</v>
      </c>
      <c r="P360" s="38" t="b">
        <v>0</v>
      </c>
      <c r="Q360" s="39" t="e">
        <f>VLOOKUP($B360,'25년 12월 출석표'!$B$2:$BQ$497,16,0)/5</f>
        <v>#N/A</v>
      </c>
      <c r="R360" s="40"/>
      <c r="S360" s="41" t="e">
        <f>VLOOKUP($B360,'25년 12월 출석표'!$B$2:$BQ$497,30,0)/5</f>
        <v>#N/A</v>
      </c>
      <c r="T360" s="40"/>
      <c r="U360" s="41" t="e">
        <f>VLOOKUP($B360,'25년 12월 출석표'!$B$2:$BQ$497,44,0)/5</f>
        <v>#N/A</v>
      </c>
      <c r="V360" s="40"/>
      <c r="W360" s="41" t="e">
        <f>VLOOKUP($B360,'25년 12월 출석표'!$B$2:$BQ$497,58,0)/5</f>
        <v>#N/A</v>
      </c>
      <c r="X360" s="42"/>
      <c r="Y360" s="41" t="e">
        <f>VLOOKUP($B360,'25년 12월 출석표'!$B$2:$BQ$503,66,0)/5</f>
        <v>#N/A</v>
      </c>
      <c r="Z360" s="43"/>
    </row>
    <row r="361" spans="1:26">
      <c r="A361" s="29"/>
      <c r="B361" s="164"/>
      <c r="C361" s="164"/>
      <c r="D361" s="177"/>
      <c r="E361" s="178"/>
      <c r="F361" s="180"/>
      <c r="G361" s="180"/>
      <c r="H361" s="180"/>
      <c r="I361" s="34" t="e">
        <f>VLOOKUP(B361,'25년 12월 출석표'!$B$7:$D$509,3,0)</f>
        <v>#N/A</v>
      </c>
      <c r="J361" s="35" t="e">
        <f t="shared" ca="1" si="0"/>
        <v>#NAME?</v>
      </c>
      <c r="K361" s="36" t="str">
        <f t="shared" si="3"/>
        <v/>
      </c>
      <c r="L361" s="37" t="str">
        <f t="shared" si="4"/>
        <v/>
      </c>
      <c r="M361" s="30"/>
      <c r="N361" s="38" t="b">
        <v>0</v>
      </c>
      <c r="O361" s="38" t="b">
        <v>0</v>
      </c>
      <c r="P361" s="38" t="b">
        <v>0</v>
      </c>
      <c r="Q361" s="39" t="e">
        <f>VLOOKUP($B361,'25년 12월 출석표'!$B$2:$BQ$497,16,0)/5</f>
        <v>#N/A</v>
      </c>
      <c r="R361" s="40"/>
      <c r="S361" s="41" t="e">
        <f>VLOOKUP($B361,'25년 12월 출석표'!$B$2:$BQ$497,30,0)/5</f>
        <v>#N/A</v>
      </c>
      <c r="T361" s="40"/>
      <c r="U361" s="41" t="e">
        <f>VLOOKUP($B361,'25년 12월 출석표'!$B$2:$BQ$497,44,0)/5</f>
        <v>#N/A</v>
      </c>
      <c r="V361" s="40"/>
      <c r="W361" s="41" t="e">
        <f>VLOOKUP($B361,'25년 12월 출석표'!$B$2:$BQ$497,58,0)/5</f>
        <v>#N/A</v>
      </c>
      <c r="X361" s="42"/>
      <c r="Y361" s="41" t="e">
        <f>VLOOKUP($B361,'25년 12월 출석표'!$B$2:$BQ$503,66,0)/5</f>
        <v>#N/A</v>
      </c>
      <c r="Z361" s="43"/>
    </row>
    <row r="362" spans="1:26">
      <c r="A362" s="29"/>
      <c r="B362" s="164"/>
      <c r="C362" s="164"/>
      <c r="D362" s="177"/>
      <c r="E362" s="178"/>
      <c r="F362" s="180"/>
      <c r="G362" s="180"/>
      <c r="H362" s="180"/>
      <c r="I362" s="34" t="e">
        <f>VLOOKUP(B362,'25년 12월 출석표'!$B$7:$D$509,3,0)</f>
        <v>#N/A</v>
      </c>
      <c r="J362" s="35" t="e">
        <f t="shared" ca="1" si="0"/>
        <v>#NAME?</v>
      </c>
      <c r="K362" s="36" t="str">
        <f t="shared" si="3"/>
        <v/>
      </c>
      <c r="L362" s="37" t="str">
        <f t="shared" si="4"/>
        <v/>
      </c>
      <c r="M362" s="30"/>
      <c r="N362" s="38" t="b">
        <v>0</v>
      </c>
      <c r="O362" s="38" t="b">
        <v>0</v>
      </c>
      <c r="P362" s="38" t="b">
        <v>0</v>
      </c>
      <c r="Q362" s="39" t="e">
        <f>VLOOKUP($B362,'25년 12월 출석표'!$B$2:$BQ$497,16,0)/5</f>
        <v>#N/A</v>
      </c>
      <c r="R362" s="40"/>
      <c r="S362" s="41" t="e">
        <f>VLOOKUP($B362,'25년 12월 출석표'!$B$2:$BQ$497,30,0)/5</f>
        <v>#N/A</v>
      </c>
      <c r="T362" s="40"/>
      <c r="U362" s="41" t="e">
        <f>VLOOKUP($B362,'25년 12월 출석표'!$B$2:$BQ$497,44,0)/5</f>
        <v>#N/A</v>
      </c>
      <c r="V362" s="40"/>
      <c r="W362" s="41" t="e">
        <f>VLOOKUP($B362,'25년 12월 출석표'!$B$2:$BQ$497,58,0)/5</f>
        <v>#N/A</v>
      </c>
      <c r="X362" s="42"/>
      <c r="Y362" s="41" t="e">
        <f>VLOOKUP($B362,'25년 12월 출석표'!$B$2:$BQ$503,66,0)/5</f>
        <v>#N/A</v>
      </c>
      <c r="Z362" s="43"/>
    </row>
    <row r="363" spans="1:26">
      <c r="A363" s="29"/>
      <c r="B363" s="164"/>
      <c r="C363" s="164"/>
      <c r="D363" s="177"/>
      <c r="E363" s="178"/>
      <c r="F363" s="180"/>
      <c r="G363" s="180"/>
      <c r="H363" s="180"/>
      <c r="I363" s="34" t="e">
        <f>VLOOKUP(B363,'25년 12월 출석표'!$B$7:$D$509,3,0)</f>
        <v>#N/A</v>
      </c>
      <c r="J363" s="35" t="e">
        <f t="shared" ca="1" si="0"/>
        <v>#NAME?</v>
      </c>
      <c r="K363" s="36" t="str">
        <f t="shared" si="3"/>
        <v/>
      </c>
      <c r="L363" s="37" t="str">
        <f t="shared" si="4"/>
        <v/>
      </c>
      <c r="M363" s="30"/>
      <c r="N363" s="38" t="b">
        <v>0</v>
      </c>
      <c r="O363" s="38" t="b">
        <v>0</v>
      </c>
      <c r="P363" s="38" t="b">
        <v>0</v>
      </c>
      <c r="Q363" s="39" t="e">
        <f>VLOOKUP($B363,'25년 12월 출석표'!$B$2:$BQ$497,16,0)/5</f>
        <v>#N/A</v>
      </c>
      <c r="R363" s="40"/>
      <c r="S363" s="41" t="e">
        <f>VLOOKUP($B363,'25년 12월 출석표'!$B$2:$BQ$497,30,0)/5</f>
        <v>#N/A</v>
      </c>
      <c r="T363" s="40"/>
      <c r="U363" s="41" t="e">
        <f>VLOOKUP($B363,'25년 12월 출석표'!$B$2:$BQ$497,44,0)/5</f>
        <v>#N/A</v>
      </c>
      <c r="V363" s="40"/>
      <c r="W363" s="41" t="e">
        <f>VLOOKUP($B363,'25년 12월 출석표'!$B$2:$BQ$497,58,0)/5</f>
        <v>#N/A</v>
      </c>
      <c r="X363" s="42"/>
      <c r="Y363" s="41" t="e">
        <f>VLOOKUP($B363,'25년 12월 출석표'!$B$2:$BQ$503,66,0)/5</f>
        <v>#N/A</v>
      </c>
      <c r="Z363" s="43"/>
    </row>
    <row r="364" spans="1:26">
      <c r="A364" s="29"/>
      <c r="B364" s="164"/>
      <c r="C364" s="164"/>
      <c r="D364" s="177"/>
      <c r="E364" s="178"/>
      <c r="F364" s="180"/>
      <c r="G364" s="180"/>
      <c r="H364" s="180"/>
      <c r="I364" s="34" t="e">
        <f>VLOOKUP(B364,'25년 12월 출석표'!$B$7:$D$509,3,0)</f>
        <v>#N/A</v>
      </c>
      <c r="J364" s="35" t="e">
        <f t="shared" ca="1" si="0"/>
        <v>#NAME?</v>
      </c>
      <c r="K364" s="36" t="str">
        <f t="shared" si="3"/>
        <v/>
      </c>
      <c r="L364" s="37" t="str">
        <f t="shared" si="4"/>
        <v/>
      </c>
      <c r="M364" s="30"/>
      <c r="N364" s="38" t="b">
        <v>0</v>
      </c>
      <c r="O364" s="38" t="b">
        <v>0</v>
      </c>
      <c r="P364" s="38" t="b">
        <v>0</v>
      </c>
      <c r="Q364" s="39" t="e">
        <f>VLOOKUP($B364,'25년 12월 출석표'!$B$2:$BQ$497,16,0)/5</f>
        <v>#N/A</v>
      </c>
      <c r="R364" s="40"/>
      <c r="S364" s="41" t="e">
        <f>VLOOKUP($B364,'25년 12월 출석표'!$B$2:$BQ$497,30,0)/5</f>
        <v>#N/A</v>
      </c>
      <c r="T364" s="40"/>
      <c r="U364" s="41" t="e">
        <f>VLOOKUP($B364,'25년 12월 출석표'!$B$2:$BQ$497,44,0)/5</f>
        <v>#N/A</v>
      </c>
      <c r="V364" s="40"/>
      <c r="W364" s="41" t="e">
        <f>VLOOKUP($B364,'25년 12월 출석표'!$B$2:$BQ$497,58,0)/5</f>
        <v>#N/A</v>
      </c>
      <c r="X364" s="42"/>
      <c r="Y364" s="41" t="e">
        <f>VLOOKUP($B364,'25년 12월 출석표'!$B$2:$BQ$503,66,0)/5</f>
        <v>#N/A</v>
      </c>
      <c r="Z364" s="43"/>
    </row>
    <row r="365" spans="1:26">
      <c r="A365" s="29"/>
      <c r="B365" s="164"/>
      <c r="C365" s="164"/>
      <c r="D365" s="177"/>
      <c r="E365" s="178"/>
      <c r="F365" s="180"/>
      <c r="G365" s="180"/>
      <c r="H365" s="180"/>
      <c r="I365" s="34" t="e">
        <f>VLOOKUP(B365,'25년 12월 출석표'!$B$7:$D$509,3,0)</f>
        <v>#N/A</v>
      </c>
      <c r="J365" s="35" t="e">
        <f t="shared" ca="1" si="0"/>
        <v>#NAME?</v>
      </c>
      <c r="K365" s="36" t="str">
        <f t="shared" si="3"/>
        <v/>
      </c>
      <c r="L365" s="37" t="str">
        <f t="shared" si="4"/>
        <v/>
      </c>
      <c r="M365" s="30"/>
      <c r="N365" s="38" t="b">
        <v>0</v>
      </c>
      <c r="O365" s="38" t="b">
        <v>0</v>
      </c>
      <c r="P365" s="38" t="b">
        <v>0</v>
      </c>
      <c r="Q365" s="39" t="e">
        <f>VLOOKUP($B365,'25년 12월 출석표'!$B$2:$BQ$497,16,0)/5</f>
        <v>#N/A</v>
      </c>
      <c r="R365" s="40"/>
      <c r="S365" s="41" t="e">
        <f>VLOOKUP($B365,'25년 12월 출석표'!$B$2:$BQ$497,30,0)/5</f>
        <v>#N/A</v>
      </c>
      <c r="T365" s="40"/>
      <c r="U365" s="41" t="e">
        <f>VLOOKUP($B365,'25년 12월 출석표'!$B$2:$BQ$497,44,0)/5</f>
        <v>#N/A</v>
      </c>
      <c r="V365" s="40"/>
      <c r="W365" s="41" t="e">
        <f>VLOOKUP($B365,'25년 12월 출석표'!$B$2:$BQ$497,58,0)/5</f>
        <v>#N/A</v>
      </c>
      <c r="X365" s="42"/>
      <c r="Y365" s="41" t="e">
        <f>VLOOKUP($B365,'25년 12월 출석표'!$B$2:$BQ$503,66,0)/5</f>
        <v>#N/A</v>
      </c>
      <c r="Z365" s="43"/>
    </row>
    <row r="366" spans="1:26">
      <c r="A366" s="29"/>
      <c r="B366" s="164"/>
      <c r="C366" s="164"/>
      <c r="D366" s="177"/>
      <c r="E366" s="178"/>
      <c r="F366" s="180"/>
      <c r="G366" s="180"/>
      <c r="H366" s="180"/>
      <c r="I366" s="34" t="e">
        <f>VLOOKUP(B366,'25년 12월 출석표'!$B$7:$D$509,3,0)</f>
        <v>#N/A</v>
      </c>
      <c r="J366" s="35" t="e">
        <f t="shared" ca="1" si="0"/>
        <v>#NAME?</v>
      </c>
      <c r="K366" s="36" t="str">
        <f t="shared" si="3"/>
        <v/>
      </c>
      <c r="L366" s="37" t="str">
        <f t="shared" si="4"/>
        <v/>
      </c>
      <c r="M366" s="30"/>
      <c r="N366" s="38" t="b">
        <v>0</v>
      </c>
      <c r="O366" s="38" t="b">
        <v>0</v>
      </c>
      <c r="P366" s="38" t="b">
        <v>0</v>
      </c>
      <c r="Q366" s="39" t="e">
        <f>VLOOKUP($B366,'25년 12월 출석표'!$B$2:$BQ$497,16,0)/5</f>
        <v>#N/A</v>
      </c>
      <c r="R366" s="40"/>
      <c r="S366" s="41" t="e">
        <f>VLOOKUP($B366,'25년 12월 출석표'!$B$2:$BQ$497,30,0)/5</f>
        <v>#N/A</v>
      </c>
      <c r="T366" s="40"/>
      <c r="U366" s="41" t="e">
        <f>VLOOKUP($B366,'25년 12월 출석표'!$B$2:$BQ$497,44,0)/5</f>
        <v>#N/A</v>
      </c>
      <c r="V366" s="40"/>
      <c r="W366" s="41" t="e">
        <f>VLOOKUP($B366,'25년 12월 출석표'!$B$2:$BQ$497,58,0)/5</f>
        <v>#N/A</v>
      </c>
      <c r="X366" s="42"/>
      <c r="Y366" s="41" t="e">
        <f>VLOOKUP($B366,'25년 12월 출석표'!$B$2:$BQ$503,66,0)/5</f>
        <v>#N/A</v>
      </c>
      <c r="Z366" s="43"/>
    </row>
    <row r="367" spans="1:26">
      <c r="A367" s="29"/>
      <c r="B367" s="164"/>
      <c r="C367" s="164"/>
      <c r="D367" s="177"/>
      <c r="E367" s="178"/>
      <c r="F367" s="180"/>
      <c r="G367" s="180"/>
      <c r="H367" s="180"/>
      <c r="I367" s="34" t="e">
        <f>VLOOKUP(B367,'25년 12월 출석표'!$B$7:$D$509,3,0)</f>
        <v>#N/A</v>
      </c>
      <c r="J367" s="35" t="e">
        <f t="shared" ca="1" si="0"/>
        <v>#NAME?</v>
      </c>
      <c r="K367" s="36" t="str">
        <f t="shared" si="3"/>
        <v/>
      </c>
      <c r="L367" s="37" t="str">
        <f t="shared" si="4"/>
        <v/>
      </c>
      <c r="M367" s="30"/>
      <c r="N367" s="38" t="b">
        <v>0</v>
      </c>
      <c r="O367" s="38" t="b">
        <v>0</v>
      </c>
      <c r="P367" s="38" t="b">
        <v>0</v>
      </c>
      <c r="Q367" s="39" t="e">
        <f>VLOOKUP($B367,'25년 12월 출석표'!$B$2:$BQ$497,16,0)/5</f>
        <v>#N/A</v>
      </c>
      <c r="R367" s="40"/>
      <c r="S367" s="41" t="e">
        <f>VLOOKUP($B367,'25년 12월 출석표'!$B$2:$BQ$497,30,0)/5</f>
        <v>#N/A</v>
      </c>
      <c r="T367" s="40"/>
      <c r="U367" s="41" t="e">
        <f>VLOOKUP($B367,'25년 12월 출석표'!$B$2:$BQ$497,44,0)/5</f>
        <v>#N/A</v>
      </c>
      <c r="V367" s="40"/>
      <c r="W367" s="41" t="e">
        <f>VLOOKUP($B367,'25년 12월 출석표'!$B$2:$BQ$497,58,0)/5</f>
        <v>#N/A</v>
      </c>
      <c r="X367" s="42"/>
      <c r="Y367" s="41" t="e">
        <f>VLOOKUP($B367,'25년 12월 출석표'!$B$2:$BQ$503,66,0)/5</f>
        <v>#N/A</v>
      </c>
      <c r="Z367" s="43"/>
    </row>
    <row r="368" spans="1:26">
      <c r="A368" s="29"/>
      <c r="B368" s="164"/>
      <c r="C368" s="164"/>
      <c r="D368" s="177"/>
      <c r="E368" s="178"/>
      <c r="F368" s="180"/>
      <c r="G368" s="180"/>
      <c r="H368" s="180"/>
      <c r="I368" s="34" t="e">
        <f>VLOOKUP(B368,'25년 12월 출석표'!$B$7:$D$509,3,0)</f>
        <v>#N/A</v>
      </c>
      <c r="J368" s="35" t="e">
        <f t="shared" ca="1" si="0"/>
        <v>#NAME?</v>
      </c>
      <c r="K368" s="36" t="str">
        <f t="shared" si="3"/>
        <v/>
      </c>
      <c r="L368" s="37" t="str">
        <f t="shared" si="4"/>
        <v/>
      </c>
      <c r="M368" s="30"/>
      <c r="N368" s="38" t="b">
        <v>0</v>
      </c>
      <c r="O368" s="38" t="b">
        <v>0</v>
      </c>
      <c r="P368" s="38" t="b">
        <v>0</v>
      </c>
      <c r="Q368" s="39" t="e">
        <f>VLOOKUP($B368,'25년 12월 출석표'!$B$2:$BQ$497,16,0)/5</f>
        <v>#N/A</v>
      </c>
      <c r="R368" s="40"/>
      <c r="S368" s="41" t="e">
        <f>VLOOKUP($B368,'25년 12월 출석표'!$B$2:$BQ$497,30,0)/5</f>
        <v>#N/A</v>
      </c>
      <c r="T368" s="40"/>
      <c r="U368" s="41" t="e">
        <f>VLOOKUP($B368,'25년 12월 출석표'!$B$2:$BQ$497,44,0)/5</f>
        <v>#N/A</v>
      </c>
      <c r="V368" s="40"/>
      <c r="W368" s="41" t="e">
        <f>VLOOKUP($B368,'25년 12월 출석표'!$B$2:$BQ$497,58,0)/5</f>
        <v>#N/A</v>
      </c>
      <c r="X368" s="42"/>
      <c r="Y368" s="41" t="e">
        <f>VLOOKUP($B368,'25년 12월 출석표'!$B$2:$BQ$503,66,0)/5</f>
        <v>#N/A</v>
      </c>
      <c r="Z368" s="43"/>
    </row>
    <row r="369" spans="1:26">
      <c r="A369" s="29"/>
      <c r="B369" s="164"/>
      <c r="C369" s="164"/>
      <c r="D369" s="177"/>
      <c r="E369" s="178"/>
      <c r="F369" s="180"/>
      <c r="G369" s="180"/>
      <c r="H369" s="180"/>
      <c r="I369" s="34" t="e">
        <f>VLOOKUP(B369,'25년 12월 출석표'!$B$7:$D$509,3,0)</f>
        <v>#N/A</v>
      </c>
      <c r="J369" s="35" t="e">
        <f t="shared" ca="1" si="0"/>
        <v>#NAME?</v>
      </c>
      <c r="K369" s="36" t="str">
        <f t="shared" si="3"/>
        <v/>
      </c>
      <c r="L369" s="37" t="str">
        <f t="shared" si="4"/>
        <v/>
      </c>
      <c r="M369" s="30"/>
      <c r="N369" s="38" t="b">
        <v>0</v>
      </c>
      <c r="O369" s="38" t="b">
        <v>0</v>
      </c>
      <c r="P369" s="38" t="b">
        <v>0</v>
      </c>
      <c r="Q369" s="39" t="e">
        <f>VLOOKUP($B369,'25년 12월 출석표'!$B$2:$BQ$497,16,0)/5</f>
        <v>#N/A</v>
      </c>
      <c r="R369" s="40"/>
      <c r="S369" s="41" t="e">
        <f>VLOOKUP($B369,'25년 12월 출석표'!$B$2:$BQ$497,30,0)/5</f>
        <v>#N/A</v>
      </c>
      <c r="T369" s="40"/>
      <c r="U369" s="41" t="e">
        <f>VLOOKUP($B369,'25년 12월 출석표'!$B$2:$BQ$497,44,0)/5</f>
        <v>#N/A</v>
      </c>
      <c r="V369" s="40"/>
      <c r="W369" s="41" t="e">
        <f>VLOOKUP($B369,'25년 12월 출석표'!$B$2:$BQ$497,58,0)/5</f>
        <v>#N/A</v>
      </c>
      <c r="X369" s="42"/>
      <c r="Y369" s="41" t="e">
        <f>VLOOKUP($B369,'25년 12월 출석표'!$B$2:$BQ$503,66,0)/5</f>
        <v>#N/A</v>
      </c>
      <c r="Z369" s="43"/>
    </row>
    <row r="370" spans="1:26">
      <c r="A370" s="29"/>
      <c r="B370" s="164"/>
      <c r="C370" s="164"/>
      <c r="D370" s="177"/>
      <c r="E370" s="178"/>
      <c r="F370" s="180"/>
      <c r="G370" s="180"/>
      <c r="H370" s="180"/>
      <c r="I370" s="34" t="e">
        <f>VLOOKUP(B370,'25년 12월 출석표'!$B$7:$D$509,3,0)</f>
        <v>#N/A</v>
      </c>
      <c r="J370" s="35" t="e">
        <f t="shared" ca="1" si="0"/>
        <v>#NAME?</v>
      </c>
      <c r="K370" s="36" t="str">
        <f t="shared" si="3"/>
        <v/>
      </c>
      <c r="L370" s="37" t="str">
        <f t="shared" si="4"/>
        <v/>
      </c>
      <c r="M370" s="30"/>
      <c r="N370" s="38" t="b">
        <v>0</v>
      </c>
      <c r="O370" s="38" t="b">
        <v>0</v>
      </c>
      <c r="P370" s="38" t="b">
        <v>0</v>
      </c>
      <c r="Q370" s="39" t="e">
        <f>VLOOKUP($B370,'25년 12월 출석표'!$B$2:$BQ$497,16,0)/5</f>
        <v>#N/A</v>
      </c>
      <c r="R370" s="40"/>
      <c r="S370" s="41" t="e">
        <f>VLOOKUP($B370,'25년 12월 출석표'!$B$2:$BQ$497,30,0)/5</f>
        <v>#N/A</v>
      </c>
      <c r="T370" s="40"/>
      <c r="U370" s="41" t="e">
        <f>VLOOKUP($B370,'25년 12월 출석표'!$B$2:$BQ$497,44,0)/5</f>
        <v>#N/A</v>
      </c>
      <c r="V370" s="40"/>
      <c r="W370" s="41" t="e">
        <f>VLOOKUP($B370,'25년 12월 출석표'!$B$2:$BQ$497,58,0)/5</f>
        <v>#N/A</v>
      </c>
      <c r="X370" s="42"/>
      <c r="Y370" s="41" t="e">
        <f>VLOOKUP($B370,'25년 12월 출석표'!$B$2:$BQ$503,66,0)/5</f>
        <v>#N/A</v>
      </c>
      <c r="Z370" s="43"/>
    </row>
    <row r="371" spans="1:26">
      <c r="A371" s="29"/>
      <c r="B371" s="164"/>
      <c r="C371" s="164"/>
      <c r="D371" s="177"/>
      <c r="E371" s="178"/>
      <c r="F371" s="180"/>
      <c r="G371" s="180"/>
      <c r="H371" s="180"/>
      <c r="I371" s="34" t="e">
        <f>VLOOKUP(B371,'25년 12월 출석표'!$B$7:$D$509,3,0)</f>
        <v>#N/A</v>
      </c>
      <c r="J371" s="35" t="e">
        <f t="shared" ca="1" si="0"/>
        <v>#NAME?</v>
      </c>
      <c r="K371" s="36" t="str">
        <f t="shared" si="3"/>
        <v/>
      </c>
      <c r="L371" s="37" t="str">
        <f t="shared" si="4"/>
        <v/>
      </c>
      <c r="M371" s="30"/>
      <c r="N371" s="38" t="b">
        <v>0</v>
      </c>
      <c r="O371" s="38" t="b">
        <v>0</v>
      </c>
      <c r="P371" s="38" t="b">
        <v>0</v>
      </c>
      <c r="Q371" s="39" t="e">
        <f>VLOOKUP($B371,'25년 12월 출석표'!$B$2:$BQ$497,16,0)/5</f>
        <v>#N/A</v>
      </c>
      <c r="R371" s="40"/>
      <c r="S371" s="41" t="e">
        <f>VLOOKUP($B371,'25년 12월 출석표'!$B$2:$BQ$497,30,0)/5</f>
        <v>#N/A</v>
      </c>
      <c r="T371" s="40"/>
      <c r="U371" s="41" t="e">
        <f>VLOOKUP($B371,'25년 12월 출석표'!$B$2:$BQ$497,44,0)/5</f>
        <v>#N/A</v>
      </c>
      <c r="V371" s="40"/>
      <c r="W371" s="41" t="e">
        <f>VLOOKUP($B371,'25년 12월 출석표'!$B$2:$BQ$497,58,0)/5</f>
        <v>#N/A</v>
      </c>
      <c r="X371" s="42"/>
      <c r="Y371" s="41" t="e">
        <f>VLOOKUP($B371,'25년 12월 출석표'!$B$2:$BQ$503,66,0)/5</f>
        <v>#N/A</v>
      </c>
      <c r="Z371" s="43"/>
    </row>
    <row r="372" spans="1:26">
      <c r="A372" s="29"/>
      <c r="B372" s="164"/>
      <c r="C372" s="164"/>
      <c r="D372" s="177"/>
      <c r="E372" s="178"/>
      <c r="F372" s="180"/>
      <c r="G372" s="180"/>
      <c r="H372" s="180"/>
      <c r="I372" s="34" t="e">
        <f>VLOOKUP(B372,'25년 12월 출석표'!$B$7:$D$509,3,0)</f>
        <v>#N/A</v>
      </c>
      <c r="J372" s="35" t="e">
        <f t="shared" ca="1" si="0"/>
        <v>#NAME?</v>
      </c>
      <c r="K372" s="36" t="str">
        <f t="shared" si="3"/>
        <v/>
      </c>
      <c r="L372" s="37" t="str">
        <f t="shared" si="4"/>
        <v/>
      </c>
      <c r="M372" s="30"/>
      <c r="N372" s="38" t="b">
        <v>0</v>
      </c>
      <c r="O372" s="38" t="b">
        <v>0</v>
      </c>
      <c r="P372" s="38" t="b">
        <v>0</v>
      </c>
      <c r="Q372" s="39" t="e">
        <f>VLOOKUP($B372,'25년 12월 출석표'!$B$2:$BQ$497,16,0)/5</f>
        <v>#N/A</v>
      </c>
      <c r="R372" s="40"/>
      <c r="S372" s="41" t="e">
        <f>VLOOKUP($B372,'25년 12월 출석표'!$B$2:$BQ$497,30,0)/5</f>
        <v>#N/A</v>
      </c>
      <c r="T372" s="40"/>
      <c r="U372" s="41" t="e">
        <f>VLOOKUP($B372,'25년 12월 출석표'!$B$2:$BQ$497,44,0)/5</f>
        <v>#N/A</v>
      </c>
      <c r="V372" s="40"/>
      <c r="W372" s="41" t="e">
        <f>VLOOKUP($B372,'25년 12월 출석표'!$B$2:$BQ$497,58,0)/5</f>
        <v>#N/A</v>
      </c>
      <c r="X372" s="42"/>
      <c r="Y372" s="41" t="e">
        <f>VLOOKUP($B372,'25년 12월 출석표'!$B$2:$BQ$503,66,0)/5</f>
        <v>#N/A</v>
      </c>
      <c r="Z372" s="43"/>
    </row>
    <row r="373" spans="1:26">
      <c r="A373" s="29"/>
      <c r="B373" s="164"/>
      <c r="C373" s="164"/>
      <c r="D373" s="177"/>
      <c r="E373" s="178"/>
      <c r="F373" s="180"/>
      <c r="G373" s="180"/>
      <c r="H373" s="180"/>
      <c r="I373" s="34" t="e">
        <f>VLOOKUP(B373,'25년 12월 출석표'!$B$7:$D$509,3,0)</f>
        <v>#N/A</v>
      </c>
      <c r="J373" s="35" t="e">
        <f t="shared" ca="1" si="0"/>
        <v>#NAME?</v>
      </c>
      <c r="K373" s="36" t="str">
        <f t="shared" si="3"/>
        <v/>
      </c>
      <c r="L373" s="37" t="str">
        <f t="shared" si="4"/>
        <v/>
      </c>
      <c r="M373" s="30"/>
      <c r="N373" s="38" t="b">
        <v>0</v>
      </c>
      <c r="O373" s="38" t="b">
        <v>0</v>
      </c>
      <c r="P373" s="38" t="b">
        <v>0</v>
      </c>
      <c r="Q373" s="39" t="e">
        <f>VLOOKUP($B373,'25년 12월 출석표'!$B$2:$BQ$497,16,0)/5</f>
        <v>#N/A</v>
      </c>
      <c r="R373" s="40"/>
      <c r="S373" s="41" t="e">
        <f>VLOOKUP($B373,'25년 12월 출석표'!$B$2:$BQ$497,30,0)/5</f>
        <v>#N/A</v>
      </c>
      <c r="T373" s="40"/>
      <c r="U373" s="41" t="e">
        <f>VLOOKUP($B373,'25년 12월 출석표'!$B$2:$BQ$497,44,0)/5</f>
        <v>#N/A</v>
      </c>
      <c r="V373" s="40"/>
      <c r="W373" s="41" t="e">
        <f>VLOOKUP($B373,'25년 12월 출석표'!$B$2:$BQ$497,58,0)/5</f>
        <v>#N/A</v>
      </c>
      <c r="X373" s="42"/>
      <c r="Y373" s="41" t="e">
        <f>VLOOKUP($B373,'25년 12월 출석표'!$B$2:$BQ$503,66,0)/5</f>
        <v>#N/A</v>
      </c>
      <c r="Z373" s="43"/>
    </row>
    <row r="374" spans="1:26">
      <c r="A374" s="29"/>
      <c r="B374" s="164"/>
      <c r="C374" s="164"/>
      <c r="D374" s="177"/>
      <c r="E374" s="178"/>
      <c r="F374" s="180"/>
      <c r="G374" s="180"/>
      <c r="H374" s="180"/>
      <c r="I374" s="34" t="e">
        <f>VLOOKUP(B374,'25년 12월 출석표'!$B$7:$D$509,3,0)</f>
        <v>#N/A</v>
      </c>
      <c r="J374" s="35" t="e">
        <f t="shared" ca="1" si="0"/>
        <v>#NAME?</v>
      </c>
      <c r="K374" s="36" t="str">
        <f t="shared" si="3"/>
        <v/>
      </c>
      <c r="L374" s="37" t="str">
        <f t="shared" si="4"/>
        <v/>
      </c>
      <c r="M374" s="30"/>
      <c r="N374" s="38" t="b">
        <v>0</v>
      </c>
      <c r="O374" s="38" t="b">
        <v>0</v>
      </c>
      <c r="P374" s="38" t="b">
        <v>0</v>
      </c>
      <c r="Q374" s="39" t="e">
        <f>VLOOKUP($B374,'25년 12월 출석표'!$B$2:$BQ$497,16,0)/5</f>
        <v>#N/A</v>
      </c>
      <c r="R374" s="40"/>
      <c r="S374" s="41" t="e">
        <f>VLOOKUP($B374,'25년 12월 출석표'!$B$2:$BQ$497,30,0)/5</f>
        <v>#N/A</v>
      </c>
      <c r="T374" s="40"/>
      <c r="U374" s="41" t="e">
        <f>VLOOKUP($B374,'25년 12월 출석표'!$B$2:$BQ$497,44,0)/5</f>
        <v>#N/A</v>
      </c>
      <c r="V374" s="40"/>
      <c r="W374" s="41" t="e">
        <f>VLOOKUP($B374,'25년 12월 출석표'!$B$2:$BQ$497,58,0)/5</f>
        <v>#N/A</v>
      </c>
      <c r="X374" s="42"/>
      <c r="Y374" s="41" t="e">
        <f>VLOOKUP($B374,'25년 12월 출석표'!$B$2:$BQ$503,66,0)/5</f>
        <v>#N/A</v>
      </c>
      <c r="Z374" s="43"/>
    </row>
    <row r="375" spans="1:26">
      <c r="A375" s="29"/>
      <c r="B375" s="164"/>
      <c r="C375" s="164"/>
      <c r="D375" s="177"/>
      <c r="E375" s="178"/>
      <c r="F375" s="180"/>
      <c r="G375" s="180"/>
      <c r="H375" s="180"/>
      <c r="I375" s="34" t="e">
        <f>VLOOKUP(B375,'25년 12월 출석표'!$B$7:$D$509,3,0)</f>
        <v>#N/A</v>
      </c>
      <c r="J375" s="35" t="e">
        <f t="shared" ca="1" si="0"/>
        <v>#NAME?</v>
      </c>
      <c r="K375" s="36" t="str">
        <f t="shared" si="3"/>
        <v/>
      </c>
      <c r="L375" s="37" t="str">
        <f t="shared" si="4"/>
        <v/>
      </c>
      <c r="M375" s="30"/>
      <c r="N375" s="38" t="b">
        <v>0</v>
      </c>
      <c r="O375" s="38" t="b">
        <v>0</v>
      </c>
      <c r="P375" s="38" t="b">
        <v>0</v>
      </c>
      <c r="Q375" s="39" t="e">
        <f>VLOOKUP($B375,'25년 12월 출석표'!$B$2:$BQ$497,16,0)/5</f>
        <v>#N/A</v>
      </c>
      <c r="R375" s="40"/>
      <c r="S375" s="41" t="e">
        <f>VLOOKUP($B375,'25년 12월 출석표'!$B$2:$BQ$497,30,0)/5</f>
        <v>#N/A</v>
      </c>
      <c r="T375" s="40"/>
      <c r="U375" s="41" t="e">
        <f>VLOOKUP($B375,'25년 12월 출석표'!$B$2:$BQ$497,44,0)/5</f>
        <v>#N/A</v>
      </c>
      <c r="V375" s="40"/>
      <c r="W375" s="41" t="e">
        <f>VLOOKUP($B375,'25년 12월 출석표'!$B$2:$BQ$497,58,0)/5</f>
        <v>#N/A</v>
      </c>
      <c r="X375" s="42"/>
      <c r="Y375" s="41" t="e">
        <f>VLOOKUP($B375,'25년 12월 출석표'!$B$2:$BQ$503,66,0)/5</f>
        <v>#N/A</v>
      </c>
      <c r="Z375" s="43"/>
    </row>
    <row r="376" spans="1:26">
      <c r="A376" s="29"/>
      <c r="B376" s="164"/>
      <c r="C376" s="164"/>
      <c r="D376" s="177"/>
      <c r="E376" s="178"/>
      <c r="F376" s="180"/>
      <c r="G376" s="180"/>
      <c r="H376" s="180"/>
      <c r="I376" s="34" t="e">
        <f>VLOOKUP(B376,'25년 12월 출석표'!$B$7:$D$509,3,0)</f>
        <v>#N/A</v>
      </c>
      <c r="J376" s="35" t="e">
        <f t="shared" ca="1" si="0"/>
        <v>#NAME?</v>
      </c>
      <c r="K376" s="36" t="str">
        <f t="shared" si="3"/>
        <v/>
      </c>
      <c r="L376" s="37" t="str">
        <f t="shared" si="4"/>
        <v/>
      </c>
      <c r="M376" s="30"/>
      <c r="N376" s="38" t="b">
        <v>0</v>
      </c>
      <c r="O376" s="38" t="b">
        <v>0</v>
      </c>
      <c r="P376" s="38" t="b">
        <v>0</v>
      </c>
      <c r="Q376" s="39" t="e">
        <f>VLOOKUP($B376,'25년 12월 출석표'!$B$2:$BQ$497,16,0)/5</f>
        <v>#N/A</v>
      </c>
      <c r="R376" s="40"/>
      <c r="S376" s="41" t="e">
        <f>VLOOKUP($B376,'25년 12월 출석표'!$B$2:$BQ$497,30,0)/5</f>
        <v>#N/A</v>
      </c>
      <c r="T376" s="40"/>
      <c r="U376" s="41" t="e">
        <f>VLOOKUP($B376,'25년 12월 출석표'!$B$2:$BQ$497,44,0)/5</f>
        <v>#N/A</v>
      </c>
      <c r="V376" s="40"/>
      <c r="W376" s="41" t="e">
        <f>VLOOKUP($B376,'25년 12월 출석표'!$B$2:$BQ$497,58,0)/5</f>
        <v>#N/A</v>
      </c>
      <c r="X376" s="42"/>
      <c r="Y376" s="41" t="e">
        <f>VLOOKUP($B376,'25년 12월 출석표'!$B$2:$BQ$503,66,0)/5</f>
        <v>#N/A</v>
      </c>
      <c r="Z376" s="43"/>
    </row>
    <row r="377" spans="1:26">
      <c r="A377" s="29"/>
      <c r="B377" s="164"/>
      <c r="C377" s="164"/>
      <c r="D377" s="177"/>
      <c r="E377" s="178"/>
      <c r="F377" s="180"/>
      <c r="G377" s="180"/>
      <c r="H377" s="180"/>
      <c r="I377" s="34" t="e">
        <f>VLOOKUP(B377,'25년 12월 출석표'!$B$7:$D$509,3,0)</f>
        <v>#N/A</v>
      </c>
      <c r="J377" s="35" t="e">
        <f t="shared" ca="1" si="0"/>
        <v>#NAME?</v>
      </c>
      <c r="K377" s="36" t="str">
        <f t="shared" si="3"/>
        <v/>
      </c>
      <c r="L377" s="37" t="str">
        <f t="shared" si="4"/>
        <v/>
      </c>
      <c r="M377" s="30"/>
      <c r="N377" s="38" t="b">
        <v>0</v>
      </c>
      <c r="O377" s="38" t="b">
        <v>0</v>
      </c>
      <c r="P377" s="38" t="b">
        <v>0</v>
      </c>
      <c r="Q377" s="39" t="e">
        <f>VLOOKUP($B377,'25년 12월 출석표'!$B$2:$BQ$497,16,0)/5</f>
        <v>#N/A</v>
      </c>
      <c r="R377" s="40"/>
      <c r="S377" s="41" t="e">
        <f>VLOOKUP($B377,'25년 12월 출석표'!$B$2:$BQ$497,30,0)/5</f>
        <v>#N/A</v>
      </c>
      <c r="T377" s="40"/>
      <c r="U377" s="41" t="e">
        <f>VLOOKUP($B377,'25년 12월 출석표'!$B$2:$BQ$497,44,0)/5</f>
        <v>#N/A</v>
      </c>
      <c r="V377" s="40"/>
      <c r="W377" s="41" t="e">
        <f>VLOOKUP($B377,'25년 12월 출석표'!$B$2:$BQ$497,58,0)/5</f>
        <v>#N/A</v>
      </c>
      <c r="X377" s="42"/>
      <c r="Y377" s="41" t="e">
        <f>VLOOKUP($B377,'25년 12월 출석표'!$B$2:$BQ$503,66,0)/5</f>
        <v>#N/A</v>
      </c>
      <c r="Z377" s="43"/>
    </row>
    <row r="378" spans="1:26">
      <c r="A378" s="29"/>
      <c r="B378" s="164"/>
      <c r="C378" s="164"/>
      <c r="D378" s="177"/>
      <c r="E378" s="178"/>
      <c r="F378" s="180"/>
      <c r="G378" s="180"/>
      <c r="H378" s="180"/>
      <c r="I378" s="34" t="e">
        <f>VLOOKUP(B378,'25년 12월 출석표'!$B$7:$D$509,3,0)</f>
        <v>#N/A</v>
      </c>
      <c r="J378" s="35" t="e">
        <f t="shared" ca="1" si="0"/>
        <v>#NAME?</v>
      </c>
      <c r="K378" s="36" t="str">
        <f t="shared" si="3"/>
        <v/>
      </c>
      <c r="L378" s="37" t="str">
        <f t="shared" si="4"/>
        <v/>
      </c>
      <c r="M378" s="30"/>
      <c r="N378" s="38" t="b">
        <v>0</v>
      </c>
      <c r="O378" s="38" t="b">
        <v>0</v>
      </c>
      <c r="P378" s="38" t="b">
        <v>0</v>
      </c>
      <c r="Q378" s="39" t="e">
        <f>VLOOKUP($B378,'25년 12월 출석표'!$B$2:$BQ$497,16,0)/5</f>
        <v>#N/A</v>
      </c>
      <c r="R378" s="40"/>
      <c r="S378" s="41" t="e">
        <f>VLOOKUP($B378,'25년 12월 출석표'!$B$2:$BQ$497,30,0)/5</f>
        <v>#N/A</v>
      </c>
      <c r="T378" s="40"/>
      <c r="U378" s="41" t="e">
        <f>VLOOKUP($B378,'25년 12월 출석표'!$B$2:$BQ$497,44,0)/5</f>
        <v>#N/A</v>
      </c>
      <c r="V378" s="40"/>
      <c r="W378" s="41" t="e">
        <f>VLOOKUP($B378,'25년 12월 출석표'!$B$2:$BQ$497,58,0)/5</f>
        <v>#N/A</v>
      </c>
      <c r="X378" s="42"/>
      <c r="Y378" s="41" t="e">
        <f>VLOOKUP($B378,'25년 12월 출석표'!$B$2:$BQ$503,66,0)/5</f>
        <v>#N/A</v>
      </c>
      <c r="Z378" s="43"/>
    </row>
    <row r="379" spans="1:26">
      <c r="A379" s="29"/>
      <c r="B379" s="164"/>
      <c r="C379" s="164"/>
      <c r="D379" s="177"/>
      <c r="E379" s="178"/>
      <c r="F379" s="180"/>
      <c r="G379" s="180"/>
      <c r="H379" s="180"/>
      <c r="I379" s="34" t="e">
        <f>VLOOKUP(B379,'25년 12월 출석표'!$B$7:$D$509,3,0)</f>
        <v>#N/A</v>
      </c>
      <c r="J379" s="35" t="e">
        <f t="shared" ca="1" si="0"/>
        <v>#NAME?</v>
      </c>
      <c r="K379" s="36" t="str">
        <f t="shared" si="3"/>
        <v/>
      </c>
      <c r="L379" s="37" t="str">
        <f t="shared" si="4"/>
        <v/>
      </c>
      <c r="M379" s="30"/>
      <c r="N379" s="38" t="b">
        <v>0</v>
      </c>
      <c r="O379" s="38" t="b">
        <v>0</v>
      </c>
      <c r="P379" s="38" t="b">
        <v>0</v>
      </c>
      <c r="Q379" s="39" t="e">
        <f>VLOOKUP($B379,'25년 12월 출석표'!$B$2:$BQ$497,16,0)/5</f>
        <v>#N/A</v>
      </c>
      <c r="R379" s="40"/>
      <c r="S379" s="41" t="e">
        <f>VLOOKUP($B379,'25년 12월 출석표'!$B$2:$BQ$497,30,0)/5</f>
        <v>#N/A</v>
      </c>
      <c r="T379" s="40"/>
      <c r="U379" s="41" t="e">
        <f>VLOOKUP($B379,'25년 12월 출석표'!$B$2:$BQ$497,44,0)/5</f>
        <v>#N/A</v>
      </c>
      <c r="V379" s="40"/>
      <c r="W379" s="41" t="e">
        <f>VLOOKUP($B379,'25년 12월 출석표'!$B$2:$BQ$497,58,0)/5</f>
        <v>#N/A</v>
      </c>
      <c r="X379" s="42"/>
      <c r="Y379" s="41" t="e">
        <f>VLOOKUP($B379,'25년 12월 출석표'!$B$2:$BQ$503,66,0)/5</f>
        <v>#N/A</v>
      </c>
      <c r="Z379" s="43"/>
    </row>
    <row r="380" spans="1:26">
      <c r="A380" s="29"/>
      <c r="B380" s="164"/>
      <c r="C380" s="164"/>
      <c r="D380" s="177"/>
      <c r="E380" s="178"/>
      <c r="F380" s="180"/>
      <c r="G380" s="180"/>
      <c r="H380" s="180"/>
      <c r="I380" s="34" t="e">
        <f>VLOOKUP(B380,'25년 12월 출석표'!$B$7:$D$509,3,0)</f>
        <v>#N/A</v>
      </c>
      <c r="J380" s="35" t="e">
        <f t="shared" ca="1" si="0"/>
        <v>#NAME?</v>
      </c>
      <c r="K380" s="36" t="str">
        <f t="shared" si="3"/>
        <v/>
      </c>
      <c r="L380" s="37" t="str">
        <f t="shared" si="4"/>
        <v/>
      </c>
      <c r="M380" s="30"/>
      <c r="N380" s="38" t="b">
        <v>0</v>
      </c>
      <c r="O380" s="38" t="b">
        <v>0</v>
      </c>
      <c r="P380" s="38" t="b">
        <v>0</v>
      </c>
      <c r="Q380" s="39" t="e">
        <f>VLOOKUP($B380,'25년 12월 출석표'!$B$2:$BQ$497,16,0)/5</f>
        <v>#N/A</v>
      </c>
      <c r="R380" s="40"/>
      <c r="S380" s="41" t="e">
        <f>VLOOKUP($B380,'25년 12월 출석표'!$B$2:$BQ$497,30,0)/5</f>
        <v>#N/A</v>
      </c>
      <c r="T380" s="40"/>
      <c r="U380" s="41" t="e">
        <f>VLOOKUP($B380,'25년 12월 출석표'!$B$2:$BQ$497,44,0)/5</f>
        <v>#N/A</v>
      </c>
      <c r="V380" s="40"/>
      <c r="W380" s="41" t="e">
        <f>VLOOKUP($B380,'25년 12월 출석표'!$B$2:$BQ$497,58,0)/5</f>
        <v>#N/A</v>
      </c>
      <c r="X380" s="42"/>
      <c r="Y380" s="41" t="e">
        <f>VLOOKUP($B380,'25년 12월 출석표'!$B$2:$BQ$503,66,0)/5</f>
        <v>#N/A</v>
      </c>
      <c r="Z380" s="43"/>
    </row>
    <row r="381" spans="1:26">
      <c r="A381" s="29"/>
      <c r="B381" s="164"/>
      <c r="C381" s="164"/>
      <c r="D381" s="177"/>
      <c r="E381" s="178"/>
      <c r="F381" s="180"/>
      <c r="G381" s="180"/>
      <c r="H381" s="180"/>
      <c r="I381" s="34" t="e">
        <f>VLOOKUP(B381,'25년 12월 출석표'!$B$7:$D$509,3,0)</f>
        <v>#N/A</v>
      </c>
      <c r="J381" s="35" t="e">
        <f t="shared" ca="1" si="0"/>
        <v>#NAME?</v>
      </c>
      <c r="K381" s="36" t="str">
        <f t="shared" si="3"/>
        <v/>
      </c>
      <c r="L381" s="37" t="str">
        <f t="shared" si="4"/>
        <v/>
      </c>
      <c r="M381" s="30"/>
      <c r="N381" s="38" t="b">
        <v>0</v>
      </c>
      <c r="O381" s="38" t="b">
        <v>0</v>
      </c>
      <c r="P381" s="38" t="b">
        <v>0</v>
      </c>
      <c r="Q381" s="39" t="e">
        <f>VLOOKUP($B381,'25년 12월 출석표'!$B$2:$BQ$497,16,0)/5</f>
        <v>#N/A</v>
      </c>
      <c r="R381" s="40"/>
      <c r="S381" s="41" t="e">
        <f>VLOOKUP($B381,'25년 12월 출석표'!$B$2:$BQ$497,30,0)/5</f>
        <v>#N/A</v>
      </c>
      <c r="T381" s="40"/>
      <c r="U381" s="41" t="e">
        <f>VLOOKUP($B381,'25년 12월 출석표'!$B$2:$BQ$497,44,0)/5</f>
        <v>#N/A</v>
      </c>
      <c r="V381" s="40"/>
      <c r="W381" s="41" t="e">
        <f>VLOOKUP($B381,'25년 12월 출석표'!$B$2:$BQ$497,58,0)/5</f>
        <v>#N/A</v>
      </c>
      <c r="X381" s="42"/>
      <c r="Y381" s="41" t="e">
        <f>VLOOKUP($B381,'25년 12월 출석표'!$B$2:$BQ$503,66,0)/5</f>
        <v>#N/A</v>
      </c>
      <c r="Z381" s="43"/>
    </row>
    <row r="382" spans="1:26">
      <c r="A382" s="29"/>
      <c r="B382" s="164"/>
      <c r="C382" s="164"/>
      <c r="D382" s="177"/>
      <c r="E382" s="178"/>
      <c r="F382" s="180"/>
      <c r="G382" s="180"/>
      <c r="H382" s="180"/>
      <c r="I382" s="34" t="e">
        <f>VLOOKUP(B382,'25년 12월 출석표'!$B$7:$D$509,3,0)</f>
        <v>#N/A</v>
      </c>
      <c r="J382" s="35" t="e">
        <f t="shared" ca="1" si="0"/>
        <v>#NAME?</v>
      </c>
      <c r="K382" s="36" t="str">
        <f t="shared" si="3"/>
        <v/>
      </c>
      <c r="L382" s="37" t="str">
        <f t="shared" si="4"/>
        <v/>
      </c>
      <c r="M382" s="30"/>
      <c r="N382" s="38" t="b">
        <v>0</v>
      </c>
      <c r="O382" s="38" t="b">
        <v>0</v>
      </c>
      <c r="P382" s="38" t="b">
        <v>0</v>
      </c>
      <c r="Q382" s="39" t="e">
        <f>VLOOKUP($B382,'25년 12월 출석표'!$B$2:$BQ$497,16,0)/5</f>
        <v>#N/A</v>
      </c>
      <c r="R382" s="40"/>
      <c r="S382" s="41" t="e">
        <f>VLOOKUP($B382,'25년 12월 출석표'!$B$2:$BQ$497,30,0)/5</f>
        <v>#N/A</v>
      </c>
      <c r="T382" s="40"/>
      <c r="U382" s="41" t="e">
        <f>VLOOKUP($B382,'25년 12월 출석표'!$B$2:$BQ$497,44,0)/5</f>
        <v>#N/A</v>
      </c>
      <c r="V382" s="40"/>
      <c r="W382" s="41" t="e">
        <f>VLOOKUP($B382,'25년 12월 출석표'!$B$2:$BQ$497,58,0)/5</f>
        <v>#N/A</v>
      </c>
      <c r="X382" s="42"/>
      <c r="Y382" s="41" t="e">
        <f>VLOOKUP($B382,'25년 12월 출석표'!$B$2:$BQ$503,66,0)/5</f>
        <v>#N/A</v>
      </c>
      <c r="Z382" s="43"/>
    </row>
    <row r="383" spans="1:26">
      <c r="A383" s="29"/>
      <c r="B383" s="164"/>
      <c r="C383" s="164"/>
      <c r="D383" s="177"/>
      <c r="E383" s="178"/>
      <c r="F383" s="180"/>
      <c r="G383" s="180"/>
      <c r="H383" s="180"/>
      <c r="I383" s="34" t="e">
        <f>VLOOKUP(B383,'25년 12월 출석표'!$B$7:$D$509,3,0)</f>
        <v>#N/A</v>
      </c>
      <c r="J383" s="35" t="e">
        <f t="shared" ca="1" si="0"/>
        <v>#NAME?</v>
      </c>
      <c r="K383" s="36" t="str">
        <f t="shared" si="3"/>
        <v/>
      </c>
      <c r="L383" s="37" t="str">
        <f t="shared" si="4"/>
        <v/>
      </c>
      <c r="M383" s="30"/>
      <c r="N383" s="38" t="b">
        <v>0</v>
      </c>
      <c r="O383" s="38" t="b">
        <v>0</v>
      </c>
      <c r="P383" s="38" t="b">
        <v>0</v>
      </c>
      <c r="Q383" s="39" t="e">
        <f>VLOOKUP($B383,'25년 12월 출석표'!$B$2:$BQ$497,16,0)/5</f>
        <v>#N/A</v>
      </c>
      <c r="R383" s="40"/>
      <c r="S383" s="41" t="e">
        <f>VLOOKUP($B383,'25년 12월 출석표'!$B$2:$BQ$497,30,0)/5</f>
        <v>#N/A</v>
      </c>
      <c r="T383" s="40"/>
      <c r="U383" s="41" t="e">
        <f>VLOOKUP($B383,'25년 12월 출석표'!$B$2:$BQ$497,44,0)/5</f>
        <v>#N/A</v>
      </c>
      <c r="V383" s="40"/>
      <c r="W383" s="41" t="e">
        <f>VLOOKUP($B383,'25년 12월 출석표'!$B$2:$BQ$497,58,0)/5</f>
        <v>#N/A</v>
      </c>
      <c r="X383" s="42"/>
      <c r="Y383" s="41" t="e">
        <f>VLOOKUP($B383,'25년 12월 출석표'!$B$2:$BQ$503,66,0)/5</f>
        <v>#N/A</v>
      </c>
      <c r="Z383" s="43"/>
    </row>
    <row r="384" spans="1:26">
      <c r="A384" s="29"/>
      <c r="B384" s="164"/>
      <c r="C384" s="164"/>
      <c r="D384" s="177"/>
      <c r="E384" s="178"/>
      <c r="F384" s="180"/>
      <c r="G384" s="180"/>
      <c r="H384" s="180"/>
      <c r="I384" s="34" t="e">
        <f>VLOOKUP(B384,'25년 12월 출석표'!$B$7:$D$509,3,0)</f>
        <v>#N/A</v>
      </c>
      <c r="J384" s="35" t="e">
        <f t="shared" ca="1" si="0"/>
        <v>#NAME?</v>
      </c>
      <c r="K384" s="36" t="str">
        <f t="shared" si="3"/>
        <v/>
      </c>
      <c r="L384" s="37" t="str">
        <f t="shared" si="4"/>
        <v/>
      </c>
      <c r="M384" s="30"/>
      <c r="N384" s="38" t="b">
        <v>0</v>
      </c>
      <c r="O384" s="38" t="b">
        <v>0</v>
      </c>
      <c r="P384" s="38" t="b">
        <v>0</v>
      </c>
      <c r="Q384" s="39" t="e">
        <f>VLOOKUP($B384,'25년 12월 출석표'!$B$2:$BQ$497,16,0)/5</f>
        <v>#N/A</v>
      </c>
      <c r="R384" s="40"/>
      <c r="S384" s="41" t="e">
        <f>VLOOKUP($B384,'25년 12월 출석표'!$B$2:$BQ$497,30,0)/5</f>
        <v>#N/A</v>
      </c>
      <c r="T384" s="40"/>
      <c r="U384" s="41" t="e">
        <f>VLOOKUP($B384,'25년 12월 출석표'!$B$2:$BQ$497,44,0)/5</f>
        <v>#N/A</v>
      </c>
      <c r="V384" s="40"/>
      <c r="W384" s="41" t="e">
        <f>VLOOKUP($B384,'25년 12월 출석표'!$B$2:$BQ$497,58,0)/5</f>
        <v>#N/A</v>
      </c>
      <c r="X384" s="42"/>
      <c r="Y384" s="41" t="e">
        <f>VLOOKUP($B384,'25년 12월 출석표'!$B$2:$BQ$503,66,0)/5</f>
        <v>#N/A</v>
      </c>
      <c r="Z384" s="43"/>
    </row>
    <row r="385" spans="1:26">
      <c r="A385" s="29"/>
      <c r="B385" s="164"/>
      <c r="C385" s="164"/>
      <c r="D385" s="177"/>
      <c r="E385" s="178"/>
      <c r="F385" s="180"/>
      <c r="G385" s="180"/>
      <c r="H385" s="180"/>
      <c r="I385" s="34" t="e">
        <f>VLOOKUP(B385,'25년 12월 출석표'!$B$7:$D$509,3,0)</f>
        <v>#N/A</v>
      </c>
      <c r="J385" s="35" t="e">
        <f t="shared" ca="1" si="0"/>
        <v>#NAME?</v>
      </c>
      <c r="K385" s="36" t="str">
        <f t="shared" si="3"/>
        <v/>
      </c>
      <c r="L385" s="37" t="str">
        <f t="shared" si="4"/>
        <v/>
      </c>
      <c r="M385" s="30"/>
      <c r="N385" s="38" t="b">
        <v>0</v>
      </c>
      <c r="O385" s="38" t="b">
        <v>0</v>
      </c>
      <c r="P385" s="38" t="b">
        <v>0</v>
      </c>
      <c r="Q385" s="39" t="e">
        <f>VLOOKUP($B385,'25년 12월 출석표'!$B$2:$BQ$497,16,0)/5</f>
        <v>#N/A</v>
      </c>
      <c r="R385" s="40"/>
      <c r="S385" s="41" t="e">
        <f>VLOOKUP($B385,'25년 12월 출석표'!$B$2:$BQ$497,30,0)/5</f>
        <v>#N/A</v>
      </c>
      <c r="T385" s="40"/>
      <c r="U385" s="41" t="e">
        <f>VLOOKUP($B385,'25년 12월 출석표'!$B$2:$BQ$497,44,0)/5</f>
        <v>#N/A</v>
      </c>
      <c r="V385" s="40"/>
      <c r="W385" s="41" t="e">
        <f>VLOOKUP($B385,'25년 12월 출석표'!$B$2:$BQ$497,58,0)/5</f>
        <v>#N/A</v>
      </c>
      <c r="X385" s="42"/>
      <c r="Y385" s="41" t="e">
        <f>VLOOKUP($B385,'25년 12월 출석표'!$B$2:$BQ$503,66,0)/5</f>
        <v>#N/A</v>
      </c>
      <c r="Z385" s="43"/>
    </row>
    <row r="386" spans="1:26">
      <c r="A386" s="29"/>
      <c r="B386" s="164"/>
      <c r="C386" s="164"/>
      <c r="D386" s="177"/>
      <c r="E386" s="178"/>
      <c r="F386" s="180"/>
      <c r="G386" s="180"/>
      <c r="H386" s="180"/>
      <c r="I386" s="34" t="e">
        <f>VLOOKUP(B386,'25년 12월 출석표'!$B$7:$D$509,3,0)</f>
        <v>#N/A</v>
      </c>
      <c r="J386" s="35" t="e">
        <f t="shared" ca="1" si="0"/>
        <v>#NAME?</v>
      </c>
      <c r="K386" s="36" t="str">
        <f t="shared" si="3"/>
        <v/>
      </c>
      <c r="L386" s="37" t="str">
        <f t="shared" si="4"/>
        <v/>
      </c>
      <c r="M386" s="30"/>
      <c r="N386" s="38" t="b">
        <v>0</v>
      </c>
      <c r="O386" s="38" t="b">
        <v>0</v>
      </c>
      <c r="P386" s="38" t="b">
        <v>0</v>
      </c>
      <c r="Q386" s="39" t="e">
        <f>VLOOKUP($B386,'25년 12월 출석표'!$B$2:$BQ$497,16,0)/5</f>
        <v>#N/A</v>
      </c>
      <c r="R386" s="40"/>
      <c r="S386" s="41" t="e">
        <f>VLOOKUP($B386,'25년 12월 출석표'!$B$2:$BQ$497,30,0)/5</f>
        <v>#N/A</v>
      </c>
      <c r="T386" s="40"/>
      <c r="U386" s="41" t="e">
        <f>VLOOKUP($B386,'25년 12월 출석표'!$B$2:$BQ$497,44,0)/5</f>
        <v>#N/A</v>
      </c>
      <c r="V386" s="40"/>
      <c r="W386" s="41" t="e">
        <f>VLOOKUP($B386,'25년 12월 출석표'!$B$2:$BQ$497,58,0)/5</f>
        <v>#N/A</v>
      </c>
      <c r="X386" s="42"/>
      <c r="Y386" s="41" t="e">
        <f>VLOOKUP($B386,'25년 12월 출석표'!$B$2:$BQ$503,66,0)/5</f>
        <v>#N/A</v>
      </c>
      <c r="Z386" s="43"/>
    </row>
    <row r="387" spans="1:26">
      <c r="A387" s="29"/>
      <c r="B387" s="164"/>
      <c r="C387" s="164"/>
      <c r="D387" s="177"/>
      <c r="E387" s="178"/>
      <c r="F387" s="180"/>
      <c r="G387" s="180"/>
      <c r="H387" s="180"/>
      <c r="I387" s="34" t="e">
        <f>VLOOKUP(B387,'25년 12월 출석표'!$B$7:$D$509,3,0)</f>
        <v>#N/A</v>
      </c>
      <c r="J387" s="35" t="e">
        <f t="shared" ca="1" si="0"/>
        <v>#NAME?</v>
      </c>
      <c r="K387" s="36" t="str">
        <f t="shared" si="3"/>
        <v/>
      </c>
      <c r="L387" s="37" t="str">
        <f t="shared" si="4"/>
        <v/>
      </c>
      <c r="M387" s="30"/>
      <c r="N387" s="38" t="b">
        <v>0</v>
      </c>
      <c r="O387" s="38" t="b">
        <v>0</v>
      </c>
      <c r="P387" s="38" t="b">
        <v>0</v>
      </c>
      <c r="Q387" s="39" t="e">
        <f>VLOOKUP($B387,'25년 12월 출석표'!$B$2:$BQ$497,16,0)/5</f>
        <v>#N/A</v>
      </c>
      <c r="R387" s="40"/>
      <c r="S387" s="41" t="e">
        <f>VLOOKUP($B387,'25년 12월 출석표'!$B$2:$BQ$497,30,0)/5</f>
        <v>#N/A</v>
      </c>
      <c r="T387" s="40"/>
      <c r="U387" s="41" t="e">
        <f>VLOOKUP($B387,'25년 12월 출석표'!$B$2:$BQ$497,44,0)/5</f>
        <v>#N/A</v>
      </c>
      <c r="V387" s="40"/>
      <c r="W387" s="41" t="e">
        <f>VLOOKUP($B387,'25년 12월 출석표'!$B$2:$BQ$497,58,0)/5</f>
        <v>#N/A</v>
      </c>
      <c r="X387" s="42"/>
      <c r="Y387" s="41" t="e">
        <f>VLOOKUP($B387,'25년 12월 출석표'!$B$2:$BQ$503,66,0)/5</f>
        <v>#N/A</v>
      </c>
      <c r="Z387" s="43"/>
    </row>
    <row r="388" spans="1:26">
      <c r="A388" s="29"/>
      <c r="B388" s="164"/>
      <c r="C388" s="164"/>
      <c r="D388" s="177"/>
      <c r="E388" s="178"/>
      <c r="F388" s="180"/>
      <c r="G388" s="180"/>
      <c r="H388" s="180"/>
      <c r="I388" s="34" t="e">
        <f>VLOOKUP(B388,'25년 12월 출석표'!$B$7:$D$509,3,0)</f>
        <v>#N/A</v>
      </c>
      <c r="J388" s="35" t="e">
        <f t="shared" ca="1" si="0"/>
        <v>#NAME?</v>
      </c>
      <c r="K388" s="36" t="str">
        <f t="shared" si="3"/>
        <v/>
      </c>
      <c r="L388" s="37" t="str">
        <f t="shared" si="4"/>
        <v/>
      </c>
      <c r="M388" s="30"/>
      <c r="N388" s="38" t="b">
        <v>0</v>
      </c>
      <c r="O388" s="38" t="b">
        <v>0</v>
      </c>
      <c r="P388" s="38" t="b">
        <v>0</v>
      </c>
      <c r="Q388" s="39" t="e">
        <f>VLOOKUP($B388,'25년 12월 출석표'!$B$2:$BQ$497,16,0)/5</f>
        <v>#N/A</v>
      </c>
      <c r="R388" s="40"/>
      <c r="S388" s="41" t="e">
        <f>VLOOKUP($B388,'25년 12월 출석표'!$B$2:$BQ$497,30,0)/5</f>
        <v>#N/A</v>
      </c>
      <c r="T388" s="40"/>
      <c r="U388" s="41" t="e">
        <f>VLOOKUP($B388,'25년 12월 출석표'!$B$2:$BQ$497,44,0)/5</f>
        <v>#N/A</v>
      </c>
      <c r="V388" s="40"/>
      <c r="W388" s="41" t="e">
        <f>VLOOKUP($B388,'25년 12월 출석표'!$B$2:$BQ$497,58,0)/5</f>
        <v>#N/A</v>
      </c>
      <c r="X388" s="42"/>
      <c r="Y388" s="41" t="e">
        <f>VLOOKUP($B388,'25년 12월 출석표'!$B$2:$BQ$503,66,0)/5</f>
        <v>#N/A</v>
      </c>
      <c r="Z388" s="43"/>
    </row>
    <row r="389" spans="1:26">
      <c r="A389" s="29"/>
      <c r="B389" s="164"/>
      <c r="C389" s="164"/>
      <c r="D389" s="177"/>
      <c r="E389" s="178"/>
      <c r="F389" s="180"/>
      <c r="G389" s="180"/>
      <c r="H389" s="180"/>
      <c r="I389" s="34" t="e">
        <f>VLOOKUP(B389,'25년 12월 출석표'!$B$7:$D$509,3,0)</f>
        <v>#N/A</v>
      </c>
      <c r="J389" s="35" t="e">
        <f t="shared" ca="1" si="0"/>
        <v>#NAME?</v>
      </c>
      <c r="K389" s="36" t="str">
        <f t="shared" si="3"/>
        <v/>
      </c>
      <c r="L389" s="37" t="str">
        <f t="shared" si="4"/>
        <v/>
      </c>
      <c r="M389" s="30"/>
      <c r="N389" s="38" t="b">
        <v>0</v>
      </c>
      <c r="O389" s="38" t="b">
        <v>0</v>
      </c>
      <c r="P389" s="38" t="b">
        <v>0</v>
      </c>
      <c r="Q389" s="39" t="e">
        <f>VLOOKUP($B389,'25년 12월 출석표'!$B$2:$BQ$497,16,0)/5</f>
        <v>#N/A</v>
      </c>
      <c r="R389" s="40"/>
      <c r="S389" s="41" t="e">
        <f>VLOOKUP($B389,'25년 12월 출석표'!$B$2:$BQ$497,30,0)/5</f>
        <v>#N/A</v>
      </c>
      <c r="T389" s="40"/>
      <c r="U389" s="41" t="e">
        <f>VLOOKUP($B389,'25년 12월 출석표'!$B$2:$BQ$497,44,0)/5</f>
        <v>#N/A</v>
      </c>
      <c r="V389" s="40"/>
      <c r="W389" s="41" t="e">
        <f>VLOOKUP($B389,'25년 12월 출석표'!$B$2:$BQ$497,58,0)/5</f>
        <v>#N/A</v>
      </c>
      <c r="X389" s="42"/>
      <c r="Y389" s="41" t="e">
        <f>VLOOKUP($B389,'25년 12월 출석표'!$B$2:$BQ$503,66,0)/5</f>
        <v>#N/A</v>
      </c>
      <c r="Z389" s="43"/>
    </row>
    <row r="390" spans="1:26">
      <c r="A390" s="29"/>
      <c r="B390" s="164"/>
      <c r="C390" s="164"/>
      <c r="D390" s="177"/>
      <c r="E390" s="178"/>
      <c r="F390" s="180"/>
      <c r="G390" s="180"/>
      <c r="H390" s="180"/>
      <c r="I390" s="34" t="e">
        <f>VLOOKUP(B390,'25년 12월 출석표'!$B$7:$D$509,3,0)</f>
        <v>#N/A</v>
      </c>
      <c r="J390" s="35" t="e">
        <f t="shared" ca="1" si="0"/>
        <v>#NAME?</v>
      </c>
      <c r="K390" s="36" t="str">
        <f t="shared" si="3"/>
        <v/>
      </c>
      <c r="L390" s="37" t="str">
        <f t="shared" si="4"/>
        <v/>
      </c>
      <c r="M390" s="30"/>
      <c r="N390" s="38" t="b">
        <v>0</v>
      </c>
      <c r="O390" s="38" t="b">
        <v>0</v>
      </c>
      <c r="P390" s="38" t="b">
        <v>0</v>
      </c>
      <c r="Q390" s="39" t="e">
        <f>VLOOKUP($B390,'25년 12월 출석표'!$B$2:$BQ$497,16,0)/5</f>
        <v>#N/A</v>
      </c>
      <c r="R390" s="40"/>
      <c r="S390" s="41" t="e">
        <f>VLOOKUP($B390,'25년 12월 출석표'!$B$2:$BQ$497,30,0)/5</f>
        <v>#N/A</v>
      </c>
      <c r="T390" s="40"/>
      <c r="U390" s="41" t="e">
        <f>VLOOKUP($B390,'25년 12월 출석표'!$B$2:$BQ$497,44,0)/5</f>
        <v>#N/A</v>
      </c>
      <c r="V390" s="40"/>
      <c r="W390" s="41" t="e">
        <f>VLOOKUP($B390,'25년 12월 출석표'!$B$2:$BQ$497,58,0)/5</f>
        <v>#N/A</v>
      </c>
      <c r="X390" s="42"/>
      <c r="Y390" s="41" t="e">
        <f>VLOOKUP($B390,'25년 12월 출석표'!$B$2:$BQ$503,66,0)/5</f>
        <v>#N/A</v>
      </c>
      <c r="Z390" s="43"/>
    </row>
    <row r="391" spans="1:26">
      <c r="A391" s="29"/>
      <c r="B391" s="164"/>
      <c r="C391" s="164"/>
      <c r="D391" s="177"/>
      <c r="E391" s="178"/>
      <c r="F391" s="180"/>
      <c r="G391" s="180"/>
      <c r="H391" s="180"/>
      <c r="I391" s="34" t="e">
        <f>VLOOKUP(B391,'25년 12월 출석표'!$B$7:$D$509,3,0)</f>
        <v>#N/A</v>
      </c>
      <c r="J391" s="35" t="e">
        <f t="shared" ca="1" si="0"/>
        <v>#NAME?</v>
      </c>
      <c r="K391" s="36" t="str">
        <f t="shared" si="3"/>
        <v/>
      </c>
      <c r="L391" s="37" t="str">
        <f t="shared" si="4"/>
        <v/>
      </c>
      <c r="M391" s="30"/>
      <c r="N391" s="38" t="b">
        <v>0</v>
      </c>
      <c r="O391" s="38" t="b">
        <v>0</v>
      </c>
      <c r="P391" s="38" t="b">
        <v>0</v>
      </c>
      <c r="Q391" s="39" t="e">
        <f>VLOOKUP($B391,'25년 12월 출석표'!$B$2:$BQ$497,16,0)/5</f>
        <v>#N/A</v>
      </c>
      <c r="R391" s="40"/>
      <c r="S391" s="41" t="e">
        <f>VLOOKUP($B391,'25년 12월 출석표'!$B$2:$BQ$497,30,0)/5</f>
        <v>#N/A</v>
      </c>
      <c r="T391" s="40"/>
      <c r="U391" s="41" t="e">
        <f>VLOOKUP($B391,'25년 12월 출석표'!$B$2:$BQ$497,44,0)/5</f>
        <v>#N/A</v>
      </c>
      <c r="V391" s="40"/>
      <c r="W391" s="41" t="e">
        <f>VLOOKUP($B391,'25년 12월 출석표'!$B$2:$BQ$497,58,0)/5</f>
        <v>#N/A</v>
      </c>
      <c r="X391" s="42"/>
      <c r="Y391" s="41" t="e">
        <f>VLOOKUP($B391,'25년 12월 출석표'!$B$2:$BQ$503,66,0)/5</f>
        <v>#N/A</v>
      </c>
      <c r="Z391" s="43"/>
    </row>
    <row r="392" spans="1:26">
      <c r="A392" s="29"/>
      <c r="B392" s="164"/>
      <c r="C392" s="164"/>
      <c r="D392" s="177"/>
      <c r="E392" s="178"/>
      <c r="F392" s="180"/>
      <c r="G392" s="180"/>
      <c r="H392" s="180"/>
      <c r="I392" s="34" t="e">
        <f>VLOOKUP(B392,'25년 12월 출석표'!$B$7:$D$509,3,0)</f>
        <v>#N/A</v>
      </c>
      <c r="J392" s="35" t="e">
        <f t="shared" ca="1" si="0"/>
        <v>#NAME?</v>
      </c>
      <c r="K392" s="36" t="str">
        <f t="shared" si="3"/>
        <v/>
      </c>
      <c r="L392" s="37" t="str">
        <f t="shared" si="4"/>
        <v/>
      </c>
      <c r="M392" s="30"/>
      <c r="N392" s="38" t="b">
        <v>0</v>
      </c>
      <c r="O392" s="38" t="b">
        <v>0</v>
      </c>
      <c r="P392" s="38" t="b">
        <v>0</v>
      </c>
      <c r="Q392" s="39" t="e">
        <f>VLOOKUP($B392,'25년 12월 출석표'!$B$2:$BQ$497,16,0)/5</f>
        <v>#N/A</v>
      </c>
      <c r="R392" s="40"/>
      <c r="S392" s="41" t="e">
        <f>VLOOKUP($B392,'25년 12월 출석표'!$B$2:$BQ$497,30,0)/5</f>
        <v>#N/A</v>
      </c>
      <c r="T392" s="40"/>
      <c r="U392" s="41" t="e">
        <f>VLOOKUP($B392,'25년 12월 출석표'!$B$2:$BQ$497,44,0)/5</f>
        <v>#N/A</v>
      </c>
      <c r="V392" s="40"/>
      <c r="W392" s="41" t="e">
        <f>VLOOKUP($B392,'25년 12월 출석표'!$B$2:$BQ$497,58,0)/5</f>
        <v>#N/A</v>
      </c>
      <c r="X392" s="42"/>
      <c r="Y392" s="41" t="e">
        <f>VLOOKUP($B392,'25년 12월 출석표'!$B$2:$BQ$503,66,0)/5</f>
        <v>#N/A</v>
      </c>
      <c r="Z392" s="43"/>
    </row>
    <row r="393" spans="1:26">
      <c r="A393" s="29"/>
      <c r="B393" s="164"/>
      <c r="C393" s="164"/>
      <c r="D393" s="177"/>
      <c r="E393" s="178"/>
      <c r="F393" s="180"/>
      <c r="G393" s="180"/>
      <c r="H393" s="180"/>
      <c r="I393" s="34" t="e">
        <f>VLOOKUP(B393,'25년 12월 출석표'!$B$7:$D$509,3,0)</f>
        <v>#N/A</v>
      </c>
      <c r="J393" s="35" t="e">
        <f t="shared" ca="1" si="0"/>
        <v>#NAME?</v>
      </c>
      <c r="K393" s="36" t="str">
        <f t="shared" si="3"/>
        <v/>
      </c>
      <c r="L393" s="37" t="str">
        <f t="shared" si="4"/>
        <v/>
      </c>
      <c r="M393" s="30"/>
      <c r="N393" s="38" t="b">
        <v>0</v>
      </c>
      <c r="O393" s="38" t="b">
        <v>0</v>
      </c>
      <c r="P393" s="38" t="b">
        <v>0</v>
      </c>
      <c r="Q393" s="39" t="e">
        <f>VLOOKUP($B393,'25년 12월 출석표'!$B$2:$BQ$497,16,0)/5</f>
        <v>#N/A</v>
      </c>
      <c r="R393" s="40"/>
      <c r="S393" s="41" t="e">
        <f>VLOOKUP($B393,'25년 12월 출석표'!$B$2:$BQ$497,30,0)/5</f>
        <v>#N/A</v>
      </c>
      <c r="T393" s="40"/>
      <c r="U393" s="41" t="e">
        <f>VLOOKUP($B393,'25년 12월 출석표'!$B$2:$BQ$497,44,0)/5</f>
        <v>#N/A</v>
      </c>
      <c r="V393" s="40"/>
      <c r="W393" s="41" t="e">
        <f>VLOOKUP($B393,'25년 12월 출석표'!$B$2:$BQ$497,58,0)/5</f>
        <v>#N/A</v>
      </c>
      <c r="X393" s="42"/>
      <c r="Y393" s="41" t="e">
        <f>VLOOKUP($B393,'25년 12월 출석표'!$B$2:$BQ$503,66,0)/5</f>
        <v>#N/A</v>
      </c>
      <c r="Z393" s="43"/>
    </row>
    <row r="394" spans="1:26">
      <c r="A394" s="29"/>
      <c r="B394" s="164"/>
      <c r="C394" s="164"/>
      <c r="D394" s="177"/>
      <c r="E394" s="178"/>
      <c r="F394" s="180"/>
      <c r="G394" s="180"/>
      <c r="H394" s="180"/>
      <c r="I394" s="34" t="e">
        <f>VLOOKUP(B394,'25년 12월 출석표'!$B$7:$D$509,3,0)</f>
        <v>#N/A</v>
      </c>
      <c r="J394" s="35" t="e">
        <f t="shared" ca="1" si="0"/>
        <v>#NAME?</v>
      </c>
      <c r="K394" s="36" t="str">
        <f t="shared" si="3"/>
        <v/>
      </c>
      <c r="L394" s="37" t="str">
        <f t="shared" si="4"/>
        <v/>
      </c>
      <c r="M394" s="30"/>
      <c r="N394" s="38" t="b">
        <v>0</v>
      </c>
      <c r="O394" s="38" t="b">
        <v>0</v>
      </c>
      <c r="P394" s="38" t="b">
        <v>0</v>
      </c>
      <c r="Q394" s="39" t="e">
        <f>VLOOKUP($B394,'25년 12월 출석표'!$B$2:$BQ$497,16,0)/5</f>
        <v>#N/A</v>
      </c>
      <c r="R394" s="40"/>
      <c r="S394" s="41" t="e">
        <f>VLOOKUP($B394,'25년 12월 출석표'!$B$2:$BQ$497,30,0)/5</f>
        <v>#N/A</v>
      </c>
      <c r="T394" s="40"/>
      <c r="U394" s="41" t="e">
        <f>VLOOKUP($B394,'25년 12월 출석표'!$B$2:$BQ$497,44,0)/5</f>
        <v>#N/A</v>
      </c>
      <c r="V394" s="40"/>
      <c r="W394" s="41" t="e">
        <f>VLOOKUP($B394,'25년 12월 출석표'!$B$2:$BQ$497,58,0)/5</f>
        <v>#N/A</v>
      </c>
      <c r="X394" s="42"/>
      <c r="Y394" s="41" t="e">
        <f>VLOOKUP($B394,'25년 12월 출석표'!$B$2:$BQ$503,66,0)/5</f>
        <v>#N/A</v>
      </c>
      <c r="Z394" s="43"/>
    </row>
    <row r="395" spans="1:26">
      <c r="A395" s="29"/>
      <c r="B395" s="164"/>
      <c r="C395" s="164"/>
      <c r="D395" s="177"/>
      <c r="E395" s="178"/>
      <c r="F395" s="180"/>
      <c r="G395" s="180"/>
      <c r="H395" s="180"/>
      <c r="I395" s="34" t="e">
        <f>VLOOKUP(B395,'25년 12월 출석표'!$B$7:$D$509,3,0)</f>
        <v>#N/A</v>
      </c>
      <c r="J395" s="35" t="e">
        <f t="shared" ca="1" si="0"/>
        <v>#NAME?</v>
      </c>
      <c r="K395" s="36" t="str">
        <f t="shared" si="3"/>
        <v/>
      </c>
      <c r="L395" s="37" t="str">
        <f t="shared" si="4"/>
        <v/>
      </c>
      <c r="M395" s="30"/>
      <c r="N395" s="38" t="b">
        <v>0</v>
      </c>
      <c r="O395" s="38" t="b">
        <v>0</v>
      </c>
      <c r="P395" s="38" t="b">
        <v>0</v>
      </c>
      <c r="Q395" s="39" t="e">
        <f>VLOOKUP($B395,'25년 12월 출석표'!$B$2:$BQ$497,16,0)/5</f>
        <v>#N/A</v>
      </c>
      <c r="R395" s="40"/>
      <c r="S395" s="41" t="e">
        <f>VLOOKUP($B395,'25년 12월 출석표'!$B$2:$BQ$497,30,0)/5</f>
        <v>#N/A</v>
      </c>
      <c r="T395" s="40"/>
      <c r="U395" s="41" t="e">
        <f>VLOOKUP($B395,'25년 12월 출석표'!$B$2:$BQ$497,44,0)/5</f>
        <v>#N/A</v>
      </c>
      <c r="V395" s="40"/>
      <c r="W395" s="41" t="e">
        <f>VLOOKUP($B395,'25년 12월 출석표'!$B$2:$BQ$497,58,0)/5</f>
        <v>#N/A</v>
      </c>
      <c r="X395" s="42"/>
      <c r="Y395" s="41" t="e">
        <f>VLOOKUP($B395,'25년 12월 출석표'!$B$2:$BQ$503,66,0)/5</f>
        <v>#N/A</v>
      </c>
      <c r="Z395" s="43"/>
    </row>
    <row r="396" spans="1:26">
      <c r="A396" s="29"/>
      <c r="B396" s="164"/>
      <c r="C396" s="164"/>
      <c r="D396" s="177"/>
      <c r="E396" s="178"/>
      <c r="F396" s="180"/>
      <c r="G396" s="180"/>
      <c r="H396" s="180"/>
      <c r="I396" s="34" t="e">
        <f>VLOOKUP(B396,'25년 12월 출석표'!$B$7:$D$509,3,0)</f>
        <v>#N/A</v>
      </c>
      <c r="J396" s="35" t="e">
        <f t="shared" ca="1" si="0"/>
        <v>#NAME?</v>
      </c>
      <c r="K396" s="36" t="str">
        <f t="shared" si="3"/>
        <v/>
      </c>
      <c r="L396" s="37" t="str">
        <f t="shared" si="4"/>
        <v/>
      </c>
      <c r="M396" s="30"/>
      <c r="N396" s="38" t="b">
        <v>0</v>
      </c>
      <c r="O396" s="38" t="b">
        <v>0</v>
      </c>
      <c r="P396" s="38" t="b">
        <v>0</v>
      </c>
      <c r="Q396" s="39" t="e">
        <f>VLOOKUP($B396,'25년 12월 출석표'!$B$2:$BQ$497,16,0)/5</f>
        <v>#N/A</v>
      </c>
      <c r="R396" s="40"/>
      <c r="S396" s="41" t="e">
        <f>VLOOKUP($B396,'25년 12월 출석표'!$B$2:$BQ$497,30,0)/5</f>
        <v>#N/A</v>
      </c>
      <c r="T396" s="40"/>
      <c r="U396" s="41" t="e">
        <f>VLOOKUP($B396,'25년 12월 출석표'!$B$2:$BQ$497,44,0)/5</f>
        <v>#N/A</v>
      </c>
      <c r="V396" s="40"/>
      <c r="W396" s="41" t="e">
        <f>VLOOKUP($B396,'25년 12월 출석표'!$B$2:$BQ$497,58,0)/5</f>
        <v>#N/A</v>
      </c>
      <c r="X396" s="42"/>
      <c r="Y396" s="41" t="e">
        <f>VLOOKUP($B396,'25년 12월 출석표'!$B$2:$BQ$503,66,0)/5</f>
        <v>#N/A</v>
      </c>
      <c r="Z396" s="43"/>
    </row>
    <row r="397" spans="1:26">
      <c r="A397" s="29"/>
      <c r="B397" s="164"/>
      <c r="C397" s="164"/>
      <c r="D397" s="177"/>
      <c r="E397" s="178"/>
      <c r="F397" s="180"/>
      <c r="G397" s="180"/>
      <c r="H397" s="180"/>
      <c r="I397" s="34" t="e">
        <f>VLOOKUP(B397,'25년 12월 출석표'!$B$7:$D$509,3,0)</f>
        <v>#N/A</v>
      </c>
      <c r="J397" s="35" t="e">
        <f t="shared" ca="1" si="0"/>
        <v>#NAME?</v>
      </c>
      <c r="K397" s="36" t="str">
        <f t="shared" si="3"/>
        <v/>
      </c>
      <c r="L397" s="37" t="str">
        <f t="shared" si="4"/>
        <v/>
      </c>
      <c r="M397" s="30"/>
      <c r="N397" s="38" t="b">
        <v>0</v>
      </c>
      <c r="O397" s="38" t="b">
        <v>0</v>
      </c>
      <c r="P397" s="38" t="b">
        <v>0</v>
      </c>
      <c r="Q397" s="39" t="e">
        <f>VLOOKUP($B397,'25년 12월 출석표'!$B$2:$BQ$497,16,0)/5</f>
        <v>#N/A</v>
      </c>
      <c r="R397" s="40"/>
      <c r="S397" s="41" t="e">
        <f>VLOOKUP($B397,'25년 12월 출석표'!$B$2:$BQ$497,30,0)/5</f>
        <v>#N/A</v>
      </c>
      <c r="T397" s="40"/>
      <c r="U397" s="41" t="e">
        <f>VLOOKUP($B397,'25년 12월 출석표'!$B$2:$BQ$497,44,0)/5</f>
        <v>#N/A</v>
      </c>
      <c r="V397" s="40"/>
      <c r="W397" s="41" t="e">
        <f>VLOOKUP($B397,'25년 12월 출석표'!$B$2:$BQ$497,58,0)/5</f>
        <v>#N/A</v>
      </c>
      <c r="X397" s="42"/>
      <c r="Y397" s="41" t="e">
        <f>VLOOKUP($B397,'25년 12월 출석표'!$B$2:$BQ$503,66,0)/5</f>
        <v>#N/A</v>
      </c>
      <c r="Z397" s="43"/>
    </row>
    <row r="398" spans="1:26">
      <c r="A398" s="29"/>
      <c r="B398" s="164"/>
      <c r="C398" s="164"/>
      <c r="D398" s="177"/>
      <c r="E398" s="178"/>
      <c r="F398" s="180"/>
      <c r="G398" s="180"/>
      <c r="H398" s="180"/>
      <c r="I398" s="34" t="e">
        <f>VLOOKUP(B398,'25년 12월 출석표'!$B$7:$D$509,3,0)</f>
        <v>#N/A</v>
      </c>
      <c r="J398" s="35" t="e">
        <f t="shared" ca="1" si="0"/>
        <v>#NAME?</v>
      </c>
      <c r="K398" s="36" t="str">
        <f t="shared" si="3"/>
        <v/>
      </c>
      <c r="L398" s="37" t="str">
        <f t="shared" si="4"/>
        <v/>
      </c>
      <c r="M398" s="30"/>
      <c r="N398" s="38" t="b">
        <v>0</v>
      </c>
      <c r="O398" s="38" t="b">
        <v>0</v>
      </c>
      <c r="P398" s="38" t="b">
        <v>0</v>
      </c>
      <c r="Q398" s="39" t="e">
        <f>VLOOKUP($B398,'25년 12월 출석표'!$B$2:$BQ$497,16,0)/5</f>
        <v>#N/A</v>
      </c>
      <c r="R398" s="40"/>
      <c r="S398" s="41" t="e">
        <f>VLOOKUP($B398,'25년 12월 출석표'!$B$2:$BQ$497,30,0)/5</f>
        <v>#N/A</v>
      </c>
      <c r="T398" s="40"/>
      <c r="U398" s="41" t="e">
        <f>VLOOKUP($B398,'25년 12월 출석표'!$B$2:$BQ$497,44,0)/5</f>
        <v>#N/A</v>
      </c>
      <c r="V398" s="40"/>
      <c r="W398" s="41" t="e">
        <f>VLOOKUP($B398,'25년 12월 출석표'!$B$2:$BQ$497,58,0)/5</f>
        <v>#N/A</v>
      </c>
      <c r="X398" s="42"/>
      <c r="Y398" s="41" t="e">
        <f>VLOOKUP($B398,'25년 12월 출석표'!$B$2:$BQ$503,66,0)/5</f>
        <v>#N/A</v>
      </c>
      <c r="Z398" s="43"/>
    </row>
    <row r="399" spans="1:26">
      <c r="A399" s="29"/>
      <c r="B399" s="164"/>
      <c r="C399" s="164"/>
      <c r="D399" s="177"/>
      <c r="E399" s="178"/>
      <c r="F399" s="180"/>
      <c r="G399" s="180"/>
      <c r="H399" s="180"/>
      <c r="I399" s="34" t="e">
        <f>VLOOKUP(B399,'25년 12월 출석표'!$B$7:$D$509,3,0)</f>
        <v>#N/A</v>
      </c>
      <c r="J399" s="35" t="e">
        <f t="shared" ca="1" si="0"/>
        <v>#NAME?</v>
      </c>
      <c r="K399" s="36" t="str">
        <f t="shared" si="3"/>
        <v/>
      </c>
      <c r="L399" s="37" t="str">
        <f t="shared" si="4"/>
        <v/>
      </c>
      <c r="M399" s="30"/>
      <c r="N399" s="38" t="b">
        <v>0</v>
      </c>
      <c r="O399" s="38" t="b">
        <v>0</v>
      </c>
      <c r="P399" s="38" t="b">
        <v>0</v>
      </c>
      <c r="Q399" s="39" t="e">
        <f>VLOOKUP($B399,'25년 12월 출석표'!$B$2:$BQ$497,16,0)/5</f>
        <v>#N/A</v>
      </c>
      <c r="R399" s="40"/>
      <c r="S399" s="41" t="e">
        <f>VLOOKUP($B399,'25년 12월 출석표'!$B$2:$BQ$497,30,0)/5</f>
        <v>#N/A</v>
      </c>
      <c r="T399" s="40"/>
      <c r="U399" s="41" t="e">
        <f>VLOOKUP($B399,'25년 12월 출석표'!$B$2:$BQ$497,44,0)/5</f>
        <v>#N/A</v>
      </c>
      <c r="V399" s="40"/>
      <c r="W399" s="41" t="e">
        <f>VLOOKUP($B399,'25년 12월 출석표'!$B$2:$BQ$497,58,0)/5</f>
        <v>#N/A</v>
      </c>
      <c r="X399" s="42"/>
      <c r="Y399" s="41" t="e">
        <f>VLOOKUP($B399,'25년 12월 출석표'!$B$2:$BQ$503,66,0)/5</f>
        <v>#N/A</v>
      </c>
      <c r="Z399" s="43"/>
    </row>
    <row r="400" spans="1:26">
      <c r="A400" s="29"/>
      <c r="B400" s="164"/>
      <c r="C400" s="164"/>
      <c r="D400" s="177"/>
      <c r="E400" s="178"/>
      <c r="F400" s="180"/>
      <c r="G400" s="180"/>
      <c r="H400" s="180"/>
      <c r="I400" s="34" t="e">
        <f>VLOOKUP(B400,'25년 12월 출석표'!$B$7:$D$509,3,0)</f>
        <v>#N/A</v>
      </c>
      <c r="J400" s="35" t="e">
        <f t="shared" ca="1" si="0"/>
        <v>#NAME?</v>
      </c>
      <c r="K400" s="36" t="str">
        <f t="shared" si="3"/>
        <v/>
      </c>
      <c r="L400" s="37" t="str">
        <f t="shared" si="4"/>
        <v/>
      </c>
      <c r="M400" s="30"/>
      <c r="N400" s="38" t="b">
        <v>0</v>
      </c>
      <c r="O400" s="38" t="b">
        <v>0</v>
      </c>
      <c r="P400" s="38" t="b">
        <v>0</v>
      </c>
      <c r="Q400" s="39" t="e">
        <f>VLOOKUP($B400,'25년 12월 출석표'!$B$2:$BQ$497,16,0)/5</f>
        <v>#N/A</v>
      </c>
      <c r="R400" s="40"/>
      <c r="S400" s="41" t="e">
        <f>VLOOKUP($B400,'25년 12월 출석표'!$B$2:$BQ$497,30,0)/5</f>
        <v>#N/A</v>
      </c>
      <c r="T400" s="40"/>
      <c r="U400" s="41" t="e">
        <f>VLOOKUP($B400,'25년 12월 출석표'!$B$2:$BQ$497,44,0)/5</f>
        <v>#N/A</v>
      </c>
      <c r="V400" s="40"/>
      <c r="W400" s="41" t="e">
        <f>VLOOKUP($B400,'25년 12월 출석표'!$B$2:$BQ$497,58,0)/5</f>
        <v>#N/A</v>
      </c>
      <c r="X400" s="42"/>
      <c r="Y400" s="41" t="e">
        <f>VLOOKUP($B400,'25년 12월 출석표'!$B$2:$BQ$503,66,0)/5</f>
        <v>#N/A</v>
      </c>
      <c r="Z400" s="43"/>
    </row>
    <row r="401" spans="1:26">
      <c r="A401" s="29"/>
      <c r="B401" s="164"/>
      <c r="C401" s="164"/>
      <c r="D401" s="177"/>
      <c r="E401" s="178"/>
      <c r="F401" s="180"/>
      <c r="G401" s="180"/>
      <c r="H401" s="180"/>
      <c r="I401" s="34" t="e">
        <f>VLOOKUP(B401,'25년 12월 출석표'!$B$7:$D$509,3,0)</f>
        <v>#N/A</v>
      </c>
      <c r="J401" s="35" t="e">
        <f t="shared" ca="1" si="0"/>
        <v>#NAME?</v>
      </c>
      <c r="K401" s="36" t="str">
        <f t="shared" si="3"/>
        <v/>
      </c>
      <c r="L401" s="37" t="str">
        <f t="shared" si="4"/>
        <v/>
      </c>
      <c r="M401" s="30"/>
      <c r="N401" s="38" t="b">
        <v>0</v>
      </c>
      <c r="O401" s="38" t="b">
        <v>0</v>
      </c>
      <c r="P401" s="38" t="b">
        <v>0</v>
      </c>
      <c r="Q401" s="39" t="e">
        <f>VLOOKUP($B401,'25년 12월 출석표'!$B$2:$BQ$497,16,0)/5</f>
        <v>#N/A</v>
      </c>
      <c r="R401" s="40"/>
      <c r="S401" s="41" t="e">
        <f>VLOOKUP($B401,'25년 12월 출석표'!$B$2:$BQ$497,30,0)/5</f>
        <v>#N/A</v>
      </c>
      <c r="T401" s="40"/>
      <c r="U401" s="41" t="e">
        <f>VLOOKUP($B401,'25년 12월 출석표'!$B$2:$BQ$497,44,0)/5</f>
        <v>#N/A</v>
      </c>
      <c r="V401" s="40"/>
      <c r="W401" s="41" t="e">
        <f>VLOOKUP($B401,'25년 12월 출석표'!$B$2:$BQ$497,58,0)/5</f>
        <v>#N/A</v>
      </c>
      <c r="X401" s="42"/>
      <c r="Y401" s="41" t="e">
        <f>VLOOKUP($B401,'25년 12월 출석표'!$B$2:$BQ$503,66,0)/5</f>
        <v>#N/A</v>
      </c>
      <c r="Z401" s="43"/>
    </row>
    <row r="402" spans="1:26">
      <c r="A402" s="29"/>
      <c r="B402" s="164"/>
      <c r="C402" s="164"/>
      <c r="D402" s="177"/>
      <c r="E402" s="178"/>
      <c r="F402" s="180"/>
      <c r="G402" s="180"/>
      <c r="H402" s="180"/>
      <c r="I402" s="34" t="e">
        <f>VLOOKUP(B402,'25년 12월 출석표'!$B$7:$D$509,3,0)</f>
        <v>#N/A</v>
      </c>
      <c r="J402" s="35" t="e">
        <f t="shared" ca="1" si="0"/>
        <v>#NAME?</v>
      </c>
      <c r="K402" s="36" t="str">
        <f t="shared" si="3"/>
        <v/>
      </c>
      <c r="L402" s="37" t="str">
        <f t="shared" si="4"/>
        <v/>
      </c>
      <c r="M402" s="30"/>
      <c r="N402" s="38" t="b">
        <v>0</v>
      </c>
      <c r="O402" s="38" t="b">
        <v>0</v>
      </c>
      <c r="P402" s="38" t="b">
        <v>0</v>
      </c>
      <c r="Q402" s="39" t="e">
        <f>VLOOKUP($B402,'25년 12월 출석표'!$B$2:$BQ$497,16,0)/5</f>
        <v>#N/A</v>
      </c>
      <c r="R402" s="40"/>
      <c r="S402" s="41" t="e">
        <f>VLOOKUP($B402,'25년 12월 출석표'!$B$2:$BQ$497,30,0)/5</f>
        <v>#N/A</v>
      </c>
      <c r="T402" s="40"/>
      <c r="U402" s="41" t="e">
        <f>VLOOKUP($B402,'25년 12월 출석표'!$B$2:$BQ$497,44,0)/5</f>
        <v>#N/A</v>
      </c>
      <c r="V402" s="40"/>
      <c r="W402" s="41" t="e">
        <f>VLOOKUP($B402,'25년 12월 출석표'!$B$2:$BQ$497,58,0)/5</f>
        <v>#N/A</v>
      </c>
      <c r="X402" s="42"/>
      <c r="Y402" s="41" t="e">
        <f>VLOOKUP($B402,'25년 12월 출석표'!$B$2:$BQ$503,66,0)/5</f>
        <v>#N/A</v>
      </c>
      <c r="Z402" s="43"/>
    </row>
    <row r="403" spans="1:26">
      <c r="A403" s="29"/>
      <c r="B403" s="164"/>
      <c r="C403" s="164"/>
      <c r="D403" s="177"/>
      <c r="E403" s="178"/>
      <c r="F403" s="180"/>
      <c r="G403" s="180"/>
      <c r="H403" s="180"/>
      <c r="I403" s="34" t="e">
        <f>VLOOKUP(B403,'25년 12월 출석표'!$B$7:$D$509,3,0)</f>
        <v>#N/A</v>
      </c>
      <c r="J403" s="35" t="e">
        <f t="shared" ca="1" si="0"/>
        <v>#NAME?</v>
      </c>
      <c r="K403" s="36" t="str">
        <f t="shared" si="3"/>
        <v/>
      </c>
      <c r="L403" s="37" t="str">
        <f t="shared" si="4"/>
        <v/>
      </c>
      <c r="M403" s="30"/>
      <c r="N403" s="38" t="b">
        <v>0</v>
      </c>
      <c r="O403" s="38" t="b">
        <v>0</v>
      </c>
      <c r="P403" s="38" t="b">
        <v>0</v>
      </c>
      <c r="Q403" s="39" t="e">
        <f>VLOOKUP($B403,'25년 12월 출석표'!$B$2:$BQ$497,16,0)/5</f>
        <v>#N/A</v>
      </c>
      <c r="R403" s="40"/>
      <c r="S403" s="41" t="e">
        <f>VLOOKUP($B403,'25년 12월 출석표'!$B$2:$BQ$497,30,0)/5</f>
        <v>#N/A</v>
      </c>
      <c r="T403" s="40"/>
      <c r="U403" s="41" t="e">
        <f>VLOOKUP($B403,'25년 12월 출석표'!$B$2:$BQ$497,44,0)/5</f>
        <v>#N/A</v>
      </c>
      <c r="V403" s="40"/>
      <c r="W403" s="41" t="e">
        <f>VLOOKUP($B403,'25년 12월 출석표'!$B$2:$BQ$497,58,0)/5</f>
        <v>#N/A</v>
      </c>
      <c r="X403" s="42"/>
      <c r="Y403" s="41" t="e">
        <f>VLOOKUP($B403,'25년 12월 출석표'!$B$2:$BQ$503,66,0)/5</f>
        <v>#N/A</v>
      </c>
      <c r="Z403" s="43"/>
    </row>
    <row r="404" spans="1:26">
      <c r="A404" s="29"/>
      <c r="B404" s="164"/>
      <c r="C404" s="164"/>
      <c r="D404" s="177"/>
      <c r="E404" s="178"/>
      <c r="F404" s="180"/>
      <c r="G404" s="180"/>
      <c r="H404" s="180"/>
      <c r="I404" s="34" t="e">
        <f>VLOOKUP(B404,'25년 12월 출석표'!$B$7:$D$509,3,0)</f>
        <v>#N/A</v>
      </c>
      <c r="J404" s="35" t="e">
        <f t="shared" ca="1" si="0"/>
        <v>#NAME?</v>
      </c>
      <c r="K404" s="36" t="str">
        <f t="shared" si="3"/>
        <v/>
      </c>
      <c r="L404" s="37" t="str">
        <f t="shared" si="4"/>
        <v/>
      </c>
      <c r="M404" s="30"/>
      <c r="N404" s="38" t="b">
        <v>0</v>
      </c>
      <c r="O404" s="38" t="b">
        <v>0</v>
      </c>
      <c r="P404" s="38" t="b">
        <v>0</v>
      </c>
      <c r="Q404" s="39" t="e">
        <f>VLOOKUP($B404,'25년 12월 출석표'!$B$2:$BQ$497,16,0)/5</f>
        <v>#N/A</v>
      </c>
      <c r="R404" s="40"/>
      <c r="S404" s="41" t="e">
        <f>VLOOKUP($B404,'25년 12월 출석표'!$B$2:$BQ$497,30,0)/5</f>
        <v>#N/A</v>
      </c>
      <c r="T404" s="40"/>
      <c r="U404" s="41" t="e">
        <f>VLOOKUP($B404,'25년 12월 출석표'!$B$2:$BQ$497,44,0)/5</f>
        <v>#N/A</v>
      </c>
      <c r="V404" s="40"/>
      <c r="W404" s="41" t="e">
        <f>VLOOKUP($B404,'25년 12월 출석표'!$B$2:$BQ$497,58,0)/5</f>
        <v>#N/A</v>
      </c>
      <c r="X404" s="42"/>
      <c r="Y404" s="41" t="e">
        <f>VLOOKUP($B404,'25년 12월 출석표'!$B$2:$BQ$503,66,0)/5</f>
        <v>#N/A</v>
      </c>
      <c r="Z404" s="43"/>
    </row>
    <row r="405" spans="1:26">
      <c r="A405" s="29"/>
      <c r="B405" s="164"/>
      <c r="C405" s="164"/>
      <c r="D405" s="177"/>
      <c r="E405" s="178"/>
      <c r="F405" s="180"/>
      <c r="G405" s="180"/>
      <c r="H405" s="180"/>
      <c r="I405" s="34" t="e">
        <f>VLOOKUP(B405,'25년 12월 출석표'!$B$7:$D$509,3,0)</f>
        <v>#N/A</v>
      </c>
      <c r="J405" s="35" t="e">
        <f t="shared" ca="1" si="0"/>
        <v>#NAME?</v>
      </c>
      <c r="K405" s="36" t="str">
        <f t="shared" si="3"/>
        <v/>
      </c>
      <c r="L405" s="37" t="str">
        <f t="shared" si="4"/>
        <v/>
      </c>
      <c r="M405" s="30"/>
      <c r="N405" s="38" t="b">
        <v>0</v>
      </c>
      <c r="O405" s="38" t="b">
        <v>0</v>
      </c>
      <c r="P405" s="38" t="b">
        <v>0</v>
      </c>
      <c r="Q405" s="39" t="e">
        <f>VLOOKUP($B405,'25년 12월 출석표'!$B$2:$BQ$497,16,0)/5</f>
        <v>#N/A</v>
      </c>
      <c r="R405" s="40"/>
      <c r="S405" s="41" t="e">
        <f>VLOOKUP($B405,'25년 12월 출석표'!$B$2:$BQ$497,30,0)/5</f>
        <v>#N/A</v>
      </c>
      <c r="T405" s="40"/>
      <c r="U405" s="41" t="e">
        <f>VLOOKUP($B405,'25년 12월 출석표'!$B$2:$BQ$497,44,0)/5</f>
        <v>#N/A</v>
      </c>
      <c r="V405" s="40"/>
      <c r="W405" s="41" t="e">
        <f>VLOOKUP($B405,'25년 12월 출석표'!$B$2:$BQ$497,58,0)/5</f>
        <v>#N/A</v>
      </c>
      <c r="X405" s="42"/>
      <c r="Y405" s="41" t="e">
        <f>VLOOKUP($B405,'25년 12월 출석표'!$B$2:$BQ$503,66,0)/5</f>
        <v>#N/A</v>
      </c>
      <c r="Z405" s="43"/>
    </row>
    <row r="406" spans="1:26">
      <c r="A406" s="29"/>
      <c r="B406" s="164"/>
      <c r="C406" s="164"/>
      <c r="D406" s="177"/>
      <c r="E406" s="178"/>
      <c r="F406" s="180"/>
      <c r="G406" s="180"/>
      <c r="H406" s="180"/>
      <c r="I406" s="34" t="e">
        <f>VLOOKUP(B406,'25년 12월 출석표'!$B$7:$D$509,3,0)</f>
        <v>#N/A</v>
      </c>
      <c r="J406" s="35" t="e">
        <f t="shared" ca="1" si="0"/>
        <v>#NAME?</v>
      </c>
      <c r="K406" s="36" t="str">
        <f t="shared" si="3"/>
        <v/>
      </c>
      <c r="L406" s="37" t="str">
        <f t="shared" si="4"/>
        <v/>
      </c>
      <c r="M406" s="30"/>
      <c r="N406" s="38" t="b">
        <v>0</v>
      </c>
      <c r="O406" s="38" t="b">
        <v>0</v>
      </c>
      <c r="P406" s="38" t="b">
        <v>0</v>
      </c>
      <c r="Q406" s="39" t="e">
        <f>VLOOKUP($B406,'25년 12월 출석표'!$B$2:$BQ$497,16,0)/5</f>
        <v>#N/A</v>
      </c>
      <c r="R406" s="40"/>
      <c r="S406" s="41" t="e">
        <f>VLOOKUP($B406,'25년 12월 출석표'!$B$2:$BQ$497,30,0)/5</f>
        <v>#N/A</v>
      </c>
      <c r="T406" s="40"/>
      <c r="U406" s="41" t="e">
        <f>VLOOKUP($B406,'25년 12월 출석표'!$B$2:$BQ$497,44,0)/5</f>
        <v>#N/A</v>
      </c>
      <c r="V406" s="40"/>
      <c r="W406" s="41" t="e">
        <f>VLOOKUP($B406,'25년 12월 출석표'!$B$2:$BQ$497,58,0)/5</f>
        <v>#N/A</v>
      </c>
      <c r="X406" s="42"/>
      <c r="Y406" s="41" t="e">
        <f>VLOOKUP($B406,'25년 12월 출석표'!$B$2:$BQ$503,66,0)/5</f>
        <v>#N/A</v>
      </c>
      <c r="Z406" s="43"/>
    </row>
    <row r="407" spans="1:26">
      <c r="A407" s="29"/>
      <c r="B407" s="164"/>
      <c r="C407" s="164"/>
      <c r="D407" s="177"/>
      <c r="E407" s="178"/>
      <c r="F407" s="180"/>
      <c r="G407" s="180"/>
      <c r="H407" s="180"/>
      <c r="I407" s="34" t="e">
        <f>VLOOKUP(B407,'25년 12월 출석표'!$B$7:$D$509,3,0)</f>
        <v>#N/A</v>
      </c>
      <c r="J407" s="35" t="e">
        <f t="shared" ca="1" si="0"/>
        <v>#NAME?</v>
      </c>
      <c r="K407" s="36" t="str">
        <f t="shared" si="3"/>
        <v/>
      </c>
      <c r="L407" s="37" t="str">
        <f t="shared" si="4"/>
        <v/>
      </c>
      <c r="M407" s="30"/>
      <c r="N407" s="38" t="b">
        <v>0</v>
      </c>
      <c r="O407" s="38" t="b">
        <v>0</v>
      </c>
      <c r="P407" s="38" t="b">
        <v>0</v>
      </c>
      <c r="Q407" s="39" t="e">
        <f>VLOOKUP($B407,'25년 12월 출석표'!$B$2:$BQ$497,16,0)/5</f>
        <v>#N/A</v>
      </c>
      <c r="R407" s="40"/>
      <c r="S407" s="41" t="e">
        <f>VLOOKUP($B407,'25년 12월 출석표'!$B$2:$BQ$497,30,0)/5</f>
        <v>#N/A</v>
      </c>
      <c r="T407" s="40"/>
      <c r="U407" s="41" t="e">
        <f>VLOOKUP($B407,'25년 12월 출석표'!$B$2:$BQ$497,44,0)/5</f>
        <v>#N/A</v>
      </c>
      <c r="V407" s="40"/>
      <c r="W407" s="41" t="e">
        <f>VLOOKUP($B407,'25년 12월 출석표'!$B$2:$BQ$497,58,0)/5</f>
        <v>#N/A</v>
      </c>
      <c r="X407" s="42"/>
      <c r="Y407" s="41" t="e">
        <f>VLOOKUP($B407,'25년 12월 출석표'!$B$2:$BQ$503,66,0)/5</f>
        <v>#N/A</v>
      </c>
      <c r="Z407" s="43"/>
    </row>
    <row r="408" spans="1:26">
      <c r="A408" s="29"/>
      <c r="B408" s="164"/>
      <c r="C408" s="164"/>
      <c r="D408" s="177"/>
      <c r="E408" s="178"/>
      <c r="F408" s="180"/>
      <c r="G408" s="180"/>
      <c r="H408" s="180"/>
      <c r="I408" s="34" t="e">
        <f>VLOOKUP(B408,'25년 12월 출석표'!$B$7:$D$509,3,0)</f>
        <v>#N/A</v>
      </c>
      <c r="J408" s="35" t="e">
        <f t="shared" ca="1" si="0"/>
        <v>#NAME?</v>
      </c>
      <c r="K408" s="36" t="str">
        <f t="shared" si="3"/>
        <v/>
      </c>
      <c r="L408" s="37" t="str">
        <f t="shared" si="4"/>
        <v/>
      </c>
      <c r="M408" s="30"/>
      <c r="N408" s="38" t="b">
        <v>0</v>
      </c>
      <c r="O408" s="38" t="b">
        <v>0</v>
      </c>
      <c r="P408" s="38" t="b">
        <v>0</v>
      </c>
      <c r="Q408" s="39" t="e">
        <f>VLOOKUP($B408,'25년 12월 출석표'!$B$2:$BQ$497,16,0)/5</f>
        <v>#N/A</v>
      </c>
      <c r="R408" s="40"/>
      <c r="S408" s="41" t="e">
        <f>VLOOKUP($B408,'25년 12월 출석표'!$B$2:$BQ$497,30,0)/5</f>
        <v>#N/A</v>
      </c>
      <c r="T408" s="40"/>
      <c r="U408" s="41" t="e">
        <f>VLOOKUP($B408,'25년 12월 출석표'!$B$2:$BQ$497,44,0)/5</f>
        <v>#N/A</v>
      </c>
      <c r="V408" s="40"/>
      <c r="W408" s="41" t="e">
        <f>VLOOKUP($B408,'25년 12월 출석표'!$B$2:$BQ$497,58,0)/5</f>
        <v>#N/A</v>
      </c>
      <c r="X408" s="42"/>
      <c r="Y408" s="41" t="e">
        <f>VLOOKUP($B408,'25년 12월 출석표'!$B$2:$BQ$503,66,0)/5</f>
        <v>#N/A</v>
      </c>
      <c r="Z408" s="43"/>
    </row>
    <row r="409" spans="1:26">
      <c r="A409" s="29"/>
      <c r="B409" s="164"/>
      <c r="C409" s="164"/>
      <c r="D409" s="177"/>
      <c r="E409" s="178"/>
      <c r="F409" s="180"/>
      <c r="G409" s="180"/>
      <c r="H409" s="180"/>
      <c r="I409" s="34" t="e">
        <f>VLOOKUP(B409,'25년 12월 출석표'!$B$7:$D$509,3,0)</f>
        <v>#N/A</v>
      </c>
      <c r="J409" s="35" t="e">
        <f t="shared" ca="1" si="0"/>
        <v>#NAME?</v>
      </c>
      <c r="K409" s="36" t="str">
        <f t="shared" si="3"/>
        <v/>
      </c>
      <c r="L409" s="37" t="str">
        <f t="shared" si="4"/>
        <v/>
      </c>
      <c r="M409" s="30"/>
      <c r="N409" s="38" t="b">
        <v>0</v>
      </c>
      <c r="O409" s="38" t="b">
        <v>0</v>
      </c>
      <c r="P409" s="38" t="b">
        <v>0</v>
      </c>
      <c r="Q409" s="39" t="e">
        <f>VLOOKUP($B409,'25년 12월 출석표'!$B$2:$BQ$497,16,0)/5</f>
        <v>#N/A</v>
      </c>
      <c r="R409" s="40"/>
      <c r="S409" s="41" t="e">
        <f>VLOOKUP($B409,'25년 12월 출석표'!$B$2:$BQ$497,30,0)/5</f>
        <v>#N/A</v>
      </c>
      <c r="T409" s="40"/>
      <c r="U409" s="41" t="e">
        <f>VLOOKUP($B409,'25년 12월 출석표'!$B$2:$BQ$497,44,0)/5</f>
        <v>#N/A</v>
      </c>
      <c r="V409" s="40"/>
      <c r="W409" s="41" t="e">
        <f>VLOOKUP($B409,'25년 12월 출석표'!$B$2:$BQ$497,58,0)/5</f>
        <v>#N/A</v>
      </c>
      <c r="X409" s="42"/>
      <c r="Y409" s="41" t="e">
        <f>VLOOKUP($B409,'25년 12월 출석표'!$B$2:$BQ$503,66,0)/5</f>
        <v>#N/A</v>
      </c>
      <c r="Z409" s="43"/>
    </row>
    <row r="410" spans="1:26">
      <c r="A410" s="29"/>
      <c r="B410" s="164"/>
      <c r="C410" s="164"/>
      <c r="D410" s="177"/>
      <c r="E410" s="178"/>
      <c r="F410" s="180"/>
      <c r="G410" s="180"/>
      <c r="H410" s="180"/>
      <c r="I410" s="34" t="e">
        <f>VLOOKUP(B410,'25년 12월 출석표'!$B$7:$D$509,3,0)</f>
        <v>#N/A</v>
      </c>
      <c r="J410" s="35" t="e">
        <f t="shared" ca="1" si="0"/>
        <v>#NAME?</v>
      </c>
      <c r="K410" s="36" t="str">
        <f t="shared" si="3"/>
        <v/>
      </c>
      <c r="L410" s="37" t="str">
        <f t="shared" si="4"/>
        <v/>
      </c>
      <c r="M410" s="30"/>
      <c r="N410" s="38" t="b">
        <v>0</v>
      </c>
      <c r="O410" s="38" t="b">
        <v>0</v>
      </c>
      <c r="P410" s="38" t="b">
        <v>0</v>
      </c>
      <c r="Q410" s="39" t="e">
        <f>VLOOKUP($B410,'25년 12월 출석표'!$B$2:$BQ$497,16,0)/5</f>
        <v>#N/A</v>
      </c>
      <c r="R410" s="40"/>
      <c r="S410" s="41" t="e">
        <f>VLOOKUP($B410,'25년 12월 출석표'!$B$2:$BQ$497,30,0)/5</f>
        <v>#N/A</v>
      </c>
      <c r="T410" s="40"/>
      <c r="U410" s="41" t="e">
        <f>VLOOKUP($B410,'25년 12월 출석표'!$B$2:$BQ$497,44,0)/5</f>
        <v>#N/A</v>
      </c>
      <c r="V410" s="40"/>
      <c r="W410" s="41" t="e">
        <f>VLOOKUP($B410,'25년 12월 출석표'!$B$2:$BQ$497,58,0)/5</f>
        <v>#N/A</v>
      </c>
      <c r="X410" s="42"/>
      <c r="Y410" s="41" t="e">
        <f>VLOOKUP($B410,'25년 12월 출석표'!$B$2:$BQ$503,66,0)/5</f>
        <v>#N/A</v>
      </c>
      <c r="Z410" s="43"/>
    </row>
    <row r="411" spans="1:26">
      <c r="A411" s="29"/>
      <c r="B411" s="164"/>
      <c r="C411" s="164"/>
      <c r="D411" s="177"/>
      <c r="E411" s="178"/>
      <c r="F411" s="180"/>
      <c r="G411" s="180"/>
      <c r="H411" s="180"/>
      <c r="I411" s="34" t="e">
        <f>VLOOKUP(B411,'25년 12월 출석표'!$B$7:$D$509,3,0)</f>
        <v>#N/A</v>
      </c>
      <c r="J411" s="35" t="e">
        <f t="shared" ca="1" si="0"/>
        <v>#NAME?</v>
      </c>
      <c r="K411" s="36" t="str">
        <f t="shared" si="3"/>
        <v/>
      </c>
      <c r="L411" s="37" t="str">
        <f t="shared" si="4"/>
        <v/>
      </c>
      <c r="M411" s="30"/>
      <c r="N411" s="38" t="b">
        <v>0</v>
      </c>
      <c r="O411" s="38" t="b">
        <v>0</v>
      </c>
      <c r="P411" s="38" t="b">
        <v>0</v>
      </c>
      <c r="Q411" s="39" t="e">
        <f>VLOOKUP($B411,'25년 12월 출석표'!$B$2:$BQ$497,16,0)/5</f>
        <v>#N/A</v>
      </c>
      <c r="R411" s="40"/>
      <c r="S411" s="41" t="e">
        <f>VLOOKUP($B411,'25년 12월 출석표'!$B$2:$BQ$497,30,0)/5</f>
        <v>#N/A</v>
      </c>
      <c r="T411" s="40"/>
      <c r="U411" s="41" t="e">
        <f>VLOOKUP($B411,'25년 12월 출석표'!$B$2:$BQ$497,44,0)/5</f>
        <v>#N/A</v>
      </c>
      <c r="V411" s="40"/>
      <c r="W411" s="41" t="e">
        <f>VLOOKUP($B411,'25년 12월 출석표'!$B$2:$BQ$497,58,0)/5</f>
        <v>#N/A</v>
      </c>
      <c r="X411" s="42"/>
      <c r="Y411" s="41" t="e">
        <f>VLOOKUP($B411,'25년 12월 출석표'!$B$2:$BQ$503,66,0)/5</f>
        <v>#N/A</v>
      </c>
      <c r="Z411" s="43"/>
    </row>
    <row r="412" spans="1:26">
      <c r="A412" s="29"/>
      <c r="B412" s="164"/>
      <c r="C412" s="164"/>
      <c r="D412" s="177"/>
      <c r="E412" s="178"/>
      <c r="F412" s="180"/>
      <c r="G412" s="180"/>
      <c r="H412" s="180"/>
      <c r="I412" s="34" t="e">
        <f>VLOOKUP(B412,'25년 12월 출석표'!$B$7:$D$509,3,0)</f>
        <v>#N/A</v>
      </c>
      <c r="J412" s="35" t="e">
        <f t="shared" ca="1" si="0"/>
        <v>#NAME?</v>
      </c>
      <c r="K412" s="36" t="str">
        <f t="shared" si="3"/>
        <v/>
      </c>
      <c r="L412" s="37" t="str">
        <f t="shared" si="4"/>
        <v/>
      </c>
      <c r="M412" s="30"/>
      <c r="N412" s="38" t="b">
        <v>0</v>
      </c>
      <c r="O412" s="38" t="b">
        <v>0</v>
      </c>
      <c r="P412" s="38" t="b">
        <v>0</v>
      </c>
      <c r="Q412" s="39" t="e">
        <f>VLOOKUP($B412,'25년 12월 출석표'!$B$2:$BQ$497,16,0)/5</f>
        <v>#N/A</v>
      </c>
      <c r="R412" s="40"/>
      <c r="S412" s="41" t="e">
        <f>VLOOKUP($B412,'25년 12월 출석표'!$B$2:$BQ$497,30,0)/5</f>
        <v>#N/A</v>
      </c>
      <c r="T412" s="40"/>
      <c r="U412" s="41" t="e">
        <f>VLOOKUP($B412,'25년 12월 출석표'!$B$2:$BQ$497,44,0)/5</f>
        <v>#N/A</v>
      </c>
      <c r="V412" s="40"/>
      <c r="W412" s="41" t="e">
        <f>VLOOKUP($B412,'25년 12월 출석표'!$B$2:$BQ$497,58,0)/5</f>
        <v>#N/A</v>
      </c>
      <c r="X412" s="42"/>
      <c r="Y412" s="41" t="e">
        <f>VLOOKUP($B412,'25년 12월 출석표'!$B$2:$BQ$503,66,0)/5</f>
        <v>#N/A</v>
      </c>
      <c r="Z412" s="43"/>
    </row>
    <row r="413" spans="1:26">
      <c r="A413" s="29"/>
      <c r="B413" s="164"/>
      <c r="C413" s="164"/>
      <c r="D413" s="177"/>
      <c r="E413" s="178"/>
      <c r="F413" s="180"/>
      <c r="G413" s="180"/>
      <c r="H413" s="180"/>
      <c r="I413" s="34" t="e">
        <f>VLOOKUP(B413,'25년 12월 출석표'!$B$7:$D$509,3,0)</f>
        <v>#N/A</v>
      </c>
      <c r="J413" s="35" t="e">
        <f t="shared" ca="1" si="0"/>
        <v>#NAME?</v>
      </c>
      <c r="K413" s="36" t="str">
        <f t="shared" si="3"/>
        <v/>
      </c>
      <c r="L413" s="37" t="str">
        <f t="shared" si="4"/>
        <v/>
      </c>
      <c r="M413" s="30"/>
      <c r="N413" s="38" t="b">
        <v>0</v>
      </c>
      <c r="O413" s="38" t="b">
        <v>0</v>
      </c>
      <c r="P413" s="38" t="b">
        <v>0</v>
      </c>
      <c r="Q413" s="39" t="e">
        <f>VLOOKUP($B413,'25년 12월 출석표'!$B$2:$BQ$497,16,0)/5</f>
        <v>#N/A</v>
      </c>
      <c r="R413" s="40"/>
      <c r="S413" s="41" t="e">
        <f>VLOOKUP($B413,'25년 12월 출석표'!$B$2:$BQ$497,30,0)/5</f>
        <v>#N/A</v>
      </c>
      <c r="T413" s="40"/>
      <c r="U413" s="41" t="e">
        <f>VLOOKUP($B413,'25년 12월 출석표'!$B$2:$BQ$497,44,0)/5</f>
        <v>#N/A</v>
      </c>
      <c r="V413" s="40"/>
      <c r="W413" s="41" t="e">
        <f>VLOOKUP($B413,'25년 12월 출석표'!$B$2:$BQ$497,58,0)/5</f>
        <v>#N/A</v>
      </c>
      <c r="X413" s="42"/>
      <c r="Y413" s="41" t="e">
        <f>VLOOKUP($B413,'25년 12월 출석표'!$B$2:$BQ$503,66,0)/5</f>
        <v>#N/A</v>
      </c>
      <c r="Z413" s="43"/>
    </row>
    <row r="414" spans="1:26">
      <c r="A414" s="29"/>
      <c r="B414" s="164"/>
      <c r="C414" s="164"/>
      <c r="D414" s="177"/>
      <c r="E414" s="178"/>
      <c r="F414" s="180"/>
      <c r="G414" s="180"/>
      <c r="H414" s="180"/>
      <c r="I414" s="34" t="e">
        <f>VLOOKUP(B414,'25년 12월 출석표'!$B$7:$D$509,3,0)</f>
        <v>#N/A</v>
      </c>
      <c r="J414" s="35" t="e">
        <f t="shared" ca="1" si="0"/>
        <v>#NAME?</v>
      </c>
      <c r="K414" s="36" t="str">
        <f t="shared" si="3"/>
        <v/>
      </c>
      <c r="L414" s="37" t="str">
        <f t="shared" si="4"/>
        <v/>
      </c>
      <c r="M414" s="30"/>
      <c r="N414" s="38" t="b">
        <v>0</v>
      </c>
      <c r="O414" s="38" t="b">
        <v>0</v>
      </c>
      <c r="P414" s="38" t="b">
        <v>0</v>
      </c>
      <c r="Q414" s="39" t="e">
        <f>VLOOKUP($B414,'25년 12월 출석표'!$B$2:$BQ$497,16,0)/5</f>
        <v>#N/A</v>
      </c>
      <c r="R414" s="40"/>
      <c r="S414" s="41" t="e">
        <f>VLOOKUP($B414,'25년 12월 출석표'!$B$2:$BQ$497,30,0)/5</f>
        <v>#N/A</v>
      </c>
      <c r="T414" s="40"/>
      <c r="U414" s="41" t="e">
        <f>VLOOKUP($B414,'25년 12월 출석표'!$B$2:$BQ$497,44,0)/5</f>
        <v>#N/A</v>
      </c>
      <c r="V414" s="40"/>
      <c r="W414" s="41" t="e">
        <f>VLOOKUP($B414,'25년 12월 출석표'!$B$2:$BQ$497,58,0)/5</f>
        <v>#N/A</v>
      </c>
      <c r="X414" s="42"/>
      <c r="Y414" s="41" t="e">
        <f>VLOOKUP($B414,'25년 12월 출석표'!$B$2:$BQ$503,66,0)/5</f>
        <v>#N/A</v>
      </c>
      <c r="Z414" s="43"/>
    </row>
    <row r="415" spans="1:26">
      <c r="A415" s="29"/>
      <c r="B415" s="164"/>
      <c r="C415" s="164"/>
      <c r="D415" s="177"/>
      <c r="E415" s="178"/>
      <c r="F415" s="180"/>
      <c r="G415" s="180"/>
      <c r="H415" s="180"/>
      <c r="I415" s="34" t="e">
        <f>VLOOKUP(B415,'25년 12월 출석표'!$B$7:$D$509,3,0)</f>
        <v>#N/A</v>
      </c>
      <c r="J415" s="35" t="e">
        <f t="shared" ca="1" si="0"/>
        <v>#NAME?</v>
      </c>
      <c r="K415" s="36" t="str">
        <f t="shared" si="3"/>
        <v/>
      </c>
      <c r="L415" s="37" t="str">
        <f t="shared" si="4"/>
        <v/>
      </c>
      <c r="M415" s="30"/>
      <c r="N415" s="38" t="b">
        <v>0</v>
      </c>
      <c r="O415" s="38" t="b">
        <v>0</v>
      </c>
      <c r="P415" s="38" t="b">
        <v>0</v>
      </c>
      <c r="Q415" s="39" t="e">
        <f>VLOOKUP($B415,'25년 12월 출석표'!$B$2:$BQ$497,16,0)/5</f>
        <v>#N/A</v>
      </c>
      <c r="R415" s="40"/>
      <c r="S415" s="41" t="e">
        <f>VLOOKUP($B415,'25년 12월 출석표'!$B$2:$BQ$497,30,0)/5</f>
        <v>#N/A</v>
      </c>
      <c r="T415" s="40"/>
      <c r="U415" s="41" t="e">
        <f>VLOOKUP($B415,'25년 12월 출석표'!$B$2:$BQ$497,44,0)/5</f>
        <v>#N/A</v>
      </c>
      <c r="V415" s="40"/>
      <c r="W415" s="41" t="e">
        <f>VLOOKUP($B415,'25년 12월 출석표'!$B$2:$BQ$497,58,0)/5</f>
        <v>#N/A</v>
      </c>
      <c r="X415" s="42"/>
      <c r="Y415" s="41" t="e">
        <f>VLOOKUP($B415,'25년 12월 출석표'!$B$2:$BQ$503,66,0)/5</f>
        <v>#N/A</v>
      </c>
      <c r="Z415" s="43"/>
    </row>
    <row r="416" spans="1:26">
      <c r="A416" s="29"/>
      <c r="B416" s="164"/>
      <c r="C416" s="164"/>
      <c r="D416" s="177"/>
      <c r="E416" s="178"/>
      <c r="F416" s="180"/>
      <c r="G416" s="180"/>
      <c r="H416" s="180"/>
      <c r="I416" s="34" t="e">
        <f>VLOOKUP(B416,'25년 12월 출석표'!$B$7:$D$509,3,0)</f>
        <v>#N/A</v>
      </c>
      <c r="J416" s="35" t="e">
        <f t="shared" ca="1" si="0"/>
        <v>#NAME?</v>
      </c>
      <c r="K416" s="36" t="str">
        <f t="shared" si="3"/>
        <v/>
      </c>
      <c r="L416" s="37" t="str">
        <f t="shared" si="4"/>
        <v/>
      </c>
      <c r="M416" s="30"/>
      <c r="N416" s="38" t="b">
        <v>0</v>
      </c>
      <c r="O416" s="38" t="b">
        <v>0</v>
      </c>
      <c r="P416" s="38" t="b">
        <v>0</v>
      </c>
      <c r="Q416" s="39" t="e">
        <f>VLOOKUP($B416,'25년 12월 출석표'!$B$2:$BQ$497,16,0)/5</f>
        <v>#N/A</v>
      </c>
      <c r="R416" s="40"/>
      <c r="S416" s="41" t="e">
        <f>VLOOKUP($B416,'25년 12월 출석표'!$B$2:$BQ$497,30,0)/5</f>
        <v>#N/A</v>
      </c>
      <c r="T416" s="40"/>
      <c r="U416" s="41" t="e">
        <f>VLOOKUP($B416,'25년 12월 출석표'!$B$2:$BQ$497,44,0)/5</f>
        <v>#N/A</v>
      </c>
      <c r="V416" s="40"/>
      <c r="W416" s="41" t="e">
        <f>VLOOKUP($B416,'25년 12월 출석표'!$B$2:$BQ$497,58,0)/5</f>
        <v>#N/A</v>
      </c>
      <c r="X416" s="42"/>
      <c r="Y416" s="41" t="e">
        <f>VLOOKUP($B416,'25년 12월 출석표'!$B$2:$BQ$503,66,0)/5</f>
        <v>#N/A</v>
      </c>
      <c r="Z416" s="43"/>
    </row>
    <row r="417" spans="1:26">
      <c r="A417" s="29"/>
      <c r="B417" s="164"/>
      <c r="C417" s="164"/>
      <c r="D417" s="177"/>
      <c r="E417" s="178"/>
      <c r="F417" s="180"/>
      <c r="G417" s="180"/>
      <c r="H417" s="180"/>
      <c r="I417" s="34" t="e">
        <f>VLOOKUP(B417,'25년 12월 출석표'!$B$7:$D$509,3,0)</f>
        <v>#N/A</v>
      </c>
      <c r="J417" s="35" t="e">
        <f t="shared" ca="1" si="0"/>
        <v>#NAME?</v>
      </c>
      <c r="K417" s="36" t="str">
        <f t="shared" si="3"/>
        <v/>
      </c>
      <c r="L417" s="37" t="str">
        <f t="shared" si="4"/>
        <v/>
      </c>
      <c r="M417" s="30"/>
      <c r="N417" s="38" t="b">
        <v>0</v>
      </c>
      <c r="O417" s="38" t="b">
        <v>0</v>
      </c>
      <c r="P417" s="38" t="b">
        <v>0</v>
      </c>
      <c r="Q417" s="39" t="e">
        <f>VLOOKUP($B417,'25년 12월 출석표'!$B$2:$BQ$497,16,0)/5</f>
        <v>#N/A</v>
      </c>
      <c r="R417" s="40"/>
      <c r="S417" s="41" t="e">
        <f>VLOOKUP($B417,'25년 12월 출석표'!$B$2:$BQ$497,30,0)/5</f>
        <v>#N/A</v>
      </c>
      <c r="T417" s="40"/>
      <c r="U417" s="41" t="e">
        <f>VLOOKUP($B417,'25년 12월 출석표'!$B$2:$BQ$497,44,0)/5</f>
        <v>#N/A</v>
      </c>
      <c r="V417" s="40"/>
      <c r="W417" s="41" t="e">
        <f>VLOOKUP($B417,'25년 12월 출석표'!$B$2:$BQ$497,58,0)/5</f>
        <v>#N/A</v>
      </c>
      <c r="X417" s="42"/>
      <c r="Y417" s="41" t="e">
        <f>VLOOKUP($B417,'25년 12월 출석표'!$B$2:$BQ$503,66,0)/5</f>
        <v>#N/A</v>
      </c>
      <c r="Z417" s="43"/>
    </row>
    <row r="418" spans="1:26">
      <c r="A418" s="29"/>
      <c r="B418" s="164"/>
      <c r="C418" s="164"/>
      <c r="D418" s="177"/>
      <c r="E418" s="178"/>
      <c r="F418" s="180"/>
      <c r="G418" s="180"/>
      <c r="H418" s="180"/>
      <c r="I418" s="34" t="e">
        <f>VLOOKUP(B418,'25년 12월 출석표'!$B$7:$D$509,3,0)</f>
        <v>#N/A</v>
      </c>
      <c r="J418" s="35" t="e">
        <f t="shared" ca="1" si="0"/>
        <v>#NAME?</v>
      </c>
      <c r="K418" s="36" t="str">
        <f t="shared" si="3"/>
        <v/>
      </c>
      <c r="L418" s="37" t="str">
        <f t="shared" si="4"/>
        <v/>
      </c>
      <c r="M418" s="30"/>
      <c r="N418" s="38" t="b">
        <v>0</v>
      </c>
      <c r="O418" s="38" t="b">
        <v>0</v>
      </c>
      <c r="P418" s="38" t="b">
        <v>0</v>
      </c>
      <c r="Q418" s="39" t="e">
        <f>VLOOKUP($B418,'25년 12월 출석표'!$B$2:$BQ$497,16,0)/5</f>
        <v>#N/A</v>
      </c>
      <c r="R418" s="40"/>
      <c r="S418" s="41" t="e">
        <f>VLOOKUP($B418,'25년 12월 출석표'!$B$2:$BQ$497,30,0)/5</f>
        <v>#N/A</v>
      </c>
      <c r="T418" s="40"/>
      <c r="U418" s="41" t="e">
        <f>VLOOKUP($B418,'25년 12월 출석표'!$B$2:$BQ$497,44,0)/5</f>
        <v>#N/A</v>
      </c>
      <c r="V418" s="40"/>
      <c r="W418" s="41" t="e">
        <f>VLOOKUP($B418,'25년 12월 출석표'!$B$2:$BQ$497,58,0)/5</f>
        <v>#N/A</v>
      </c>
      <c r="X418" s="42"/>
      <c r="Y418" s="41" t="e">
        <f>VLOOKUP($B418,'25년 12월 출석표'!$B$2:$BQ$503,66,0)/5</f>
        <v>#N/A</v>
      </c>
      <c r="Z418" s="43"/>
    </row>
    <row r="419" spans="1:26">
      <c r="A419" s="29"/>
      <c r="B419" s="164"/>
      <c r="C419" s="164"/>
      <c r="D419" s="177"/>
      <c r="E419" s="178"/>
      <c r="F419" s="180"/>
      <c r="G419" s="180"/>
      <c r="H419" s="180"/>
      <c r="I419" s="34" t="e">
        <f>VLOOKUP(B419,'25년 12월 출석표'!$B$7:$D$509,3,0)</f>
        <v>#N/A</v>
      </c>
      <c r="J419" s="35" t="e">
        <f t="shared" ca="1" si="0"/>
        <v>#NAME?</v>
      </c>
      <c r="K419" s="36" t="str">
        <f t="shared" si="3"/>
        <v/>
      </c>
      <c r="L419" s="37" t="str">
        <f t="shared" si="4"/>
        <v/>
      </c>
      <c r="M419" s="30"/>
      <c r="N419" s="38" t="b">
        <v>0</v>
      </c>
      <c r="O419" s="38" t="b">
        <v>0</v>
      </c>
      <c r="P419" s="38" t="b">
        <v>0</v>
      </c>
      <c r="Q419" s="39" t="e">
        <f>VLOOKUP($B419,'25년 12월 출석표'!$B$2:$BQ$497,16,0)/5</f>
        <v>#N/A</v>
      </c>
      <c r="R419" s="40"/>
      <c r="S419" s="41" t="e">
        <f>VLOOKUP($B419,'25년 12월 출석표'!$B$2:$BQ$497,30,0)/5</f>
        <v>#N/A</v>
      </c>
      <c r="T419" s="40"/>
      <c r="U419" s="41" t="e">
        <f>VLOOKUP($B419,'25년 12월 출석표'!$B$2:$BQ$497,44,0)/5</f>
        <v>#N/A</v>
      </c>
      <c r="V419" s="40"/>
      <c r="W419" s="41" t="e">
        <f>VLOOKUP($B419,'25년 12월 출석표'!$B$2:$BQ$497,58,0)/5</f>
        <v>#N/A</v>
      </c>
      <c r="X419" s="42"/>
      <c r="Y419" s="41" t="e">
        <f>VLOOKUP($B419,'25년 12월 출석표'!$B$2:$BQ$503,66,0)/5</f>
        <v>#N/A</v>
      </c>
      <c r="Z419" s="43"/>
    </row>
    <row r="420" spans="1:26">
      <c r="A420" s="29"/>
      <c r="B420" s="164"/>
      <c r="C420" s="164"/>
      <c r="D420" s="177"/>
      <c r="E420" s="178"/>
      <c r="F420" s="180"/>
      <c r="G420" s="180"/>
      <c r="H420" s="180"/>
      <c r="I420" s="34" t="e">
        <f>VLOOKUP(B420,'25년 12월 출석표'!$B$7:$D$509,3,0)</f>
        <v>#N/A</v>
      </c>
      <c r="J420" s="35" t="e">
        <f t="shared" ca="1" si="0"/>
        <v>#NAME?</v>
      </c>
      <c r="K420" s="36" t="str">
        <f t="shared" si="3"/>
        <v/>
      </c>
      <c r="L420" s="37" t="str">
        <f t="shared" si="4"/>
        <v/>
      </c>
      <c r="M420" s="30"/>
      <c r="N420" s="38" t="b">
        <v>0</v>
      </c>
      <c r="O420" s="38" t="b">
        <v>0</v>
      </c>
      <c r="P420" s="38" t="b">
        <v>0</v>
      </c>
      <c r="Q420" s="39" t="e">
        <f>VLOOKUP($B420,'25년 12월 출석표'!$B$2:$BQ$497,16,0)/5</f>
        <v>#N/A</v>
      </c>
      <c r="R420" s="40"/>
      <c r="S420" s="41" t="e">
        <f>VLOOKUP($B420,'25년 12월 출석표'!$B$2:$BQ$497,30,0)/5</f>
        <v>#N/A</v>
      </c>
      <c r="T420" s="40"/>
      <c r="U420" s="41" t="e">
        <f>VLOOKUP($B420,'25년 12월 출석표'!$B$2:$BQ$497,44,0)/5</f>
        <v>#N/A</v>
      </c>
      <c r="V420" s="40"/>
      <c r="W420" s="41" t="e">
        <f>VLOOKUP($B420,'25년 12월 출석표'!$B$2:$BQ$497,58,0)/5</f>
        <v>#N/A</v>
      </c>
      <c r="X420" s="42"/>
      <c r="Y420" s="41" t="e">
        <f>VLOOKUP($B420,'25년 12월 출석표'!$B$2:$BQ$503,66,0)/5</f>
        <v>#N/A</v>
      </c>
      <c r="Z420" s="43"/>
    </row>
    <row r="421" spans="1:26">
      <c r="A421" s="29"/>
      <c r="B421" s="164"/>
      <c r="C421" s="164"/>
      <c r="D421" s="177"/>
      <c r="E421" s="178"/>
      <c r="F421" s="180"/>
      <c r="G421" s="180"/>
      <c r="H421" s="180"/>
      <c r="I421" s="34" t="e">
        <f>VLOOKUP(B421,'25년 12월 출석표'!$B$7:$D$509,3,0)</f>
        <v>#N/A</v>
      </c>
      <c r="J421" s="35" t="e">
        <f t="shared" ca="1" si="0"/>
        <v>#NAME?</v>
      </c>
      <c r="K421" s="36" t="str">
        <f t="shared" si="3"/>
        <v/>
      </c>
      <c r="L421" s="37" t="str">
        <f t="shared" si="4"/>
        <v/>
      </c>
      <c r="M421" s="30"/>
      <c r="N421" s="38" t="b">
        <v>0</v>
      </c>
      <c r="O421" s="38" t="b">
        <v>0</v>
      </c>
      <c r="P421" s="38" t="b">
        <v>0</v>
      </c>
      <c r="Q421" s="39" t="e">
        <f>VLOOKUP($B421,'25년 12월 출석표'!$B$2:$BQ$497,16,0)/5</f>
        <v>#N/A</v>
      </c>
      <c r="R421" s="40"/>
      <c r="S421" s="41" t="e">
        <f>VLOOKUP($B421,'25년 12월 출석표'!$B$2:$BQ$497,30,0)/5</f>
        <v>#N/A</v>
      </c>
      <c r="T421" s="40"/>
      <c r="U421" s="41" t="e">
        <f>VLOOKUP($B421,'25년 12월 출석표'!$B$2:$BQ$497,44,0)/5</f>
        <v>#N/A</v>
      </c>
      <c r="V421" s="40"/>
      <c r="W421" s="41" t="e">
        <f>VLOOKUP($B421,'25년 12월 출석표'!$B$2:$BQ$497,58,0)/5</f>
        <v>#N/A</v>
      </c>
      <c r="X421" s="42"/>
      <c r="Y421" s="41" t="e">
        <f>VLOOKUP($B421,'25년 12월 출석표'!$B$2:$BQ$503,66,0)/5</f>
        <v>#N/A</v>
      </c>
      <c r="Z421" s="43"/>
    </row>
    <row r="422" spans="1:26">
      <c r="A422" s="29"/>
      <c r="B422" s="164"/>
      <c r="C422" s="164"/>
      <c r="D422" s="177"/>
      <c r="E422" s="178"/>
      <c r="F422" s="180"/>
      <c r="G422" s="180"/>
      <c r="H422" s="180"/>
      <c r="I422" s="34" t="e">
        <f>VLOOKUP(B422,'25년 12월 출석표'!$B$7:$D$509,3,0)</f>
        <v>#N/A</v>
      </c>
      <c r="J422" s="35" t="e">
        <f t="shared" ca="1" si="0"/>
        <v>#NAME?</v>
      </c>
      <c r="K422" s="36" t="str">
        <f t="shared" si="3"/>
        <v/>
      </c>
      <c r="L422" s="37" t="str">
        <f t="shared" si="4"/>
        <v/>
      </c>
      <c r="M422" s="30"/>
      <c r="N422" s="38" t="b">
        <v>0</v>
      </c>
      <c r="O422" s="38" t="b">
        <v>0</v>
      </c>
      <c r="P422" s="38" t="b">
        <v>0</v>
      </c>
      <c r="Q422" s="39" t="e">
        <f>VLOOKUP($B422,'25년 12월 출석표'!$B$2:$BQ$497,16,0)/5</f>
        <v>#N/A</v>
      </c>
      <c r="R422" s="40"/>
      <c r="S422" s="41" t="e">
        <f>VLOOKUP($B422,'25년 12월 출석표'!$B$2:$BQ$497,30,0)/5</f>
        <v>#N/A</v>
      </c>
      <c r="T422" s="40"/>
      <c r="U422" s="41" t="e">
        <f>VLOOKUP($B422,'25년 12월 출석표'!$B$2:$BQ$497,44,0)/5</f>
        <v>#N/A</v>
      </c>
      <c r="V422" s="40"/>
      <c r="W422" s="41" t="e">
        <f>VLOOKUP($B422,'25년 12월 출석표'!$B$2:$BQ$497,58,0)/5</f>
        <v>#N/A</v>
      </c>
      <c r="X422" s="42"/>
      <c r="Y422" s="41" t="e">
        <f>VLOOKUP($B422,'25년 12월 출석표'!$B$2:$BQ$503,66,0)/5</f>
        <v>#N/A</v>
      </c>
      <c r="Z422" s="43"/>
    </row>
    <row r="423" spans="1:26">
      <c r="A423" s="29"/>
      <c r="B423" s="164"/>
      <c r="C423" s="164"/>
      <c r="D423" s="177"/>
      <c r="E423" s="178"/>
      <c r="F423" s="180"/>
      <c r="G423" s="180"/>
      <c r="H423" s="180"/>
      <c r="I423" s="34" t="e">
        <f>VLOOKUP(B423,'25년 12월 출석표'!$B$7:$D$509,3,0)</f>
        <v>#N/A</v>
      </c>
      <c r="J423" s="35" t="e">
        <f t="shared" ca="1" si="0"/>
        <v>#NAME?</v>
      </c>
      <c r="K423" s="36" t="str">
        <f t="shared" si="3"/>
        <v/>
      </c>
      <c r="L423" s="37" t="str">
        <f t="shared" si="4"/>
        <v/>
      </c>
      <c r="M423" s="30"/>
      <c r="N423" s="38" t="b">
        <v>0</v>
      </c>
      <c r="O423" s="38" t="b">
        <v>0</v>
      </c>
      <c r="P423" s="38" t="b">
        <v>0</v>
      </c>
      <c r="Q423" s="39" t="e">
        <f>VLOOKUP($B423,'25년 12월 출석표'!$B$2:$BQ$497,16,0)/5</f>
        <v>#N/A</v>
      </c>
      <c r="R423" s="40"/>
      <c r="S423" s="41" t="e">
        <f>VLOOKUP($B423,'25년 12월 출석표'!$B$2:$BQ$497,30,0)/5</f>
        <v>#N/A</v>
      </c>
      <c r="T423" s="40"/>
      <c r="U423" s="41" t="e">
        <f>VLOOKUP($B423,'25년 12월 출석표'!$B$2:$BQ$497,44,0)/5</f>
        <v>#N/A</v>
      </c>
      <c r="V423" s="40"/>
      <c r="W423" s="41" t="e">
        <f>VLOOKUP($B423,'25년 12월 출석표'!$B$2:$BQ$497,58,0)/5</f>
        <v>#N/A</v>
      </c>
      <c r="X423" s="42"/>
      <c r="Y423" s="41" t="e">
        <f>VLOOKUP($B423,'25년 12월 출석표'!$B$2:$BQ$503,66,0)/5</f>
        <v>#N/A</v>
      </c>
      <c r="Z423" s="43"/>
    </row>
    <row r="424" spans="1:26">
      <c r="A424" s="29"/>
      <c r="B424" s="164"/>
      <c r="C424" s="164"/>
      <c r="D424" s="177"/>
      <c r="E424" s="178"/>
      <c r="F424" s="180"/>
      <c r="G424" s="180"/>
      <c r="H424" s="180"/>
      <c r="I424" s="34" t="e">
        <f>VLOOKUP(B424,'25년 12월 출석표'!$B$7:$D$509,3,0)</f>
        <v>#N/A</v>
      </c>
      <c r="J424" s="35" t="e">
        <f t="shared" ca="1" si="0"/>
        <v>#NAME?</v>
      </c>
      <c r="K424" s="36" t="str">
        <f t="shared" si="3"/>
        <v/>
      </c>
      <c r="L424" s="37" t="str">
        <f t="shared" si="4"/>
        <v/>
      </c>
      <c r="M424" s="30"/>
      <c r="N424" s="38" t="b">
        <v>0</v>
      </c>
      <c r="O424" s="38" t="b">
        <v>0</v>
      </c>
      <c r="P424" s="38" t="b">
        <v>0</v>
      </c>
      <c r="Q424" s="39" t="e">
        <f>VLOOKUP($B424,'25년 12월 출석표'!$B$2:$BQ$497,16,0)/5</f>
        <v>#N/A</v>
      </c>
      <c r="R424" s="40"/>
      <c r="S424" s="41" t="e">
        <f>VLOOKUP($B424,'25년 12월 출석표'!$B$2:$BQ$497,30,0)/5</f>
        <v>#N/A</v>
      </c>
      <c r="T424" s="40"/>
      <c r="U424" s="41" t="e">
        <f>VLOOKUP($B424,'25년 12월 출석표'!$B$2:$BQ$497,44,0)/5</f>
        <v>#N/A</v>
      </c>
      <c r="V424" s="40"/>
      <c r="W424" s="41" t="e">
        <f>VLOOKUP($B424,'25년 12월 출석표'!$B$2:$BQ$497,58,0)/5</f>
        <v>#N/A</v>
      </c>
      <c r="X424" s="42"/>
      <c r="Y424" s="41" t="e">
        <f>VLOOKUP($B424,'25년 12월 출석표'!$B$2:$BQ$503,66,0)/5</f>
        <v>#N/A</v>
      </c>
      <c r="Z424" s="43"/>
    </row>
    <row r="425" spans="1:26">
      <c r="A425" s="29"/>
      <c r="B425" s="164"/>
      <c r="C425" s="164"/>
      <c r="D425" s="177"/>
      <c r="E425" s="178"/>
      <c r="F425" s="180"/>
      <c r="G425" s="180"/>
      <c r="H425" s="180"/>
      <c r="I425" s="34" t="e">
        <f>VLOOKUP(B425,'25년 12월 출석표'!$B$7:$D$509,3,0)</f>
        <v>#N/A</v>
      </c>
      <c r="J425" s="35" t="e">
        <f t="shared" ca="1" si="0"/>
        <v>#NAME?</v>
      </c>
      <c r="K425" s="36" t="str">
        <f t="shared" si="3"/>
        <v/>
      </c>
      <c r="L425" s="37" t="str">
        <f t="shared" si="4"/>
        <v/>
      </c>
      <c r="M425" s="30"/>
      <c r="N425" s="38" t="b">
        <v>0</v>
      </c>
      <c r="O425" s="38" t="b">
        <v>0</v>
      </c>
      <c r="P425" s="38" t="b">
        <v>0</v>
      </c>
      <c r="Q425" s="39" t="e">
        <f>VLOOKUP($B425,'25년 12월 출석표'!$B$2:$BQ$497,16,0)/5</f>
        <v>#N/A</v>
      </c>
      <c r="R425" s="40"/>
      <c r="S425" s="41" t="e">
        <f>VLOOKUP($B425,'25년 12월 출석표'!$B$2:$BQ$497,30,0)/5</f>
        <v>#N/A</v>
      </c>
      <c r="T425" s="40"/>
      <c r="U425" s="41" t="e">
        <f>VLOOKUP($B425,'25년 12월 출석표'!$B$2:$BQ$497,44,0)/5</f>
        <v>#N/A</v>
      </c>
      <c r="V425" s="40"/>
      <c r="W425" s="41" t="e">
        <f>VLOOKUP($B425,'25년 12월 출석표'!$B$2:$BQ$497,58,0)/5</f>
        <v>#N/A</v>
      </c>
      <c r="X425" s="42"/>
      <c r="Y425" s="41" t="e">
        <f>VLOOKUP($B425,'25년 12월 출석표'!$B$2:$BQ$503,66,0)/5</f>
        <v>#N/A</v>
      </c>
      <c r="Z425" s="43"/>
    </row>
    <row r="426" spans="1:26">
      <c r="A426" s="29"/>
      <c r="B426" s="164"/>
      <c r="C426" s="164"/>
      <c r="D426" s="177"/>
      <c r="E426" s="178"/>
      <c r="F426" s="180"/>
      <c r="G426" s="180"/>
      <c r="H426" s="180"/>
      <c r="I426" s="34" t="e">
        <f>VLOOKUP(B426,'25년 12월 출석표'!$B$7:$D$509,3,0)</f>
        <v>#N/A</v>
      </c>
      <c r="J426" s="35" t="e">
        <f t="shared" ca="1" si="0"/>
        <v>#NAME?</v>
      </c>
      <c r="K426" s="36" t="str">
        <f t="shared" si="3"/>
        <v/>
      </c>
      <c r="L426" s="37" t="str">
        <f t="shared" si="4"/>
        <v/>
      </c>
      <c r="M426" s="30"/>
      <c r="N426" s="38" t="b">
        <v>0</v>
      </c>
      <c r="O426" s="38" t="b">
        <v>0</v>
      </c>
      <c r="P426" s="38" t="b">
        <v>0</v>
      </c>
      <c r="Q426" s="39" t="e">
        <f>VLOOKUP($B426,'25년 12월 출석표'!$B$2:$BQ$497,16,0)/5</f>
        <v>#N/A</v>
      </c>
      <c r="R426" s="40"/>
      <c r="S426" s="41" t="e">
        <f>VLOOKUP($B426,'25년 12월 출석표'!$B$2:$BQ$497,30,0)/5</f>
        <v>#N/A</v>
      </c>
      <c r="T426" s="40"/>
      <c r="U426" s="41" t="e">
        <f>VLOOKUP($B426,'25년 12월 출석표'!$B$2:$BQ$497,44,0)/5</f>
        <v>#N/A</v>
      </c>
      <c r="V426" s="40"/>
      <c r="W426" s="41" t="e">
        <f>VLOOKUP($B426,'25년 12월 출석표'!$B$2:$BQ$497,58,0)/5</f>
        <v>#N/A</v>
      </c>
      <c r="X426" s="42"/>
      <c r="Y426" s="41" t="e">
        <f>VLOOKUP($B426,'25년 12월 출석표'!$B$2:$BQ$503,66,0)/5</f>
        <v>#N/A</v>
      </c>
      <c r="Z426" s="43"/>
    </row>
    <row r="427" spans="1:26">
      <c r="A427" s="29"/>
      <c r="B427" s="164"/>
      <c r="C427" s="164"/>
      <c r="D427" s="177"/>
      <c r="E427" s="178"/>
      <c r="F427" s="180"/>
      <c r="G427" s="180"/>
      <c r="H427" s="180"/>
      <c r="I427" s="34" t="e">
        <f>VLOOKUP(B427,'25년 12월 출석표'!$B$7:$D$509,3,0)</f>
        <v>#N/A</v>
      </c>
      <c r="J427" s="35" t="e">
        <f t="shared" ca="1" si="0"/>
        <v>#NAME?</v>
      </c>
      <c r="K427" s="36" t="str">
        <f t="shared" si="3"/>
        <v/>
      </c>
      <c r="L427" s="37" t="str">
        <f t="shared" si="4"/>
        <v/>
      </c>
      <c r="M427" s="30"/>
      <c r="N427" s="38" t="b">
        <v>0</v>
      </c>
      <c r="O427" s="38" t="b">
        <v>0</v>
      </c>
      <c r="P427" s="38" t="b">
        <v>0</v>
      </c>
      <c r="Q427" s="39" t="e">
        <f>VLOOKUP($B427,'25년 12월 출석표'!$B$2:$BQ$497,16,0)/5</f>
        <v>#N/A</v>
      </c>
      <c r="R427" s="40"/>
      <c r="S427" s="41" t="e">
        <f>VLOOKUP($B427,'25년 12월 출석표'!$B$2:$BQ$497,30,0)/5</f>
        <v>#N/A</v>
      </c>
      <c r="T427" s="40"/>
      <c r="U427" s="41" t="e">
        <f>VLOOKUP($B427,'25년 12월 출석표'!$B$2:$BQ$497,44,0)/5</f>
        <v>#N/A</v>
      </c>
      <c r="V427" s="40"/>
      <c r="W427" s="41" t="e">
        <f>VLOOKUP($B427,'25년 12월 출석표'!$B$2:$BQ$497,58,0)/5</f>
        <v>#N/A</v>
      </c>
      <c r="X427" s="42"/>
      <c r="Y427" s="41" t="e">
        <f>VLOOKUP($B427,'25년 12월 출석표'!$B$2:$BQ$503,66,0)/5</f>
        <v>#N/A</v>
      </c>
      <c r="Z427" s="43"/>
    </row>
    <row r="428" spans="1:26">
      <c r="A428" s="29"/>
      <c r="B428" s="164"/>
      <c r="C428" s="164"/>
      <c r="D428" s="177"/>
      <c r="E428" s="178"/>
      <c r="F428" s="180"/>
      <c r="G428" s="180"/>
      <c r="H428" s="180"/>
      <c r="I428" s="34" t="e">
        <f>VLOOKUP(B428,'25년 12월 출석표'!$B$7:$D$509,3,0)</f>
        <v>#N/A</v>
      </c>
      <c r="J428" s="35" t="e">
        <f t="shared" ca="1" si="0"/>
        <v>#NAME?</v>
      </c>
      <c r="K428" s="36" t="str">
        <f t="shared" si="3"/>
        <v/>
      </c>
      <c r="L428" s="37" t="str">
        <f t="shared" si="4"/>
        <v/>
      </c>
      <c r="M428" s="30"/>
      <c r="N428" s="38" t="b">
        <v>0</v>
      </c>
      <c r="O428" s="38" t="b">
        <v>0</v>
      </c>
      <c r="P428" s="38" t="b">
        <v>0</v>
      </c>
      <c r="Q428" s="39" t="e">
        <f>VLOOKUP($B428,'25년 12월 출석표'!$B$2:$BQ$497,16,0)/5</f>
        <v>#N/A</v>
      </c>
      <c r="R428" s="40"/>
      <c r="S428" s="41" t="e">
        <f>VLOOKUP($B428,'25년 12월 출석표'!$B$2:$BQ$497,30,0)/5</f>
        <v>#N/A</v>
      </c>
      <c r="T428" s="40"/>
      <c r="U428" s="41" t="e">
        <f>VLOOKUP($B428,'25년 12월 출석표'!$B$2:$BQ$497,44,0)/5</f>
        <v>#N/A</v>
      </c>
      <c r="V428" s="40"/>
      <c r="W428" s="41" t="e">
        <f>VLOOKUP($B428,'25년 12월 출석표'!$B$2:$BQ$497,58,0)/5</f>
        <v>#N/A</v>
      </c>
      <c r="X428" s="42"/>
      <c r="Y428" s="41" t="e">
        <f>VLOOKUP($B428,'25년 12월 출석표'!$B$2:$BQ$503,66,0)/5</f>
        <v>#N/A</v>
      </c>
      <c r="Z428" s="43"/>
    </row>
    <row r="429" spans="1:26">
      <c r="A429" s="29"/>
      <c r="B429" s="164"/>
      <c r="C429" s="164"/>
      <c r="D429" s="177"/>
      <c r="E429" s="178"/>
      <c r="F429" s="180"/>
      <c r="G429" s="180"/>
      <c r="H429" s="180"/>
      <c r="I429" s="34" t="e">
        <f>VLOOKUP(B429,'25년 12월 출석표'!$B$7:$D$509,3,0)</f>
        <v>#N/A</v>
      </c>
      <c r="J429" s="35" t="e">
        <f t="shared" ca="1" si="0"/>
        <v>#NAME?</v>
      </c>
      <c r="K429" s="36" t="str">
        <f t="shared" si="3"/>
        <v/>
      </c>
      <c r="L429" s="37" t="str">
        <f t="shared" si="4"/>
        <v/>
      </c>
      <c r="M429" s="30"/>
      <c r="N429" s="38" t="b">
        <v>0</v>
      </c>
      <c r="O429" s="38" t="b">
        <v>0</v>
      </c>
      <c r="P429" s="38" t="b">
        <v>0</v>
      </c>
      <c r="Q429" s="39" t="e">
        <f>VLOOKUP($B429,'25년 12월 출석표'!$B$2:$BQ$497,16,0)/5</f>
        <v>#N/A</v>
      </c>
      <c r="R429" s="40"/>
      <c r="S429" s="41" t="e">
        <f>VLOOKUP($B429,'25년 12월 출석표'!$B$2:$BQ$497,30,0)/5</f>
        <v>#N/A</v>
      </c>
      <c r="T429" s="40"/>
      <c r="U429" s="41" t="e">
        <f>VLOOKUP($B429,'25년 12월 출석표'!$B$2:$BQ$497,44,0)/5</f>
        <v>#N/A</v>
      </c>
      <c r="V429" s="40"/>
      <c r="W429" s="41" t="e">
        <f>VLOOKUP($B429,'25년 12월 출석표'!$B$2:$BQ$497,58,0)/5</f>
        <v>#N/A</v>
      </c>
      <c r="X429" s="42"/>
      <c r="Y429" s="41" t="e">
        <f>VLOOKUP($B429,'25년 12월 출석표'!$B$2:$BQ$503,66,0)/5</f>
        <v>#N/A</v>
      </c>
      <c r="Z429" s="43"/>
    </row>
    <row r="430" spans="1:26">
      <c r="A430" s="29"/>
      <c r="B430" s="164"/>
      <c r="C430" s="164"/>
      <c r="D430" s="177"/>
      <c r="E430" s="178"/>
      <c r="F430" s="180"/>
      <c r="G430" s="180"/>
      <c r="H430" s="180"/>
      <c r="I430" s="34" t="e">
        <f>VLOOKUP(B430,'25년 12월 출석표'!$B$7:$D$509,3,0)</f>
        <v>#N/A</v>
      </c>
      <c r="J430" s="35" t="e">
        <f t="shared" ca="1" si="0"/>
        <v>#NAME?</v>
      </c>
      <c r="K430" s="36" t="str">
        <f t="shared" si="3"/>
        <v/>
      </c>
      <c r="L430" s="37" t="str">
        <f t="shared" si="4"/>
        <v/>
      </c>
      <c r="M430" s="30"/>
      <c r="N430" s="38" t="b">
        <v>0</v>
      </c>
      <c r="O430" s="38" t="b">
        <v>0</v>
      </c>
      <c r="P430" s="38" t="b">
        <v>0</v>
      </c>
      <c r="Q430" s="39" t="e">
        <f>VLOOKUP($B430,'25년 12월 출석표'!$B$2:$BQ$497,16,0)/5</f>
        <v>#N/A</v>
      </c>
      <c r="R430" s="40"/>
      <c r="S430" s="41" t="e">
        <f>VLOOKUP($B430,'25년 12월 출석표'!$B$2:$BQ$497,30,0)/5</f>
        <v>#N/A</v>
      </c>
      <c r="T430" s="40"/>
      <c r="U430" s="41" t="e">
        <f>VLOOKUP($B430,'25년 12월 출석표'!$B$2:$BQ$497,44,0)/5</f>
        <v>#N/A</v>
      </c>
      <c r="V430" s="40"/>
      <c r="W430" s="41" t="e">
        <f>VLOOKUP($B430,'25년 12월 출석표'!$B$2:$BQ$497,58,0)/5</f>
        <v>#N/A</v>
      </c>
      <c r="X430" s="42"/>
      <c r="Y430" s="41" t="e">
        <f>VLOOKUP($B430,'25년 12월 출석표'!$B$2:$BQ$503,66,0)/5</f>
        <v>#N/A</v>
      </c>
      <c r="Z430" s="43"/>
    </row>
    <row r="431" spans="1:26">
      <c r="A431" s="29"/>
      <c r="B431" s="164"/>
      <c r="C431" s="164"/>
      <c r="D431" s="177"/>
      <c r="E431" s="178"/>
      <c r="F431" s="180"/>
      <c r="G431" s="180"/>
      <c r="H431" s="180"/>
      <c r="I431" s="34" t="e">
        <f>VLOOKUP(B431,'25년 12월 출석표'!$B$7:$D$509,3,0)</f>
        <v>#N/A</v>
      </c>
      <c r="J431" s="35" t="e">
        <f t="shared" ca="1" si="0"/>
        <v>#NAME?</v>
      </c>
      <c r="K431" s="36" t="str">
        <f t="shared" si="3"/>
        <v/>
      </c>
      <c r="L431" s="37" t="str">
        <f t="shared" si="4"/>
        <v/>
      </c>
      <c r="M431" s="30"/>
      <c r="N431" s="38" t="b">
        <v>0</v>
      </c>
      <c r="O431" s="38" t="b">
        <v>0</v>
      </c>
      <c r="P431" s="38" t="b">
        <v>0</v>
      </c>
      <c r="Q431" s="39" t="e">
        <f>VLOOKUP($B431,'25년 12월 출석표'!$B$2:$BQ$497,16,0)/5</f>
        <v>#N/A</v>
      </c>
      <c r="R431" s="40"/>
      <c r="S431" s="41" t="e">
        <f>VLOOKUP($B431,'25년 12월 출석표'!$B$2:$BQ$497,30,0)/5</f>
        <v>#N/A</v>
      </c>
      <c r="T431" s="40"/>
      <c r="U431" s="41" t="e">
        <f>VLOOKUP($B431,'25년 12월 출석표'!$B$2:$BQ$497,44,0)/5</f>
        <v>#N/A</v>
      </c>
      <c r="V431" s="40"/>
      <c r="W431" s="41" t="e">
        <f>VLOOKUP($B431,'25년 12월 출석표'!$B$2:$BQ$497,58,0)/5</f>
        <v>#N/A</v>
      </c>
      <c r="X431" s="42"/>
      <c r="Y431" s="41" t="e">
        <f>VLOOKUP($B431,'25년 12월 출석표'!$B$2:$BQ$503,66,0)/5</f>
        <v>#N/A</v>
      </c>
      <c r="Z431" s="43"/>
    </row>
    <row r="432" spans="1:26">
      <c r="A432" s="29"/>
      <c r="B432" s="164"/>
      <c r="C432" s="164"/>
      <c r="D432" s="177"/>
      <c r="E432" s="178"/>
      <c r="F432" s="180"/>
      <c r="G432" s="180"/>
      <c r="H432" s="180"/>
      <c r="I432" s="34" t="e">
        <f>VLOOKUP(B432,'25년 12월 출석표'!$B$7:$D$509,3,0)</f>
        <v>#N/A</v>
      </c>
      <c r="J432" s="35" t="e">
        <f t="shared" ca="1" si="0"/>
        <v>#NAME?</v>
      </c>
      <c r="K432" s="36" t="str">
        <f t="shared" si="3"/>
        <v/>
      </c>
      <c r="L432" s="37" t="str">
        <f t="shared" si="4"/>
        <v/>
      </c>
      <c r="M432" s="30"/>
      <c r="N432" s="38" t="b">
        <v>0</v>
      </c>
      <c r="O432" s="38" t="b">
        <v>0</v>
      </c>
      <c r="P432" s="38" t="b">
        <v>0</v>
      </c>
      <c r="Q432" s="39" t="e">
        <f>VLOOKUP($B432,'25년 12월 출석표'!$B$2:$BQ$497,16,0)/5</f>
        <v>#N/A</v>
      </c>
      <c r="R432" s="40"/>
      <c r="S432" s="41" t="e">
        <f>VLOOKUP($B432,'25년 12월 출석표'!$B$2:$BQ$497,30,0)/5</f>
        <v>#N/A</v>
      </c>
      <c r="T432" s="40"/>
      <c r="U432" s="41" t="e">
        <f>VLOOKUP($B432,'25년 12월 출석표'!$B$2:$BQ$497,44,0)/5</f>
        <v>#N/A</v>
      </c>
      <c r="V432" s="40"/>
      <c r="W432" s="41" t="e">
        <f>VLOOKUP($B432,'25년 12월 출석표'!$B$2:$BQ$497,58,0)/5</f>
        <v>#N/A</v>
      </c>
      <c r="X432" s="42"/>
      <c r="Y432" s="41" t="e">
        <f>VLOOKUP($B432,'25년 12월 출석표'!$B$2:$BQ$503,66,0)/5</f>
        <v>#N/A</v>
      </c>
      <c r="Z432" s="43"/>
    </row>
    <row r="433" spans="1:26">
      <c r="A433" s="29"/>
      <c r="B433" s="164"/>
      <c r="C433" s="164"/>
      <c r="D433" s="177"/>
      <c r="E433" s="178"/>
      <c r="F433" s="180"/>
      <c r="G433" s="180"/>
      <c r="H433" s="180"/>
      <c r="I433" s="34" t="e">
        <f>VLOOKUP(B433,'25년 12월 출석표'!$B$7:$D$509,3,0)</f>
        <v>#N/A</v>
      </c>
      <c r="J433" s="35" t="e">
        <f t="shared" ca="1" si="0"/>
        <v>#NAME?</v>
      </c>
      <c r="K433" s="36" t="str">
        <f t="shared" si="3"/>
        <v/>
      </c>
      <c r="L433" s="37" t="str">
        <f t="shared" si="4"/>
        <v/>
      </c>
      <c r="M433" s="30"/>
      <c r="N433" s="38" t="b">
        <v>0</v>
      </c>
      <c r="O433" s="38" t="b">
        <v>0</v>
      </c>
      <c r="P433" s="38" t="b">
        <v>0</v>
      </c>
      <c r="Q433" s="39" t="e">
        <f>VLOOKUP($B433,'25년 12월 출석표'!$B$2:$BQ$497,16,0)/5</f>
        <v>#N/A</v>
      </c>
      <c r="R433" s="40"/>
      <c r="S433" s="41" t="e">
        <f>VLOOKUP($B433,'25년 12월 출석표'!$B$2:$BQ$497,30,0)/5</f>
        <v>#N/A</v>
      </c>
      <c r="T433" s="40"/>
      <c r="U433" s="41" t="e">
        <f>VLOOKUP($B433,'25년 12월 출석표'!$B$2:$BQ$497,44,0)/5</f>
        <v>#N/A</v>
      </c>
      <c r="V433" s="40"/>
      <c r="W433" s="41" t="e">
        <f>VLOOKUP($B433,'25년 12월 출석표'!$B$2:$BQ$497,58,0)/5</f>
        <v>#N/A</v>
      </c>
      <c r="X433" s="42"/>
      <c r="Y433" s="41" t="e">
        <f>VLOOKUP($B433,'25년 12월 출석표'!$B$2:$BQ$503,66,0)/5</f>
        <v>#N/A</v>
      </c>
      <c r="Z433" s="43"/>
    </row>
    <row r="434" spans="1:26">
      <c r="A434" s="29"/>
      <c r="B434" s="164"/>
      <c r="C434" s="164"/>
      <c r="D434" s="177"/>
      <c r="E434" s="178"/>
      <c r="F434" s="180"/>
      <c r="G434" s="180"/>
      <c r="H434" s="180"/>
      <c r="I434" s="34" t="e">
        <f>VLOOKUP(B434,'25년 12월 출석표'!$B$7:$D$509,3,0)</f>
        <v>#N/A</v>
      </c>
      <c r="J434" s="35" t="e">
        <f t="shared" ca="1" si="0"/>
        <v>#NAME?</v>
      </c>
      <c r="K434" s="36" t="str">
        <f t="shared" si="3"/>
        <v/>
      </c>
      <c r="L434" s="37" t="str">
        <f t="shared" si="4"/>
        <v/>
      </c>
      <c r="M434" s="30"/>
      <c r="N434" s="38" t="b">
        <v>0</v>
      </c>
      <c r="O434" s="38" t="b">
        <v>0</v>
      </c>
      <c r="P434" s="38" t="b">
        <v>0</v>
      </c>
      <c r="Q434" s="39" t="e">
        <f>VLOOKUP($B434,'25년 12월 출석표'!$B$2:$BQ$497,16,0)/5</f>
        <v>#N/A</v>
      </c>
      <c r="R434" s="40"/>
      <c r="S434" s="41" t="e">
        <f>VLOOKUP($B434,'25년 12월 출석표'!$B$2:$BQ$497,30,0)/5</f>
        <v>#N/A</v>
      </c>
      <c r="T434" s="40"/>
      <c r="U434" s="41" t="e">
        <f>VLOOKUP($B434,'25년 12월 출석표'!$B$2:$BQ$497,44,0)/5</f>
        <v>#N/A</v>
      </c>
      <c r="V434" s="40"/>
      <c r="W434" s="41" t="e">
        <f>VLOOKUP($B434,'25년 12월 출석표'!$B$2:$BQ$497,58,0)/5</f>
        <v>#N/A</v>
      </c>
      <c r="X434" s="42"/>
      <c r="Y434" s="41" t="e">
        <f>VLOOKUP($B434,'25년 12월 출석표'!$B$2:$BQ$503,66,0)/5</f>
        <v>#N/A</v>
      </c>
      <c r="Z434" s="43"/>
    </row>
    <row r="435" spans="1:26">
      <c r="A435" s="29"/>
      <c r="B435" s="164"/>
      <c r="C435" s="164"/>
      <c r="D435" s="177"/>
      <c r="E435" s="178"/>
      <c r="F435" s="180"/>
      <c r="G435" s="180"/>
      <c r="H435" s="180"/>
      <c r="I435" s="34" t="e">
        <f>VLOOKUP(B435,'25년 12월 출석표'!$B$7:$D$509,3,0)</f>
        <v>#N/A</v>
      </c>
      <c r="J435" s="35" t="e">
        <f t="shared" ca="1" si="0"/>
        <v>#NAME?</v>
      </c>
      <c r="K435" s="36" t="str">
        <f t="shared" si="3"/>
        <v/>
      </c>
      <c r="L435" s="37" t="str">
        <f t="shared" si="4"/>
        <v/>
      </c>
      <c r="M435" s="30"/>
      <c r="N435" s="38" t="b">
        <v>0</v>
      </c>
      <c r="O435" s="38" t="b">
        <v>0</v>
      </c>
      <c r="P435" s="38" t="b">
        <v>0</v>
      </c>
      <c r="Q435" s="39" t="e">
        <f>VLOOKUP($B435,'25년 12월 출석표'!$B$2:$BQ$497,16,0)/5</f>
        <v>#N/A</v>
      </c>
      <c r="R435" s="40"/>
      <c r="S435" s="41" t="e">
        <f>VLOOKUP($B435,'25년 12월 출석표'!$B$2:$BQ$497,30,0)/5</f>
        <v>#N/A</v>
      </c>
      <c r="T435" s="40"/>
      <c r="U435" s="41" t="e">
        <f>VLOOKUP($B435,'25년 12월 출석표'!$B$2:$BQ$497,44,0)/5</f>
        <v>#N/A</v>
      </c>
      <c r="V435" s="40"/>
      <c r="W435" s="41" t="e">
        <f>VLOOKUP($B435,'25년 12월 출석표'!$B$2:$BQ$497,58,0)/5</f>
        <v>#N/A</v>
      </c>
      <c r="X435" s="42"/>
      <c r="Y435" s="41" t="e">
        <f>VLOOKUP($B435,'25년 12월 출석표'!$B$2:$BQ$503,66,0)/5</f>
        <v>#N/A</v>
      </c>
      <c r="Z435" s="43"/>
    </row>
    <row r="436" spans="1:26">
      <c r="A436" s="29"/>
      <c r="B436" s="164"/>
      <c r="C436" s="164"/>
      <c r="D436" s="177"/>
      <c r="E436" s="178"/>
      <c r="F436" s="180"/>
      <c r="G436" s="180"/>
      <c r="H436" s="180"/>
      <c r="I436" s="34" t="e">
        <f>VLOOKUP(B436,'25년 12월 출석표'!$B$7:$D$509,3,0)</f>
        <v>#N/A</v>
      </c>
      <c r="J436" s="35" t="e">
        <f t="shared" ca="1" si="0"/>
        <v>#NAME?</v>
      </c>
      <c r="K436" s="36" t="str">
        <f t="shared" si="3"/>
        <v/>
      </c>
      <c r="L436" s="37" t="str">
        <f t="shared" si="4"/>
        <v/>
      </c>
      <c r="M436" s="30"/>
      <c r="N436" s="38" t="b">
        <v>0</v>
      </c>
      <c r="O436" s="38" t="b">
        <v>0</v>
      </c>
      <c r="P436" s="38" t="b">
        <v>0</v>
      </c>
      <c r="Q436" s="39" t="e">
        <f>VLOOKUP($B436,'25년 12월 출석표'!$B$2:$BQ$497,16,0)/5</f>
        <v>#N/A</v>
      </c>
      <c r="R436" s="40"/>
      <c r="S436" s="41" t="e">
        <f>VLOOKUP($B436,'25년 12월 출석표'!$B$2:$BQ$497,30,0)/5</f>
        <v>#N/A</v>
      </c>
      <c r="T436" s="40"/>
      <c r="U436" s="41" t="e">
        <f>VLOOKUP($B436,'25년 12월 출석표'!$B$2:$BQ$497,44,0)/5</f>
        <v>#N/A</v>
      </c>
      <c r="V436" s="40"/>
      <c r="W436" s="41" t="e">
        <f>VLOOKUP($B436,'25년 12월 출석표'!$B$2:$BQ$497,58,0)/5</f>
        <v>#N/A</v>
      </c>
      <c r="X436" s="42"/>
      <c r="Y436" s="41" t="e">
        <f>VLOOKUP($B436,'25년 12월 출석표'!$B$2:$BQ$503,66,0)/5</f>
        <v>#N/A</v>
      </c>
      <c r="Z436" s="43"/>
    </row>
    <row r="437" spans="1:26">
      <c r="A437" s="29"/>
      <c r="B437" s="164"/>
      <c r="C437" s="164"/>
      <c r="D437" s="177"/>
      <c r="E437" s="178"/>
      <c r="F437" s="180"/>
      <c r="G437" s="180"/>
      <c r="H437" s="180"/>
      <c r="I437" s="34" t="e">
        <f>VLOOKUP(B437,'25년 12월 출석표'!$B$7:$D$509,3,0)</f>
        <v>#N/A</v>
      </c>
      <c r="J437" s="35" t="e">
        <f t="shared" ca="1" si="0"/>
        <v>#NAME?</v>
      </c>
      <c r="K437" s="36" t="str">
        <f t="shared" si="3"/>
        <v/>
      </c>
      <c r="L437" s="37" t="str">
        <f t="shared" si="4"/>
        <v/>
      </c>
      <c r="M437" s="30"/>
      <c r="N437" s="38" t="b">
        <v>0</v>
      </c>
      <c r="O437" s="38" t="b">
        <v>0</v>
      </c>
      <c r="P437" s="38" t="b">
        <v>0</v>
      </c>
      <c r="Q437" s="39" t="e">
        <f>VLOOKUP($B437,'25년 12월 출석표'!$B$2:$BQ$497,16,0)/5</f>
        <v>#N/A</v>
      </c>
      <c r="R437" s="40"/>
      <c r="S437" s="41" t="e">
        <f>VLOOKUP($B437,'25년 12월 출석표'!$B$2:$BQ$497,30,0)/5</f>
        <v>#N/A</v>
      </c>
      <c r="T437" s="40"/>
      <c r="U437" s="41" t="e">
        <f>VLOOKUP($B437,'25년 12월 출석표'!$B$2:$BQ$497,44,0)/5</f>
        <v>#N/A</v>
      </c>
      <c r="V437" s="40"/>
      <c r="W437" s="41" t="e">
        <f>VLOOKUP($B437,'25년 12월 출석표'!$B$2:$BQ$497,58,0)/5</f>
        <v>#N/A</v>
      </c>
      <c r="X437" s="42"/>
      <c r="Y437" s="41" t="e">
        <f>VLOOKUP($B437,'25년 12월 출석표'!$B$2:$BQ$503,66,0)/5</f>
        <v>#N/A</v>
      </c>
      <c r="Z437" s="43"/>
    </row>
    <row r="438" spans="1:26">
      <c r="A438" s="29"/>
      <c r="B438" s="164"/>
      <c r="C438" s="164"/>
      <c r="D438" s="177"/>
      <c r="E438" s="178"/>
      <c r="F438" s="180"/>
      <c r="G438" s="180"/>
      <c r="H438" s="180"/>
      <c r="I438" s="34" t="e">
        <f>VLOOKUP(B438,'25년 12월 출석표'!$B$7:$D$509,3,0)</f>
        <v>#N/A</v>
      </c>
      <c r="J438" s="35" t="e">
        <f t="shared" ca="1" si="0"/>
        <v>#NAME?</v>
      </c>
      <c r="K438" s="36" t="str">
        <f t="shared" si="3"/>
        <v/>
      </c>
      <c r="L438" s="37" t="str">
        <f t="shared" si="4"/>
        <v/>
      </c>
      <c r="M438" s="30"/>
      <c r="N438" s="38" t="b">
        <v>0</v>
      </c>
      <c r="O438" s="38" t="b">
        <v>0</v>
      </c>
      <c r="P438" s="38" t="b">
        <v>0</v>
      </c>
      <c r="Q438" s="39" t="e">
        <f>VLOOKUP($B438,'25년 12월 출석표'!$B$2:$BQ$497,16,0)/5</f>
        <v>#N/A</v>
      </c>
      <c r="R438" s="40"/>
      <c r="S438" s="41" t="e">
        <f>VLOOKUP($B438,'25년 12월 출석표'!$B$2:$BQ$497,30,0)/5</f>
        <v>#N/A</v>
      </c>
      <c r="T438" s="40"/>
      <c r="U438" s="41" t="e">
        <f>VLOOKUP($B438,'25년 12월 출석표'!$B$2:$BQ$497,44,0)/5</f>
        <v>#N/A</v>
      </c>
      <c r="V438" s="40"/>
      <c r="W438" s="41" t="e">
        <f>VLOOKUP($B438,'25년 12월 출석표'!$B$2:$BQ$497,58,0)/5</f>
        <v>#N/A</v>
      </c>
      <c r="X438" s="42"/>
      <c r="Y438" s="41" t="e">
        <f>VLOOKUP($B438,'25년 12월 출석표'!$B$2:$BQ$503,66,0)/5</f>
        <v>#N/A</v>
      </c>
      <c r="Z438" s="43"/>
    </row>
    <row r="439" spans="1:26">
      <c r="A439" s="29"/>
      <c r="B439" s="164"/>
      <c r="C439" s="164"/>
      <c r="D439" s="177"/>
      <c r="E439" s="178"/>
      <c r="F439" s="180"/>
      <c r="G439" s="180"/>
      <c r="H439" s="180"/>
      <c r="I439" s="34" t="e">
        <f>VLOOKUP(B439,'25년 12월 출석표'!$B$7:$D$509,3,0)</f>
        <v>#N/A</v>
      </c>
      <c r="J439" s="35" t="e">
        <f t="shared" ca="1" si="0"/>
        <v>#NAME?</v>
      </c>
      <c r="K439" s="36" t="str">
        <f t="shared" si="3"/>
        <v/>
      </c>
      <c r="L439" s="37" t="str">
        <f t="shared" si="4"/>
        <v/>
      </c>
      <c r="M439" s="30"/>
      <c r="N439" s="38" t="b">
        <v>0</v>
      </c>
      <c r="O439" s="38" t="b">
        <v>0</v>
      </c>
      <c r="P439" s="38" t="b">
        <v>0</v>
      </c>
      <c r="Q439" s="39" t="e">
        <f>VLOOKUP($B439,'25년 12월 출석표'!$B$2:$BQ$497,16,0)/5</f>
        <v>#N/A</v>
      </c>
      <c r="R439" s="40"/>
      <c r="S439" s="41" t="e">
        <f>VLOOKUP($B439,'25년 12월 출석표'!$B$2:$BQ$497,30,0)/5</f>
        <v>#N/A</v>
      </c>
      <c r="T439" s="40"/>
      <c r="U439" s="41" t="e">
        <f>VLOOKUP($B439,'25년 12월 출석표'!$B$2:$BQ$497,44,0)/5</f>
        <v>#N/A</v>
      </c>
      <c r="V439" s="40"/>
      <c r="W439" s="41" t="e">
        <f>VLOOKUP($B439,'25년 12월 출석표'!$B$2:$BQ$497,58,0)/5</f>
        <v>#N/A</v>
      </c>
      <c r="X439" s="42"/>
      <c r="Y439" s="41" t="e">
        <f>VLOOKUP($B439,'25년 12월 출석표'!$B$2:$BQ$503,66,0)/5</f>
        <v>#N/A</v>
      </c>
      <c r="Z439" s="43"/>
    </row>
    <row r="440" spans="1:26">
      <c r="A440" s="29"/>
      <c r="B440" s="164"/>
      <c r="C440" s="164"/>
      <c r="D440" s="177"/>
      <c r="E440" s="178"/>
      <c r="F440" s="180"/>
      <c r="G440" s="180"/>
      <c r="H440" s="180"/>
      <c r="I440" s="34" t="e">
        <f>VLOOKUP(B440,'25년 12월 출석표'!$B$7:$D$509,3,0)</f>
        <v>#N/A</v>
      </c>
      <c r="J440" s="35" t="e">
        <f t="shared" ca="1" si="0"/>
        <v>#NAME?</v>
      </c>
      <c r="K440" s="36" t="str">
        <f t="shared" si="3"/>
        <v/>
      </c>
      <c r="L440" s="37" t="str">
        <f t="shared" si="4"/>
        <v/>
      </c>
      <c r="M440" s="30"/>
      <c r="N440" s="38" t="b">
        <v>0</v>
      </c>
      <c r="O440" s="38" t="b">
        <v>0</v>
      </c>
      <c r="P440" s="38" t="b">
        <v>0</v>
      </c>
      <c r="Q440" s="39" t="e">
        <f>VLOOKUP($B440,'25년 12월 출석표'!$B$2:$BQ$497,16,0)/5</f>
        <v>#N/A</v>
      </c>
      <c r="R440" s="40"/>
      <c r="S440" s="41" t="e">
        <f>VLOOKUP($B440,'25년 12월 출석표'!$B$2:$BQ$497,30,0)/5</f>
        <v>#N/A</v>
      </c>
      <c r="T440" s="40"/>
      <c r="U440" s="41" t="e">
        <f>VLOOKUP($B440,'25년 12월 출석표'!$B$2:$BQ$497,44,0)/5</f>
        <v>#N/A</v>
      </c>
      <c r="V440" s="40"/>
      <c r="W440" s="41" t="e">
        <f>VLOOKUP($B440,'25년 12월 출석표'!$B$2:$BQ$497,58,0)/5</f>
        <v>#N/A</v>
      </c>
      <c r="X440" s="42"/>
      <c r="Y440" s="41" t="e">
        <f>VLOOKUP($B440,'25년 12월 출석표'!$B$2:$BQ$503,66,0)/5</f>
        <v>#N/A</v>
      </c>
      <c r="Z440" s="43"/>
    </row>
    <row r="441" spans="1:26">
      <c r="A441" s="29"/>
      <c r="B441" s="164"/>
      <c r="C441" s="164"/>
      <c r="D441" s="177"/>
      <c r="E441" s="178"/>
      <c r="F441" s="180"/>
      <c r="G441" s="180"/>
      <c r="H441" s="180"/>
      <c r="I441" s="34" t="e">
        <f>VLOOKUP(B441,'25년 12월 출석표'!$B$7:$D$509,3,0)</f>
        <v>#N/A</v>
      </c>
      <c r="J441" s="35" t="e">
        <f t="shared" ca="1" si="0"/>
        <v>#NAME?</v>
      </c>
      <c r="K441" s="36" t="str">
        <f t="shared" si="3"/>
        <v/>
      </c>
      <c r="L441" s="37" t="str">
        <f t="shared" si="4"/>
        <v/>
      </c>
      <c r="M441" s="30"/>
      <c r="N441" s="38" t="b">
        <v>0</v>
      </c>
      <c r="O441" s="38" t="b">
        <v>0</v>
      </c>
      <c r="P441" s="38" t="b">
        <v>0</v>
      </c>
      <c r="Q441" s="39" t="e">
        <f>VLOOKUP($B441,'25년 12월 출석표'!$B$2:$BQ$497,16,0)/5</f>
        <v>#N/A</v>
      </c>
      <c r="R441" s="40"/>
      <c r="S441" s="41" t="e">
        <f>VLOOKUP($B441,'25년 12월 출석표'!$B$2:$BQ$497,30,0)/5</f>
        <v>#N/A</v>
      </c>
      <c r="T441" s="40"/>
      <c r="U441" s="41" t="e">
        <f>VLOOKUP($B441,'25년 12월 출석표'!$B$2:$BQ$497,44,0)/5</f>
        <v>#N/A</v>
      </c>
      <c r="V441" s="40"/>
      <c r="W441" s="41" t="e">
        <f>VLOOKUP($B441,'25년 12월 출석표'!$B$2:$BQ$497,58,0)/5</f>
        <v>#N/A</v>
      </c>
      <c r="X441" s="42"/>
      <c r="Y441" s="41" t="e">
        <f>VLOOKUP($B441,'25년 12월 출석표'!$B$2:$BQ$503,66,0)/5</f>
        <v>#N/A</v>
      </c>
      <c r="Z441" s="43"/>
    </row>
    <row r="442" spans="1:26">
      <c r="A442" s="29"/>
      <c r="B442" s="164"/>
      <c r="C442" s="164"/>
      <c r="D442" s="177"/>
      <c r="E442" s="178"/>
      <c r="F442" s="180"/>
      <c r="G442" s="180"/>
      <c r="H442" s="180"/>
      <c r="I442" s="34" t="e">
        <f>VLOOKUP(B442,'25년 12월 출석표'!$B$7:$D$509,3,0)</f>
        <v>#N/A</v>
      </c>
      <c r="J442" s="35" t="e">
        <f t="shared" ca="1" si="0"/>
        <v>#NAME?</v>
      </c>
      <c r="K442" s="36" t="str">
        <f t="shared" si="3"/>
        <v/>
      </c>
      <c r="L442" s="37" t="str">
        <f t="shared" si="4"/>
        <v/>
      </c>
      <c r="M442" s="30"/>
      <c r="N442" s="38" t="b">
        <v>0</v>
      </c>
      <c r="O442" s="38" t="b">
        <v>0</v>
      </c>
      <c r="P442" s="38" t="b">
        <v>0</v>
      </c>
      <c r="Q442" s="39" t="e">
        <f>VLOOKUP($B442,'25년 12월 출석표'!$B$2:$BQ$497,16,0)/5</f>
        <v>#N/A</v>
      </c>
      <c r="R442" s="40"/>
      <c r="S442" s="41" t="e">
        <f>VLOOKUP($B442,'25년 12월 출석표'!$B$2:$BQ$497,30,0)/5</f>
        <v>#N/A</v>
      </c>
      <c r="T442" s="40"/>
      <c r="U442" s="41" t="e">
        <f>VLOOKUP($B442,'25년 12월 출석표'!$B$2:$BQ$497,44,0)/5</f>
        <v>#N/A</v>
      </c>
      <c r="V442" s="40"/>
      <c r="W442" s="41" t="e">
        <f>VLOOKUP($B442,'25년 12월 출석표'!$B$2:$BQ$497,58,0)/5</f>
        <v>#N/A</v>
      </c>
      <c r="X442" s="42"/>
      <c r="Y442" s="41" t="e">
        <f>VLOOKUP($B442,'25년 12월 출석표'!$B$2:$BQ$503,66,0)/5</f>
        <v>#N/A</v>
      </c>
      <c r="Z442" s="43"/>
    </row>
    <row r="443" spans="1:26">
      <c r="A443" s="29"/>
      <c r="B443" s="164"/>
      <c r="C443" s="164"/>
      <c r="D443" s="177"/>
      <c r="E443" s="178"/>
      <c r="F443" s="180"/>
      <c r="G443" s="180"/>
      <c r="H443" s="180"/>
      <c r="I443" s="34" t="e">
        <f>VLOOKUP(B443,'25년 12월 출석표'!$B$7:$D$509,3,0)</f>
        <v>#N/A</v>
      </c>
      <c r="J443" s="35" t="e">
        <f t="shared" ca="1" si="0"/>
        <v>#NAME?</v>
      </c>
      <c r="K443" s="36" t="str">
        <f t="shared" si="3"/>
        <v/>
      </c>
      <c r="L443" s="37" t="str">
        <f t="shared" si="4"/>
        <v/>
      </c>
      <c r="M443" s="30"/>
      <c r="N443" s="38" t="b">
        <v>0</v>
      </c>
      <c r="O443" s="38" t="b">
        <v>0</v>
      </c>
      <c r="P443" s="38" t="b">
        <v>0</v>
      </c>
      <c r="Q443" s="39" t="e">
        <f>VLOOKUP($B443,'25년 12월 출석표'!$B$2:$BQ$497,16,0)/5</f>
        <v>#N/A</v>
      </c>
      <c r="R443" s="40"/>
      <c r="S443" s="41" t="e">
        <f>VLOOKUP($B443,'25년 12월 출석표'!$B$2:$BQ$497,30,0)/5</f>
        <v>#N/A</v>
      </c>
      <c r="T443" s="40"/>
      <c r="U443" s="41" t="e">
        <f>VLOOKUP($B443,'25년 12월 출석표'!$B$2:$BQ$497,44,0)/5</f>
        <v>#N/A</v>
      </c>
      <c r="V443" s="40"/>
      <c r="W443" s="41" t="e">
        <f>VLOOKUP($B443,'25년 12월 출석표'!$B$2:$BQ$497,58,0)/5</f>
        <v>#N/A</v>
      </c>
      <c r="X443" s="42"/>
      <c r="Y443" s="41" t="e">
        <f>VLOOKUP($B443,'25년 12월 출석표'!$B$2:$BQ$503,66,0)/5</f>
        <v>#N/A</v>
      </c>
      <c r="Z443" s="43"/>
    </row>
    <row r="444" spans="1:26">
      <c r="A444" s="29"/>
      <c r="B444" s="164"/>
      <c r="C444" s="164"/>
      <c r="D444" s="177"/>
      <c r="E444" s="178"/>
      <c r="F444" s="180"/>
      <c r="G444" s="180"/>
      <c r="H444" s="180"/>
      <c r="I444" s="34" t="e">
        <f>VLOOKUP(B444,'25년 12월 출석표'!$B$7:$D$509,3,0)</f>
        <v>#N/A</v>
      </c>
      <c r="J444" s="35" t="e">
        <f t="shared" ca="1" si="0"/>
        <v>#NAME?</v>
      </c>
      <c r="K444" s="36" t="str">
        <f t="shared" si="3"/>
        <v/>
      </c>
      <c r="L444" s="37" t="str">
        <f t="shared" si="4"/>
        <v/>
      </c>
      <c r="M444" s="30"/>
      <c r="N444" s="38" t="b">
        <v>0</v>
      </c>
      <c r="O444" s="38" t="b">
        <v>0</v>
      </c>
      <c r="P444" s="38" t="b">
        <v>0</v>
      </c>
      <c r="Q444" s="39" t="e">
        <f>VLOOKUP($B444,'25년 12월 출석표'!$B$2:$BQ$497,16,0)/5</f>
        <v>#N/A</v>
      </c>
      <c r="R444" s="40"/>
      <c r="S444" s="41" t="e">
        <f>VLOOKUP($B444,'25년 12월 출석표'!$B$2:$BQ$497,30,0)/5</f>
        <v>#N/A</v>
      </c>
      <c r="T444" s="40"/>
      <c r="U444" s="41" t="e">
        <f>VLOOKUP($B444,'25년 12월 출석표'!$B$2:$BQ$497,44,0)/5</f>
        <v>#N/A</v>
      </c>
      <c r="V444" s="40"/>
      <c r="W444" s="41" t="e">
        <f>VLOOKUP($B444,'25년 12월 출석표'!$B$2:$BQ$497,58,0)/5</f>
        <v>#N/A</v>
      </c>
      <c r="X444" s="42"/>
      <c r="Y444" s="41" t="e">
        <f>VLOOKUP($B444,'25년 12월 출석표'!$B$2:$BQ$503,66,0)/5</f>
        <v>#N/A</v>
      </c>
      <c r="Z444" s="43"/>
    </row>
    <row r="445" spans="1:26">
      <c r="A445" s="29"/>
      <c r="B445" s="164"/>
      <c r="C445" s="164"/>
      <c r="D445" s="177"/>
      <c r="E445" s="178"/>
      <c r="F445" s="180"/>
      <c r="G445" s="180"/>
      <c r="H445" s="180"/>
      <c r="I445" s="34" t="e">
        <f>VLOOKUP(B445,'25년 12월 출석표'!$B$7:$D$509,3,0)</f>
        <v>#N/A</v>
      </c>
      <c r="J445" s="35" t="e">
        <f t="shared" ca="1" si="0"/>
        <v>#NAME?</v>
      </c>
      <c r="K445" s="36" t="str">
        <f t="shared" si="3"/>
        <v/>
      </c>
      <c r="L445" s="37" t="str">
        <f t="shared" si="4"/>
        <v/>
      </c>
      <c r="M445" s="30"/>
      <c r="N445" s="38" t="b">
        <v>0</v>
      </c>
      <c r="O445" s="38" t="b">
        <v>0</v>
      </c>
      <c r="P445" s="38" t="b">
        <v>0</v>
      </c>
      <c r="Q445" s="39" t="e">
        <f>VLOOKUP($B445,'25년 12월 출석표'!$B$2:$BQ$497,16,0)/5</f>
        <v>#N/A</v>
      </c>
      <c r="R445" s="40"/>
      <c r="S445" s="41" t="e">
        <f>VLOOKUP($B445,'25년 12월 출석표'!$B$2:$BQ$497,30,0)/5</f>
        <v>#N/A</v>
      </c>
      <c r="T445" s="40"/>
      <c r="U445" s="41" t="e">
        <f>VLOOKUP($B445,'25년 12월 출석표'!$B$2:$BQ$497,44,0)/5</f>
        <v>#N/A</v>
      </c>
      <c r="V445" s="40"/>
      <c r="W445" s="41" t="e">
        <f>VLOOKUP($B445,'25년 12월 출석표'!$B$2:$BQ$497,58,0)/5</f>
        <v>#N/A</v>
      </c>
      <c r="X445" s="42"/>
      <c r="Y445" s="41" t="e">
        <f>VLOOKUP($B445,'25년 12월 출석표'!$B$2:$BQ$503,66,0)/5</f>
        <v>#N/A</v>
      </c>
      <c r="Z445" s="43"/>
    </row>
    <row r="446" spans="1:26">
      <c r="A446" s="29"/>
      <c r="B446" s="164"/>
      <c r="C446" s="164"/>
      <c r="D446" s="177"/>
      <c r="E446" s="178"/>
      <c r="F446" s="180"/>
      <c r="G446" s="180"/>
      <c r="H446" s="180"/>
      <c r="I446" s="34" t="e">
        <f>VLOOKUP(B446,'25년 12월 출석표'!$B$7:$D$509,3,0)</f>
        <v>#N/A</v>
      </c>
      <c r="J446" s="35" t="e">
        <f t="shared" ca="1" si="0"/>
        <v>#NAME?</v>
      </c>
      <c r="K446" s="36" t="str">
        <f t="shared" si="3"/>
        <v/>
      </c>
      <c r="L446" s="37" t="str">
        <f t="shared" si="4"/>
        <v/>
      </c>
      <c r="M446" s="30"/>
      <c r="N446" s="38" t="b">
        <v>0</v>
      </c>
      <c r="O446" s="38" t="b">
        <v>0</v>
      </c>
      <c r="P446" s="38" t="b">
        <v>0</v>
      </c>
      <c r="Q446" s="39" t="e">
        <f>VLOOKUP($B446,'25년 12월 출석표'!$B$2:$BQ$497,16,0)/5</f>
        <v>#N/A</v>
      </c>
      <c r="R446" s="40"/>
      <c r="S446" s="41" t="e">
        <f>VLOOKUP($B446,'25년 12월 출석표'!$B$2:$BQ$497,30,0)/5</f>
        <v>#N/A</v>
      </c>
      <c r="T446" s="40"/>
      <c r="U446" s="41" t="e">
        <f>VLOOKUP($B446,'25년 12월 출석표'!$B$2:$BQ$497,44,0)/5</f>
        <v>#N/A</v>
      </c>
      <c r="V446" s="40"/>
      <c r="W446" s="41" t="e">
        <f>VLOOKUP($B446,'25년 12월 출석표'!$B$2:$BQ$497,58,0)/5</f>
        <v>#N/A</v>
      </c>
      <c r="X446" s="42"/>
      <c r="Y446" s="41" t="e">
        <f>VLOOKUP($B446,'25년 12월 출석표'!$B$2:$BQ$503,66,0)/5</f>
        <v>#N/A</v>
      </c>
      <c r="Z446" s="43"/>
    </row>
    <row r="447" spans="1:26">
      <c r="A447" s="29"/>
      <c r="B447" s="164"/>
      <c r="C447" s="164"/>
      <c r="D447" s="177"/>
      <c r="E447" s="178"/>
      <c r="F447" s="180"/>
      <c r="G447" s="180"/>
      <c r="H447" s="180"/>
      <c r="I447" s="34" t="e">
        <f>VLOOKUP(B447,'25년 12월 출석표'!$B$7:$D$509,3,0)</f>
        <v>#N/A</v>
      </c>
      <c r="J447" s="35" t="e">
        <f t="shared" ca="1" si="0"/>
        <v>#NAME?</v>
      </c>
      <c r="K447" s="36" t="str">
        <f t="shared" si="3"/>
        <v/>
      </c>
      <c r="L447" s="37" t="str">
        <f t="shared" si="4"/>
        <v/>
      </c>
      <c r="M447" s="30"/>
      <c r="N447" s="38" t="b">
        <v>0</v>
      </c>
      <c r="O447" s="38" t="b">
        <v>0</v>
      </c>
      <c r="P447" s="38" t="b">
        <v>0</v>
      </c>
      <c r="Q447" s="39" t="e">
        <f>VLOOKUP($B447,'25년 12월 출석표'!$B$2:$BQ$497,16,0)/5</f>
        <v>#N/A</v>
      </c>
      <c r="R447" s="40"/>
      <c r="S447" s="41" t="e">
        <f>VLOOKUP($B447,'25년 12월 출석표'!$B$2:$BQ$497,30,0)/5</f>
        <v>#N/A</v>
      </c>
      <c r="T447" s="40"/>
      <c r="U447" s="41" t="e">
        <f>VLOOKUP($B447,'25년 12월 출석표'!$B$2:$BQ$497,44,0)/5</f>
        <v>#N/A</v>
      </c>
      <c r="V447" s="40"/>
      <c r="W447" s="41" t="e">
        <f>VLOOKUP($B447,'25년 12월 출석표'!$B$2:$BQ$497,58,0)/5</f>
        <v>#N/A</v>
      </c>
      <c r="X447" s="42"/>
      <c r="Y447" s="41" t="e">
        <f>VLOOKUP($B447,'25년 12월 출석표'!$B$2:$BQ$503,66,0)/5</f>
        <v>#N/A</v>
      </c>
      <c r="Z447" s="43"/>
    </row>
    <row r="448" spans="1:26">
      <c r="A448" s="29"/>
      <c r="B448" s="164"/>
      <c r="C448" s="164"/>
      <c r="D448" s="177"/>
      <c r="E448" s="178"/>
      <c r="F448" s="180"/>
      <c r="G448" s="180"/>
      <c r="H448" s="180"/>
      <c r="I448" s="34" t="e">
        <f>VLOOKUP(B448,'25년 12월 출석표'!$B$7:$D$509,3,0)</f>
        <v>#N/A</v>
      </c>
      <c r="J448" s="35" t="e">
        <f t="shared" ca="1" si="0"/>
        <v>#NAME?</v>
      </c>
      <c r="K448" s="36" t="str">
        <f t="shared" si="3"/>
        <v/>
      </c>
      <c r="L448" s="37" t="str">
        <f t="shared" si="4"/>
        <v/>
      </c>
      <c r="M448" s="30"/>
      <c r="N448" s="38" t="b">
        <v>0</v>
      </c>
      <c r="O448" s="38" t="b">
        <v>0</v>
      </c>
      <c r="P448" s="38" t="b">
        <v>0</v>
      </c>
      <c r="Q448" s="39" t="e">
        <f>VLOOKUP($B448,'25년 12월 출석표'!$B$2:$BQ$497,16,0)/5</f>
        <v>#N/A</v>
      </c>
      <c r="R448" s="40"/>
      <c r="S448" s="41" t="e">
        <f>VLOOKUP($B448,'25년 12월 출석표'!$B$2:$BQ$497,30,0)/5</f>
        <v>#N/A</v>
      </c>
      <c r="T448" s="40"/>
      <c r="U448" s="41" t="e">
        <f>VLOOKUP($B448,'25년 12월 출석표'!$B$2:$BQ$497,44,0)/5</f>
        <v>#N/A</v>
      </c>
      <c r="V448" s="40"/>
      <c r="W448" s="41" t="e">
        <f>VLOOKUP($B448,'25년 12월 출석표'!$B$2:$BQ$497,58,0)/5</f>
        <v>#N/A</v>
      </c>
      <c r="X448" s="42"/>
      <c r="Y448" s="41" t="e">
        <f>VLOOKUP($B448,'25년 12월 출석표'!$B$2:$BQ$503,66,0)/5</f>
        <v>#N/A</v>
      </c>
      <c r="Z448" s="43"/>
    </row>
    <row r="449" spans="1:26">
      <c r="A449" s="29"/>
      <c r="B449" s="164"/>
      <c r="C449" s="164"/>
      <c r="D449" s="177"/>
      <c r="E449" s="178"/>
      <c r="F449" s="180"/>
      <c r="G449" s="180"/>
      <c r="H449" s="180"/>
      <c r="I449" s="34" t="e">
        <f>VLOOKUP(B449,'25년 12월 출석표'!$B$7:$D$509,3,0)</f>
        <v>#N/A</v>
      </c>
      <c r="J449" s="35" t="e">
        <f t="shared" ca="1" si="0"/>
        <v>#NAME?</v>
      </c>
      <c r="K449" s="36" t="str">
        <f t="shared" si="3"/>
        <v/>
      </c>
      <c r="L449" s="37" t="str">
        <f t="shared" si="4"/>
        <v/>
      </c>
      <c r="M449" s="30"/>
      <c r="N449" s="38" t="b">
        <v>0</v>
      </c>
      <c r="O449" s="38" t="b">
        <v>0</v>
      </c>
      <c r="P449" s="38" t="b">
        <v>0</v>
      </c>
      <c r="Q449" s="39" t="e">
        <f>VLOOKUP($B449,'25년 12월 출석표'!$B$2:$BQ$497,16,0)/5</f>
        <v>#N/A</v>
      </c>
      <c r="R449" s="40"/>
      <c r="S449" s="41" t="e">
        <f>VLOOKUP($B449,'25년 12월 출석표'!$B$2:$BQ$497,30,0)/5</f>
        <v>#N/A</v>
      </c>
      <c r="T449" s="40"/>
      <c r="U449" s="41" t="e">
        <f>VLOOKUP($B449,'25년 12월 출석표'!$B$2:$BQ$497,44,0)/5</f>
        <v>#N/A</v>
      </c>
      <c r="V449" s="40"/>
      <c r="W449" s="41" t="e">
        <f>VLOOKUP($B449,'25년 12월 출석표'!$B$2:$BQ$497,58,0)/5</f>
        <v>#N/A</v>
      </c>
      <c r="X449" s="42"/>
      <c r="Y449" s="41" t="e">
        <f>VLOOKUP($B449,'25년 12월 출석표'!$B$2:$BQ$503,66,0)/5</f>
        <v>#N/A</v>
      </c>
      <c r="Z449" s="43"/>
    </row>
    <row r="450" spans="1:26">
      <c r="A450" s="29"/>
      <c r="B450" s="164"/>
      <c r="C450" s="164"/>
      <c r="D450" s="177"/>
      <c r="E450" s="178"/>
      <c r="F450" s="180"/>
      <c r="G450" s="180"/>
      <c r="H450" s="180"/>
      <c r="I450" s="34" t="e">
        <f>VLOOKUP(B450,'25년 12월 출석표'!$B$7:$D$509,3,0)</f>
        <v>#N/A</v>
      </c>
      <c r="J450" s="35" t="e">
        <f t="shared" ca="1" si="0"/>
        <v>#NAME?</v>
      </c>
      <c r="K450" s="36" t="str">
        <f t="shared" si="3"/>
        <v/>
      </c>
      <c r="L450" s="37" t="str">
        <f t="shared" si="4"/>
        <v/>
      </c>
      <c r="M450" s="30"/>
      <c r="N450" s="38" t="b">
        <v>0</v>
      </c>
      <c r="O450" s="38" t="b">
        <v>0</v>
      </c>
      <c r="P450" s="38" t="b">
        <v>0</v>
      </c>
      <c r="Q450" s="39" t="e">
        <f>VLOOKUP($B450,'25년 12월 출석표'!$B$2:$BQ$497,16,0)/5</f>
        <v>#N/A</v>
      </c>
      <c r="R450" s="40"/>
      <c r="S450" s="41" t="e">
        <f>VLOOKUP($B450,'25년 12월 출석표'!$B$2:$BQ$497,30,0)/5</f>
        <v>#N/A</v>
      </c>
      <c r="T450" s="40"/>
      <c r="U450" s="41" t="e">
        <f>VLOOKUP($B450,'25년 12월 출석표'!$B$2:$BQ$497,44,0)/5</f>
        <v>#N/A</v>
      </c>
      <c r="V450" s="40"/>
      <c r="W450" s="41" t="e">
        <f>VLOOKUP($B450,'25년 12월 출석표'!$B$2:$BQ$497,58,0)/5</f>
        <v>#N/A</v>
      </c>
      <c r="X450" s="42"/>
      <c r="Y450" s="41" t="e">
        <f>VLOOKUP($B450,'25년 12월 출석표'!$B$2:$BQ$503,66,0)/5</f>
        <v>#N/A</v>
      </c>
      <c r="Z450" s="43"/>
    </row>
    <row r="451" spans="1:26">
      <c r="A451" s="29"/>
      <c r="B451" s="164"/>
      <c r="C451" s="164"/>
      <c r="D451" s="177"/>
      <c r="E451" s="178"/>
      <c r="F451" s="180"/>
      <c r="G451" s="180"/>
      <c r="H451" s="180"/>
      <c r="I451" s="34" t="e">
        <f>VLOOKUP(B451,'25년 12월 출석표'!$B$7:$D$509,3,0)</f>
        <v>#N/A</v>
      </c>
      <c r="J451" s="35" t="e">
        <f t="shared" ca="1" si="0"/>
        <v>#NAME?</v>
      </c>
      <c r="K451" s="36" t="str">
        <f t="shared" si="3"/>
        <v/>
      </c>
      <c r="L451" s="37" t="str">
        <f t="shared" si="4"/>
        <v/>
      </c>
      <c r="M451" s="30"/>
      <c r="N451" s="38" t="b">
        <v>0</v>
      </c>
      <c r="O451" s="38" t="b">
        <v>0</v>
      </c>
      <c r="P451" s="38" t="b">
        <v>0</v>
      </c>
      <c r="Q451" s="39" t="e">
        <f>VLOOKUP($B451,'25년 12월 출석표'!$B$2:$BQ$497,16,0)/5</f>
        <v>#N/A</v>
      </c>
      <c r="R451" s="40"/>
      <c r="S451" s="41" t="e">
        <f>VLOOKUP($B451,'25년 12월 출석표'!$B$2:$BQ$497,30,0)/5</f>
        <v>#N/A</v>
      </c>
      <c r="T451" s="40"/>
      <c r="U451" s="41" t="e">
        <f>VLOOKUP($B451,'25년 12월 출석표'!$B$2:$BQ$497,44,0)/5</f>
        <v>#N/A</v>
      </c>
      <c r="V451" s="40"/>
      <c r="W451" s="41" t="e">
        <f>VLOOKUP($B451,'25년 12월 출석표'!$B$2:$BQ$497,58,0)/5</f>
        <v>#N/A</v>
      </c>
      <c r="X451" s="42"/>
      <c r="Y451" s="41" t="e">
        <f>VLOOKUP($B451,'25년 12월 출석표'!$B$2:$BQ$503,66,0)/5</f>
        <v>#N/A</v>
      </c>
      <c r="Z451" s="43"/>
    </row>
    <row r="452" spans="1:26">
      <c r="A452" s="29"/>
      <c r="B452" s="164"/>
      <c r="C452" s="164"/>
      <c r="D452" s="177"/>
      <c r="E452" s="178"/>
      <c r="F452" s="180"/>
      <c r="G452" s="180"/>
      <c r="H452" s="180"/>
      <c r="I452" s="34" t="e">
        <f>VLOOKUP(B452,'25년 12월 출석표'!$B$7:$D$509,3,0)</f>
        <v>#N/A</v>
      </c>
      <c r="J452" s="35" t="e">
        <f t="shared" ca="1" si="0"/>
        <v>#NAME?</v>
      </c>
      <c r="K452" s="36" t="str">
        <f t="shared" si="3"/>
        <v/>
      </c>
      <c r="L452" s="37" t="str">
        <f t="shared" si="4"/>
        <v/>
      </c>
      <c r="M452" s="30"/>
      <c r="N452" s="38" t="b">
        <v>0</v>
      </c>
      <c r="O452" s="38" t="b">
        <v>0</v>
      </c>
      <c r="P452" s="38" t="b">
        <v>0</v>
      </c>
      <c r="Q452" s="39" t="e">
        <f>VLOOKUP($B452,'25년 12월 출석표'!$B$2:$BQ$497,16,0)/5</f>
        <v>#N/A</v>
      </c>
      <c r="R452" s="40"/>
      <c r="S452" s="41" t="e">
        <f>VLOOKUP($B452,'25년 12월 출석표'!$B$2:$BQ$497,30,0)/5</f>
        <v>#N/A</v>
      </c>
      <c r="T452" s="40"/>
      <c r="U452" s="41" t="e">
        <f>VLOOKUP($B452,'25년 12월 출석표'!$B$2:$BQ$497,44,0)/5</f>
        <v>#N/A</v>
      </c>
      <c r="V452" s="40"/>
      <c r="W452" s="41" t="e">
        <f>VLOOKUP($B452,'25년 12월 출석표'!$B$2:$BQ$497,58,0)/5</f>
        <v>#N/A</v>
      </c>
      <c r="X452" s="42"/>
      <c r="Y452" s="41" t="e">
        <f>VLOOKUP($B452,'25년 12월 출석표'!$B$2:$BQ$503,66,0)/5</f>
        <v>#N/A</v>
      </c>
      <c r="Z452" s="43"/>
    </row>
    <row r="453" spans="1:26">
      <c r="A453" s="29"/>
      <c r="B453" s="164"/>
      <c r="C453" s="164"/>
      <c r="D453" s="177"/>
      <c r="E453" s="178"/>
      <c r="F453" s="180"/>
      <c r="G453" s="180"/>
      <c r="H453" s="180"/>
      <c r="I453" s="34" t="e">
        <f>VLOOKUP(B453,'25년 12월 출석표'!$B$7:$D$509,3,0)</f>
        <v>#N/A</v>
      </c>
      <c r="J453" s="35" t="e">
        <f t="shared" ca="1" si="0"/>
        <v>#NAME?</v>
      </c>
      <c r="K453" s="36" t="str">
        <f t="shared" si="3"/>
        <v/>
      </c>
      <c r="L453" s="37" t="str">
        <f t="shared" si="4"/>
        <v/>
      </c>
      <c r="M453" s="30"/>
      <c r="N453" s="38" t="b">
        <v>0</v>
      </c>
      <c r="O453" s="38" t="b">
        <v>0</v>
      </c>
      <c r="P453" s="38" t="b">
        <v>0</v>
      </c>
      <c r="Q453" s="39" t="e">
        <f>VLOOKUP($B453,'25년 12월 출석표'!$B$2:$BQ$497,16,0)/5</f>
        <v>#N/A</v>
      </c>
      <c r="R453" s="40"/>
      <c r="S453" s="41" t="e">
        <f>VLOOKUP($B453,'25년 12월 출석표'!$B$2:$BQ$497,30,0)/5</f>
        <v>#N/A</v>
      </c>
      <c r="T453" s="40"/>
      <c r="U453" s="41" t="e">
        <f>VLOOKUP($B453,'25년 12월 출석표'!$B$2:$BQ$497,44,0)/5</f>
        <v>#N/A</v>
      </c>
      <c r="V453" s="40"/>
      <c r="W453" s="41" t="e">
        <f>VLOOKUP($B453,'25년 12월 출석표'!$B$2:$BQ$497,58,0)/5</f>
        <v>#N/A</v>
      </c>
      <c r="X453" s="42"/>
      <c r="Y453" s="41" t="e">
        <f>VLOOKUP($B453,'25년 12월 출석표'!$B$2:$BQ$503,66,0)/5</f>
        <v>#N/A</v>
      </c>
      <c r="Z453" s="43"/>
    </row>
    <row r="454" spans="1:26">
      <c r="A454" s="29"/>
      <c r="B454" s="164"/>
      <c r="C454" s="164"/>
      <c r="D454" s="177"/>
      <c r="E454" s="178"/>
      <c r="F454" s="180"/>
      <c r="G454" s="180"/>
      <c r="H454" s="180"/>
      <c r="I454" s="34" t="e">
        <f>VLOOKUP(B454,'25년 12월 출석표'!$B$7:$D$509,3,0)</f>
        <v>#N/A</v>
      </c>
      <c r="J454" s="35" t="e">
        <f t="shared" ca="1" si="0"/>
        <v>#NAME?</v>
      </c>
      <c r="K454" s="36" t="str">
        <f t="shared" si="3"/>
        <v/>
      </c>
      <c r="L454" s="37" t="str">
        <f t="shared" si="4"/>
        <v/>
      </c>
      <c r="M454" s="30"/>
      <c r="N454" s="38" t="b">
        <v>0</v>
      </c>
      <c r="O454" s="38" t="b">
        <v>0</v>
      </c>
      <c r="P454" s="38" t="b">
        <v>0</v>
      </c>
      <c r="Q454" s="39" t="e">
        <f>VLOOKUP($B454,'25년 12월 출석표'!$B$2:$BQ$497,16,0)/5</f>
        <v>#N/A</v>
      </c>
      <c r="R454" s="40"/>
      <c r="S454" s="41" t="e">
        <f>VLOOKUP($B454,'25년 12월 출석표'!$B$2:$BQ$497,30,0)/5</f>
        <v>#N/A</v>
      </c>
      <c r="T454" s="40"/>
      <c r="U454" s="41" t="e">
        <f>VLOOKUP($B454,'25년 12월 출석표'!$B$2:$BQ$497,44,0)/5</f>
        <v>#N/A</v>
      </c>
      <c r="V454" s="40"/>
      <c r="W454" s="41" t="e">
        <f>VLOOKUP($B454,'25년 12월 출석표'!$B$2:$BQ$497,58,0)/5</f>
        <v>#N/A</v>
      </c>
      <c r="X454" s="42"/>
      <c r="Y454" s="41" t="e">
        <f>VLOOKUP($B454,'25년 12월 출석표'!$B$2:$BQ$503,66,0)/5</f>
        <v>#N/A</v>
      </c>
      <c r="Z454" s="43"/>
    </row>
    <row r="455" spans="1:26">
      <c r="A455" s="29"/>
      <c r="B455" s="164"/>
      <c r="C455" s="164"/>
      <c r="D455" s="177"/>
      <c r="E455" s="178"/>
      <c r="F455" s="180"/>
      <c r="G455" s="180"/>
      <c r="H455" s="180"/>
      <c r="I455" s="34" t="e">
        <f>VLOOKUP(B455,'25년 12월 출석표'!$B$7:$D$509,3,0)</f>
        <v>#N/A</v>
      </c>
      <c r="J455" s="35" t="e">
        <f t="shared" ca="1" si="0"/>
        <v>#NAME?</v>
      </c>
      <c r="K455" s="36" t="str">
        <f t="shared" si="3"/>
        <v/>
      </c>
      <c r="L455" s="37" t="str">
        <f t="shared" si="4"/>
        <v/>
      </c>
      <c r="M455" s="30"/>
      <c r="N455" s="38" t="b">
        <v>0</v>
      </c>
      <c r="O455" s="38" t="b">
        <v>0</v>
      </c>
      <c r="P455" s="38" t="b">
        <v>0</v>
      </c>
      <c r="Q455" s="39" t="e">
        <f>VLOOKUP($B455,'25년 12월 출석표'!$B$2:$BQ$497,16,0)/5</f>
        <v>#N/A</v>
      </c>
      <c r="R455" s="40"/>
      <c r="S455" s="41" t="e">
        <f>VLOOKUP($B455,'25년 12월 출석표'!$B$2:$BQ$497,30,0)/5</f>
        <v>#N/A</v>
      </c>
      <c r="T455" s="40"/>
      <c r="U455" s="41" t="e">
        <f>VLOOKUP($B455,'25년 12월 출석표'!$B$2:$BQ$497,44,0)/5</f>
        <v>#N/A</v>
      </c>
      <c r="V455" s="40"/>
      <c r="W455" s="41" t="e">
        <f>VLOOKUP($B455,'25년 12월 출석표'!$B$2:$BQ$497,58,0)/5</f>
        <v>#N/A</v>
      </c>
      <c r="X455" s="42"/>
      <c r="Y455" s="41" t="e">
        <f>VLOOKUP($B455,'25년 12월 출석표'!$B$2:$BQ$503,66,0)/5</f>
        <v>#N/A</v>
      </c>
      <c r="Z455" s="43"/>
    </row>
    <row r="456" spans="1:26">
      <c r="A456" s="29"/>
      <c r="B456" s="164"/>
      <c r="C456" s="164"/>
      <c r="D456" s="177"/>
      <c r="E456" s="178"/>
      <c r="F456" s="180"/>
      <c r="G456" s="180"/>
      <c r="H456" s="180"/>
      <c r="I456" s="34" t="e">
        <f>VLOOKUP(B456,'25년 12월 출석표'!$B$7:$D$509,3,0)</f>
        <v>#N/A</v>
      </c>
      <c r="J456" s="35" t="e">
        <f t="shared" ca="1" si="0"/>
        <v>#NAME?</v>
      </c>
      <c r="K456" s="36" t="str">
        <f t="shared" si="3"/>
        <v/>
      </c>
      <c r="L456" s="37" t="str">
        <f t="shared" si="4"/>
        <v/>
      </c>
      <c r="M456" s="30"/>
      <c r="N456" s="38" t="b">
        <v>0</v>
      </c>
      <c r="O456" s="38" t="b">
        <v>0</v>
      </c>
      <c r="P456" s="38" t="b">
        <v>0</v>
      </c>
      <c r="Q456" s="39" t="e">
        <f>VLOOKUP($B456,'25년 12월 출석표'!$B$2:$BQ$497,16,0)/5</f>
        <v>#N/A</v>
      </c>
      <c r="R456" s="40"/>
      <c r="S456" s="41" t="e">
        <f>VLOOKUP($B456,'25년 12월 출석표'!$B$2:$BQ$497,30,0)/5</f>
        <v>#N/A</v>
      </c>
      <c r="T456" s="40"/>
      <c r="U456" s="41" t="e">
        <f>VLOOKUP($B456,'25년 12월 출석표'!$B$2:$BQ$497,44,0)/5</f>
        <v>#N/A</v>
      </c>
      <c r="V456" s="40"/>
      <c r="W456" s="41" t="e">
        <f>VLOOKUP($B456,'25년 12월 출석표'!$B$2:$BQ$497,58,0)/5</f>
        <v>#N/A</v>
      </c>
      <c r="X456" s="42"/>
      <c r="Y456" s="41" t="e">
        <f>VLOOKUP($B456,'25년 12월 출석표'!$B$2:$BQ$503,66,0)/5</f>
        <v>#N/A</v>
      </c>
      <c r="Z456" s="43"/>
    </row>
    <row r="457" spans="1:26">
      <c r="A457" s="29"/>
      <c r="B457" s="164"/>
      <c r="C457" s="164"/>
      <c r="D457" s="177"/>
      <c r="E457" s="178"/>
      <c r="F457" s="180"/>
      <c r="G457" s="180"/>
      <c r="H457" s="180"/>
      <c r="I457" s="34" t="e">
        <f>VLOOKUP(B457,'25년 12월 출석표'!$B$7:$D$509,3,0)</f>
        <v>#N/A</v>
      </c>
      <c r="J457" s="35" t="e">
        <f t="shared" ca="1" si="0"/>
        <v>#NAME?</v>
      </c>
      <c r="K457" s="36" t="str">
        <f t="shared" si="3"/>
        <v/>
      </c>
      <c r="L457" s="37" t="str">
        <f t="shared" si="4"/>
        <v/>
      </c>
      <c r="M457" s="30"/>
      <c r="N457" s="38" t="b">
        <v>0</v>
      </c>
      <c r="O457" s="38" t="b">
        <v>0</v>
      </c>
      <c r="P457" s="38" t="b">
        <v>0</v>
      </c>
      <c r="Q457" s="39" t="e">
        <f>VLOOKUP($B457,'25년 12월 출석표'!$B$2:$BQ$497,16,0)/5</f>
        <v>#N/A</v>
      </c>
      <c r="R457" s="40"/>
      <c r="S457" s="41" t="e">
        <f>VLOOKUP($B457,'25년 12월 출석표'!$B$2:$BQ$497,30,0)/5</f>
        <v>#N/A</v>
      </c>
      <c r="T457" s="40"/>
      <c r="U457" s="41" t="e">
        <f>VLOOKUP($B457,'25년 12월 출석표'!$B$2:$BQ$497,44,0)/5</f>
        <v>#N/A</v>
      </c>
      <c r="V457" s="40"/>
      <c r="W457" s="41" t="e">
        <f>VLOOKUP($B457,'25년 12월 출석표'!$B$2:$BQ$497,58,0)/5</f>
        <v>#N/A</v>
      </c>
      <c r="X457" s="42"/>
      <c r="Y457" s="41" t="e">
        <f>VLOOKUP($B457,'25년 12월 출석표'!$B$2:$BQ$503,66,0)/5</f>
        <v>#N/A</v>
      </c>
      <c r="Z457" s="43"/>
    </row>
    <row r="458" spans="1:26">
      <c r="A458" s="29"/>
      <c r="B458" s="164"/>
      <c r="C458" s="164"/>
      <c r="D458" s="177"/>
      <c r="E458" s="178"/>
      <c r="F458" s="180"/>
      <c r="G458" s="180"/>
      <c r="H458" s="180"/>
      <c r="I458" s="34" t="e">
        <f>VLOOKUP(B458,'25년 12월 출석표'!$B$7:$D$509,3,0)</f>
        <v>#N/A</v>
      </c>
      <c r="J458" s="35" t="e">
        <f t="shared" ca="1" si="0"/>
        <v>#NAME?</v>
      </c>
      <c r="K458" s="36" t="str">
        <f t="shared" si="3"/>
        <v/>
      </c>
      <c r="L458" s="37" t="str">
        <f t="shared" si="4"/>
        <v/>
      </c>
      <c r="M458" s="30"/>
      <c r="N458" s="38" t="b">
        <v>0</v>
      </c>
      <c r="O458" s="38" t="b">
        <v>0</v>
      </c>
      <c r="P458" s="38" t="b">
        <v>0</v>
      </c>
      <c r="Q458" s="39" t="e">
        <f>VLOOKUP($B458,'25년 12월 출석표'!$B$2:$BQ$497,16,0)/5</f>
        <v>#N/A</v>
      </c>
      <c r="R458" s="40"/>
      <c r="S458" s="41" t="e">
        <f>VLOOKUP($B458,'25년 12월 출석표'!$B$2:$BQ$497,30,0)/5</f>
        <v>#N/A</v>
      </c>
      <c r="T458" s="40"/>
      <c r="U458" s="41" t="e">
        <f>VLOOKUP($B458,'25년 12월 출석표'!$B$2:$BQ$497,44,0)/5</f>
        <v>#N/A</v>
      </c>
      <c r="V458" s="40"/>
      <c r="W458" s="41" t="e">
        <f>VLOOKUP($B458,'25년 12월 출석표'!$B$2:$BQ$497,58,0)/5</f>
        <v>#N/A</v>
      </c>
      <c r="X458" s="42"/>
      <c r="Y458" s="41" t="e">
        <f>VLOOKUP($B458,'25년 12월 출석표'!$B$2:$BQ$503,66,0)/5</f>
        <v>#N/A</v>
      </c>
      <c r="Z458" s="43"/>
    </row>
    <row r="459" spans="1:26">
      <c r="A459" s="29"/>
      <c r="B459" s="164"/>
      <c r="C459" s="164"/>
      <c r="D459" s="177"/>
      <c r="E459" s="178"/>
      <c r="F459" s="180"/>
      <c r="G459" s="180"/>
      <c r="H459" s="180"/>
      <c r="I459" s="34" t="e">
        <f>VLOOKUP(B459,'25년 12월 출석표'!$B$7:$D$509,3,0)</f>
        <v>#N/A</v>
      </c>
      <c r="J459" s="35" t="e">
        <f t="shared" ca="1" si="0"/>
        <v>#NAME?</v>
      </c>
      <c r="K459" s="36" t="str">
        <f t="shared" si="3"/>
        <v/>
      </c>
      <c r="L459" s="37" t="str">
        <f t="shared" si="4"/>
        <v/>
      </c>
      <c r="M459" s="30"/>
      <c r="N459" s="38" t="b">
        <v>0</v>
      </c>
      <c r="O459" s="38" t="b">
        <v>0</v>
      </c>
      <c r="P459" s="38" t="b">
        <v>0</v>
      </c>
      <c r="Q459" s="39" t="e">
        <f>VLOOKUP($B459,'25년 12월 출석표'!$B$2:$BQ$497,16,0)/5</f>
        <v>#N/A</v>
      </c>
      <c r="R459" s="40"/>
      <c r="S459" s="41" t="e">
        <f>VLOOKUP($B459,'25년 12월 출석표'!$B$2:$BQ$497,30,0)/5</f>
        <v>#N/A</v>
      </c>
      <c r="T459" s="40"/>
      <c r="U459" s="41" t="e">
        <f>VLOOKUP($B459,'25년 12월 출석표'!$B$2:$BQ$497,44,0)/5</f>
        <v>#N/A</v>
      </c>
      <c r="V459" s="40"/>
      <c r="W459" s="41" t="e">
        <f>VLOOKUP($B459,'25년 12월 출석표'!$B$2:$BQ$497,58,0)/5</f>
        <v>#N/A</v>
      </c>
      <c r="X459" s="42"/>
      <c r="Y459" s="41" t="e">
        <f>VLOOKUP($B459,'25년 12월 출석표'!$B$2:$BQ$503,66,0)/5</f>
        <v>#N/A</v>
      </c>
      <c r="Z459" s="43"/>
    </row>
    <row r="460" spans="1:26">
      <c r="A460" s="29"/>
      <c r="B460" s="164"/>
      <c r="C460" s="164"/>
      <c r="D460" s="177"/>
      <c r="E460" s="178"/>
      <c r="F460" s="180"/>
      <c r="G460" s="180"/>
      <c r="H460" s="180"/>
      <c r="I460" s="34" t="e">
        <f>VLOOKUP(B460,'25년 12월 출석표'!$B$7:$D$509,3,0)</f>
        <v>#N/A</v>
      </c>
      <c r="J460" s="35" t="e">
        <f t="shared" ca="1" si="0"/>
        <v>#NAME?</v>
      </c>
      <c r="K460" s="36" t="str">
        <f t="shared" si="3"/>
        <v/>
      </c>
      <c r="L460" s="37" t="str">
        <f t="shared" si="4"/>
        <v/>
      </c>
      <c r="M460" s="30"/>
      <c r="N460" s="38" t="b">
        <v>0</v>
      </c>
      <c r="O460" s="38" t="b">
        <v>0</v>
      </c>
      <c r="P460" s="38" t="b">
        <v>0</v>
      </c>
      <c r="Q460" s="39" t="e">
        <f>VLOOKUP($B460,'25년 12월 출석표'!$B$2:$BQ$497,16,0)/5</f>
        <v>#N/A</v>
      </c>
      <c r="R460" s="40"/>
      <c r="S460" s="41" t="e">
        <f>VLOOKUP($B460,'25년 12월 출석표'!$B$2:$BQ$497,30,0)/5</f>
        <v>#N/A</v>
      </c>
      <c r="T460" s="40"/>
      <c r="U460" s="41" t="e">
        <f>VLOOKUP($B460,'25년 12월 출석표'!$B$2:$BQ$497,44,0)/5</f>
        <v>#N/A</v>
      </c>
      <c r="V460" s="40"/>
      <c r="W460" s="41" t="e">
        <f>VLOOKUP($B460,'25년 12월 출석표'!$B$2:$BQ$497,58,0)/5</f>
        <v>#N/A</v>
      </c>
      <c r="X460" s="42"/>
      <c r="Y460" s="41" t="e">
        <f>VLOOKUP($B460,'25년 12월 출석표'!$B$2:$BQ$503,66,0)/5</f>
        <v>#N/A</v>
      </c>
      <c r="Z460" s="43"/>
    </row>
    <row r="461" spans="1:26">
      <c r="A461" s="29"/>
      <c r="B461" s="164"/>
      <c r="C461" s="164"/>
      <c r="D461" s="177"/>
      <c r="E461" s="178"/>
      <c r="F461" s="180"/>
      <c r="G461" s="180"/>
      <c r="H461" s="180"/>
      <c r="I461" s="34" t="e">
        <f>VLOOKUP(B461,'25년 12월 출석표'!$B$7:$D$509,3,0)</f>
        <v>#N/A</v>
      </c>
      <c r="J461" s="35" t="e">
        <f t="shared" ca="1" si="0"/>
        <v>#NAME?</v>
      </c>
      <c r="K461" s="36" t="str">
        <f t="shared" si="3"/>
        <v/>
      </c>
      <c r="L461" s="37" t="str">
        <f t="shared" si="4"/>
        <v/>
      </c>
      <c r="M461" s="30"/>
      <c r="N461" s="38" t="b">
        <v>0</v>
      </c>
      <c r="O461" s="38" t="b">
        <v>0</v>
      </c>
      <c r="P461" s="38" t="b">
        <v>0</v>
      </c>
      <c r="Q461" s="39" t="e">
        <f>VLOOKUP($B461,'25년 12월 출석표'!$B$2:$BQ$497,16,0)/5</f>
        <v>#N/A</v>
      </c>
      <c r="R461" s="40"/>
      <c r="S461" s="41" t="e">
        <f>VLOOKUP($B461,'25년 12월 출석표'!$B$2:$BQ$497,30,0)/5</f>
        <v>#N/A</v>
      </c>
      <c r="T461" s="40"/>
      <c r="U461" s="41" t="e">
        <f>VLOOKUP($B461,'25년 12월 출석표'!$B$2:$BQ$497,44,0)/5</f>
        <v>#N/A</v>
      </c>
      <c r="V461" s="40"/>
      <c r="W461" s="41" t="e">
        <f>VLOOKUP($B461,'25년 12월 출석표'!$B$2:$BQ$497,58,0)/5</f>
        <v>#N/A</v>
      </c>
      <c r="X461" s="42"/>
      <c r="Y461" s="41" t="e">
        <f>VLOOKUP($B461,'25년 12월 출석표'!$B$2:$BQ$503,66,0)/5</f>
        <v>#N/A</v>
      </c>
      <c r="Z461" s="43"/>
    </row>
    <row r="462" spans="1:26">
      <c r="A462" s="29"/>
      <c r="B462" s="164"/>
      <c r="C462" s="164"/>
      <c r="D462" s="177"/>
      <c r="E462" s="178"/>
      <c r="F462" s="180"/>
      <c r="G462" s="180"/>
      <c r="H462" s="180"/>
      <c r="I462" s="34" t="e">
        <f>VLOOKUP(B462,'25년 12월 출석표'!$B$7:$D$509,3,0)</f>
        <v>#N/A</v>
      </c>
      <c r="J462" s="35" t="e">
        <f t="shared" ca="1" si="0"/>
        <v>#NAME?</v>
      </c>
      <c r="K462" s="36" t="str">
        <f t="shared" si="3"/>
        <v/>
      </c>
      <c r="L462" s="37" t="str">
        <f t="shared" si="4"/>
        <v/>
      </c>
      <c r="M462" s="30"/>
      <c r="N462" s="38" t="b">
        <v>0</v>
      </c>
      <c r="O462" s="38" t="b">
        <v>0</v>
      </c>
      <c r="P462" s="38" t="b">
        <v>0</v>
      </c>
      <c r="Q462" s="39" t="e">
        <f>VLOOKUP($B462,'25년 12월 출석표'!$B$2:$BQ$497,16,0)/5</f>
        <v>#N/A</v>
      </c>
      <c r="R462" s="40"/>
      <c r="S462" s="41" t="e">
        <f>VLOOKUP($B462,'25년 12월 출석표'!$B$2:$BQ$497,30,0)/5</f>
        <v>#N/A</v>
      </c>
      <c r="T462" s="40"/>
      <c r="U462" s="41" t="e">
        <f>VLOOKUP($B462,'25년 12월 출석표'!$B$2:$BQ$497,44,0)/5</f>
        <v>#N/A</v>
      </c>
      <c r="V462" s="40"/>
      <c r="W462" s="41" t="e">
        <f>VLOOKUP($B462,'25년 12월 출석표'!$B$2:$BQ$497,58,0)/5</f>
        <v>#N/A</v>
      </c>
      <c r="X462" s="42"/>
      <c r="Y462" s="41" t="e">
        <f>VLOOKUP($B462,'25년 12월 출석표'!$B$2:$BQ$503,66,0)/5</f>
        <v>#N/A</v>
      </c>
      <c r="Z462" s="43"/>
    </row>
    <row r="463" spans="1:26">
      <c r="A463" s="29"/>
      <c r="B463" s="164"/>
      <c r="C463" s="164"/>
      <c r="D463" s="177"/>
      <c r="E463" s="178"/>
      <c r="F463" s="180"/>
      <c r="G463" s="180"/>
      <c r="H463" s="180"/>
      <c r="I463" s="34" t="e">
        <f>VLOOKUP(B463,'25년 12월 출석표'!$B$7:$D$509,3,0)</f>
        <v>#N/A</v>
      </c>
      <c r="J463" s="35" t="e">
        <f t="shared" ca="1" si="0"/>
        <v>#NAME?</v>
      </c>
      <c r="K463" s="36" t="str">
        <f t="shared" si="3"/>
        <v/>
      </c>
      <c r="L463" s="37" t="str">
        <f t="shared" si="4"/>
        <v/>
      </c>
      <c r="M463" s="30"/>
      <c r="N463" s="38" t="b">
        <v>0</v>
      </c>
      <c r="O463" s="38" t="b">
        <v>0</v>
      </c>
      <c r="P463" s="38" t="b">
        <v>0</v>
      </c>
      <c r="Q463" s="39" t="e">
        <f>VLOOKUP($B463,'25년 12월 출석표'!$B$2:$BQ$497,16,0)/5</f>
        <v>#N/A</v>
      </c>
      <c r="R463" s="40"/>
      <c r="S463" s="41" t="e">
        <f>VLOOKUP($B463,'25년 12월 출석표'!$B$2:$BQ$497,30,0)/5</f>
        <v>#N/A</v>
      </c>
      <c r="T463" s="40"/>
      <c r="U463" s="41" t="e">
        <f>VLOOKUP($B463,'25년 12월 출석표'!$B$2:$BQ$497,44,0)/5</f>
        <v>#N/A</v>
      </c>
      <c r="V463" s="40"/>
      <c r="W463" s="41" t="e">
        <f>VLOOKUP($B463,'25년 12월 출석표'!$B$2:$BQ$497,58,0)/5</f>
        <v>#N/A</v>
      </c>
      <c r="X463" s="42"/>
      <c r="Y463" s="41" t="e">
        <f>VLOOKUP($B463,'25년 12월 출석표'!$B$2:$BQ$503,66,0)/5</f>
        <v>#N/A</v>
      </c>
      <c r="Z463" s="43"/>
    </row>
    <row r="464" spans="1:26">
      <c r="A464" s="29"/>
      <c r="B464" s="164"/>
      <c r="C464" s="164"/>
      <c r="D464" s="177"/>
      <c r="E464" s="178"/>
      <c r="F464" s="180"/>
      <c r="G464" s="180"/>
      <c r="H464" s="180"/>
      <c r="I464" s="34" t="e">
        <f>VLOOKUP(B464,'25년 12월 출석표'!$B$7:$D$509,3,0)</f>
        <v>#N/A</v>
      </c>
      <c r="J464" s="35" t="e">
        <f t="shared" ca="1" si="0"/>
        <v>#NAME?</v>
      </c>
      <c r="K464" s="36" t="str">
        <f t="shared" si="3"/>
        <v/>
      </c>
      <c r="L464" s="37" t="str">
        <f t="shared" si="4"/>
        <v/>
      </c>
      <c r="M464" s="30"/>
      <c r="N464" s="38" t="b">
        <v>0</v>
      </c>
      <c r="O464" s="38" t="b">
        <v>0</v>
      </c>
      <c r="P464" s="38" t="b">
        <v>0</v>
      </c>
      <c r="Q464" s="39" t="e">
        <f>VLOOKUP($B464,'25년 12월 출석표'!$B$2:$BQ$497,16,0)/5</f>
        <v>#N/A</v>
      </c>
      <c r="R464" s="40"/>
      <c r="S464" s="41" t="e">
        <f>VLOOKUP($B464,'25년 12월 출석표'!$B$2:$BQ$497,30,0)/5</f>
        <v>#N/A</v>
      </c>
      <c r="T464" s="40"/>
      <c r="U464" s="41" t="e">
        <f>VLOOKUP($B464,'25년 12월 출석표'!$B$2:$BQ$497,44,0)/5</f>
        <v>#N/A</v>
      </c>
      <c r="V464" s="40"/>
      <c r="W464" s="41" t="e">
        <f>VLOOKUP($B464,'25년 12월 출석표'!$B$2:$BQ$497,58,0)/5</f>
        <v>#N/A</v>
      </c>
      <c r="X464" s="42"/>
      <c r="Y464" s="41" t="e">
        <f>VLOOKUP($B464,'25년 12월 출석표'!$B$2:$BQ$503,66,0)/5</f>
        <v>#N/A</v>
      </c>
      <c r="Z464" s="43"/>
    </row>
    <row r="465" spans="1:26">
      <c r="A465" s="29"/>
      <c r="B465" s="164"/>
      <c r="C465" s="164"/>
      <c r="D465" s="177"/>
      <c r="E465" s="178"/>
      <c r="F465" s="180"/>
      <c r="G465" s="180"/>
      <c r="H465" s="180"/>
      <c r="I465" s="34" t="e">
        <f>VLOOKUP(B465,'25년 12월 출석표'!$B$7:$D$509,3,0)</f>
        <v>#N/A</v>
      </c>
      <c r="J465" s="35" t="e">
        <f t="shared" ca="1" si="0"/>
        <v>#NAME?</v>
      </c>
      <c r="K465" s="36" t="str">
        <f t="shared" si="3"/>
        <v/>
      </c>
      <c r="L465" s="37" t="str">
        <f t="shared" si="4"/>
        <v/>
      </c>
      <c r="M465" s="30"/>
      <c r="N465" s="38" t="b">
        <v>0</v>
      </c>
      <c r="O465" s="38" t="b">
        <v>0</v>
      </c>
      <c r="P465" s="38" t="b">
        <v>0</v>
      </c>
      <c r="Q465" s="39" t="e">
        <f>VLOOKUP($B465,'25년 12월 출석표'!$B$2:$BQ$497,16,0)/5</f>
        <v>#N/A</v>
      </c>
      <c r="R465" s="40"/>
      <c r="S465" s="41" t="e">
        <f>VLOOKUP($B465,'25년 12월 출석표'!$B$2:$BQ$497,30,0)/5</f>
        <v>#N/A</v>
      </c>
      <c r="T465" s="40"/>
      <c r="U465" s="41" t="e">
        <f>VLOOKUP($B465,'25년 12월 출석표'!$B$2:$BQ$497,44,0)/5</f>
        <v>#N/A</v>
      </c>
      <c r="V465" s="40"/>
      <c r="W465" s="41" t="e">
        <f>VLOOKUP($B465,'25년 12월 출석표'!$B$2:$BQ$497,58,0)/5</f>
        <v>#N/A</v>
      </c>
      <c r="X465" s="42"/>
      <c r="Y465" s="41" t="e">
        <f>VLOOKUP($B465,'25년 12월 출석표'!$B$2:$BQ$503,66,0)/5</f>
        <v>#N/A</v>
      </c>
      <c r="Z465" s="43"/>
    </row>
  </sheetData>
  <autoFilter ref="A5:Z465">
    <sortState ref="A5:Z465">
      <sortCondition ref="F5:F465"/>
      <sortCondition ref="I5:I465"/>
      <sortCondition ref="H5:H465"/>
      <sortCondition descending="1" ref="E5:E465"/>
      <sortCondition ref="G5:G465"/>
      <sortCondition ref="M5:M465"/>
    </sortState>
  </autoFilter>
  <mergeCells count="1">
    <mergeCell ref="B2:B3"/>
  </mergeCells>
  <phoneticPr fontId="31" type="noConversion"/>
  <conditionalFormatting sqref="B6:B465">
    <cfRule type="containsBlanks" dxfId="5" priority="1">
      <formula>LEN(TRIM(B6))=0</formula>
    </cfRule>
  </conditionalFormatting>
  <conditionalFormatting sqref="N5:Y465">
    <cfRule type="cellIs" dxfId="4" priority="2" operator="lessThan">
      <formula>"20%"</formula>
    </cfRule>
  </conditionalFormatting>
  <conditionalFormatting sqref="N5:Y465">
    <cfRule type="containsText" dxfId="3" priority="3" operator="containsText" text="완료">
      <formula>NOT(ISERROR(SEARCH(("완료"),(N5))))</formula>
    </cfRule>
  </conditionalFormatting>
  <conditionalFormatting sqref="I6:I465">
    <cfRule type="cellIs" dxfId="2" priority="4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</sheetPr>
  <dimension ref="A1:CK497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2.5703125" defaultRowHeight="15.75" customHeight="1"/>
  <cols>
    <col min="1" max="1" width="13.28515625" customWidth="1"/>
    <col min="2" max="2" width="8" customWidth="1"/>
    <col min="3" max="3" width="4" customWidth="1"/>
    <col min="4" max="4" width="4.42578125" customWidth="1"/>
    <col min="5" max="63" width="2.5703125" customWidth="1"/>
    <col min="64" max="66" width="3" customWidth="1"/>
    <col min="67" max="68" width="2.5703125" customWidth="1"/>
    <col min="69" max="69" width="2.42578125" customWidth="1"/>
    <col min="70" max="73" width="4" customWidth="1"/>
    <col min="74" max="74" width="6.5703125" customWidth="1"/>
    <col min="75" max="75" width="8.42578125" customWidth="1"/>
    <col min="76" max="76" width="11.7109375" customWidth="1"/>
    <col min="77" max="77" width="7.5703125" customWidth="1"/>
    <col min="78" max="78" width="6.85546875" customWidth="1"/>
    <col min="79" max="79" width="4" customWidth="1"/>
    <col min="80" max="80" width="4.28515625" customWidth="1"/>
    <col min="81" max="81" width="6.140625" customWidth="1"/>
    <col min="82" max="86" width="4" customWidth="1"/>
    <col min="87" max="89" width="4.42578125" customWidth="1"/>
  </cols>
  <sheetData>
    <row r="1" spans="1:89" ht="12.75">
      <c r="A1" s="67"/>
      <c r="B1" s="68">
        <v>1</v>
      </c>
      <c r="C1" s="68">
        <v>2</v>
      </c>
      <c r="D1" s="68">
        <v>3</v>
      </c>
      <c r="E1" s="69">
        <v>4</v>
      </c>
      <c r="F1" s="68">
        <v>5</v>
      </c>
      <c r="G1" s="69">
        <v>6</v>
      </c>
      <c r="H1" s="68">
        <v>7</v>
      </c>
      <c r="I1" s="69">
        <v>8</v>
      </c>
      <c r="J1" s="68">
        <v>9</v>
      </c>
      <c r="K1" s="69">
        <v>10</v>
      </c>
      <c r="L1" s="68">
        <v>11</v>
      </c>
      <c r="M1" s="69">
        <v>12</v>
      </c>
      <c r="N1" s="68">
        <v>13</v>
      </c>
      <c r="O1" s="69">
        <v>14</v>
      </c>
      <c r="P1" s="68">
        <v>15</v>
      </c>
      <c r="Q1" s="69">
        <v>16</v>
      </c>
      <c r="R1" s="68">
        <v>17</v>
      </c>
      <c r="S1" s="69">
        <v>18</v>
      </c>
      <c r="T1" s="68">
        <v>19</v>
      </c>
      <c r="U1" s="69">
        <v>20</v>
      </c>
      <c r="V1" s="68">
        <v>21</v>
      </c>
      <c r="W1" s="69">
        <v>22</v>
      </c>
      <c r="X1" s="68">
        <v>23</v>
      </c>
      <c r="Y1" s="69">
        <v>24</v>
      </c>
      <c r="Z1" s="68">
        <v>25</v>
      </c>
      <c r="AA1" s="69">
        <v>26</v>
      </c>
      <c r="AB1" s="68">
        <v>27</v>
      </c>
      <c r="AC1" s="69">
        <v>28</v>
      </c>
      <c r="AD1" s="68">
        <v>29</v>
      </c>
      <c r="AE1" s="69">
        <v>30</v>
      </c>
      <c r="AF1" s="68">
        <v>31</v>
      </c>
      <c r="AG1" s="69">
        <v>32</v>
      </c>
      <c r="AH1" s="68">
        <v>33</v>
      </c>
      <c r="AI1" s="69">
        <v>34</v>
      </c>
      <c r="AJ1" s="68">
        <v>35</v>
      </c>
      <c r="AK1" s="69">
        <v>36</v>
      </c>
      <c r="AL1" s="68">
        <v>37</v>
      </c>
      <c r="AM1" s="69">
        <v>38</v>
      </c>
      <c r="AN1" s="68">
        <v>39</v>
      </c>
      <c r="AO1" s="69">
        <v>40</v>
      </c>
      <c r="AP1" s="68">
        <v>41</v>
      </c>
      <c r="AQ1" s="69">
        <v>42</v>
      </c>
      <c r="AR1" s="68">
        <v>43</v>
      </c>
      <c r="AS1" s="69">
        <v>44</v>
      </c>
      <c r="AT1" s="68">
        <v>45</v>
      </c>
      <c r="AU1" s="69">
        <v>46</v>
      </c>
      <c r="AV1" s="68">
        <v>47</v>
      </c>
      <c r="AW1" s="69">
        <v>48</v>
      </c>
      <c r="AX1" s="68">
        <v>49</v>
      </c>
      <c r="AY1" s="69">
        <v>50</v>
      </c>
      <c r="AZ1" s="68">
        <v>51</v>
      </c>
      <c r="BA1" s="69">
        <v>52</v>
      </c>
      <c r="BB1" s="68">
        <v>53</v>
      </c>
      <c r="BC1" s="69">
        <v>54</v>
      </c>
      <c r="BD1" s="68">
        <v>55</v>
      </c>
      <c r="BE1" s="69">
        <v>56</v>
      </c>
      <c r="BF1" s="68">
        <v>57</v>
      </c>
      <c r="BG1" s="69">
        <v>58</v>
      </c>
      <c r="BH1" s="68">
        <v>59</v>
      </c>
      <c r="BI1" s="69">
        <v>60</v>
      </c>
      <c r="BJ1" s="68">
        <v>61</v>
      </c>
      <c r="BK1" s="69">
        <v>62</v>
      </c>
      <c r="BL1" s="68">
        <v>63</v>
      </c>
      <c r="BM1" s="69">
        <v>64</v>
      </c>
      <c r="BN1" s="68">
        <v>65</v>
      </c>
      <c r="BO1" s="69">
        <v>66</v>
      </c>
      <c r="BP1" s="68">
        <v>67</v>
      </c>
      <c r="BQ1" s="69">
        <v>68</v>
      </c>
      <c r="BR1" s="67"/>
      <c r="BS1" s="67"/>
      <c r="BT1" s="67"/>
      <c r="BU1" s="70" t="s">
        <v>354</v>
      </c>
      <c r="BV1" s="70">
        <f t="shared" ref="BV1:BW1" si="0">SUM(BV3:BV7)</f>
        <v>958</v>
      </c>
      <c r="BW1" s="70">
        <f t="shared" si="0"/>
        <v>22</v>
      </c>
      <c r="BX1" s="71">
        <f>BV1/BW1</f>
        <v>43.545454545454547</v>
      </c>
      <c r="BY1" s="72" t="e">
        <f>BX1/BY2</f>
        <v>#REF!</v>
      </c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</row>
    <row r="2" spans="1:89" ht="12.75">
      <c r="A2" s="74"/>
      <c r="B2" s="75" t="s">
        <v>445</v>
      </c>
      <c r="C2" s="76"/>
      <c r="D2" s="76"/>
      <c r="E2" s="222">
        <v>1</v>
      </c>
      <c r="F2" s="202"/>
      <c r="G2" s="222">
        <v>2</v>
      </c>
      <c r="H2" s="202"/>
      <c r="I2" s="222">
        <v>3</v>
      </c>
      <c r="J2" s="202"/>
      <c r="K2" s="222">
        <v>4</v>
      </c>
      <c r="L2" s="202"/>
      <c r="M2" s="222">
        <v>5</v>
      </c>
      <c r="N2" s="202"/>
      <c r="O2" s="222">
        <v>6</v>
      </c>
      <c r="P2" s="202"/>
      <c r="Q2" s="222">
        <v>7</v>
      </c>
      <c r="R2" s="202"/>
      <c r="S2" s="222">
        <v>8</v>
      </c>
      <c r="T2" s="202"/>
      <c r="U2" s="222">
        <v>9</v>
      </c>
      <c r="V2" s="202"/>
      <c r="W2" s="222">
        <v>10</v>
      </c>
      <c r="X2" s="202"/>
      <c r="Y2" s="222">
        <v>11</v>
      </c>
      <c r="Z2" s="202"/>
      <c r="AA2" s="222">
        <v>12</v>
      </c>
      <c r="AB2" s="202"/>
      <c r="AC2" s="222">
        <v>13</v>
      </c>
      <c r="AD2" s="202"/>
      <c r="AE2" s="222">
        <v>14</v>
      </c>
      <c r="AF2" s="202"/>
      <c r="AG2" s="222">
        <v>15</v>
      </c>
      <c r="AH2" s="202"/>
      <c r="AI2" s="222">
        <v>16</v>
      </c>
      <c r="AJ2" s="202"/>
      <c r="AK2" s="222">
        <v>17</v>
      </c>
      <c r="AL2" s="202"/>
      <c r="AM2" s="222">
        <v>18</v>
      </c>
      <c r="AN2" s="202"/>
      <c r="AO2" s="222">
        <v>19</v>
      </c>
      <c r="AP2" s="202"/>
      <c r="AQ2" s="222">
        <v>20</v>
      </c>
      <c r="AR2" s="202"/>
      <c r="AS2" s="222">
        <v>21</v>
      </c>
      <c r="AT2" s="202"/>
      <c r="AU2" s="222">
        <v>22</v>
      </c>
      <c r="AV2" s="202"/>
      <c r="AW2" s="222">
        <v>23</v>
      </c>
      <c r="AX2" s="202"/>
      <c r="AY2" s="222">
        <v>24</v>
      </c>
      <c r="AZ2" s="202"/>
      <c r="BA2" s="222">
        <v>25</v>
      </c>
      <c r="BB2" s="202"/>
      <c r="BC2" s="222">
        <v>26</v>
      </c>
      <c r="BD2" s="202"/>
      <c r="BE2" s="222">
        <v>27</v>
      </c>
      <c r="BF2" s="202"/>
      <c r="BG2" s="222">
        <v>28</v>
      </c>
      <c r="BH2" s="202"/>
      <c r="BI2" s="222">
        <v>29</v>
      </c>
      <c r="BJ2" s="202"/>
      <c r="BK2" s="222">
        <v>30</v>
      </c>
      <c r="BL2" s="202"/>
      <c r="BM2" s="222">
        <v>31</v>
      </c>
      <c r="BN2" s="202"/>
      <c r="BO2" s="222"/>
      <c r="BP2" s="202"/>
      <c r="BQ2" s="77"/>
      <c r="BR2" s="223" t="s">
        <v>356</v>
      </c>
      <c r="BS2" s="202"/>
      <c r="BT2" s="67"/>
      <c r="BU2" s="78" t="s">
        <v>357</v>
      </c>
      <c r="BV2" s="79" t="s">
        <v>13</v>
      </c>
      <c r="BW2" s="79" t="s">
        <v>358</v>
      </c>
      <c r="BX2" s="80" t="s">
        <v>356</v>
      </c>
      <c r="BY2" s="70" t="e">
        <f>'[1]25년 10월 유효회원'!D3</f>
        <v>#REF!</v>
      </c>
      <c r="BZ2" s="73"/>
      <c r="CA2" s="73"/>
      <c r="CB2" s="73"/>
      <c r="CC2" s="73"/>
      <c r="CD2" s="73"/>
      <c r="CE2" s="73"/>
      <c r="CF2" s="73"/>
      <c r="CG2" s="73"/>
      <c r="CH2" s="73"/>
      <c r="CI2" s="82"/>
      <c r="CJ2" s="82"/>
      <c r="CK2" s="73"/>
    </row>
    <row r="3" spans="1:89" ht="12.75">
      <c r="A3" s="83"/>
      <c r="B3" s="75"/>
      <c r="C3" s="84"/>
      <c r="D3" s="85" t="s">
        <v>360</v>
      </c>
      <c r="E3" s="218">
        <f>COUNTA(E7:E497)</f>
        <v>55</v>
      </c>
      <c r="F3" s="202"/>
      <c r="G3" s="218">
        <f>COUNTA(G7:G497)</f>
        <v>48</v>
      </c>
      <c r="H3" s="202"/>
      <c r="I3" s="218">
        <f>COUNTA(I7:I497)</f>
        <v>39</v>
      </c>
      <c r="J3" s="202"/>
      <c r="K3" s="218">
        <f>COUNTA(K7:K497)</f>
        <v>31</v>
      </c>
      <c r="L3" s="202"/>
      <c r="M3" s="218">
        <f>COUNTA(M7:M497)</f>
        <v>42</v>
      </c>
      <c r="N3" s="202"/>
      <c r="O3" s="211">
        <f>COUNTA(O7:O397)</f>
        <v>13</v>
      </c>
      <c r="P3" s="202"/>
      <c r="Q3" s="212">
        <f>SUM(Q7:Q497)</f>
        <v>215</v>
      </c>
      <c r="R3" s="202"/>
      <c r="S3" s="218">
        <f>COUNTA(S7:S497)</f>
        <v>54</v>
      </c>
      <c r="T3" s="202"/>
      <c r="U3" s="218">
        <f>COUNTA(U7:U497)</f>
        <v>44</v>
      </c>
      <c r="V3" s="202"/>
      <c r="W3" s="218">
        <f>COUNTA(W7:W497)</f>
        <v>43</v>
      </c>
      <c r="X3" s="202"/>
      <c r="Y3" s="218">
        <f>COUNTA(Y7:Y497)</f>
        <v>41</v>
      </c>
      <c r="Z3" s="202"/>
      <c r="AA3" s="218">
        <f>COUNTA(AA7:AA497)</f>
        <v>35</v>
      </c>
      <c r="AB3" s="202"/>
      <c r="AC3" s="229">
        <f>COUNTA(AC7:AC287)</f>
        <v>17</v>
      </c>
      <c r="AD3" s="202"/>
      <c r="AE3" s="230">
        <f>SUM(AE7:AE497)</f>
        <v>217</v>
      </c>
      <c r="AF3" s="202"/>
      <c r="AG3" s="218">
        <f>COUNTA(AG7:AG497)</f>
        <v>51</v>
      </c>
      <c r="AH3" s="202"/>
      <c r="AI3" s="218">
        <f>COUNTA(AI7:AI497)</f>
        <v>42</v>
      </c>
      <c r="AJ3" s="202"/>
      <c r="AK3" s="218">
        <f>COUNTA(AK7:AK497)</f>
        <v>45</v>
      </c>
      <c r="AL3" s="202"/>
      <c r="AM3" s="218">
        <f>COUNTA(AM7:AM497)</f>
        <v>43</v>
      </c>
      <c r="AN3" s="202"/>
      <c r="AO3" s="218">
        <f>COUNTA(AO7:AO497)</f>
        <v>39</v>
      </c>
      <c r="AP3" s="202"/>
      <c r="AQ3" s="211">
        <f>COUNTA(AQ7:AQ398)</f>
        <v>8</v>
      </c>
      <c r="AR3" s="202"/>
      <c r="AS3" s="212">
        <f>SUM(AS7:AS497)</f>
        <v>220</v>
      </c>
      <c r="AT3" s="202"/>
      <c r="AU3" s="218">
        <f>COUNTA(AU7:AU497)</f>
        <v>52</v>
      </c>
      <c r="AV3" s="202"/>
      <c r="AW3" s="218">
        <f>COUNTA(AW7:AW497)</f>
        <v>39</v>
      </c>
      <c r="AX3" s="202"/>
      <c r="AY3" s="218">
        <f>COUNTA(AY7:AY497)</f>
        <v>39</v>
      </c>
      <c r="AZ3" s="202"/>
      <c r="BA3" s="218">
        <f>COUNTA(BA7:BA497)</f>
        <v>13</v>
      </c>
      <c r="BB3" s="202"/>
      <c r="BC3" s="218">
        <f>COUNTA(BC7:BC497)</f>
        <v>37</v>
      </c>
      <c r="BD3" s="202"/>
      <c r="BE3" s="211">
        <f>COUNTA(BE7:BE398)</f>
        <v>21</v>
      </c>
      <c r="BF3" s="202"/>
      <c r="BG3" s="212">
        <f>SUM(BG7:BG497)</f>
        <v>180</v>
      </c>
      <c r="BH3" s="202"/>
      <c r="BI3" s="218">
        <f>COUNTA(BI7:BI497)</f>
        <v>44</v>
      </c>
      <c r="BJ3" s="202"/>
      <c r="BK3" s="218">
        <f>COUNTA(BK7:BK497)</f>
        <v>49</v>
      </c>
      <c r="BL3" s="202"/>
      <c r="BM3" s="218">
        <f>COUNTA(BM7:BM497)</f>
        <v>33</v>
      </c>
      <c r="BN3" s="202"/>
      <c r="BO3" s="212">
        <f>SUM(BO7:BO497)</f>
        <v>126</v>
      </c>
      <c r="BP3" s="202"/>
      <c r="BQ3" s="87"/>
      <c r="BR3" s="216">
        <f>AVERAGE(O3,AC3,AQ3,BE3,BO3)</f>
        <v>37</v>
      </c>
      <c r="BS3" s="202"/>
      <c r="BT3" s="88"/>
      <c r="BU3" s="89">
        <v>1</v>
      </c>
      <c r="BV3" s="84">
        <f>Q3</f>
        <v>215</v>
      </c>
      <c r="BW3" s="85">
        <v>5</v>
      </c>
      <c r="BX3" s="90">
        <f t="shared" ref="BX3:BX7" si="1">BV3/BW3</f>
        <v>43</v>
      </c>
      <c r="BY3" s="91" t="e">
        <f>BX3/BY2</f>
        <v>#REF!</v>
      </c>
      <c r="BZ3" s="88"/>
      <c r="CA3" s="88"/>
      <c r="CB3" s="88"/>
      <c r="CC3" s="88"/>
      <c r="CD3" s="213"/>
      <c r="CE3" s="214"/>
      <c r="CF3" s="213"/>
      <c r="CG3" s="214"/>
      <c r="CH3" s="213"/>
      <c r="CI3" s="214"/>
      <c r="CJ3" s="215"/>
      <c r="CK3" s="214"/>
    </row>
    <row r="4" spans="1:89" ht="12.75">
      <c r="A4" s="94"/>
      <c r="B4" s="75"/>
      <c r="C4" s="84"/>
      <c r="D4" s="85" t="s">
        <v>361</v>
      </c>
      <c r="E4" s="220">
        <f>E3/'25년 12월 유효회원'!$C$3</f>
        <v>0.36423841059602646</v>
      </c>
      <c r="F4" s="202"/>
      <c r="G4" s="220">
        <f>G3/'25년 12월 유효회원'!$C$3</f>
        <v>0.31788079470198677</v>
      </c>
      <c r="H4" s="202"/>
      <c r="I4" s="220">
        <f>I3/'25년 12월 유효회원'!$C$3</f>
        <v>0.25827814569536423</v>
      </c>
      <c r="J4" s="202"/>
      <c r="K4" s="220">
        <f>K3/'25년 12월 유효회원'!$C$3</f>
        <v>0.20529801324503311</v>
      </c>
      <c r="L4" s="202"/>
      <c r="M4" s="220">
        <f>M3/'25년 12월 유효회원'!$C$3</f>
        <v>0.27814569536423839</v>
      </c>
      <c r="N4" s="202"/>
      <c r="O4" s="219">
        <f>O3/'25년 12월 유효회원'!$C$3</f>
        <v>8.6092715231788075E-2</v>
      </c>
      <c r="P4" s="202"/>
      <c r="Q4" s="231">
        <f>Q3/'25년 12월 유효회원'!$C$3</f>
        <v>1.423841059602649</v>
      </c>
      <c r="R4" s="202"/>
      <c r="S4" s="220">
        <f>S3/'25년 12월 유효회원'!$C$3</f>
        <v>0.35761589403973509</v>
      </c>
      <c r="T4" s="202"/>
      <c r="U4" s="220">
        <f>U3/'25년 12월 유효회원'!$C$3</f>
        <v>0.29139072847682118</v>
      </c>
      <c r="V4" s="202"/>
      <c r="W4" s="220">
        <f>W3/'25년 12월 유효회원'!$C$3</f>
        <v>0.28476821192052981</v>
      </c>
      <c r="X4" s="202"/>
      <c r="Y4" s="220">
        <f>Y3/'25년 12월 유효회원'!$C$3</f>
        <v>0.27152317880794702</v>
      </c>
      <c r="Z4" s="202"/>
      <c r="AA4" s="220">
        <f>AA3/'25년 12월 유효회원'!$C$3</f>
        <v>0.23178807947019867</v>
      </c>
      <c r="AB4" s="202"/>
      <c r="AC4" s="219">
        <f>AC3/'25년 12월 유효회원'!$C$3</f>
        <v>0.11258278145695365</v>
      </c>
      <c r="AD4" s="202"/>
      <c r="AE4" s="231">
        <f>AE3/'25년 12월 유효회원'!$C$3</f>
        <v>1.4370860927152318</v>
      </c>
      <c r="AF4" s="202"/>
      <c r="AG4" s="220">
        <f>AG3/'25년 12월 유효회원'!$C$3</f>
        <v>0.33774834437086093</v>
      </c>
      <c r="AH4" s="202"/>
      <c r="AI4" s="220">
        <f>AI3/'25년 12월 유효회원'!$C$3</f>
        <v>0.27814569536423839</v>
      </c>
      <c r="AJ4" s="202"/>
      <c r="AK4" s="220">
        <f>AK3/'25년 12월 유효회원'!$C$3</f>
        <v>0.29801324503311261</v>
      </c>
      <c r="AL4" s="202"/>
      <c r="AM4" s="220">
        <f>AM3/'25년 12월 유효회원'!$C$3</f>
        <v>0.28476821192052981</v>
      </c>
      <c r="AN4" s="202"/>
      <c r="AO4" s="220">
        <f>AO3/'25년 12월 유효회원'!$C$3</f>
        <v>0.25827814569536423</v>
      </c>
      <c r="AP4" s="202"/>
      <c r="AQ4" s="219">
        <f>AQ3/'25년 12월 유효회원'!$C$3</f>
        <v>5.2980132450331126E-2</v>
      </c>
      <c r="AR4" s="202"/>
      <c r="AS4" s="231">
        <f>AS3/'25년 12월 유효회원'!$C$3</f>
        <v>1.4569536423841059</v>
      </c>
      <c r="AT4" s="202"/>
      <c r="AU4" s="220">
        <f>AU3/'25년 12월 유효회원'!$C$3</f>
        <v>0.3443708609271523</v>
      </c>
      <c r="AV4" s="202"/>
      <c r="AW4" s="220">
        <f>AW3/'25년 12월 유효회원'!$C$3</f>
        <v>0.25827814569536423</v>
      </c>
      <c r="AX4" s="202"/>
      <c r="AY4" s="220">
        <f>AY3/'25년 12월 유효회원'!$C$3</f>
        <v>0.25827814569536423</v>
      </c>
      <c r="AZ4" s="202"/>
      <c r="BA4" s="220">
        <f>BA3/'25년 12월 유효회원'!$C$3</f>
        <v>8.6092715231788075E-2</v>
      </c>
      <c r="BB4" s="202"/>
      <c r="BC4" s="220">
        <f>BC3/'25년 12월 유효회원'!$C$3</f>
        <v>0.24503311258278146</v>
      </c>
      <c r="BD4" s="202"/>
      <c r="BE4" s="219">
        <f>BE3/'25년 12월 유효회원'!$C$3</f>
        <v>0.13907284768211919</v>
      </c>
      <c r="BF4" s="202"/>
      <c r="BG4" s="231">
        <f>BG3/'25년 12월 유효회원'!$C$3</f>
        <v>1.1920529801324504</v>
      </c>
      <c r="BH4" s="202"/>
      <c r="BI4" s="220">
        <f>BI3/'25년 12월 유효회원'!$C$3</f>
        <v>0.29139072847682118</v>
      </c>
      <c r="BJ4" s="202"/>
      <c r="BK4" s="220">
        <f>BK3/'25년 12월 유효회원'!$C$3</f>
        <v>0.32450331125827814</v>
      </c>
      <c r="BL4" s="202"/>
      <c r="BM4" s="220">
        <f>BM3/'25년 12월 유효회원'!$C$3</f>
        <v>0.2185430463576159</v>
      </c>
      <c r="BN4" s="202"/>
      <c r="BO4" s="231">
        <f>BO3/'25년 12월 유효회원'!$C$3</f>
        <v>0.83443708609271527</v>
      </c>
      <c r="BP4" s="202"/>
      <c r="BQ4" s="181"/>
      <c r="BR4" s="232">
        <f>AVERAGE(M4,AA4,AO4,BC4,BO4)</f>
        <v>0.36953642384105956</v>
      </c>
      <c r="BS4" s="202"/>
      <c r="BT4" s="88"/>
      <c r="BU4" s="89">
        <v>2</v>
      </c>
      <c r="BV4" s="84">
        <f>AE3</f>
        <v>217</v>
      </c>
      <c r="BW4" s="85">
        <v>5</v>
      </c>
      <c r="BX4" s="182">
        <f t="shared" si="1"/>
        <v>43.4</v>
      </c>
      <c r="BY4" s="91" t="e">
        <f t="shared" ref="BY4:BY7" si="2">BX4/$BY$2</f>
        <v>#REF!</v>
      </c>
      <c r="BZ4" s="92"/>
      <c r="CA4" s="92"/>
      <c r="CB4" s="92"/>
      <c r="CC4" s="92"/>
      <c r="CD4" s="92"/>
      <c r="CE4" s="92"/>
      <c r="CF4" s="92"/>
      <c r="CG4" s="92"/>
      <c r="CH4" s="92"/>
      <c r="CI4" s="93"/>
      <c r="CJ4" s="93"/>
      <c r="CK4" s="92"/>
    </row>
    <row r="5" spans="1:89" ht="12.75">
      <c r="A5" s="99" t="s">
        <v>362</v>
      </c>
      <c r="B5" s="75"/>
      <c r="C5" s="100"/>
      <c r="D5" s="101"/>
      <c r="E5" s="103" t="s">
        <v>3</v>
      </c>
      <c r="F5" s="103" t="s">
        <v>4</v>
      </c>
      <c r="G5" s="103" t="s">
        <v>3</v>
      </c>
      <c r="H5" s="103" t="s">
        <v>4</v>
      </c>
      <c r="I5" s="103" t="s">
        <v>3</v>
      </c>
      <c r="J5" s="103" t="s">
        <v>4</v>
      </c>
      <c r="K5" s="103" t="s">
        <v>3</v>
      </c>
      <c r="L5" s="103" t="s">
        <v>4</v>
      </c>
      <c r="M5" s="103" t="s">
        <v>3</v>
      </c>
      <c r="N5" s="103" t="s">
        <v>4</v>
      </c>
      <c r="O5" s="183" t="s">
        <v>3</v>
      </c>
      <c r="P5" s="183" t="s">
        <v>4</v>
      </c>
      <c r="Q5" s="104" t="s">
        <v>3</v>
      </c>
      <c r="R5" s="104" t="s">
        <v>4</v>
      </c>
      <c r="S5" s="103" t="s">
        <v>3</v>
      </c>
      <c r="T5" s="103" t="s">
        <v>4</v>
      </c>
      <c r="U5" s="103" t="s">
        <v>3</v>
      </c>
      <c r="V5" s="103" t="s">
        <v>4</v>
      </c>
      <c r="W5" s="103" t="s">
        <v>3</v>
      </c>
      <c r="X5" s="103" t="s">
        <v>4</v>
      </c>
      <c r="Y5" s="103" t="s">
        <v>3</v>
      </c>
      <c r="Z5" s="103" t="s">
        <v>4</v>
      </c>
      <c r="AA5" s="103" t="s">
        <v>3</v>
      </c>
      <c r="AB5" s="103" t="s">
        <v>4</v>
      </c>
      <c r="AC5" s="184" t="s">
        <v>3</v>
      </c>
      <c r="AD5" s="184" t="s">
        <v>4</v>
      </c>
      <c r="AE5" s="185" t="s">
        <v>3</v>
      </c>
      <c r="AF5" s="185" t="s">
        <v>4</v>
      </c>
      <c r="AG5" s="103" t="s">
        <v>3</v>
      </c>
      <c r="AH5" s="103" t="s">
        <v>4</v>
      </c>
      <c r="AI5" s="103" t="s">
        <v>3</v>
      </c>
      <c r="AJ5" s="103" t="s">
        <v>4</v>
      </c>
      <c r="AK5" s="103" t="s">
        <v>3</v>
      </c>
      <c r="AL5" s="103" t="s">
        <v>4</v>
      </c>
      <c r="AM5" s="103" t="s">
        <v>3</v>
      </c>
      <c r="AN5" s="103" t="s">
        <v>4</v>
      </c>
      <c r="AO5" s="103" t="s">
        <v>3</v>
      </c>
      <c r="AP5" s="103" t="s">
        <v>4</v>
      </c>
      <c r="AQ5" s="183" t="s">
        <v>3</v>
      </c>
      <c r="AR5" s="183" t="s">
        <v>4</v>
      </c>
      <c r="AS5" s="104" t="s">
        <v>3</v>
      </c>
      <c r="AT5" s="104" t="s">
        <v>4</v>
      </c>
      <c r="AU5" s="103" t="s">
        <v>3</v>
      </c>
      <c r="AV5" s="103" t="s">
        <v>4</v>
      </c>
      <c r="AW5" s="103" t="s">
        <v>3</v>
      </c>
      <c r="AX5" s="103" t="s">
        <v>4</v>
      </c>
      <c r="AY5" s="103" t="s">
        <v>3</v>
      </c>
      <c r="AZ5" s="103" t="s">
        <v>4</v>
      </c>
      <c r="BA5" s="103" t="s">
        <v>3</v>
      </c>
      <c r="BB5" s="103" t="s">
        <v>4</v>
      </c>
      <c r="BC5" s="103" t="s">
        <v>3</v>
      </c>
      <c r="BD5" s="103" t="s">
        <v>4</v>
      </c>
      <c r="BE5" s="183" t="s">
        <v>3</v>
      </c>
      <c r="BF5" s="183" t="s">
        <v>4</v>
      </c>
      <c r="BG5" s="104" t="s">
        <v>3</v>
      </c>
      <c r="BH5" s="104" t="s">
        <v>4</v>
      </c>
      <c r="BI5" s="103" t="s">
        <v>3</v>
      </c>
      <c r="BJ5" s="103" t="s">
        <v>4</v>
      </c>
      <c r="BK5" s="103" t="s">
        <v>3</v>
      </c>
      <c r="BL5" s="103" t="s">
        <v>4</v>
      </c>
      <c r="BM5" s="103" t="s">
        <v>3</v>
      </c>
      <c r="BN5" s="103" t="s">
        <v>4</v>
      </c>
      <c r="BO5" s="104" t="s">
        <v>3</v>
      </c>
      <c r="BP5" s="104" t="s">
        <v>4</v>
      </c>
      <c r="BQ5" s="186"/>
      <c r="BR5" s="216"/>
      <c r="BS5" s="202"/>
      <c r="BT5" s="105"/>
      <c r="BU5" s="106">
        <v>3</v>
      </c>
      <c r="BV5" s="121">
        <f>AS3</f>
        <v>220</v>
      </c>
      <c r="BW5" s="107">
        <v>5</v>
      </c>
      <c r="BX5" s="182">
        <f t="shared" si="1"/>
        <v>44</v>
      </c>
      <c r="BY5" s="91" t="e">
        <f t="shared" si="2"/>
        <v>#REF!</v>
      </c>
      <c r="BZ5" s="108"/>
      <c r="CA5" s="108"/>
      <c r="CB5" s="108"/>
      <c r="CC5" s="108"/>
      <c r="CD5" s="108"/>
      <c r="CE5" s="108"/>
      <c r="CF5" s="108"/>
      <c r="CG5" s="108"/>
      <c r="CH5" s="108"/>
      <c r="CI5" s="109"/>
      <c r="CJ5" s="109"/>
      <c r="CK5" s="108"/>
    </row>
    <row r="6" spans="1:89" ht="12.75">
      <c r="A6" s="110" t="s">
        <v>363</v>
      </c>
      <c r="B6" s="111" t="s">
        <v>6</v>
      </c>
      <c r="C6" s="112" t="s">
        <v>7</v>
      </c>
      <c r="D6" s="113" t="s">
        <v>360</v>
      </c>
      <c r="E6" s="115">
        <f>COUNTIFS($C$7:$C$432,"남",E7:E432,"&lt;&gt;")</f>
        <v>6</v>
      </c>
      <c r="F6" s="115">
        <f>COUNTIFS($C$7:$C$432,"여",E7:E432,"&lt;&gt;")</f>
        <v>49</v>
      </c>
      <c r="G6" s="115">
        <f>COUNTIFS($C$7:$C$432,"남",G7:G432,"&lt;&gt;")</f>
        <v>10</v>
      </c>
      <c r="H6" s="115">
        <f>COUNTIFS($C$7:$C$432,"여",G7:G432,"&lt;&gt;")</f>
        <v>38</v>
      </c>
      <c r="I6" s="115">
        <f>COUNTIFS($C$7:$C$432,"남",I7:I432,"&lt;&gt;")</f>
        <v>4</v>
      </c>
      <c r="J6" s="115">
        <f>COUNTIFS($C$7:$C$432,"여",I7:I432,"&lt;&gt;")</f>
        <v>35</v>
      </c>
      <c r="K6" s="115">
        <f>COUNTIFS($C$7:$C$432,"남",K7:K432,"&lt;&gt;")</f>
        <v>7</v>
      </c>
      <c r="L6" s="115">
        <f>COUNTIFS($C$7:$C$432,"여",K7:K432,"&lt;&gt;")</f>
        <v>24</v>
      </c>
      <c r="M6" s="115">
        <f>COUNTIFS($C$7:$C$432,"남",M7:M432,"&lt;&gt;")</f>
        <v>5</v>
      </c>
      <c r="N6" s="115">
        <f>COUNTIFS($C$7:$C$432,"여",M7:M432,"&lt;&gt;")</f>
        <v>37</v>
      </c>
      <c r="O6" s="187">
        <v>0</v>
      </c>
      <c r="P6" s="187">
        <v>0</v>
      </c>
      <c r="Q6" s="118">
        <v>0</v>
      </c>
      <c r="R6" s="118">
        <v>0</v>
      </c>
      <c r="S6" s="115">
        <f>COUNTIFS($C$7:$C$432,"남",S7:S432,"&lt;&gt;")</f>
        <v>10</v>
      </c>
      <c r="T6" s="115">
        <f>COUNTIFS($C$7:$C$432,"여",S7:S432,"&lt;&gt;")</f>
        <v>44</v>
      </c>
      <c r="U6" s="115">
        <f>COUNTIFS($C$7:$C$432,"남",U7:U432,"&lt;&gt;")</f>
        <v>10</v>
      </c>
      <c r="V6" s="115">
        <f>COUNTIFS($C$7:$C$432,"여",U7:U432,"&lt;&gt;")</f>
        <v>34</v>
      </c>
      <c r="W6" s="115">
        <f>COUNTIFS($C$7:$C$432,"남",W7:W432,"&lt;&gt;")</f>
        <v>8</v>
      </c>
      <c r="X6" s="115">
        <f>COUNTIFS($C$7:$C$432,"여",W7:W432,"&lt;&gt;")</f>
        <v>35</v>
      </c>
      <c r="Y6" s="115">
        <f>COUNTIFS($C$7:$C$432,"남",Y7:Y432,"&lt;&gt;")</f>
        <v>13</v>
      </c>
      <c r="Z6" s="115">
        <f>COUNTIFS($C$7:$C$432,"여",Y7:Y432,"&lt;&gt;")</f>
        <v>28</v>
      </c>
      <c r="AA6" s="115">
        <f>COUNTIFS($C$7:$C$432,"남",AA7:AA432,"&lt;&gt;")</f>
        <v>8</v>
      </c>
      <c r="AB6" s="115">
        <f>COUNTIFS($C$7:$C$432,"여",AA7:AA432,"&lt;&gt;")</f>
        <v>27</v>
      </c>
      <c r="AC6" s="188">
        <v>0</v>
      </c>
      <c r="AD6" s="188">
        <v>0</v>
      </c>
      <c r="AE6" s="189">
        <v>0</v>
      </c>
      <c r="AF6" s="189">
        <v>0</v>
      </c>
      <c r="AG6" s="115">
        <f>COUNTIFS($C$7:$C$432,"남",AG7:AG432,"&lt;&gt;")</f>
        <v>10</v>
      </c>
      <c r="AH6" s="115">
        <f>COUNTIFS($C$7:$C$432,"여",AG7:AG432,"&lt;&gt;")</f>
        <v>41</v>
      </c>
      <c r="AI6" s="115">
        <f>COUNTIFS($C$7:$C$432,"남",AI7:AI432,"&lt;&gt;")</f>
        <v>9</v>
      </c>
      <c r="AJ6" s="115">
        <f>COUNTIFS($C$7:$C$432,"여",AI7:AI432,"&lt;&gt;")</f>
        <v>33</v>
      </c>
      <c r="AK6" s="115">
        <f>COUNTIFS($C$7:$C$432,"남",AK7:AK432,"&lt;&gt;")</f>
        <v>11</v>
      </c>
      <c r="AL6" s="115">
        <f>COUNTIFS($C$7:$C$432,"여",AK7:AK432,"&lt;&gt;")</f>
        <v>34</v>
      </c>
      <c r="AM6" s="115">
        <f>COUNTIFS($C$7:$C$432,"남",AM7:AM432,"&lt;&gt;")</f>
        <v>9</v>
      </c>
      <c r="AN6" s="115">
        <f>COUNTIFS($C$7:$C$432,"여",AM7:AM432,"&lt;&gt;")</f>
        <v>34</v>
      </c>
      <c r="AO6" s="115">
        <f>COUNTIFS($C$7:$C$432,"남",AO7:AO432,"&lt;&gt;")</f>
        <v>11</v>
      </c>
      <c r="AP6" s="115">
        <f>COUNTIFS($C$7:$C$432,"여",AO7:AO432,"&lt;&gt;")</f>
        <v>28</v>
      </c>
      <c r="AQ6" s="187">
        <v>0</v>
      </c>
      <c r="AR6" s="187">
        <v>0</v>
      </c>
      <c r="AS6" s="118">
        <v>0</v>
      </c>
      <c r="AT6" s="118">
        <v>0</v>
      </c>
      <c r="AU6" s="115">
        <f>COUNTIFS($C$7:$C$432,"남",AU7:AU432,"&lt;&gt;")</f>
        <v>13</v>
      </c>
      <c r="AV6" s="115">
        <f>COUNTIFS($C$7:$C$432,"여",AU7:AU432,"&lt;&gt;")</f>
        <v>39</v>
      </c>
      <c r="AW6" s="115">
        <f>COUNTIFS($C$7:$C$432,"남",AW7:AW432,"&lt;&gt;")</f>
        <v>10</v>
      </c>
      <c r="AX6" s="115">
        <f>COUNTIFS($C$7:$C$432,"여",AW7:AW432,"&lt;&gt;")</f>
        <v>29</v>
      </c>
      <c r="AY6" s="115">
        <f>COUNTIFS($C$7:$C$432,"남",AY7:AY432,"&lt;&gt;")</f>
        <v>12</v>
      </c>
      <c r="AZ6" s="115">
        <f>COUNTIFS($C$7:$C$432,"여",AY7:AY432,"&lt;&gt;")</f>
        <v>27</v>
      </c>
      <c r="BA6" s="115">
        <f>COUNTIFS($C$7:$C$432,"남",BA7:BA432,"&lt;&gt;")</f>
        <v>7</v>
      </c>
      <c r="BB6" s="115">
        <f>COUNTIFS($C$7:$C$432,"여",BA7:BA432,"&lt;&gt;")</f>
        <v>6</v>
      </c>
      <c r="BC6" s="115">
        <f>COUNTIFS($C$7:$C$432,"남",BC7:BC432,"&lt;&gt;")</f>
        <v>8</v>
      </c>
      <c r="BD6" s="115">
        <f>COUNTIFS($C$7:$C$432,"여",BC7:BC432,"&lt;&gt;")</f>
        <v>29</v>
      </c>
      <c r="BE6" s="187">
        <v>0</v>
      </c>
      <c r="BF6" s="187">
        <v>0</v>
      </c>
      <c r="BG6" s="118">
        <v>0</v>
      </c>
      <c r="BH6" s="118">
        <v>0</v>
      </c>
      <c r="BI6" s="115">
        <f>COUNTIFS($C$7:$C$432,"남",BI7:BI432,"&lt;&gt;")</f>
        <v>11</v>
      </c>
      <c r="BJ6" s="115">
        <f>COUNTIFS($C$7:$C$432,"여",BI7:BI432,"&lt;&gt;")</f>
        <v>33</v>
      </c>
      <c r="BK6" s="115">
        <f>COUNTIFS($C$7:$C$432,"남",BK7:BK432,"&lt;&gt;")</f>
        <v>11</v>
      </c>
      <c r="BL6" s="115">
        <f>COUNTIFS($C$7:$C$432,"여",BK7:BK432,"&lt;&gt;")</f>
        <v>38</v>
      </c>
      <c r="BM6" s="115">
        <f>COUNTIFS($C$7:$C$432,"남",BM7:BM432,"&lt;&gt;")</f>
        <v>7</v>
      </c>
      <c r="BN6" s="115">
        <f>COUNTIFS($C$7:$C$432,"여",BM7:BM432,"&lt;&gt;")</f>
        <v>26</v>
      </c>
      <c r="BO6" s="118">
        <v>0</v>
      </c>
      <c r="BP6" s="118">
        <v>0</v>
      </c>
      <c r="BQ6" s="119"/>
      <c r="BR6" s="216"/>
      <c r="BS6" s="202"/>
      <c r="BT6" s="120"/>
      <c r="BU6" s="106">
        <v>4</v>
      </c>
      <c r="BV6" s="121">
        <f>BG3</f>
        <v>180</v>
      </c>
      <c r="BW6" s="107">
        <v>4</v>
      </c>
      <c r="BX6" s="182">
        <f t="shared" si="1"/>
        <v>45</v>
      </c>
      <c r="BY6" s="91" t="e">
        <f t="shared" si="2"/>
        <v>#REF!</v>
      </c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3"/>
      <c r="CK6" s="122"/>
    </row>
    <row r="7" spans="1:89" ht="12.75">
      <c r="A7" s="124" t="s">
        <v>364</v>
      </c>
      <c r="B7" s="125"/>
      <c r="C7" s="125"/>
      <c r="D7" s="126"/>
      <c r="E7" s="211"/>
      <c r="F7" s="202"/>
      <c r="G7" s="211"/>
      <c r="H7" s="202"/>
      <c r="I7" s="211"/>
      <c r="J7" s="202"/>
      <c r="K7" s="211"/>
      <c r="L7" s="202"/>
      <c r="M7" s="211"/>
      <c r="N7" s="202"/>
      <c r="O7" s="211"/>
      <c r="P7" s="202"/>
      <c r="Q7" s="217"/>
      <c r="R7" s="202"/>
      <c r="S7" s="211"/>
      <c r="T7" s="202"/>
      <c r="U7" s="211"/>
      <c r="V7" s="202"/>
      <c r="W7" s="211"/>
      <c r="X7" s="202"/>
      <c r="Y7" s="211"/>
      <c r="Z7" s="202"/>
      <c r="AA7" s="211"/>
      <c r="AB7" s="202"/>
      <c r="AC7" s="229"/>
      <c r="AD7" s="202"/>
      <c r="AE7" s="229"/>
      <c r="AF7" s="202"/>
      <c r="AG7" s="211"/>
      <c r="AH7" s="202"/>
      <c r="AI7" s="211"/>
      <c r="AJ7" s="202"/>
      <c r="AK7" s="211"/>
      <c r="AL7" s="202"/>
      <c r="AM7" s="211"/>
      <c r="AN7" s="202"/>
      <c r="AO7" s="211"/>
      <c r="AP7" s="202"/>
      <c r="AQ7" s="211"/>
      <c r="AR7" s="202"/>
      <c r="AS7" s="217"/>
      <c r="AT7" s="202"/>
      <c r="AU7" s="211"/>
      <c r="AV7" s="202"/>
      <c r="AW7" s="211"/>
      <c r="AX7" s="202"/>
      <c r="AY7" s="211"/>
      <c r="AZ7" s="202"/>
      <c r="BA7" s="211"/>
      <c r="BB7" s="202"/>
      <c r="BC7" s="211"/>
      <c r="BD7" s="202"/>
      <c r="BE7" s="211"/>
      <c r="BF7" s="202"/>
      <c r="BG7" s="217"/>
      <c r="BH7" s="202"/>
      <c r="BI7" s="211"/>
      <c r="BJ7" s="202"/>
      <c r="BK7" s="211"/>
      <c r="BL7" s="202"/>
      <c r="BM7" s="211"/>
      <c r="BN7" s="202"/>
      <c r="BO7" s="217"/>
      <c r="BP7" s="202"/>
      <c r="BQ7" s="127"/>
      <c r="BR7" s="224"/>
      <c r="BS7" s="202"/>
      <c r="BT7" s="128"/>
      <c r="BU7" s="129">
        <v>5</v>
      </c>
      <c r="BV7" s="130">
        <f>BO3</f>
        <v>126</v>
      </c>
      <c r="BW7" s="131">
        <v>3</v>
      </c>
      <c r="BX7" s="132">
        <f t="shared" si="1"/>
        <v>42</v>
      </c>
      <c r="BY7" s="133" t="e">
        <f t="shared" si="2"/>
        <v>#REF!</v>
      </c>
      <c r="BZ7" s="134"/>
      <c r="CA7" s="134"/>
      <c r="CB7" s="134"/>
      <c r="CC7" s="134"/>
      <c r="CD7" s="134"/>
      <c r="CE7" s="134"/>
      <c r="CF7" s="134"/>
      <c r="CG7" s="134"/>
      <c r="CH7" s="134"/>
      <c r="CI7" s="134"/>
      <c r="CJ7" s="135"/>
      <c r="CK7" s="135"/>
    </row>
    <row r="8" spans="1:89" ht="14.25">
      <c r="A8" s="136"/>
      <c r="B8" s="30" t="s">
        <v>24</v>
      </c>
      <c r="C8" s="30" t="s">
        <v>4</v>
      </c>
      <c r="D8" s="137">
        <f t="shared" ref="D8:D497" si="3">SUM(Q8,AE8,AS8,BG8,BO8)</f>
        <v>10</v>
      </c>
      <c r="E8" s="207"/>
      <c r="F8" s="202"/>
      <c r="G8" s="207"/>
      <c r="H8" s="202"/>
      <c r="I8" s="207"/>
      <c r="J8" s="202"/>
      <c r="K8" s="207"/>
      <c r="L8" s="202"/>
      <c r="M8" s="207">
        <v>17</v>
      </c>
      <c r="N8" s="202"/>
      <c r="O8" s="201">
        <v>11</v>
      </c>
      <c r="P8" s="202"/>
      <c r="Q8" s="203">
        <f t="shared" ref="Q8:Q497" si="4">COUNTA(E8:N8)</f>
        <v>1</v>
      </c>
      <c r="R8" s="202"/>
      <c r="S8" s="207"/>
      <c r="T8" s="202"/>
      <c r="U8" s="207"/>
      <c r="V8" s="202"/>
      <c r="W8" s="207">
        <v>17</v>
      </c>
      <c r="X8" s="202"/>
      <c r="Y8" s="207">
        <v>17</v>
      </c>
      <c r="Z8" s="202"/>
      <c r="AA8" s="207"/>
      <c r="AB8" s="202"/>
      <c r="AC8" s="208"/>
      <c r="AD8" s="202"/>
      <c r="AE8" s="203">
        <f t="shared" ref="AE8:AE497" si="5">COUNTA(S8:AB8)</f>
        <v>2</v>
      </c>
      <c r="AF8" s="202"/>
      <c r="AG8" s="204"/>
      <c r="AH8" s="202"/>
      <c r="AI8" s="204">
        <v>8</v>
      </c>
      <c r="AJ8" s="202"/>
      <c r="AK8" s="204">
        <v>8</v>
      </c>
      <c r="AL8" s="202"/>
      <c r="AM8" s="204">
        <v>12</v>
      </c>
      <c r="AN8" s="202"/>
      <c r="AO8" s="204">
        <v>8</v>
      </c>
      <c r="AP8" s="202"/>
      <c r="AQ8" s="208"/>
      <c r="AR8" s="202"/>
      <c r="AS8" s="203">
        <f t="shared" ref="AS8:AS497" si="6">COUNTA(AG8:AP8)</f>
        <v>4</v>
      </c>
      <c r="AT8" s="202"/>
      <c r="AU8" s="204">
        <v>10</v>
      </c>
      <c r="AV8" s="202"/>
      <c r="AW8" s="204"/>
      <c r="AX8" s="202"/>
      <c r="AY8" s="204"/>
      <c r="AZ8" s="202"/>
      <c r="BA8" s="204"/>
      <c r="BB8" s="202"/>
      <c r="BC8" s="204"/>
      <c r="BD8" s="202"/>
      <c r="BE8" s="208">
        <v>13</v>
      </c>
      <c r="BF8" s="202"/>
      <c r="BG8" s="203">
        <f t="shared" ref="BG8:BG497" si="7">COUNTA(AU8:BD8)</f>
        <v>1</v>
      </c>
      <c r="BH8" s="202"/>
      <c r="BI8" s="204"/>
      <c r="BJ8" s="202"/>
      <c r="BK8" s="204">
        <v>17</v>
      </c>
      <c r="BL8" s="202"/>
      <c r="BM8" s="204">
        <v>8</v>
      </c>
      <c r="BN8" s="202"/>
      <c r="BO8" s="203">
        <f t="shared" ref="BO8:BO497" si="8">COUNTA(BI8:BN8)</f>
        <v>2</v>
      </c>
      <c r="BP8" s="202"/>
      <c r="BQ8" s="138"/>
      <c r="BR8" s="139"/>
      <c r="BS8" s="139"/>
      <c r="BT8" s="139"/>
      <c r="BU8" s="139"/>
      <c r="BV8" s="139"/>
      <c r="BW8" s="139"/>
      <c r="BX8" s="140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</row>
    <row r="9" spans="1:89" ht="14.25">
      <c r="A9" s="136"/>
      <c r="B9" s="30" t="s">
        <v>27</v>
      </c>
      <c r="C9" s="30" t="s">
        <v>4</v>
      </c>
      <c r="D9" s="137">
        <f t="shared" si="3"/>
        <v>4</v>
      </c>
      <c r="E9" s="207"/>
      <c r="F9" s="202"/>
      <c r="G9" s="207">
        <v>20</v>
      </c>
      <c r="H9" s="202"/>
      <c r="I9" s="207"/>
      <c r="J9" s="202"/>
      <c r="K9" s="207">
        <v>19</v>
      </c>
      <c r="L9" s="202"/>
      <c r="M9" s="207">
        <v>19</v>
      </c>
      <c r="N9" s="202"/>
      <c r="O9" s="201"/>
      <c r="P9" s="202"/>
      <c r="Q9" s="203">
        <f t="shared" si="4"/>
        <v>3</v>
      </c>
      <c r="R9" s="202"/>
      <c r="S9" s="207"/>
      <c r="T9" s="202"/>
      <c r="U9" s="207"/>
      <c r="V9" s="202"/>
      <c r="W9" s="207">
        <v>19</v>
      </c>
      <c r="X9" s="202"/>
      <c r="Y9" s="207"/>
      <c r="Z9" s="202"/>
      <c r="AA9" s="207"/>
      <c r="AB9" s="202"/>
      <c r="AC9" s="208"/>
      <c r="AD9" s="202"/>
      <c r="AE9" s="203">
        <f t="shared" si="5"/>
        <v>1</v>
      </c>
      <c r="AF9" s="202"/>
      <c r="AG9" s="204"/>
      <c r="AH9" s="202"/>
      <c r="AI9" s="204"/>
      <c r="AJ9" s="202"/>
      <c r="AK9" s="204"/>
      <c r="AL9" s="202"/>
      <c r="AM9" s="204"/>
      <c r="AN9" s="202"/>
      <c r="AO9" s="204"/>
      <c r="AP9" s="202"/>
      <c r="AQ9" s="208"/>
      <c r="AR9" s="202"/>
      <c r="AS9" s="203">
        <f t="shared" si="6"/>
        <v>0</v>
      </c>
      <c r="AT9" s="202"/>
      <c r="AU9" s="204"/>
      <c r="AV9" s="202"/>
      <c r="AW9" s="204"/>
      <c r="AX9" s="202"/>
      <c r="AY9" s="204"/>
      <c r="AZ9" s="202"/>
      <c r="BA9" s="204"/>
      <c r="BB9" s="202"/>
      <c r="BC9" s="204"/>
      <c r="BD9" s="202"/>
      <c r="BE9" s="208"/>
      <c r="BF9" s="202"/>
      <c r="BG9" s="203">
        <f t="shared" si="7"/>
        <v>0</v>
      </c>
      <c r="BH9" s="202"/>
      <c r="BI9" s="204"/>
      <c r="BJ9" s="202"/>
      <c r="BK9" s="204"/>
      <c r="BL9" s="202"/>
      <c r="BM9" s="204"/>
      <c r="BN9" s="202"/>
      <c r="BO9" s="203">
        <f t="shared" si="8"/>
        <v>0</v>
      </c>
      <c r="BP9" s="202"/>
      <c r="BQ9" s="138"/>
      <c r="BR9" s="139"/>
      <c r="BS9" s="139"/>
      <c r="BT9" s="139"/>
      <c r="BU9" s="139"/>
      <c r="BV9" s="218" t="s">
        <v>365</v>
      </c>
      <c r="BW9" s="225"/>
      <c r="BX9" s="202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</row>
    <row r="10" spans="1:89" ht="14.25">
      <c r="A10" s="136"/>
      <c r="B10" s="30" t="s">
        <v>29</v>
      </c>
      <c r="C10" s="30" t="s">
        <v>4</v>
      </c>
      <c r="D10" s="137">
        <f t="shared" si="3"/>
        <v>14</v>
      </c>
      <c r="E10" s="207"/>
      <c r="F10" s="202"/>
      <c r="G10" s="207">
        <v>20</v>
      </c>
      <c r="H10" s="202"/>
      <c r="I10" s="207">
        <v>21</v>
      </c>
      <c r="J10" s="202"/>
      <c r="K10" s="207"/>
      <c r="L10" s="202"/>
      <c r="M10" s="207">
        <v>21</v>
      </c>
      <c r="N10" s="202"/>
      <c r="O10" s="201"/>
      <c r="P10" s="202"/>
      <c r="Q10" s="203">
        <f t="shared" si="4"/>
        <v>3</v>
      </c>
      <c r="R10" s="202"/>
      <c r="S10" s="207">
        <v>21</v>
      </c>
      <c r="T10" s="202"/>
      <c r="U10" s="207"/>
      <c r="V10" s="202"/>
      <c r="W10" s="207">
        <v>20</v>
      </c>
      <c r="X10" s="202"/>
      <c r="Y10" s="207">
        <v>21</v>
      </c>
      <c r="Z10" s="202"/>
      <c r="AA10" s="207"/>
      <c r="AB10" s="202"/>
      <c r="AC10" s="208"/>
      <c r="AD10" s="202"/>
      <c r="AE10" s="203">
        <f t="shared" si="5"/>
        <v>3</v>
      </c>
      <c r="AF10" s="202"/>
      <c r="AG10" s="204">
        <v>21</v>
      </c>
      <c r="AH10" s="202"/>
      <c r="AI10" s="204">
        <v>21</v>
      </c>
      <c r="AJ10" s="202"/>
      <c r="AK10" s="204"/>
      <c r="AL10" s="202"/>
      <c r="AM10" s="204">
        <v>21</v>
      </c>
      <c r="AN10" s="202"/>
      <c r="AO10" s="204"/>
      <c r="AP10" s="202"/>
      <c r="AQ10" s="208"/>
      <c r="AR10" s="202"/>
      <c r="AS10" s="203">
        <f t="shared" si="6"/>
        <v>3</v>
      </c>
      <c r="AT10" s="202"/>
      <c r="AU10" s="204">
        <v>21</v>
      </c>
      <c r="AV10" s="202"/>
      <c r="AW10" s="204"/>
      <c r="AX10" s="202"/>
      <c r="AY10" s="204">
        <v>21</v>
      </c>
      <c r="AZ10" s="202"/>
      <c r="BA10" s="204">
        <v>11</v>
      </c>
      <c r="BB10" s="202"/>
      <c r="BC10" s="204"/>
      <c r="BD10" s="202"/>
      <c r="BE10" s="208"/>
      <c r="BF10" s="202"/>
      <c r="BG10" s="203">
        <f t="shared" si="7"/>
        <v>3</v>
      </c>
      <c r="BH10" s="202"/>
      <c r="BI10" s="204"/>
      <c r="BJ10" s="202"/>
      <c r="BK10" s="204">
        <v>20</v>
      </c>
      <c r="BL10" s="202"/>
      <c r="BM10" s="204">
        <v>21</v>
      </c>
      <c r="BN10" s="202"/>
      <c r="BO10" s="203">
        <f t="shared" si="8"/>
        <v>2</v>
      </c>
      <c r="BP10" s="202"/>
      <c r="BQ10" s="138"/>
      <c r="BR10" s="139"/>
      <c r="BS10" s="139"/>
      <c r="BT10" s="139"/>
      <c r="BU10" s="139"/>
      <c r="BV10" s="136"/>
      <c r="BW10" s="136"/>
      <c r="BX10" s="140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</row>
    <row r="11" spans="1:89" ht="14.25">
      <c r="A11" s="142"/>
      <c r="B11" s="30" t="s">
        <v>32</v>
      </c>
      <c r="C11" s="30" t="s">
        <v>4</v>
      </c>
      <c r="D11" s="137">
        <f t="shared" si="3"/>
        <v>1</v>
      </c>
      <c r="E11" s="207"/>
      <c r="F11" s="202"/>
      <c r="G11" s="207"/>
      <c r="H11" s="202"/>
      <c r="I11" s="207"/>
      <c r="J11" s="202"/>
      <c r="K11" s="207"/>
      <c r="L11" s="202"/>
      <c r="M11" s="207"/>
      <c r="N11" s="202"/>
      <c r="O11" s="201"/>
      <c r="P11" s="202"/>
      <c r="Q11" s="203">
        <f t="shared" si="4"/>
        <v>0</v>
      </c>
      <c r="R11" s="202"/>
      <c r="S11" s="207"/>
      <c r="T11" s="202"/>
      <c r="U11" s="207"/>
      <c r="V11" s="202"/>
      <c r="W11" s="207"/>
      <c r="X11" s="202"/>
      <c r="Y11" s="207"/>
      <c r="Z11" s="202"/>
      <c r="AA11" s="207"/>
      <c r="AB11" s="202"/>
      <c r="AC11" s="208"/>
      <c r="AD11" s="202"/>
      <c r="AE11" s="203">
        <f t="shared" si="5"/>
        <v>0</v>
      </c>
      <c r="AF11" s="202"/>
      <c r="AG11" s="204"/>
      <c r="AH11" s="202"/>
      <c r="AI11" s="204"/>
      <c r="AJ11" s="202"/>
      <c r="AK11" s="204"/>
      <c r="AL11" s="202"/>
      <c r="AM11" s="204"/>
      <c r="AN11" s="202"/>
      <c r="AO11" s="204"/>
      <c r="AP11" s="202"/>
      <c r="AQ11" s="208"/>
      <c r="AR11" s="202"/>
      <c r="AS11" s="203">
        <f t="shared" si="6"/>
        <v>0</v>
      </c>
      <c r="AT11" s="202"/>
      <c r="AU11" s="204"/>
      <c r="AV11" s="202"/>
      <c r="AW11" s="204"/>
      <c r="AX11" s="202"/>
      <c r="AY11" s="204"/>
      <c r="AZ11" s="202"/>
      <c r="BA11" s="204"/>
      <c r="BB11" s="202"/>
      <c r="BC11" s="204">
        <v>18</v>
      </c>
      <c r="BD11" s="202"/>
      <c r="BE11" s="208"/>
      <c r="BF11" s="202"/>
      <c r="BG11" s="203">
        <f t="shared" si="7"/>
        <v>1</v>
      </c>
      <c r="BH11" s="202"/>
      <c r="BI11" s="204"/>
      <c r="BJ11" s="202"/>
      <c r="BK11" s="204"/>
      <c r="BL11" s="202"/>
      <c r="BM11" s="204"/>
      <c r="BN11" s="202"/>
      <c r="BO11" s="203">
        <f t="shared" si="8"/>
        <v>0</v>
      </c>
      <c r="BP11" s="202"/>
      <c r="BQ11" s="138"/>
      <c r="BR11" s="128"/>
      <c r="BS11" s="128"/>
      <c r="BT11" s="128"/>
      <c r="BU11" s="128"/>
      <c r="BV11" s="228" t="s">
        <v>18</v>
      </c>
      <c r="BW11" s="225"/>
      <c r="BX11" s="225"/>
      <c r="BY11" s="202"/>
      <c r="BZ11" s="190"/>
      <c r="CA11" s="228" t="s">
        <v>366</v>
      </c>
      <c r="CB11" s="225"/>
      <c r="CC11" s="225"/>
      <c r="CD11" s="202"/>
      <c r="CE11" s="134"/>
      <c r="CF11" s="134"/>
      <c r="CG11" s="134"/>
      <c r="CH11" s="134"/>
      <c r="CI11" s="134"/>
      <c r="CJ11" s="135"/>
      <c r="CK11" s="135"/>
    </row>
    <row r="12" spans="1:89" ht="14.25">
      <c r="A12" s="136"/>
      <c r="B12" s="30" t="s">
        <v>35</v>
      </c>
      <c r="C12" s="30" t="s">
        <v>3</v>
      </c>
      <c r="D12" s="137">
        <f t="shared" si="3"/>
        <v>1</v>
      </c>
      <c r="E12" s="207"/>
      <c r="F12" s="202"/>
      <c r="G12" s="207"/>
      <c r="H12" s="202"/>
      <c r="I12" s="207"/>
      <c r="J12" s="202"/>
      <c r="K12" s="207"/>
      <c r="L12" s="202"/>
      <c r="M12" s="207"/>
      <c r="N12" s="202"/>
      <c r="O12" s="201"/>
      <c r="P12" s="202"/>
      <c r="Q12" s="203">
        <f t="shared" si="4"/>
        <v>0</v>
      </c>
      <c r="R12" s="202"/>
      <c r="S12" s="207"/>
      <c r="T12" s="202"/>
      <c r="U12" s="207"/>
      <c r="V12" s="202"/>
      <c r="W12" s="207"/>
      <c r="X12" s="202"/>
      <c r="Y12" s="207"/>
      <c r="Z12" s="202"/>
      <c r="AA12" s="207"/>
      <c r="AB12" s="202"/>
      <c r="AC12" s="208"/>
      <c r="AD12" s="202"/>
      <c r="AE12" s="203">
        <f t="shared" si="5"/>
        <v>0</v>
      </c>
      <c r="AF12" s="202"/>
      <c r="AG12" s="204"/>
      <c r="AH12" s="202"/>
      <c r="AI12" s="204"/>
      <c r="AJ12" s="202"/>
      <c r="AK12" s="204"/>
      <c r="AL12" s="202"/>
      <c r="AM12" s="204"/>
      <c r="AN12" s="202"/>
      <c r="AO12" s="204"/>
      <c r="AP12" s="202"/>
      <c r="AQ12" s="208"/>
      <c r="AR12" s="202"/>
      <c r="AS12" s="203">
        <f t="shared" si="6"/>
        <v>0</v>
      </c>
      <c r="AT12" s="202"/>
      <c r="AU12" s="204"/>
      <c r="AV12" s="202"/>
      <c r="AW12" s="204"/>
      <c r="AX12" s="202"/>
      <c r="AY12" s="204"/>
      <c r="AZ12" s="202"/>
      <c r="BA12" s="204"/>
      <c r="BB12" s="202"/>
      <c r="BC12" s="204">
        <v>18</v>
      </c>
      <c r="BD12" s="202"/>
      <c r="BE12" s="208"/>
      <c r="BF12" s="202"/>
      <c r="BG12" s="203">
        <f t="shared" si="7"/>
        <v>1</v>
      </c>
      <c r="BH12" s="202"/>
      <c r="BI12" s="204"/>
      <c r="BJ12" s="202"/>
      <c r="BK12" s="204"/>
      <c r="BL12" s="202"/>
      <c r="BM12" s="204"/>
      <c r="BN12" s="202"/>
      <c r="BO12" s="203">
        <f t="shared" si="8"/>
        <v>0</v>
      </c>
      <c r="BP12" s="202"/>
      <c r="BQ12" s="138"/>
      <c r="BR12" s="139"/>
      <c r="BS12" s="139"/>
      <c r="BT12" s="139"/>
      <c r="BU12" s="139"/>
      <c r="BV12" s="144" t="s">
        <v>367</v>
      </c>
      <c r="BW12" s="144" t="s">
        <v>368</v>
      </c>
      <c r="BX12" s="145" t="s">
        <v>369</v>
      </c>
      <c r="BY12" s="146" t="s">
        <v>356</v>
      </c>
      <c r="BZ12" s="190"/>
      <c r="CA12" s="226" t="s">
        <v>367</v>
      </c>
      <c r="CB12" s="202"/>
      <c r="CC12" s="226" t="s">
        <v>356</v>
      </c>
      <c r="CD12" s="202"/>
      <c r="CE12" s="140"/>
      <c r="CF12" s="147"/>
      <c r="CG12" s="139"/>
      <c r="CH12" s="140"/>
      <c r="CI12" s="147"/>
      <c r="CJ12" s="139"/>
      <c r="CK12" s="140"/>
    </row>
    <row r="13" spans="1:89" ht="14.25">
      <c r="A13" s="136"/>
      <c r="B13" s="30" t="s">
        <v>37</v>
      </c>
      <c r="C13" s="30" t="s">
        <v>4</v>
      </c>
      <c r="D13" s="137">
        <f t="shared" si="3"/>
        <v>0</v>
      </c>
      <c r="E13" s="207"/>
      <c r="F13" s="202"/>
      <c r="G13" s="207"/>
      <c r="H13" s="202"/>
      <c r="I13" s="207"/>
      <c r="J13" s="202"/>
      <c r="K13" s="207"/>
      <c r="L13" s="202"/>
      <c r="M13" s="207"/>
      <c r="N13" s="202"/>
      <c r="O13" s="201"/>
      <c r="P13" s="202"/>
      <c r="Q13" s="203">
        <f t="shared" si="4"/>
        <v>0</v>
      </c>
      <c r="R13" s="202"/>
      <c r="S13" s="207"/>
      <c r="T13" s="202"/>
      <c r="U13" s="207"/>
      <c r="V13" s="202"/>
      <c r="W13" s="207"/>
      <c r="X13" s="202"/>
      <c r="Y13" s="207"/>
      <c r="Z13" s="202"/>
      <c r="AA13" s="207"/>
      <c r="AB13" s="202"/>
      <c r="AC13" s="208"/>
      <c r="AD13" s="202"/>
      <c r="AE13" s="203">
        <f t="shared" si="5"/>
        <v>0</v>
      </c>
      <c r="AF13" s="202"/>
      <c r="AG13" s="204"/>
      <c r="AH13" s="202"/>
      <c r="AI13" s="204"/>
      <c r="AJ13" s="202"/>
      <c r="AK13" s="204"/>
      <c r="AL13" s="202"/>
      <c r="AM13" s="204"/>
      <c r="AN13" s="202"/>
      <c r="AO13" s="204"/>
      <c r="AP13" s="202"/>
      <c r="AQ13" s="208"/>
      <c r="AR13" s="202"/>
      <c r="AS13" s="203">
        <f t="shared" si="6"/>
        <v>0</v>
      </c>
      <c r="AT13" s="202"/>
      <c r="AU13" s="204"/>
      <c r="AV13" s="202"/>
      <c r="AW13" s="204"/>
      <c r="AX13" s="202"/>
      <c r="AY13" s="204"/>
      <c r="AZ13" s="202"/>
      <c r="BA13" s="204"/>
      <c r="BB13" s="202"/>
      <c r="BC13" s="204"/>
      <c r="BD13" s="202"/>
      <c r="BE13" s="208"/>
      <c r="BF13" s="202"/>
      <c r="BG13" s="203">
        <f t="shared" si="7"/>
        <v>0</v>
      </c>
      <c r="BH13" s="202"/>
      <c r="BI13" s="204"/>
      <c r="BJ13" s="202"/>
      <c r="BK13" s="204"/>
      <c r="BL13" s="202"/>
      <c r="BM13" s="204"/>
      <c r="BN13" s="202"/>
      <c r="BO13" s="203">
        <f t="shared" si="8"/>
        <v>0</v>
      </c>
      <c r="BP13" s="202"/>
      <c r="BQ13" s="138"/>
      <c r="BR13" s="139"/>
      <c r="BS13" s="139"/>
      <c r="BT13" s="139"/>
      <c r="BU13" s="139"/>
      <c r="BV13" s="148">
        <v>7</v>
      </c>
      <c r="BW13" s="149">
        <f ca="1">IFERROR(__xludf.DUMMYFUNCTION("COUNTIF(MAP($E$8:$N$500,LAMBDA(c,IF(TRIM(c)="""","""",MIN(VALUE(SPLIT(SUBSTITUTE(SUBSTITUTE(SUBSTITUTE(c,"" "",""""),""，"","",""),"";"","",""),"","")))))),BV13)"),10)</f>
        <v>10</v>
      </c>
      <c r="BX13" s="145">
        <f t="shared" ref="BX13:BX21" ca="1" si="9">BW13/SUM($BW$13:$BW$22)*100</f>
        <v>4.4843049327354256</v>
      </c>
      <c r="BY13" s="191">
        <f t="shared" ref="BY13:BY21" ca="1" si="10">BW13/$BW$3</f>
        <v>2</v>
      </c>
      <c r="BZ13" s="190"/>
      <c r="CA13" s="226">
        <v>7</v>
      </c>
      <c r="CB13" s="202"/>
      <c r="CC13" s="227">
        <f t="shared" ref="CC13:CC21" ca="1" si="11">ROUND(SUM(BW13,BW27,BW41,BW55,BW69)/22,0)</f>
        <v>2</v>
      </c>
      <c r="CD13" s="202"/>
      <c r="CE13" s="140"/>
      <c r="CF13" s="147"/>
      <c r="CG13" s="139"/>
      <c r="CH13" s="140"/>
      <c r="CI13" s="147"/>
      <c r="CJ13" s="139"/>
      <c r="CK13" s="140"/>
    </row>
    <row r="14" spans="1:89" ht="14.25">
      <c r="A14" s="136"/>
      <c r="B14" s="30" t="s">
        <v>39</v>
      </c>
      <c r="C14" s="30" t="s">
        <v>4</v>
      </c>
      <c r="D14" s="137">
        <f t="shared" si="3"/>
        <v>11</v>
      </c>
      <c r="E14" s="207">
        <v>21</v>
      </c>
      <c r="F14" s="202"/>
      <c r="G14" s="207">
        <v>21</v>
      </c>
      <c r="H14" s="202"/>
      <c r="I14" s="207"/>
      <c r="J14" s="202"/>
      <c r="K14" s="207"/>
      <c r="L14" s="202"/>
      <c r="M14" s="207">
        <v>18</v>
      </c>
      <c r="N14" s="202"/>
      <c r="O14" s="201"/>
      <c r="P14" s="202"/>
      <c r="Q14" s="203">
        <f t="shared" si="4"/>
        <v>3</v>
      </c>
      <c r="R14" s="202"/>
      <c r="S14" s="207">
        <v>19</v>
      </c>
      <c r="T14" s="202"/>
      <c r="U14" s="207">
        <v>21</v>
      </c>
      <c r="V14" s="202"/>
      <c r="W14" s="207">
        <v>20</v>
      </c>
      <c r="X14" s="202"/>
      <c r="Y14" s="207"/>
      <c r="Z14" s="202"/>
      <c r="AA14" s="207"/>
      <c r="AB14" s="202"/>
      <c r="AC14" s="208"/>
      <c r="AD14" s="202"/>
      <c r="AE14" s="203">
        <f t="shared" si="5"/>
        <v>3</v>
      </c>
      <c r="AF14" s="202"/>
      <c r="AG14" s="204"/>
      <c r="AH14" s="202"/>
      <c r="AI14" s="204">
        <v>21</v>
      </c>
      <c r="AJ14" s="202"/>
      <c r="AK14" s="204">
        <v>21</v>
      </c>
      <c r="AL14" s="202"/>
      <c r="AM14" s="204"/>
      <c r="AN14" s="202"/>
      <c r="AO14" s="204"/>
      <c r="AP14" s="202"/>
      <c r="AQ14" s="208"/>
      <c r="AR14" s="202"/>
      <c r="AS14" s="203">
        <f t="shared" si="6"/>
        <v>2</v>
      </c>
      <c r="AT14" s="202"/>
      <c r="AU14" s="204">
        <v>20</v>
      </c>
      <c r="AV14" s="202"/>
      <c r="AW14" s="204">
        <v>21</v>
      </c>
      <c r="AX14" s="202"/>
      <c r="AY14" s="204"/>
      <c r="AZ14" s="202"/>
      <c r="BA14" s="204">
        <v>11</v>
      </c>
      <c r="BB14" s="202"/>
      <c r="BC14" s="204"/>
      <c r="BD14" s="202"/>
      <c r="BE14" s="208"/>
      <c r="BF14" s="202"/>
      <c r="BG14" s="203">
        <f t="shared" si="7"/>
        <v>3</v>
      </c>
      <c r="BH14" s="202"/>
      <c r="BI14" s="204"/>
      <c r="BJ14" s="202"/>
      <c r="BK14" s="204"/>
      <c r="BL14" s="202"/>
      <c r="BM14" s="204"/>
      <c r="BN14" s="202"/>
      <c r="BO14" s="203">
        <f t="shared" si="8"/>
        <v>0</v>
      </c>
      <c r="BP14" s="202"/>
      <c r="BQ14" s="138"/>
      <c r="BR14" s="139"/>
      <c r="BS14" s="139"/>
      <c r="BT14" s="139"/>
      <c r="BU14" s="139"/>
      <c r="BV14" s="148">
        <v>8</v>
      </c>
      <c r="BW14" s="149">
        <f ca="1">IFERROR(__xludf.DUMMYFUNCTION("COUNTIF(MAP($E$8:$N$500,LAMBDA(c,IF(TRIM(c)="""","""",MIN(VALUE(SPLIT(SUBSTITUTE(SUBSTITUTE(SUBSTITUTE(c,"" "",""""),""，"","",""),"";"","",""),"","")))))),BV14)"),19)</f>
        <v>19</v>
      </c>
      <c r="BX14" s="145">
        <f t="shared" ca="1" si="9"/>
        <v>8.5201793721973083</v>
      </c>
      <c r="BY14" s="191">
        <f t="shared" ca="1" si="10"/>
        <v>3.8</v>
      </c>
      <c r="BZ14" s="190"/>
      <c r="CA14" s="226">
        <v>8</v>
      </c>
      <c r="CB14" s="202"/>
      <c r="CC14" s="227">
        <f t="shared" ca="1" si="11"/>
        <v>3</v>
      </c>
      <c r="CD14" s="202"/>
      <c r="CE14" s="140"/>
      <c r="CF14" s="147"/>
      <c r="CG14" s="139"/>
      <c r="CH14" s="140"/>
      <c r="CI14" s="147"/>
      <c r="CJ14" s="139"/>
      <c r="CK14" s="140"/>
    </row>
    <row r="15" spans="1:89" ht="14.25">
      <c r="A15" s="142"/>
      <c r="B15" s="30" t="s">
        <v>41</v>
      </c>
      <c r="C15" s="30" t="s">
        <v>3</v>
      </c>
      <c r="D15" s="137">
        <f t="shared" si="3"/>
        <v>3</v>
      </c>
      <c r="E15" s="207"/>
      <c r="F15" s="202"/>
      <c r="G15" s="207"/>
      <c r="H15" s="202"/>
      <c r="I15" s="207"/>
      <c r="J15" s="202"/>
      <c r="K15" s="207"/>
      <c r="L15" s="202"/>
      <c r="M15" s="207"/>
      <c r="N15" s="202"/>
      <c r="O15" s="201"/>
      <c r="P15" s="202"/>
      <c r="Q15" s="203">
        <f t="shared" si="4"/>
        <v>0</v>
      </c>
      <c r="R15" s="202"/>
      <c r="S15" s="207"/>
      <c r="T15" s="202"/>
      <c r="U15" s="207"/>
      <c r="V15" s="202"/>
      <c r="W15" s="207"/>
      <c r="X15" s="202"/>
      <c r="Y15" s="207"/>
      <c r="Z15" s="202"/>
      <c r="AA15" s="207"/>
      <c r="AB15" s="202"/>
      <c r="AC15" s="208"/>
      <c r="AD15" s="202"/>
      <c r="AE15" s="203">
        <f t="shared" si="5"/>
        <v>0</v>
      </c>
      <c r="AF15" s="202"/>
      <c r="AG15" s="204"/>
      <c r="AH15" s="202"/>
      <c r="AI15" s="204"/>
      <c r="AJ15" s="202"/>
      <c r="AK15" s="204"/>
      <c r="AL15" s="202"/>
      <c r="AM15" s="204"/>
      <c r="AN15" s="202"/>
      <c r="AO15" s="204"/>
      <c r="AP15" s="202"/>
      <c r="AQ15" s="208"/>
      <c r="AR15" s="202"/>
      <c r="AS15" s="203">
        <f t="shared" si="6"/>
        <v>0</v>
      </c>
      <c r="AT15" s="202"/>
      <c r="AU15" s="204">
        <v>20</v>
      </c>
      <c r="AV15" s="202"/>
      <c r="AW15" s="204"/>
      <c r="AX15" s="202"/>
      <c r="AY15" s="204"/>
      <c r="AZ15" s="202"/>
      <c r="BA15" s="204"/>
      <c r="BB15" s="202"/>
      <c r="BC15" s="204"/>
      <c r="BD15" s="202"/>
      <c r="BE15" s="208"/>
      <c r="BF15" s="202"/>
      <c r="BG15" s="203">
        <f t="shared" si="7"/>
        <v>1</v>
      </c>
      <c r="BH15" s="202"/>
      <c r="BI15" s="204">
        <v>20</v>
      </c>
      <c r="BJ15" s="202"/>
      <c r="BK15" s="204"/>
      <c r="BL15" s="202"/>
      <c r="BM15" s="204">
        <v>19</v>
      </c>
      <c r="BN15" s="202"/>
      <c r="BO15" s="203">
        <f t="shared" si="8"/>
        <v>2</v>
      </c>
      <c r="BP15" s="202"/>
      <c r="BQ15" s="138"/>
      <c r="BR15" s="128"/>
      <c r="BS15" s="128"/>
      <c r="BT15" s="128"/>
      <c r="BU15" s="128"/>
      <c r="BV15" s="148">
        <v>10</v>
      </c>
      <c r="BW15" s="149">
        <f ca="1">IFERROR(__xludf.DUMMYFUNCTION("COUNTIF(MAP($E$8:$N$500,LAMBDA(c,IF(TRIM(c)="""","""",MIN(VALUE(SPLIT(SUBSTITUTE(SUBSTITUTE(SUBSTITUTE(c,"" "",""""),""，"","",""),"";"","",""),"","")))))),BV15)"),35)</f>
        <v>35</v>
      </c>
      <c r="BX15" s="145">
        <f t="shared" ca="1" si="9"/>
        <v>15.695067264573993</v>
      </c>
      <c r="BY15" s="191">
        <f t="shared" ca="1" si="10"/>
        <v>7</v>
      </c>
      <c r="BZ15" s="190"/>
      <c r="CA15" s="226">
        <v>10</v>
      </c>
      <c r="CB15" s="202"/>
      <c r="CC15" s="227">
        <f t="shared" ca="1" si="11"/>
        <v>7</v>
      </c>
      <c r="CD15" s="202"/>
      <c r="CE15" s="140"/>
      <c r="CF15" s="74"/>
      <c r="CG15" s="139"/>
      <c r="CH15" s="140"/>
      <c r="CI15" s="74"/>
      <c r="CJ15" s="139"/>
      <c r="CK15" s="140"/>
    </row>
    <row r="16" spans="1:89" ht="14.25">
      <c r="A16" s="136"/>
      <c r="B16" s="30" t="s">
        <v>43</v>
      </c>
      <c r="C16" s="30" t="s">
        <v>4</v>
      </c>
      <c r="D16" s="137">
        <f t="shared" si="3"/>
        <v>18</v>
      </c>
      <c r="E16" s="207">
        <v>17</v>
      </c>
      <c r="F16" s="202"/>
      <c r="G16" s="207"/>
      <c r="H16" s="202"/>
      <c r="I16" s="207">
        <v>17</v>
      </c>
      <c r="J16" s="202"/>
      <c r="K16" s="207">
        <v>17</v>
      </c>
      <c r="L16" s="202"/>
      <c r="M16" s="207">
        <v>17</v>
      </c>
      <c r="N16" s="202"/>
      <c r="O16" s="201"/>
      <c r="P16" s="202"/>
      <c r="Q16" s="203">
        <f t="shared" si="4"/>
        <v>4</v>
      </c>
      <c r="R16" s="202"/>
      <c r="S16" s="207">
        <v>17</v>
      </c>
      <c r="T16" s="202"/>
      <c r="U16" s="207">
        <v>17</v>
      </c>
      <c r="V16" s="202"/>
      <c r="W16" s="207">
        <v>17</v>
      </c>
      <c r="X16" s="202"/>
      <c r="Y16" s="207">
        <v>17</v>
      </c>
      <c r="Z16" s="202"/>
      <c r="AA16" s="207">
        <v>17</v>
      </c>
      <c r="AB16" s="202"/>
      <c r="AC16" s="208"/>
      <c r="AD16" s="202"/>
      <c r="AE16" s="203">
        <f t="shared" si="5"/>
        <v>5</v>
      </c>
      <c r="AF16" s="202"/>
      <c r="AG16" s="204">
        <v>17</v>
      </c>
      <c r="AH16" s="202"/>
      <c r="AI16" s="204">
        <v>17</v>
      </c>
      <c r="AJ16" s="202"/>
      <c r="AK16" s="204">
        <v>17</v>
      </c>
      <c r="AL16" s="202"/>
      <c r="AM16" s="204">
        <v>17</v>
      </c>
      <c r="AN16" s="202"/>
      <c r="AO16" s="204">
        <v>17</v>
      </c>
      <c r="AP16" s="202"/>
      <c r="AQ16" s="208"/>
      <c r="AR16" s="202"/>
      <c r="AS16" s="203">
        <f t="shared" si="6"/>
        <v>5</v>
      </c>
      <c r="AT16" s="202"/>
      <c r="AU16" s="204">
        <v>17</v>
      </c>
      <c r="AV16" s="202"/>
      <c r="AW16" s="204"/>
      <c r="AX16" s="202"/>
      <c r="AY16" s="204">
        <v>17</v>
      </c>
      <c r="AZ16" s="202"/>
      <c r="BA16" s="204"/>
      <c r="BB16" s="202"/>
      <c r="BC16" s="204">
        <v>17</v>
      </c>
      <c r="BD16" s="202"/>
      <c r="BE16" s="208"/>
      <c r="BF16" s="202"/>
      <c r="BG16" s="203">
        <f t="shared" si="7"/>
        <v>3</v>
      </c>
      <c r="BH16" s="202"/>
      <c r="BI16" s="204">
        <v>17</v>
      </c>
      <c r="BJ16" s="202"/>
      <c r="BK16" s="204"/>
      <c r="BL16" s="202"/>
      <c r="BM16" s="204"/>
      <c r="BN16" s="202"/>
      <c r="BO16" s="203">
        <f t="shared" si="8"/>
        <v>1</v>
      </c>
      <c r="BP16" s="202"/>
      <c r="BQ16" s="138"/>
      <c r="BR16" s="139"/>
      <c r="BS16" s="139"/>
      <c r="BT16" s="139"/>
      <c r="BU16" s="139"/>
      <c r="BV16" s="148">
        <v>12</v>
      </c>
      <c r="BW16" s="149">
        <f ca="1">IFERROR(__xludf.DUMMYFUNCTION("COUNTIF(MAP($E$8:$N$500,LAMBDA(c,IF(TRIM(c)="""","""",MIN(VALUE(SPLIT(SUBSTITUTE(SUBSTITUTE(SUBSTITUTE(c,"" "",""""),""，"","",""),"";"","",""),"","")))))),BV16)"),21)</f>
        <v>21</v>
      </c>
      <c r="BX16" s="145">
        <f t="shared" ca="1" si="9"/>
        <v>9.4170403587443943</v>
      </c>
      <c r="BY16" s="191">
        <f t="shared" ca="1" si="10"/>
        <v>4.2</v>
      </c>
      <c r="BZ16" s="190"/>
      <c r="CA16" s="226">
        <v>12</v>
      </c>
      <c r="CB16" s="202"/>
      <c r="CC16" s="227">
        <f t="shared" ca="1" si="11"/>
        <v>4</v>
      </c>
      <c r="CD16" s="202"/>
      <c r="CE16" s="140"/>
      <c r="CF16" s="147"/>
      <c r="CG16" s="139"/>
      <c r="CH16" s="140"/>
      <c r="CI16" s="147"/>
      <c r="CJ16" s="139"/>
      <c r="CK16" s="140"/>
    </row>
    <row r="17" spans="1:89" ht="14.25">
      <c r="A17" s="136"/>
      <c r="B17" s="30" t="s">
        <v>45</v>
      </c>
      <c r="C17" s="30" t="s">
        <v>3</v>
      </c>
      <c r="D17" s="137">
        <f t="shared" si="3"/>
        <v>0</v>
      </c>
      <c r="E17" s="207"/>
      <c r="F17" s="202"/>
      <c r="G17" s="207"/>
      <c r="H17" s="202"/>
      <c r="I17" s="207"/>
      <c r="J17" s="202"/>
      <c r="K17" s="207"/>
      <c r="L17" s="202"/>
      <c r="M17" s="207"/>
      <c r="N17" s="202"/>
      <c r="O17" s="201"/>
      <c r="P17" s="202"/>
      <c r="Q17" s="203">
        <f t="shared" si="4"/>
        <v>0</v>
      </c>
      <c r="R17" s="202"/>
      <c r="S17" s="207"/>
      <c r="T17" s="202"/>
      <c r="U17" s="207"/>
      <c r="V17" s="202"/>
      <c r="W17" s="207"/>
      <c r="X17" s="202"/>
      <c r="Y17" s="207"/>
      <c r="Z17" s="202"/>
      <c r="AA17" s="207"/>
      <c r="AB17" s="202"/>
      <c r="AC17" s="208"/>
      <c r="AD17" s="202"/>
      <c r="AE17" s="203">
        <f t="shared" si="5"/>
        <v>0</v>
      </c>
      <c r="AF17" s="202"/>
      <c r="AG17" s="204"/>
      <c r="AH17" s="202"/>
      <c r="AI17" s="204"/>
      <c r="AJ17" s="202"/>
      <c r="AK17" s="204"/>
      <c r="AL17" s="202"/>
      <c r="AM17" s="204"/>
      <c r="AN17" s="202"/>
      <c r="AO17" s="204"/>
      <c r="AP17" s="202"/>
      <c r="AQ17" s="208"/>
      <c r="AR17" s="202"/>
      <c r="AS17" s="203">
        <f t="shared" si="6"/>
        <v>0</v>
      </c>
      <c r="AT17" s="202"/>
      <c r="AU17" s="204"/>
      <c r="AV17" s="202"/>
      <c r="AW17" s="204"/>
      <c r="AX17" s="202"/>
      <c r="AY17" s="204"/>
      <c r="AZ17" s="202"/>
      <c r="BA17" s="204"/>
      <c r="BB17" s="202"/>
      <c r="BC17" s="204"/>
      <c r="BD17" s="202"/>
      <c r="BE17" s="208"/>
      <c r="BF17" s="202"/>
      <c r="BG17" s="203">
        <f t="shared" si="7"/>
        <v>0</v>
      </c>
      <c r="BH17" s="202"/>
      <c r="BI17" s="204"/>
      <c r="BJ17" s="202"/>
      <c r="BK17" s="204"/>
      <c r="BL17" s="202"/>
      <c r="BM17" s="204"/>
      <c r="BN17" s="202"/>
      <c r="BO17" s="203">
        <f t="shared" si="8"/>
        <v>0</v>
      </c>
      <c r="BP17" s="202"/>
      <c r="BQ17" s="138"/>
      <c r="BR17" s="139"/>
      <c r="BS17" s="139"/>
      <c r="BT17" s="139"/>
      <c r="BU17" s="139"/>
      <c r="BV17" s="148">
        <v>17</v>
      </c>
      <c r="BW17" s="149">
        <f ca="1">IFERROR(__xludf.DUMMYFUNCTION("COUNTIF(MAP($E$8:$N$500,LAMBDA(c,IF(TRIM(c)="""","""",MIN(VALUE(SPLIT(SUBSTITUTE(SUBSTITUTE(SUBSTITUTE(c,"" "",""""),""，"","",""),"";"","",""),"","")))))),BV17)"),33)</f>
        <v>33</v>
      </c>
      <c r="BX17" s="145">
        <f t="shared" ca="1" si="9"/>
        <v>14.798206278026907</v>
      </c>
      <c r="BY17" s="191">
        <f t="shared" ca="1" si="10"/>
        <v>6.6</v>
      </c>
      <c r="BZ17" s="190"/>
      <c r="CA17" s="226">
        <v>17</v>
      </c>
      <c r="CB17" s="202"/>
      <c r="CC17" s="227">
        <f t="shared" ca="1" si="11"/>
        <v>6</v>
      </c>
      <c r="CD17" s="202"/>
      <c r="CE17" s="140"/>
      <c r="CF17" s="147"/>
      <c r="CG17" s="139"/>
      <c r="CH17" s="140"/>
      <c r="CI17" s="147"/>
      <c r="CJ17" s="139"/>
      <c r="CK17" s="140"/>
    </row>
    <row r="18" spans="1:89" ht="14.25">
      <c r="A18" s="136"/>
      <c r="B18" s="30" t="s">
        <v>47</v>
      </c>
      <c r="C18" s="30" t="s">
        <v>4</v>
      </c>
      <c r="D18" s="137">
        <f t="shared" si="3"/>
        <v>8</v>
      </c>
      <c r="E18" s="207">
        <v>17</v>
      </c>
      <c r="F18" s="202"/>
      <c r="G18" s="207"/>
      <c r="H18" s="202"/>
      <c r="I18" s="207">
        <v>17</v>
      </c>
      <c r="J18" s="202"/>
      <c r="K18" s="207"/>
      <c r="L18" s="202"/>
      <c r="M18" s="207">
        <v>17</v>
      </c>
      <c r="N18" s="202"/>
      <c r="O18" s="201"/>
      <c r="P18" s="202"/>
      <c r="Q18" s="203">
        <f t="shared" si="4"/>
        <v>3</v>
      </c>
      <c r="R18" s="202"/>
      <c r="S18" s="207"/>
      <c r="T18" s="202"/>
      <c r="U18" s="207">
        <v>17</v>
      </c>
      <c r="V18" s="202"/>
      <c r="W18" s="207">
        <v>17</v>
      </c>
      <c r="X18" s="202"/>
      <c r="Y18" s="207">
        <v>17</v>
      </c>
      <c r="Z18" s="202"/>
      <c r="AA18" s="207"/>
      <c r="AB18" s="202"/>
      <c r="AC18" s="208"/>
      <c r="AD18" s="202"/>
      <c r="AE18" s="203">
        <f t="shared" si="5"/>
        <v>3</v>
      </c>
      <c r="AF18" s="202"/>
      <c r="AG18" s="204">
        <v>17</v>
      </c>
      <c r="AH18" s="202"/>
      <c r="AI18" s="204"/>
      <c r="AJ18" s="202"/>
      <c r="AK18" s="204"/>
      <c r="AL18" s="202"/>
      <c r="AM18" s="204"/>
      <c r="AN18" s="202"/>
      <c r="AO18" s="204"/>
      <c r="AP18" s="202"/>
      <c r="AQ18" s="208"/>
      <c r="AR18" s="202"/>
      <c r="AS18" s="203">
        <f t="shared" si="6"/>
        <v>1</v>
      </c>
      <c r="AT18" s="202"/>
      <c r="AU18" s="204"/>
      <c r="AV18" s="202"/>
      <c r="AW18" s="204"/>
      <c r="AX18" s="202"/>
      <c r="AY18" s="204">
        <v>17</v>
      </c>
      <c r="AZ18" s="202"/>
      <c r="BA18" s="204"/>
      <c r="BB18" s="202"/>
      <c r="BC18" s="204"/>
      <c r="BD18" s="202"/>
      <c r="BE18" s="208"/>
      <c r="BF18" s="202"/>
      <c r="BG18" s="203">
        <f t="shared" si="7"/>
        <v>1</v>
      </c>
      <c r="BH18" s="202"/>
      <c r="BI18" s="204"/>
      <c r="BJ18" s="202"/>
      <c r="BK18" s="204"/>
      <c r="BL18" s="202"/>
      <c r="BM18" s="204"/>
      <c r="BN18" s="202"/>
      <c r="BO18" s="203">
        <f t="shared" si="8"/>
        <v>0</v>
      </c>
      <c r="BP18" s="202"/>
      <c r="BQ18" s="138"/>
      <c r="BR18" s="139"/>
      <c r="BS18" s="139"/>
      <c r="BT18" s="139"/>
      <c r="BU18" s="139"/>
      <c r="BV18" s="148">
        <v>18</v>
      </c>
      <c r="BW18" s="149">
        <f ca="1">IFERROR(__xludf.DUMMYFUNCTION("COUNTIF(MAP($E$8:$N$500,LAMBDA(c,IF(TRIM(c)="""","""",MIN(VALUE(SPLIT(SUBSTITUTE(SUBSTITUTE(SUBSTITUTE(c,"" "",""""),""，"","",""),"";"","",""),"","")))))),BV18)"),17)</f>
        <v>17</v>
      </c>
      <c r="BX18" s="145">
        <f t="shared" ca="1" si="9"/>
        <v>7.623318385650224</v>
      </c>
      <c r="BY18" s="191">
        <f t="shared" ca="1" si="10"/>
        <v>3.4</v>
      </c>
      <c r="BZ18" s="190"/>
      <c r="CA18" s="226">
        <v>18</v>
      </c>
      <c r="CB18" s="202"/>
      <c r="CC18" s="227">
        <f t="shared" ca="1" si="11"/>
        <v>4</v>
      </c>
      <c r="CD18" s="202"/>
      <c r="CE18" s="140"/>
      <c r="CF18" s="147"/>
      <c r="CG18" s="139"/>
      <c r="CH18" s="140"/>
      <c r="CI18" s="147"/>
      <c r="CJ18" s="139"/>
      <c r="CK18" s="140"/>
    </row>
    <row r="19" spans="1:89" ht="14.25">
      <c r="A19" s="136"/>
      <c r="B19" s="30" t="s">
        <v>49</v>
      </c>
      <c r="C19" s="30" t="s">
        <v>4</v>
      </c>
      <c r="D19" s="137">
        <f t="shared" si="3"/>
        <v>3</v>
      </c>
      <c r="E19" s="207"/>
      <c r="F19" s="202"/>
      <c r="G19" s="207"/>
      <c r="H19" s="202"/>
      <c r="I19" s="207"/>
      <c r="J19" s="202"/>
      <c r="K19" s="207"/>
      <c r="L19" s="202"/>
      <c r="M19" s="207"/>
      <c r="N19" s="202"/>
      <c r="O19" s="201"/>
      <c r="P19" s="202"/>
      <c r="Q19" s="203">
        <f t="shared" si="4"/>
        <v>0</v>
      </c>
      <c r="R19" s="202"/>
      <c r="S19" s="207"/>
      <c r="T19" s="202"/>
      <c r="U19" s="207"/>
      <c r="V19" s="202"/>
      <c r="W19" s="207">
        <v>7</v>
      </c>
      <c r="X19" s="202"/>
      <c r="Y19" s="207"/>
      <c r="Z19" s="202"/>
      <c r="AA19" s="207"/>
      <c r="AB19" s="202"/>
      <c r="AC19" s="208"/>
      <c r="AD19" s="202"/>
      <c r="AE19" s="203">
        <f t="shared" si="5"/>
        <v>1</v>
      </c>
      <c r="AF19" s="202"/>
      <c r="AG19" s="204"/>
      <c r="AH19" s="202"/>
      <c r="AI19" s="204">
        <v>7</v>
      </c>
      <c r="AJ19" s="202"/>
      <c r="AK19" s="204"/>
      <c r="AL19" s="202"/>
      <c r="AM19" s="204"/>
      <c r="AN19" s="202"/>
      <c r="AO19" s="204"/>
      <c r="AP19" s="202"/>
      <c r="AQ19" s="208"/>
      <c r="AR19" s="202"/>
      <c r="AS19" s="203">
        <f t="shared" si="6"/>
        <v>1</v>
      </c>
      <c r="AT19" s="202"/>
      <c r="AU19" s="204">
        <v>7</v>
      </c>
      <c r="AV19" s="202"/>
      <c r="AW19" s="204"/>
      <c r="AX19" s="202"/>
      <c r="AY19" s="204"/>
      <c r="AZ19" s="202"/>
      <c r="BA19" s="204"/>
      <c r="BB19" s="202"/>
      <c r="BC19" s="204"/>
      <c r="BD19" s="202"/>
      <c r="BE19" s="208"/>
      <c r="BF19" s="202"/>
      <c r="BG19" s="203">
        <f t="shared" si="7"/>
        <v>1</v>
      </c>
      <c r="BH19" s="202"/>
      <c r="BI19" s="204"/>
      <c r="BJ19" s="202"/>
      <c r="BK19" s="204"/>
      <c r="BL19" s="202"/>
      <c r="BM19" s="204"/>
      <c r="BN19" s="202"/>
      <c r="BO19" s="203">
        <f t="shared" si="8"/>
        <v>0</v>
      </c>
      <c r="BP19" s="202"/>
      <c r="BQ19" s="138"/>
      <c r="BR19" s="139"/>
      <c r="BS19" s="139"/>
      <c r="BT19" s="139"/>
      <c r="BU19" s="139"/>
      <c r="BV19" s="148">
        <v>19</v>
      </c>
      <c r="BW19" s="149">
        <f ca="1">IFERROR(__xludf.DUMMYFUNCTION("COUNTIF(MAP($E$8:$N$500,LAMBDA(c,IF(TRIM(c)="""","""",MIN(VALUE(SPLIT(SUBSTITUTE(SUBSTITUTE(SUBSTITUTE(c,"" "",""""),""，"","",""),"";"","",""),"","")))))),BV19)"),21)</f>
        <v>21</v>
      </c>
      <c r="BX19" s="145">
        <f t="shared" ca="1" si="9"/>
        <v>9.4170403587443943</v>
      </c>
      <c r="BY19" s="191">
        <f t="shared" ca="1" si="10"/>
        <v>4.2</v>
      </c>
      <c r="BZ19" s="190"/>
      <c r="CA19" s="226">
        <v>19</v>
      </c>
      <c r="CB19" s="202"/>
      <c r="CC19" s="227">
        <f t="shared" ca="1" si="11"/>
        <v>6</v>
      </c>
      <c r="CD19" s="202"/>
      <c r="CE19" s="140"/>
      <c r="CF19" s="147"/>
      <c r="CG19" s="139"/>
      <c r="CH19" s="140"/>
      <c r="CI19" s="147"/>
      <c r="CJ19" s="139"/>
      <c r="CK19" s="140"/>
    </row>
    <row r="20" spans="1:89" ht="14.25">
      <c r="A20" s="142"/>
      <c r="B20" s="30" t="s">
        <v>51</v>
      </c>
      <c r="C20" s="30" t="s">
        <v>4</v>
      </c>
      <c r="D20" s="137">
        <f t="shared" si="3"/>
        <v>8</v>
      </c>
      <c r="E20" s="207">
        <v>20</v>
      </c>
      <c r="F20" s="202"/>
      <c r="G20" s="207">
        <v>10</v>
      </c>
      <c r="H20" s="202"/>
      <c r="I20" s="207"/>
      <c r="J20" s="202"/>
      <c r="K20" s="207"/>
      <c r="L20" s="202"/>
      <c r="M20" s="207"/>
      <c r="N20" s="202"/>
      <c r="O20" s="201"/>
      <c r="P20" s="202"/>
      <c r="Q20" s="203">
        <f t="shared" si="4"/>
        <v>2</v>
      </c>
      <c r="R20" s="202"/>
      <c r="S20" s="207"/>
      <c r="T20" s="202"/>
      <c r="U20" s="207"/>
      <c r="V20" s="202"/>
      <c r="W20" s="207"/>
      <c r="X20" s="202"/>
      <c r="Y20" s="207">
        <v>12</v>
      </c>
      <c r="Z20" s="202"/>
      <c r="AA20" s="207"/>
      <c r="AB20" s="202"/>
      <c r="AC20" s="208"/>
      <c r="AD20" s="202"/>
      <c r="AE20" s="203">
        <f t="shared" si="5"/>
        <v>1</v>
      </c>
      <c r="AF20" s="202"/>
      <c r="AG20" s="204"/>
      <c r="AH20" s="202"/>
      <c r="AI20" s="204"/>
      <c r="AJ20" s="202"/>
      <c r="AK20" s="204"/>
      <c r="AL20" s="202"/>
      <c r="AM20" s="204">
        <v>20</v>
      </c>
      <c r="AN20" s="202"/>
      <c r="AO20" s="204">
        <v>19</v>
      </c>
      <c r="AP20" s="202"/>
      <c r="AQ20" s="208">
        <v>11</v>
      </c>
      <c r="AR20" s="202"/>
      <c r="AS20" s="203">
        <f t="shared" si="6"/>
        <v>2</v>
      </c>
      <c r="AT20" s="202"/>
      <c r="AU20" s="204">
        <v>12</v>
      </c>
      <c r="AV20" s="202"/>
      <c r="AW20" s="204"/>
      <c r="AX20" s="202"/>
      <c r="AY20" s="204"/>
      <c r="AZ20" s="202"/>
      <c r="BA20" s="204"/>
      <c r="BB20" s="202"/>
      <c r="BC20" s="204">
        <v>18</v>
      </c>
      <c r="BD20" s="202"/>
      <c r="BE20" s="208">
        <v>11</v>
      </c>
      <c r="BF20" s="202"/>
      <c r="BG20" s="203">
        <f t="shared" si="7"/>
        <v>2</v>
      </c>
      <c r="BH20" s="202"/>
      <c r="BI20" s="204">
        <v>20</v>
      </c>
      <c r="BJ20" s="202"/>
      <c r="BK20" s="204"/>
      <c r="BL20" s="202"/>
      <c r="BM20" s="204"/>
      <c r="BN20" s="202"/>
      <c r="BO20" s="203">
        <f t="shared" si="8"/>
        <v>1</v>
      </c>
      <c r="BP20" s="202"/>
      <c r="BQ20" s="138"/>
      <c r="BR20" s="128"/>
      <c r="BS20" s="128"/>
      <c r="BT20" s="128"/>
      <c r="BU20" s="128"/>
      <c r="BV20" s="148">
        <v>20</v>
      </c>
      <c r="BW20" s="149">
        <f ca="1">IFERROR(__xludf.DUMMYFUNCTION("COUNTIF(MAP($E$8:$N$500,LAMBDA(c,IF(TRIM(c)="""","""",MIN(VALUE(SPLIT(SUBSTITUTE(SUBSTITUTE(SUBSTITUTE(c,"" "",""""),""，"","",""),"";"","",""),"","")))))),BV20)"),34)</f>
        <v>34</v>
      </c>
      <c r="BX20" s="145">
        <f t="shared" ca="1" si="9"/>
        <v>15.246636771300448</v>
      </c>
      <c r="BY20" s="191">
        <f t="shared" ca="1" si="10"/>
        <v>6.8</v>
      </c>
      <c r="BZ20" s="190"/>
      <c r="CA20" s="226">
        <v>20</v>
      </c>
      <c r="CB20" s="202"/>
      <c r="CC20" s="227">
        <f t="shared" ca="1" si="11"/>
        <v>6</v>
      </c>
      <c r="CD20" s="202"/>
      <c r="CE20" s="140"/>
      <c r="CF20" s="74"/>
      <c r="CG20" s="139"/>
      <c r="CH20" s="140"/>
      <c r="CI20" s="74"/>
      <c r="CJ20" s="139"/>
      <c r="CK20" s="140"/>
    </row>
    <row r="21" spans="1:89" ht="14.25">
      <c r="A21" s="136"/>
      <c r="B21" s="30" t="s">
        <v>53</v>
      </c>
      <c r="C21" s="30" t="s">
        <v>4</v>
      </c>
      <c r="D21" s="137">
        <f t="shared" si="3"/>
        <v>0</v>
      </c>
      <c r="E21" s="207"/>
      <c r="F21" s="202"/>
      <c r="G21" s="207"/>
      <c r="H21" s="202"/>
      <c r="I21" s="207"/>
      <c r="J21" s="202"/>
      <c r="K21" s="207"/>
      <c r="L21" s="202"/>
      <c r="M21" s="207"/>
      <c r="N21" s="202"/>
      <c r="O21" s="201"/>
      <c r="P21" s="202"/>
      <c r="Q21" s="203">
        <f t="shared" si="4"/>
        <v>0</v>
      </c>
      <c r="R21" s="202"/>
      <c r="S21" s="207"/>
      <c r="T21" s="202"/>
      <c r="U21" s="207"/>
      <c r="V21" s="202"/>
      <c r="W21" s="207"/>
      <c r="X21" s="202"/>
      <c r="Y21" s="207"/>
      <c r="Z21" s="202"/>
      <c r="AA21" s="207"/>
      <c r="AB21" s="202"/>
      <c r="AC21" s="208"/>
      <c r="AD21" s="202"/>
      <c r="AE21" s="203">
        <f t="shared" si="5"/>
        <v>0</v>
      </c>
      <c r="AF21" s="202"/>
      <c r="AG21" s="204"/>
      <c r="AH21" s="202"/>
      <c r="AI21" s="204"/>
      <c r="AJ21" s="202"/>
      <c r="AK21" s="204"/>
      <c r="AL21" s="202"/>
      <c r="AM21" s="204"/>
      <c r="AN21" s="202"/>
      <c r="AO21" s="204"/>
      <c r="AP21" s="202"/>
      <c r="AQ21" s="208"/>
      <c r="AR21" s="202"/>
      <c r="AS21" s="203">
        <f t="shared" si="6"/>
        <v>0</v>
      </c>
      <c r="AT21" s="202"/>
      <c r="AU21" s="204"/>
      <c r="AV21" s="202"/>
      <c r="AW21" s="204"/>
      <c r="AX21" s="202"/>
      <c r="AY21" s="204"/>
      <c r="AZ21" s="202"/>
      <c r="BA21" s="204"/>
      <c r="BB21" s="202"/>
      <c r="BC21" s="204"/>
      <c r="BD21" s="202"/>
      <c r="BE21" s="208"/>
      <c r="BF21" s="202"/>
      <c r="BG21" s="203">
        <f t="shared" si="7"/>
        <v>0</v>
      </c>
      <c r="BH21" s="202"/>
      <c r="BI21" s="204"/>
      <c r="BJ21" s="202"/>
      <c r="BK21" s="204"/>
      <c r="BL21" s="202"/>
      <c r="BM21" s="204"/>
      <c r="BN21" s="202"/>
      <c r="BO21" s="203">
        <f t="shared" si="8"/>
        <v>0</v>
      </c>
      <c r="BP21" s="202"/>
      <c r="BQ21" s="138"/>
      <c r="BR21" s="139"/>
      <c r="BS21" s="139"/>
      <c r="BT21" s="139"/>
      <c r="BU21" s="139"/>
      <c r="BV21" s="148">
        <v>21</v>
      </c>
      <c r="BW21" s="149">
        <f ca="1">IFERROR(__xludf.DUMMYFUNCTION("COUNTIF(MAP($E$8:$N$500,LAMBDA(c,IF(TRIM(c)="""","""",MIN(VALUE(SPLIT(SUBSTITUTE(SUBSTITUTE(SUBSTITUTE(c,"" "",""""),""，"","",""),"";"","",""),"","")))))),BV21)"),25)</f>
        <v>25</v>
      </c>
      <c r="BX21" s="145">
        <f t="shared" ca="1" si="9"/>
        <v>11.210762331838566</v>
      </c>
      <c r="BY21" s="191">
        <f t="shared" ca="1" si="10"/>
        <v>5</v>
      </c>
      <c r="BZ21" s="190"/>
      <c r="CA21" s="226">
        <v>21</v>
      </c>
      <c r="CB21" s="202"/>
      <c r="CC21" s="227">
        <f t="shared" ca="1" si="11"/>
        <v>5</v>
      </c>
      <c r="CD21" s="202"/>
      <c r="CE21" s="140"/>
      <c r="CF21" s="147"/>
      <c r="CG21" s="139"/>
      <c r="CH21" s="140"/>
      <c r="CI21" s="147"/>
      <c r="CJ21" s="139"/>
      <c r="CK21" s="140"/>
    </row>
    <row r="22" spans="1:89" ht="14.25">
      <c r="A22" s="136"/>
      <c r="B22" s="30" t="s">
        <v>58</v>
      </c>
      <c r="C22" s="30" t="s">
        <v>4</v>
      </c>
      <c r="D22" s="137">
        <f t="shared" si="3"/>
        <v>2</v>
      </c>
      <c r="E22" s="207"/>
      <c r="F22" s="202"/>
      <c r="G22" s="207"/>
      <c r="H22" s="202"/>
      <c r="I22" s="207">
        <v>20</v>
      </c>
      <c r="J22" s="202"/>
      <c r="K22" s="207"/>
      <c r="L22" s="202"/>
      <c r="M22" s="207">
        <v>17</v>
      </c>
      <c r="N22" s="202"/>
      <c r="O22" s="201"/>
      <c r="P22" s="202"/>
      <c r="Q22" s="203">
        <f t="shared" si="4"/>
        <v>2</v>
      </c>
      <c r="R22" s="202"/>
      <c r="S22" s="207"/>
      <c r="T22" s="202"/>
      <c r="U22" s="207"/>
      <c r="V22" s="202"/>
      <c r="W22" s="207"/>
      <c r="X22" s="202"/>
      <c r="Y22" s="207"/>
      <c r="Z22" s="202"/>
      <c r="AA22" s="207"/>
      <c r="AB22" s="202"/>
      <c r="AC22" s="208"/>
      <c r="AD22" s="202"/>
      <c r="AE22" s="203">
        <f t="shared" si="5"/>
        <v>0</v>
      </c>
      <c r="AF22" s="202"/>
      <c r="AG22" s="204"/>
      <c r="AH22" s="202"/>
      <c r="AI22" s="204"/>
      <c r="AJ22" s="202"/>
      <c r="AK22" s="204"/>
      <c r="AL22" s="202"/>
      <c r="AM22" s="204"/>
      <c r="AN22" s="202"/>
      <c r="AO22" s="204"/>
      <c r="AP22" s="202"/>
      <c r="AQ22" s="208"/>
      <c r="AR22" s="202"/>
      <c r="AS22" s="203">
        <f t="shared" si="6"/>
        <v>0</v>
      </c>
      <c r="AT22" s="202"/>
      <c r="AU22" s="204"/>
      <c r="AV22" s="202"/>
      <c r="AW22" s="204"/>
      <c r="AX22" s="202"/>
      <c r="AY22" s="204"/>
      <c r="AZ22" s="202"/>
      <c r="BA22" s="204"/>
      <c r="BB22" s="202"/>
      <c r="BC22" s="204"/>
      <c r="BD22" s="202"/>
      <c r="BE22" s="208"/>
      <c r="BF22" s="202"/>
      <c r="BG22" s="203">
        <f t="shared" si="7"/>
        <v>0</v>
      </c>
      <c r="BH22" s="202"/>
      <c r="BI22" s="204"/>
      <c r="BJ22" s="202"/>
      <c r="BK22" s="204"/>
      <c r="BL22" s="202"/>
      <c r="BM22" s="204"/>
      <c r="BN22" s="202"/>
      <c r="BO22" s="203">
        <f t="shared" si="8"/>
        <v>0</v>
      </c>
      <c r="BP22" s="202"/>
      <c r="BQ22" s="138"/>
      <c r="BR22" s="139"/>
      <c r="BS22" s="139"/>
      <c r="BT22" s="139"/>
      <c r="BU22" s="139"/>
      <c r="BV22" s="192">
        <v>11</v>
      </c>
      <c r="BW22" s="193">
        <f ca="1">IFERROR(__xludf.DUMMYFUNCTION("COUNTIF(MAP($O$8:$P$500,LAMBDA(c,IF(TRIM(c)="""","""",MIN(VALUE(SPLIT(SUBSTITUTE(SUBSTITUTE(SUBSTITUTE(c,"" "",""""),""，"","",""),"";"","",""),"","")))))),BV22)"),8)</f>
        <v>8</v>
      </c>
      <c r="BX22" s="194" t="s">
        <v>323</v>
      </c>
      <c r="BY22" s="195">
        <f t="shared" ref="BY22:BY23" ca="1" si="12">BW22</f>
        <v>8</v>
      </c>
      <c r="BZ22" s="190"/>
      <c r="CA22" s="233">
        <v>11</v>
      </c>
      <c r="CB22" s="202"/>
      <c r="CC22" s="234">
        <f t="shared" ref="CC22:CC23" ca="1" si="13">ROUND(SUM(BW22,BW36,BW50,BW64,BW78)/4,0)</f>
        <v>7</v>
      </c>
      <c r="CD22" s="202"/>
      <c r="CE22" s="140"/>
      <c r="CF22" s="147"/>
      <c r="CG22" s="139"/>
      <c r="CH22" s="140"/>
      <c r="CI22" s="147"/>
      <c r="CJ22" s="139"/>
      <c r="CK22" s="140"/>
    </row>
    <row r="23" spans="1:89" ht="14.25">
      <c r="A23" s="136"/>
      <c r="B23" s="30" t="s">
        <v>60</v>
      </c>
      <c r="C23" s="30" t="s">
        <v>4</v>
      </c>
      <c r="D23" s="137">
        <f t="shared" si="3"/>
        <v>4</v>
      </c>
      <c r="E23" s="207">
        <v>10</v>
      </c>
      <c r="F23" s="202"/>
      <c r="G23" s="207"/>
      <c r="H23" s="202"/>
      <c r="I23" s="207"/>
      <c r="J23" s="202"/>
      <c r="K23" s="207"/>
      <c r="L23" s="202"/>
      <c r="M23" s="207">
        <v>17</v>
      </c>
      <c r="N23" s="202"/>
      <c r="O23" s="201"/>
      <c r="P23" s="202"/>
      <c r="Q23" s="203">
        <f t="shared" si="4"/>
        <v>2</v>
      </c>
      <c r="R23" s="202"/>
      <c r="S23" s="207">
        <v>10</v>
      </c>
      <c r="T23" s="202"/>
      <c r="U23" s="207"/>
      <c r="V23" s="202"/>
      <c r="W23" s="207"/>
      <c r="X23" s="202"/>
      <c r="Y23" s="207"/>
      <c r="Z23" s="202"/>
      <c r="AA23" s="207"/>
      <c r="AB23" s="202"/>
      <c r="AC23" s="208"/>
      <c r="AD23" s="202"/>
      <c r="AE23" s="203">
        <f t="shared" si="5"/>
        <v>1</v>
      </c>
      <c r="AF23" s="202"/>
      <c r="AG23" s="204"/>
      <c r="AH23" s="202"/>
      <c r="AI23" s="204"/>
      <c r="AJ23" s="202"/>
      <c r="AK23" s="204"/>
      <c r="AL23" s="202"/>
      <c r="AM23" s="204"/>
      <c r="AN23" s="202"/>
      <c r="AO23" s="204"/>
      <c r="AP23" s="202"/>
      <c r="AQ23" s="208"/>
      <c r="AR23" s="202"/>
      <c r="AS23" s="203">
        <f t="shared" si="6"/>
        <v>0</v>
      </c>
      <c r="AT23" s="202"/>
      <c r="AU23" s="204"/>
      <c r="AV23" s="202"/>
      <c r="AW23" s="204"/>
      <c r="AX23" s="202"/>
      <c r="AY23" s="204"/>
      <c r="AZ23" s="202"/>
      <c r="BA23" s="204"/>
      <c r="BB23" s="202"/>
      <c r="BC23" s="204"/>
      <c r="BD23" s="202"/>
      <c r="BE23" s="208"/>
      <c r="BF23" s="202"/>
      <c r="BG23" s="203">
        <f t="shared" si="7"/>
        <v>0</v>
      </c>
      <c r="BH23" s="202"/>
      <c r="BI23" s="204"/>
      <c r="BJ23" s="202"/>
      <c r="BK23" s="204">
        <v>10</v>
      </c>
      <c r="BL23" s="202"/>
      <c r="BM23" s="204"/>
      <c r="BN23" s="202"/>
      <c r="BO23" s="203">
        <f t="shared" si="8"/>
        <v>1</v>
      </c>
      <c r="BP23" s="202"/>
      <c r="BQ23" s="138"/>
      <c r="BR23" s="139"/>
      <c r="BS23" s="139"/>
      <c r="BT23" s="139"/>
      <c r="BU23" s="139"/>
      <c r="BV23" s="192">
        <v>13</v>
      </c>
      <c r="BW23" s="193">
        <f ca="1">IFERROR(__xludf.DUMMYFUNCTION("COUNTIF(MAP($O$8:$P$500,LAMBDA(c,IF(TRIM(c)="""","""",MIN(VALUE(SPLIT(SUBSTITUTE(SUBSTITUTE(SUBSTITUTE(c,"" "",""""),""，"","",""),"";"","",""),"","")))))),BV23)"),5)</f>
        <v>5</v>
      </c>
      <c r="BX23" s="194" t="s">
        <v>323</v>
      </c>
      <c r="BY23" s="195">
        <f t="shared" ca="1" si="12"/>
        <v>5</v>
      </c>
      <c r="BZ23" s="190"/>
      <c r="CA23" s="233">
        <v>13</v>
      </c>
      <c r="CB23" s="202"/>
      <c r="CC23" s="234">
        <f t="shared" ca="1" si="13"/>
        <v>7</v>
      </c>
      <c r="CD23" s="202"/>
      <c r="CE23" s="139"/>
      <c r="CF23" s="147"/>
      <c r="CG23" s="139"/>
      <c r="CH23" s="139"/>
      <c r="CI23" s="147"/>
      <c r="CJ23" s="139"/>
      <c r="CK23" s="139"/>
    </row>
    <row r="24" spans="1:89" ht="14.25">
      <c r="A24" s="136"/>
      <c r="B24" s="30" t="s">
        <v>62</v>
      </c>
      <c r="C24" s="30" t="s">
        <v>4</v>
      </c>
      <c r="D24" s="137">
        <f t="shared" si="3"/>
        <v>21</v>
      </c>
      <c r="E24" s="207">
        <v>17</v>
      </c>
      <c r="F24" s="202"/>
      <c r="G24" s="207">
        <v>17</v>
      </c>
      <c r="H24" s="202"/>
      <c r="I24" s="207">
        <v>17</v>
      </c>
      <c r="J24" s="202"/>
      <c r="K24" s="207">
        <v>17</v>
      </c>
      <c r="L24" s="202"/>
      <c r="M24" s="207">
        <v>17</v>
      </c>
      <c r="N24" s="202"/>
      <c r="O24" s="201"/>
      <c r="P24" s="202"/>
      <c r="Q24" s="203">
        <f t="shared" si="4"/>
        <v>5</v>
      </c>
      <c r="R24" s="202"/>
      <c r="S24" s="207">
        <v>17</v>
      </c>
      <c r="T24" s="202"/>
      <c r="U24" s="207">
        <v>17</v>
      </c>
      <c r="V24" s="202"/>
      <c r="W24" s="207">
        <v>12</v>
      </c>
      <c r="X24" s="202"/>
      <c r="Y24" s="207">
        <v>17</v>
      </c>
      <c r="Z24" s="202"/>
      <c r="AA24" s="207">
        <v>17</v>
      </c>
      <c r="AB24" s="202"/>
      <c r="AC24" s="208"/>
      <c r="AD24" s="202"/>
      <c r="AE24" s="203">
        <f t="shared" si="5"/>
        <v>5</v>
      </c>
      <c r="AF24" s="202"/>
      <c r="AG24" s="204">
        <v>17</v>
      </c>
      <c r="AH24" s="202"/>
      <c r="AI24" s="204">
        <v>17</v>
      </c>
      <c r="AJ24" s="202"/>
      <c r="AK24" s="204">
        <v>17</v>
      </c>
      <c r="AL24" s="202"/>
      <c r="AM24" s="204">
        <v>17</v>
      </c>
      <c r="AN24" s="202"/>
      <c r="AO24" s="204">
        <v>17</v>
      </c>
      <c r="AP24" s="202"/>
      <c r="AQ24" s="208"/>
      <c r="AR24" s="202"/>
      <c r="AS24" s="203">
        <f t="shared" si="6"/>
        <v>5</v>
      </c>
      <c r="AT24" s="202"/>
      <c r="AU24" s="204">
        <v>17</v>
      </c>
      <c r="AV24" s="202"/>
      <c r="AW24" s="204">
        <v>10</v>
      </c>
      <c r="AX24" s="202"/>
      <c r="AY24" s="204">
        <v>17</v>
      </c>
      <c r="AZ24" s="202"/>
      <c r="BA24" s="204"/>
      <c r="BB24" s="202"/>
      <c r="BC24" s="204"/>
      <c r="BD24" s="202"/>
      <c r="BE24" s="208"/>
      <c r="BF24" s="202"/>
      <c r="BG24" s="203">
        <f t="shared" si="7"/>
        <v>3</v>
      </c>
      <c r="BH24" s="202"/>
      <c r="BI24" s="204">
        <v>18</v>
      </c>
      <c r="BJ24" s="202"/>
      <c r="BK24" s="204">
        <v>17</v>
      </c>
      <c r="BL24" s="202"/>
      <c r="BM24" s="204">
        <v>10</v>
      </c>
      <c r="BN24" s="202"/>
      <c r="BO24" s="203">
        <f t="shared" si="8"/>
        <v>3</v>
      </c>
      <c r="BP24" s="202"/>
      <c r="BQ24" s="138"/>
      <c r="BR24" s="139"/>
      <c r="BS24" s="139"/>
      <c r="BT24" s="139"/>
      <c r="BU24" s="139"/>
      <c r="BZ24" s="190"/>
      <c r="CA24" s="190"/>
      <c r="CB24" s="190"/>
      <c r="CC24" s="190"/>
      <c r="CD24" s="190"/>
      <c r="CE24" s="139"/>
      <c r="CF24" s="139"/>
      <c r="CG24" s="139"/>
      <c r="CH24" s="139"/>
      <c r="CI24" s="139"/>
      <c r="CJ24" s="139"/>
      <c r="CK24" s="139"/>
    </row>
    <row r="25" spans="1:89" ht="14.25">
      <c r="A25" s="136"/>
      <c r="B25" s="30" t="s">
        <v>64</v>
      </c>
      <c r="C25" s="30" t="s">
        <v>4</v>
      </c>
      <c r="D25" s="137">
        <f t="shared" si="3"/>
        <v>2</v>
      </c>
      <c r="E25" s="207"/>
      <c r="F25" s="202"/>
      <c r="G25" s="207"/>
      <c r="H25" s="202"/>
      <c r="I25" s="207"/>
      <c r="J25" s="202"/>
      <c r="K25" s="207"/>
      <c r="L25" s="202"/>
      <c r="M25" s="207"/>
      <c r="N25" s="202"/>
      <c r="O25" s="201"/>
      <c r="P25" s="202"/>
      <c r="Q25" s="203">
        <f t="shared" si="4"/>
        <v>0</v>
      </c>
      <c r="R25" s="202"/>
      <c r="S25" s="207"/>
      <c r="T25" s="202"/>
      <c r="U25" s="207"/>
      <c r="V25" s="202"/>
      <c r="W25" s="207"/>
      <c r="X25" s="202"/>
      <c r="Y25" s="207"/>
      <c r="Z25" s="202"/>
      <c r="AA25" s="207"/>
      <c r="AB25" s="202"/>
      <c r="AC25" s="208"/>
      <c r="AD25" s="202"/>
      <c r="AE25" s="203">
        <f t="shared" si="5"/>
        <v>0</v>
      </c>
      <c r="AF25" s="202"/>
      <c r="AG25" s="204"/>
      <c r="AH25" s="202"/>
      <c r="AI25" s="204"/>
      <c r="AJ25" s="202"/>
      <c r="AK25" s="204"/>
      <c r="AL25" s="202"/>
      <c r="AM25" s="204"/>
      <c r="AN25" s="202"/>
      <c r="AO25" s="204"/>
      <c r="AP25" s="202"/>
      <c r="AQ25" s="208"/>
      <c r="AR25" s="202"/>
      <c r="AS25" s="203">
        <f t="shared" si="6"/>
        <v>0</v>
      </c>
      <c r="AT25" s="202"/>
      <c r="AU25" s="204">
        <v>18</v>
      </c>
      <c r="AV25" s="202"/>
      <c r="AW25" s="204"/>
      <c r="AX25" s="202"/>
      <c r="AY25" s="204"/>
      <c r="AZ25" s="202"/>
      <c r="BA25" s="204"/>
      <c r="BB25" s="202"/>
      <c r="BC25" s="204"/>
      <c r="BD25" s="202"/>
      <c r="BE25" s="208"/>
      <c r="BF25" s="202"/>
      <c r="BG25" s="203">
        <f t="shared" si="7"/>
        <v>1</v>
      </c>
      <c r="BH25" s="202"/>
      <c r="BI25" s="204">
        <v>10</v>
      </c>
      <c r="BJ25" s="202"/>
      <c r="BK25" s="204"/>
      <c r="BL25" s="202"/>
      <c r="BM25" s="204"/>
      <c r="BN25" s="202"/>
      <c r="BO25" s="203">
        <f t="shared" si="8"/>
        <v>1</v>
      </c>
      <c r="BP25" s="202"/>
      <c r="BQ25" s="138"/>
      <c r="BR25" s="139"/>
      <c r="BS25" s="139"/>
      <c r="BT25" s="139"/>
      <c r="BU25" s="139"/>
      <c r="BV25" s="228" t="s">
        <v>19</v>
      </c>
      <c r="BW25" s="225"/>
      <c r="BX25" s="225"/>
      <c r="BY25" s="202"/>
      <c r="BZ25" s="190"/>
      <c r="CA25" s="190"/>
      <c r="CB25" s="190"/>
      <c r="CC25" s="190"/>
      <c r="CD25" s="190"/>
      <c r="CE25" s="139"/>
      <c r="CF25" s="139"/>
      <c r="CG25" s="136"/>
      <c r="CH25" s="136"/>
      <c r="CI25" s="139"/>
      <c r="CJ25" s="139"/>
      <c r="CK25" s="139"/>
    </row>
    <row r="26" spans="1:89" ht="14.25">
      <c r="A26" s="136"/>
      <c r="B26" s="30" t="s">
        <v>66</v>
      </c>
      <c r="C26" s="30" t="s">
        <v>4</v>
      </c>
      <c r="D26" s="137">
        <f t="shared" si="3"/>
        <v>10</v>
      </c>
      <c r="E26" s="207">
        <v>17</v>
      </c>
      <c r="F26" s="202"/>
      <c r="G26" s="207">
        <v>12</v>
      </c>
      <c r="H26" s="202"/>
      <c r="I26" s="207"/>
      <c r="J26" s="202"/>
      <c r="K26" s="207">
        <v>17</v>
      </c>
      <c r="L26" s="202"/>
      <c r="M26" s="207"/>
      <c r="N26" s="202"/>
      <c r="O26" s="201"/>
      <c r="P26" s="202"/>
      <c r="Q26" s="203">
        <f t="shared" si="4"/>
        <v>3</v>
      </c>
      <c r="R26" s="202"/>
      <c r="S26" s="207"/>
      <c r="T26" s="202"/>
      <c r="U26" s="207">
        <v>17</v>
      </c>
      <c r="V26" s="202"/>
      <c r="W26" s="207">
        <v>17</v>
      </c>
      <c r="X26" s="202"/>
      <c r="Y26" s="207"/>
      <c r="Z26" s="202"/>
      <c r="AA26" s="207"/>
      <c r="AB26" s="202"/>
      <c r="AC26" s="208"/>
      <c r="AD26" s="202"/>
      <c r="AE26" s="203">
        <f t="shared" si="5"/>
        <v>2</v>
      </c>
      <c r="AF26" s="202"/>
      <c r="AG26" s="204"/>
      <c r="AH26" s="202"/>
      <c r="AI26" s="204"/>
      <c r="AJ26" s="202"/>
      <c r="AK26" s="204"/>
      <c r="AL26" s="202"/>
      <c r="AM26" s="204"/>
      <c r="AN26" s="202"/>
      <c r="AO26" s="204"/>
      <c r="AP26" s="202"/>
      <c r="AQ26" s="208"/>
      <c r="AR26" s="202"/>
      <c r="AS26" s="203">
        <f t="shared" si="6"/>
        <v>0</v>
      </c>
      <c r="AT26" s="202"/>
      <c r="AU26" s="204">
        <v>17</v>
      </c>
      <c r="AV26" s="202"/>
      <c r="AW26" s="204">
        <v>17</v>
      </c>
      <c r="AX26" s="202"/>
      <c r="AY26" s="204"/>
      <c r="AZ26" s="202"/>
      <c r="BA26" s="204"/>
      <c r="BB26" s="202"/>
      <c r="BC26" s="204"/>
      <c r="BD26" s="202"/>
      <c r="BE26" s="208"/>
      <c r="BF26" s="202"/>
      <c r="BG26" s="203">
        <f t="shared" si="7"/>
        <v>2</v>
      </c>
      <c r="BH26" s="202"/>
      <c r="BI26" s="204">
        <v>17</v>
      </c>
      <c r="BJ26" s="202"/>
      <c r="BK26" s="204">
        <v>12</v>
      </c>
      <c r="BL26" s="202"/>
      <c r="BM26" s="204">
        <v>12</v>
      </c>
      <c r="BN26" s="202"/>
      <c r="BO26" s="203">
        <f t="shared" si="8"/>
        <v>3</v>
      </c>
      <c r="BP26" s="202"/>
      <c r="BQ26" s="138"/>
      <c r="BR26" s="139"/>
      <c r="BS26" s="139"/>
      <c r="BT26" s="139"/>
      <c r="BU26" s="139"/>
      <c r="BV26" s="144" t="s">
        <v>367</v>
      </c>
      <c r="BW26" s="144" t="s">
        <v>368</v>
      </c>
      <c r="BX26" s="145" t="s">
        <v>369</v>
      </c>
      <c r="BY26" s="146" t="s">
        <v>356</v>
      </c>
      <c r="BZ26" s="190"/>
      <c r="CA26" s="190"/>
      <c r="CB26" s="190"/>
      <c r="CC26" s="190"/>
      <c r="CD26" s="190"/>
      <c r="CE26" s="139"/>
      <c r="CF26" s="139"/>
      <c r="CG26" s="139"/>
      <c r="CH26" s="139"/>
      <c r="CI26" s="139"/>
      <c r="CJ26" s="139"/>
      <c r="CK26" s="139"/>
    </row>
    <row r="27" spans="1:89" ht="14.25">
      <c r="A27" s="136"/>
      <c r="B27" s="30" t="s">
        <v>68</v>
      </c>
      <c r="C27" s="30" t="s">
        <v>3</v>
      </c>
      <c r="D27" s="137">
        <f t="shared" si="3"/>
        <v>8</v>
      </c>
      <c r="E27" s="207">
        <v>10</v>
      </c>
      <c r="F27" s="202"/>
      <c r="G27" s="207"/>
      <c r="H27" s="202"/>
      <c r="I27" s="207">
        <v>10</v>
      </c>
      <c r="J27" s="202"/>
      <c r="K27" s="207"/>
      <c r="L27" s="202"/>
      <c r="M27" s="207"/>
      <c r="N27" s="202"/>
      <c r="O27" s="201"/>
      <c r="P27" s="202"/>
      <c r="Q27" s="203">
        <f t="shared" si="4"/>
        <v>2</v>
      </c>
      <c r="R27" s="202"/>
      <c r="S27" s="207">
        <v>10</v>
      </c>
      <c r="T27" s="202"/>
      <c r="U27" s="207"/>
      <c r="V27" s="202"/>
      <c r="W27" s="207"/>
      <c r="X27" s="202"/>
      <c r="Y27" s="207"/>
      <c r="Z27" s="202"/>
      <c r="AA27" s="207"/>
      <c r="AB27" s="202"/>
      <c r="AC27" s="208"/>
      <c r="AD27" s="202"/>
      <c r="AE27" s="203">
        <f t="shared" si="5"/>
        <v>1</v>
      </c>
      <c r="AF27" s="202"/>
      <c r="AG27" s="204"/>
      <c r="AH27" s="202"/>
      <c r="AI27" s="204"/>
      <c r="AJ27" s="202"/>
      <c r="AK27" s="204">
        <v>10</v>
      </c>
      <c r="AL27" s="202"/>
      <c r="AM27" s="204"/>
      <c r="AN27" s="202"/>
      <c r="AO27" s="204">
        <v>10</v>
      </c>
      <c r="AP27" s="202"/>
      <c r="AQ27" s="208"/>
      <c r="AR27" s="202"/>
      <c r="AS27" s="203">
        <f t="shared" si="6"/>
        <v>2</v>
      </c>
      <c r="AT27" s="202"/>
      <c r="AU27" s="204"/>
      <c r="AV27" s="202"/>
      <c r="AW27" s="204"/>
      <c r="AX27" s="202"/>
      <c r="AY27" s="204">
        <v>10</v>
      </c>
      <c r="AZ27" s="202"/>
      <c r="BA27" s="204"/>
      <c r="BB27" s="202"/>
      <c r="BC27" s="204"/>
      <c r="BD27" s="202"/>
      <c r="BE27" s="208"/>
      <c r="BF27" s="202"/>
      <c r="BG27" s="203">
        <f t="shared" si="7"/>
        <v>1</v>
      </c>
      <c r="BH27" s="202"/>
      <c r="BI27" s="204">
        <v>10</v>
      </c>
      <c r="BJ27" s="202"/>
      <c r="BK27" s="204"/>
      <c r="BL27" s="202"/>
      <c r="BM27" s="204">
        <v>10</v>
      </c>
      <c r="BN27" s="202"/>
      <c r="BO27" s="203">
        <f t="shared" si="8"/>
        <v>2</v>
      </c>
      <c r="BP27" s="202"/>
      <c r="BQ27" s="138"/>
      <c r="BR27" s="139"/>
      <c r="BS27" s="139"/>
      <c r="BT27" s="139"/>
      <c r="BU27" s="139"/>
      <c r="BV27" s="148">
        <v>7</v>
      </c>
      <c r="BW27" s="144">
        <f ca="1">IFERROR(__xludf.DUMMYFUNCTION("COUNTIF(MAP($S$8:$AB$500,LAMBDA(c,IF(TRIM(c)="""","""",MIN(VALUE(SPLIT(SUBSTITUTE(SUBSTITUTE(SUBSTITUTE(c,"" "",""""),""，"","",""),"";"","",""),"","")))))),BV27)"),10)</f>
        <v>10</v>
      </c>
      <c r="BX27" s="145">
        <f t="shared" ref="BX27:BX35" ca="1" si="14">BW27/SUM($BW$27:$BW$36)*100</f>
        <v>4.4642857142857144</v>
      </c>
      <c r="BY27" s="191">
        <f t="shared" ref="BY27:BY35" ca="1" si="15">BW27/$BW$4</f>
        <v>2</v>
      </c>
      <c r="BZ27" s="190"/>
      <c r="CA27" s="190"/>
      <c r="CB27" s="190"/>
      <c r="CC27" s="190"/>
      <c r="CD27" s="190"/>
      <c r="CE27" s="139"/>
      <c r="CF27" s="139"/>
      <c r="CG27" s="136"/>
      <c r="CH27" s="139"/>
      <c r="CI27" s="139"/>
      <c r="CJ27" s="139"/>
      <c r="CK27" s="139"/>
    </row>
    <row r="28" spans="1:89" ht="14.25">
      <c r="A28" s="136"/>
      <c r="B28" s="30" t="s">
        <v>70</v>
      </c>
      <c r="C28" s="30" t="s">
        <v>4</v>
      </c>
      <c r="D28" s="137">
        <f t="shared" si="3"/>
        <v>0</v>
      </c>
      <c r="E28" s="207"/>
      <c r="F28" s="202"/>
      <c r="G28" s="207"/>
      <c r="H28" s="202"/>
      <c r="I28" s="207"/>
      <c r="J28" s="202"/>
      <c r="K28" s="207"/>
      <c r="L28" s="202"/>
      <c r="M28" s="207"/>
      <c r="N28" s="202"/>
      <c r="O28" s="201"/>
      <c r="P28" s="202"/>
      <c r="Q28" s="203">
        <f t="shared" si="4"/>
        <v>0</v>
      </c>
      <c r="R28" s="202"/>
      <c r="S28" s="207"/>
      <c r="T28" s="202"/>
      <c r="U28" s="207"/>
      <c r="V28" s="202"/>
      <c r="W28" s="207"/>
      <c r="X28" s="202"/>
      <c r="Y28" s="207"/>
      <c r="Z28" s="202"/>
      <c r="AA28" s="207"/>
      <c r="AB28" s="202"/>
      <c r="AC28" s="208"/>
      <c r="AD28" s="202"/>
      <c r="AE28" s="203">
        <f t="shared" si="5"/>
        <v>0</v>
      </c>
      <c r="AF28" s="202"/>
      <c r="AG28" s="204"/>
      <c r="AH28" s="202"/>
      <c r="AI28" s="204"/>
      <c r="AJ28" s="202"/>
      <c r="AK28" s="204"/>
      <c r="AL28" s="202"/>
      <c r="AM28" s="204"/>
      <c r="AN28" s="202"/>
      <c r="AO28" s="204"/>
      <c r="AP28" s="202"/>
      <c r="AQ28" s="208"/>
      <c r="AR28" s="202"/>
      <c r="AS28" s="203">
        <f t="shared" si="6"/>
        <v>0</v>
      </c>
      <c r="AT28" s="202"/>
      <c r="AU28" s="204"/>
      <c r="AV28" s="202"/>
      <c r="AW28" s="204"/>
      <c r="AX28" s="202"/>
      <c r="AY28" s="204"/>
      <c r="AZ28" s="202"/>
      <c r="BA28" s="204"/>
      <c r="BB28" s="202"/>
      <c r="BC28" s="204"/>
      <c r="BD28" s="202"/>
      <c r="BE28" s="208"/>
      <c r="BF28" s="202"/>
      <c r="BG28" s="203">
        <f t="shared" si="7"/>
        <v>0</v>
      </c>
      <c r="BH28" s="202"/>
      <c r="BI28" s="204"/>
      <c r="BJ28" s="202"/>
      <c r="BK28" s="204"/>
      <c r="BL28" s="202"/>
      <c r="BO28" s="203">
        <f t="shared" si="8"/>
        <v>0</v>
      </c>
      <c r="BP28" s="202"/>
      <c r="BQ28" s="138"/>
      <c r="BR28" s="139"/>
      <c r="BS28" s="139"/>
      <c r="BT28" s="139"/>
      <c r="BU28" s="139"/>
      <c r="BV28" s="148">
        <v>8</v>
      </c>
      <c r="BW28" s="144">
        <f ca="1">IFERROR(__xludf.DUMMYFUNCTION("COUNTIF(MAP($S$8:$AB$500,LAMBDA(c,IF(TRIM(c)="""","""",MIN(VALUE(SPLIT(SUBSTITUTE(SUBSTITUTE(SUBSTITUTE(c,"" "",""""),""，"","",""),"";"","",""),"","")))))),BV28)"),17)</f>
        <v>17</v>
      </c>
      <c r="BX28" s="145">
        <f t="shared" ca="1" si="14"/>
        <v>7.5892857142857135</v>
      </c>
      <c r="BY28" s="191">
        <f t="shared" ca="1" si="15"/>
        <v>3.4</v>
      </c>
      <c r="BZ28" s="190"/>
      <c r="CA28" s="190"/>
      <c r="CB28" s="190"/>
      <c r="CC28" s="190"/>
      <c r="CD28" s="190"/>
      <c r="CE28" s="139"/>
      <c r="CF28" s="139"/>
      <c r="CG28" s="136"/>
      <c r="CH28" s="139"/>
      <c r="CI28" s="139"/>
      <c r="CJ28" s="139"/>
      <c r="CK28" s="139"/>
    </row>
    <row r="29" spans="1:89" ht="14.25">
      <c r="A29" s="142"/>
      <c r="B29" s="30" t="s">
        <v>72</v>
      </c>
      <c r="C29" s="30" t="s">
        <v>4</v>
      </c>
      <c r="D29" s="137">
        <f t="shared" si="3"/>
        <v>0</v>
      </c>
      <c r="E29" s="207"/>
      <c r="F29" s="202"/>
      <c r="G29" s="207"/>
      <c r="H29" s="202"/>
      <c r="I29" s="207"/>
      <c r="J29" s="202"/>
      <c r="K29" s="207"/>
      <c r="L29" s="202"/>
      <c r="M29" s="207"/>
      <c r="N29" s="202"/>
      <c r="O29" s="201"/>
      <c r="P29" s="202"/>
      <c r="Q29" s="203">
        <f t="shared" si="4"/>
        <v>0</v>
      </c>
      <c r="R29" s="202"/>
      <c r="S29" s="207"/>
      <c r="T29" s="202"/>
      <c r="U29" s="207"/>
      <c r="V29" s="202"/>
      <c r="W29" s="207"/>
      <c r="X29" s="202"/>
      <c r="Y29" s="207"/>
      <c r="Z29" s="202"/>
      <c r="AA29" s="207"/>
      <c r="AB29" s="202"/>
      <c r="AC29" s="208"/>
      <c r="AD29" s="202"/>
      <c r="AE29" s="203">
        <f t="shared" si="5"/>
        <v>0</v>
      </c>
      <c r="AF29" s="202"/>
      <c r="AG29" s="204"/>
      <c r="AH29" s="202"/>
      <c r="AI29" s="204"/>
      <c r="AJ29" s="202"/>
      <c r="AK29" s="204"/>
      <c r="AL29" s="202"/>
      <c r="AM29" s="204"/>
      <c r="AN29" s="202"/>
      <c r="AO29" s="204"/>
      <c r="AP29" s="202"/>
      <c r="AQ29" s="208"/>
      <c r="AR29" s="202"/>
      <c r="AS29" s="203">
        <f t="shared" si="6"/>
        <v>0</v>
      </c>
      <c r="AT29" s="202"/>
      <c r="AU29" s="204"/>
      <c r="AV29" s="202"/>
      <c r="AW29" s="204"/>
      <c r="AX29" s="202"/>
      <c r="AY29" s="204"/>
      <c r="AZ29" s="202"/>
      <c r="BA29" s="204"/>
      <c r="BB29" s="202"/>
      <c r="BC29" s="204"/>
      <c r="BD29" s="202"/>
      <c r="BE29" s="208"/>
      <c r="BF29" s="202"/>
      <c r="BG29" s="203">
        <f t="shared" si="7"/>
        <v>0</v>
      </c>
      <c r="BH29" s="202"/>
      <c r="BI29" s="204"/>
      <c r="BJ29" s="202"/>
      <c r="BK29" s="204"/>
      <c r="BL29" s="202"/>
      <c r="BM29" s="204"/>
      <c r="BN29" s="202"/>
      <c r="BO29" s="203">
        <f t="shared" si="8"/>
        <v>0</v>
      </c>
      <c r="BP29" s="202"/>
      <c r="BQ29" s="138"/>
      <c r="BR29" s="128"/>
      <c r="BS29" s="128"/>
      <c r="BT29" s="128"/>
      <c r="BU29" s="128"/>
      <c r="BV29" s="148">
        <v>10</v>
      </c>
      <c r="BW29" s="144">
        <f ca="1">IFERROR(__xludf.DUMMYFUNCTION("COUNTIF(MAP($S$8:$AB$500,LAMBDA(c,IF(TRIM(c)="""","""",MIN(VALUE(SPLIT(SUBSTITUTE(SUBSTITUTE(SUBSTITUTE(c,"" "",""""),""，"","",""),"";"","",""),"","")))))),BV29)"),30)</f>
        <v>30</v>
      </c>
      <c r="BX29" s="145">
        <f t="shared" ca="1" si="14"/>
        <v>13.392857142857142</v>
      </c>
      <c r="BY29" s="191">
        <f t="shared" ca="1" si="15"/>
        <v>6</v>
      </c>
      <c r="BZ29" s="190"/>
      <c r="CA29" s="190"/>
      <c r="CB29" s="190"/>
      <c r="CC29" s="190"/>
      <c r="CD29" s="190"/>
      <c r="CE29" s="134"/>
      <c r="CF29" s="134"/>
      <c r="CG29" s="134"/>
      <c r="CH29" s="134"/>
      <c r="CI29" s="134"/>
      <c r="CJ29" s="135"/>
      <c r="CK29" s="135"/>
    </row>
    <row r="30" spans="1:89" ht="14.25">
      <c r="A30" s="142"/>
      <c r="B30" s="30" t="s">
        <v>74</v>
      </c>
      <c r="C30" s="30" t="s">
        <v>4</v>
      </c>
      <c r="D30" s="137">
        <f t="shared" si="3"/>
        <v>8</v>
      </c>
      <c r="E30" s="207">
        <v>12</v>
      </c>
      <c r="F30" s="202"/>
      <c r="G30" s="207"/>
      <c r="H30" s="202"/>
      <c r="I30" s="207">
        <v>12</v>
      </c>
      <c r="J30" s="202"/>
      <c r="K30" s="207"/>
      <c r="L30" s="202"/>
      <c r="M30" s="207">
        <v>21</v>
      </c>
      <c r="N30" s="202"/>
      <c r="O30" s="201"/>
      <c r="P30" s="202"/>
      <c r="Q30" s="203">
        <f t="shared" si="4"/>
        <v>3</v>
      </c>
      <c r="R30" s="202"/>
      <c r="S30" s="207">
        <v>18</v>
      </c>
      <c r="T30" s="202"/>
      <c r="U30" s="207">
        <v>8</v>
      </c>
      <c r="V30" s="202"/>
      <c r="W30" s="207">
        <v>21</v>
      </c>
      <c r="X30" s="202"/>
      <c r="Y30" s="207">
        <v>19</v>
      </c>
      <c r="Z30" s="202"/>
      <c r="AA30" s="207"/>
      <c r="AB30" s="202"/>
      <c r="AC30" s="208">
        <v>11</v>
      </c>
      <c r="AD30" s="202"/>
      <c r="AE30" s="203">
        <f t="shared" si="5"/>
        <v>4</v>
      </c>
      <c r="AF30" s="202"/>
      <c r="AG30" s="204"/>
      <c r="AH30" s="202"/>
      <c r="AI30" s="204">
        <v>8</v>
      </c>
      <c r="AJ30" s="202"/>
      <c r="AK30" s="204"/>
      <c r="AL30" s="202"/>
      <c r="AM30" s="204"/>
      <c r="AN30" s="202"/>
      <c r="AO30" s="204"/>
      <c r="AP30" s="202"/>
      <c r="AQ30" s="208"/>
      <c r="AR30" s="202"/>
      <c r="AS30" s="203">
        <f t="shared" si="6"/>
        <v>1</v>
      </c>
      <c r="AT30" s="202"/>
      <c r="AU30" s="204"/>
      <c r="AV30" s="202"/>
      <c r="AW30" s="204"/>
      <c r="AX30" s="202"/>
      <c r="AY30" s="204"/>
      <c r="AZ30" s="202"/>
      <c r="BA30" s="204"/>
      <c r="BB30" s="202"/>
      <c r="BC30" s="204"/>
      <c r="BD30" s="202"/>
      <c r="BE30" s="208"/>
      <c r="BF30" s="202"/>
      <c r="BG30" s="203">
        <f t="shared" si="7"/>
        <v>0</v>
      </c>
      <c r="BH30" s="202"/>
      <c r="BI30" s="204"/>
      <c r="BJ30" s="202"/>
      <c r="BK30" s="204"/>
      <c r="BL30" s="202"/>
      <c r="BM30" s="204"/>
      <c r="BN30" s="202"/>
      <c r="BO30" s="203">
        <f t="shared" si="8"/>
        <v>0</v>
      </c>
      <c r="BP30" s="202"/>
      <c r="BQ30" s="138"/>
      <c r="BR30" s="128"/>
      <c r="BS30" s="128"/>
      <c r="BT30" s="128"/>
      <c r="BU30" s="128"/>
      <c r="BV30" s="148">
        <v>12</v>
      </c>
      <c r="BW30" s="144">
        <f ca="1">IFERROR(__xludf.DUMMYFUNCTION("COUNTIF(MAP($S$8:$AB$500,LAMBDA(c,IF(TRIM(c)="""","""",MIN(VALUE(SPLIT(SUBSTITUTE(SUBSTITUTE(SUBSTITUTE(c,"" "",""""),""，"","",""),"";"","",""),"","")))))),BV30)"),16)</f>
        <v>16</v>
      </c>
      <c r="BX30" s="145">
        <f t="shared" ca="1" si="14"/>
        <v>7.1428571428571423</v>
      </c>
      <c r="BY30" s="191">
        <f t="shared" ca="1" si="15"/>
        <v>3.2</v>
      </c>
      <c r="BZ30" s="190"/>
      <c r="CA30" s="190"/>
      <c r="CB30" s="190"/>
      <c r="CC30" s="190"/>
      <c r="CD30" s="190"/>
      <c r="CE30" s="134"/>
      <c r="CF30" s="134"/>
      <c r="CG30" s="134"/>
      <c r="CH30" s="134"/>
      <c r="CI30" s="134"/>
      <c r="CJ30" s="135"/>
      <c r="CK30" s="135"/>
    </row>
    <row r="31" spans="1:89" ht="14.25">
      <c r="A31" s="136"/>
      <c r="B31" s="30" t="s">
        <v>382</v>
      </c>
      <c r="C31" s="30" t="s">
        <v>4</v>
      </c>
      <c r="D31" s="137">
        <f t="shared" si="3"/>
        <v>6</v>
      </c>
      <c r="E31" s="207">
        <v>12</v>
      </c>
      <c r="F31" s="202"/>
      <c r="G31" s="207">
        <v>10</v>
      </c>
      <c r="H31" s="202"/>
      <c r="I31" s="207"/>
      <c r="J31" s="202"/>
      <c r="K31" s="207"/>
      <c r="L31" s="202"/>
      <c r="M31" s="207"/>
      <c r="N31" s="202"/>
      <c r="O31" s="201"/>
      <c r="P31" s="202"/>
      <c r="Q31" s="203">
        <f t="shared" si="4"/>
        <v>2</v>
      </c>
      <c r="R31" s="202"/>
      <c r="S31" s="207">
        <v>10</v>
      </c>
      <c r="T31" s="202"/>
      <c r="U31" s="207"/>
      <c r="V31" s="202"/>
      <c r="W31" s="207"/>
      <c r="X31" s="202"/>
      <c r="Y31" s="207"/>
      <c r="Z31" s="202"/>
      <c r="AA31" s="207"/>
      <c r="AB31" s="202"/>
      <c r="AC31" s="208"/>
      <c r="AD31" s="202"/>
      <c r="AE31" s="203">
        <f t="shared" si="5"/>
        <v>1</v>
      </c>
      <c r="AF31" s="202"/>
      <c r="AG31" s="204">
        <v>21</v>
      </c>
      <c r="AH31" s="202"/>
      <c r="AI31" s="204"/>
      <c r="AJ31" s="202"/>
      <c r="AK31" s="204"/>
      <c r="AL31" s="202"/>
      <c r="AM31" s="204"/>
      <c r="AN31" s="202"/>
      <c r="AO31" s="204">
        <v>21</v>
      </c>
      <c r="AP31" s="202"/>
      <c r="AQ31" s="208"/>
      <c r="AR31" s="202"/>
      <c r="AS31" s="203">
        <f t="shared" si="6"/>
        <v>2</v>
      </c>
      <c r="AT31" s="202"/>
      <c r="AU31" s="204"/>
      <c r="AV31" s="202"/>
      <c r="AW31" s="204"/>
      <c r="AX31" s="202"/>
      <c r="AY31" s="204">
        <v>21</v>
      </c>
      <c r="AZ31" s="202"/>
      <c r="BA31" s="204"/>
      <c r="BB31" s="202"/>
      <c r="BC31" s="204"/>
      <c r="BD31" s="202"/>
      <c r="BE31" s="208">
        <v>11</v>
      </c>
      <c r="BF31" s="202"/>
      <c r="BG31" s="203">
        <f t="shared" si="7"/>
        <v>1</v>
      </c>
      <c r="BH31" s="202"/>
      <c r="BI31" s="204"/>
      <c r="BJ31" s="202"/>
      <c r="BK31" s="204"/>
      <c r="BL31" s="202"/>
      <c r="BM31" s="204"/>
      <c r="BN31" s="202"/>
      <c r="BO31" s="203">
        <f t="shared" si="8"/>
        <v>0</v>
      </c>
      <c r="BP31" s="202"/>
      <c r="BQ31" s="138"/>
      <c r="BR31" s="139"/>
      <c r="BS31" s="139"/>
      <c r="BT31" s="139"/>
      <c r="BU31" s="139"/>
      <c r="BV31" s="148">
        <v>17</v>
      </c>
      <c r="BW31" s="144">
        <f ca="1">IFERROR(__xludf.DUMMYFUNCTION("COUNTIF(MAP($S$8:$AB$500,LAMBDA(c,IF(TRIM(c)="""","""",MIN(VALUE(SPLIT(SUBSTITUTE(SUBSTITUTE(SUBSTITUTE(c,"" "",""""),""，"","",""),"";"","",""),"","")))))),BV31)"),35)</f>
        <v>35</v>
      </c>
      <c r="BX31" s="145">
        <f t="shared" ca="1" si="14"/>
        <v>15.625</v>
      </c>
      <c r="BY31" s="191">
        <f t="shared" ca="1" si="15"/>
        <v>7</v>
      </c>
      <c r="BZ31" s="190"/>
      <c r="CA31" s="190"/>
      <c r="CB31" s="190"/>
      <c r="CC31" s="190"/>
      <c r="CD31" s="190"/>
      <c r="CE31" s="139"/>
      <c r="CF31" s="139"/>
      <c r="CG31" s="139"/>
      <c r="CH31" s="139"/>
      <c r="CI31" s="139"/>
      <c r="CJ31" s="139"/>
      <c r="CK31" s="139"/>
    </row>
    <row r="32" spans="1:89" ht="14.25">
      <c r="A32" s="142"/>
      <c r="B32" s="30" t="s">
        <v>380</v>
      </c>
      <c r="C32" s="30" t="s">
        <v>4</v>
      </c>
      <c r="D32" s="137">
        <f t="shared" si="3"/>
        <v>0</v>
      </c>
      <c r="E32" s="207"/>
      <c r="F32" s="202"/>
      <c r="G32" s="207"/>
      <c r="H32" s="202"/>
      <c r="I32" s="207"/>
      <c r="J32" s="202"/>
      <c r="K32" s="207"/>
      <c r="L32" s="202"/>
      <c r="M32" s="207"/>
      <c r="N32" s="202"/>
      <c r="O32" s="201"/>
      <c r="P32" s="202"/>
      <c r="Q32" s="203">
        <f t="shared" si="4"/>
        <v>0</v>
      </c>
      <c r="R32" s="202"/>
      <c r="S32" s="207"/>
      <c r="T32" s="202"/>
      <c r="U32" s="207"/>
      <c r="V32" s="202"/>
      <c r="W32" s="207"/>
      <c r="X32" s="202"/>
      <c r="Y32" s="207"/>
      <c r="Z32" s="202"/>
      <c r="AA32" s="207"/>
      <c r="AB32" s="202"/>
      <c r="AC32" s="208"/>
      <c r="AD32" s="202"/>
      <c r="AE32" s="203">
        <f t="shared" si="5"/>
        <v>0</v>
      </c>
      <c r="AF32" s="202"/>
      <c r="AG32" s="204"/>
      <c r="AH32" s="202"/>
      <c r="AI32" s="204"/>
      <c r="AJ32" s="202"/>
      <c r="AK32" s="204"/>
      <c r="AL32" s="202"/>
      <c r="AM32" s="204"/>
      <c r="AN32" s="202"/>
      <c r="AO32" s="204"/>
      <c r="AP32" s="202"/>
      <c r="AQ32" s="208"/>
      <c r="AR32" s="202"/>
      <c r="AS32" s="203">
        <f t="shared" si="6"/>
        <v>0</v>
      </c>
      <c r="AT32" s="202"/>
      <c r="AU32" s="204"/>
      <c r="AV32" s="202"/>
      <c r="AW32" s="204"/>
      <c r="AX32" s="202"/>
      <c r="AY32" s="204"/>
      <c r="AZ32" s="202"/>
      <c r="BA32" s="204"/>
      <c r="BB32" s="202"/>
      <c r="BC32" s="204"/>
      <c r="BD32" s="202"/>
      <c r="BE32" s="208"/>
      <c r="BF32" s="202"/>
      <c r="BG32" s="203">
        <f t="shared" si="7"/>
        <v>0</v>
      </c>
      <c r="BH32" s="202"/>
      <c r="BI32" s="204"/>
      <c r="BJ32" s="202"/>
      <c r="BK32" s="204"/>
      <c r="BL32" s="202"/>
      <c r="BM32" s="204"/>
      <c r="BN32" s="202"/>
      <c r="BO32" s="203">
        <f t="shared" si="8"/>
        <v>0</v>
      </c>
      <c r="BP32" s="202"/>
      <c r="BQ32" s="138"/>
      <c r="BR32" s="128"/>
      <c r="BS32" s="128"/>
      <c r="BT32" s="128"/>
      <c r="BU32" s="128"/>
      <c r="BV32" s="148">
        <v>18</v>
      </c>
      <c r="BW32" s="144">
        <f ca="1">IFERROR(__xludf.DUMMYFUNCTION("COUNTIF(MAP($S$8:$AB$500,LAMBDA(c,IF(TRIM(c)="""","""",MIN(VALUE(SPLIT(SUBSTITUTE(SUBSTITUTE(SUBSTITUTE(c,"" "",""""),""，"","",""),"";"","",""),"","")))))),BV32)"),20)</f>
        <v>20</v>
      </c>
      <c r="BX32" s="145">
        <f t="shared" ca="1" si="14"/>
        <v>8.9285714285714288</v>
      </c>
      <c r="BY32" s="191">
        <f t="shared" ca="1" si="15"/>
        <v>4</v>
      </c>
      <c r="BZ32" s="190"/>
      <c r="CA32" s="190"/>
      <c r="CB32" s="190"/>
      <c r="CC32" s="190"/>
      <c r="CD32" s="190"/>
      <c r="CE32" s="134"/>
      <c r="CF32" s="134"/>
      <c r="CG32" s="134"/>
      <c r="CH32" s="134"/>
      <c r="CI32" s="134"/>
      <c r="CJ32" s="135"/>
      <c r="CK32" s="135"/>
    </row>
    <row r="33" spans="1:89" ht="14.25">
      <c r="A33" s="142"/>
      <c r="B33" s="30" t="s">
        <v>78</v>
      </c>
      <c r="C33" s="30" t="s">
        <v>4</v>
      </c>
      <c r="D33" s="137">
        <f t="shared" si="3"/>
        <v>5</v>
      </c>
      <c r="E33" s="207"/>
      <c r="F33" s="202"/>
      <c r="G33" s="207"/>
      <c r="H33" s="202"/>
      <c r="I33" s="207"/>
      <c r="J33" s="202"/>
      <c r="K33" s="207"/>
      <c r="L33" s="202"/>
      <c r="M33" s="207">
        <v>12</v>
      </c>
      <c r="N33" s="202"/>
      <c r="O33" s="201"/>
      <c r="P33" s="202"/>
      <c r="Q33" s="203">
        <f t="shared" si="4"/>
        <v>1</v>
      </c>
      <c r="R33" s="202"/>
      <c r="S33" s="207">
        <v>12</v>
      </c>
      <c r="T33" s="202"/>
      <c r="U33" s="207"/>
      <c r="V33" s="202"/>
      <c r="W33" s="207"/>
      <c r="X33" s="202"/>
      <c r="Y33" s="207"/>
      <c r="Z33" s="202"/>
      <c r="AA33" s="207"/>
      <c r="AB33" s="202"/>
      <c r="AC33" s="208"/>
      <c r="AD33" s="202"/>
      <c r="AE33" s="203">
        <f t="shared" si="5"/>
        <v>1</v>
      </c>
      <c r="AF33" s="202"/>
      <c r="AG33" s="204"/>
      <c r="AH33" s="202"/>
      <c r="AI33" s="204"/>
      <c r="AJ33" s="202"/>
      <c r="AK33" s="204"/>
      <c r="AL33" s="202"/>
      <c r="AM33" s="204">
        <v>10</v>
      </c>
      <c r="AN33" s="202"/>
      <c r="AO33" s="204"/>
      <c r="AP33" s="202"/>
      <c r="AQ33" s="208"/>
      <c r="AR33" s="202"/>
      <c r="AS33" s="203">
        <f t="shared" si="6"/>
        <v>1</v>
      </c>
      <c r="AT33" s="202"/>
      <c r="AU33" s="204"/>
      <c r="AV33" s="202"/>
      <c r="AW33" s="204">
        <v>12</v>
      </c>
      <c r="AX33" s="202"/>
      <c r="AY33" s="204"/>
      <c r="AZ33" s="202"/>
      <c r="BA33" s="204"/>
      <c r="BB33" s="202"/>
      <c r="BC33" s="204"/>
      <c r="BD33" s="202"/>
      <c r="BE33" s="208"/>
      <c r="BF33" s="202"/>
      <c r="BG33" s="203">
        <f t="shared" si="7"/>
        <v>1</v>
      </c>
      <c r="BH33" s="202"/>
      <c r="BI33" s="204">
        <v>12</v>
      </c>
      <c r="BJ33" s="202"/>
      <c r="BK33" s="204"/>
      <c r="BL33" s="202"/>
      <c r="BM33" s="204"/>
      <c r="BN33" s="202"/>
      <c r="BO33" s="203">
        <f t="shared" si="8"/>
        <v>1</v>
      </c>
      <c r="BP33" s="202"/>
      <c r="BQ33" s="138"/>
      <c r="BR33" s="154"/>
      <c r="BS33" s="154"/>
      <c r="BT33" s="154"/>
      <c r="BU33" s="154"/>
      <c r="BV33" s="148">
        <v>19</v>
      </c>
      <c r="BW33" s="144">
        <f ca="1">IFERROR(__xludf.DUMMYFUNCTION("COUNTIF(MAP($S$8:$AB$500,LAMBDA(c,IF(TRIM(c)="""","""",MIN(VALUE(SPLIT(SUBSTITUTE(SUBSTITUTE(SUBSTITUTE(c,"" "",""""),""，"","",""),"";"","",""),"","")))))),BV33)"),28)</f>
        <v>28</v>
      </c>
      <c r="BX33" s="145">
        <f t="shared" ca="1" si="14"/>
        <v>12.5</v>
      </c>
      <c r="BY33" s="191">
        <f t="shared" ca="1" si="15"/>
        <v>5.6</v>
      </c>
      <c r="BZ33" s="190"/>
      <c r="CA33" s="190"/>
      <c r="CB33" s="190"/>
      <c r="CC33" s="190"/>
      <c r="CD33" s="190"/>
      <c r="CE33" s="155"/>
      <c r="CF33" s="155"/>
      <c r="CG33" s="155"/>
      <c r="CH33" s="155"/>
      <c r="CI33" s="155"/>
      <c r="CJ33" s="156"/>
      <c r="CK33" s="156"/>
    </row>
    <row r="34" spans="1:89" ht="14.25">
      <c r="A34" s="142"/>
      <c r="B34" s="30" t="s">
        <v>80</v>
      </c>
      <c r="C34" s="30" t="s">
        <v>4</v>
      </c>
      <c r="D34" s="137">
        <f t="shared" si="3"/>
        <v>12</v>
      </c>
      <c r="E34" s="207">
        <v>10</v>
      </c>
      <c r="F34" s="202"/>
      <c r="G34" s="207">
        <v>10</v>
      </c>
      <c r="H34" s="202"/>
      <c r="I34" s="207"/>
      <c r="J34" s="202"/>
      <c r="K34" s="207"/>
      <c r="L34" s="202"/>
      <c r="M34" s="207">
        <v>10</v>
      </c>
      <c r="N34" s="202"/>
      <c r="O34" s="201"/>
      <c r="P34" s="202"/>
      <c r="Q34" s="203">
        <f t="shared" si="4"/>
        <v>3</v>
      </c>
      <c r="R34" s="202"/>
      <c r="S34" s="207"/>
      <c r="T34" s="202"/>
      <c r="U34" s="207">
        <v>10</v>
      </c>
      <c r="V34" s="202"/>
      <c r="W34" s="207"/>
      <c r="X34" s="202"/>
      <c r="Y34" s="207"/>
      <c r="Z34" s="202"/>
      <c r="AA34" s="207"/>
      <c r="AB34" s="202"/>
      <c r="AC34" s="208"/>
      <c r="AD34" s="202"/>
      <c r="AE34" s="203">
        <f t="shared" si="5"/>
        <v>1</v>
      </c>
      <c r="AF34" s="202"/>
      <c r="AG34" s="204">
        <v>17</v>
      </c>
      <c r="AH34" s="202"/>
      <c r="AI34" s="204">
        <v>17</v>
      </c>
      <c r="AJ34" s="202"/>
      <c r="AK34" s="204"/>
      <c r="AL34" s="202"/>
      <c r="AM34" s="204">
        <v>17</v>
      </c>
      <c r="AN34" s="202"/>
      <c r="AO34" s="204">
        <v>17</v>
      </c>
      <c r="AP34" s="202"/>
      <c r="AQ34" s="208"/>
      <c r="AR34" s="202"/>
      <c r="AS34" s="203">
        <f t="shared" si="6"/>
        <v>4</v>
      </c>
      <c r="AT34" s="202"/>
      <c r="AU34" s="204">
        <v>17</v>
      </c>
      <c r="AV34" s="202"/>
      <c r="AW34" s="204"/>
      <c r="AX34" s="202"/>
      <c r="AY34" s="204"/>
      <c r="AZ34" s="202"/>
      <c r="BA34" s="204"/>
      <c r="BB34" s="202"/>
      <c r="BC34" s="204">
        <v>17</v>
      </c>
      <c r="BD34" s="202"/>
      <c r="BE34" s="208"/>
      <c r="BF34" s="202"/>
      <c r="BG34" s="203">
        <f t="shared" si="7"/>
        <v>2</v>
      </c>
      <c r="BH34" s="202"/>
      <c r="BI34" s="204">
        <v>17</v>
      </c>
      <c r="BJ34" s="202"/>
      <c r="BK34" s="204">
        <v>19</v>
      </c>
      <c r="BL34" s="202"/>
      <c r="BM34" s="204"/>
      <c r="BN34" s="202"/>
      <c r="BO34" s="203">
        <f t="shared" si="8"/>
        <v>2</v>
      </c>
      <c r="BP34" s="202"/>
      <c r="BQ34" s="138"/>
      <c r="BR34" s="128"/>
      <c r="BS34" s="128"/>
      <c r="BT34" s="128"/>
      <c r="BU34" s="128"/>
      <c r="BV34" s="148">
        <v>20</v>
      </c>
      <c r="BW34" s="144">
        <f ca="1">IFERROR(__xludf.DUMMYFUNCTION("COUNTIF(MAP($S$8:$AB$500,LAMBDA(c,IF(TRIM(c)="""","""",MIN(VALUE(SPLIT(SUBSTITUTE(SUBSTITUTE(SUBSTITUTE(c,"" "",""""),""，"","",""),"";"","",""),"","")))))),BV34)"),33)</f>
        <v>33</v>
      </c>
      <c r="BX34" s="145">
        <f t="shared" ca="1" si="14"/>
        <v>14.732142857142858</v>
      </c>
      <c r="BY34" s="191">
        <f t="shared" ca="1" si="15"/>
        <v>6.6</v>
      </c>
      <c r="BZ34" s="190"/>
      <c r="CA34" s="190"/>
      <c r="CB34" s="190"/>
      <c r="CC34" s="190"/>
      <c r="CD34" s="190"/>
      <c r="CE34" s="134"/>
      <c r="CF34" s="134"/>
      <c r="CG34" s="134"/>
      <c r="CH34" s="134"/>
      <c r="CI34" s="134"/>
      <c r="CJ34" s="135"/>
      <c r="CK34" s="135"/>
    </row>
    <row r="35" spans="1:89" ht="14.25">
      <c r="A35" s="142"/>
      <c r="B35" s="30" t="s">
        <v>82</v>
      </c>
      <c r="C35" s="30" t="s">
        <v>4</v>
      </c>
      <c r="D35" s="137">
        <f t="shared" si="3"/>
        <v>7</v>
      </c>
      <c r="E35" s="207">
        <v>17</v>
      </c>
      <c r="F35" s="202"/>
      <c r="G35" s="207">
        <v>12</v>
      </c>
      <c r="H35" s="202"/>
      <c r="I35" s="207"/>
      <c r="J35" s="202"/>
      <c r="K35" s="207"/>
      <c r="L35" s="202"/>
      <c r="M35" s="207"/>
      <c r="N35" s="202"/>
      <c r="O35" s="201"/>
      <c r="P35" s="202"/>
      <c r="Q35" s="203">
        <f t="shared" si="4"/>
        <v>2</v>
      </c>
      <c r="R35" s="202"/>
      <c r="S35" s="207"/>
      <c r="T35" s="202"/>
      <c r="U35" s="207">
        <v>17</v>
      </c>
      <c r="V35" s="202"/>
      <c r="W35" s="207"/>
      <c r="X35" s="202"/>
      <c r="Y35" s="207"/>
      <c r="Z35" s="202"/>
      <c r="AA35" s="207"/>
      <c r="AB35" s="202"/>
      <c r="AC35" s="208"/>
      <c r="AD35" s="202"/>
      <c r="AE35" s="203">
        <f t="shared" si="5"/>
        <v>1</v>
      </c>
      <c r="AF35" s="202"/>
      <c r="AG35" s="204"/>
      <c r="AH35" s="202"/>
      <c r="AI35" s="204">
        <v>18</v>
      </c>
      <c r="AJ35" s="202"/>
      <c r="AK35" s="204">
        <v>17</v>
      </c>
      <c r="AL35" s="202"/>
      <c r="AM35" s="204"/>
      <c r="AN35" s="202"/>
      <c r="AO35" s="204">
        <v>12</v>
      </c>
      <c r="AP35" s="202"/>
      <c r="AQ35" s="208"/>
      <c r="AR35" s="202"/>
      <c r="AS35" s="203">
        <f t="shared" si="6"/>
        <v>3</v>
      </c>
      <c r="AT35" s="202"/>
      <c r="AU35" s="204"/>
      <c r="AV35" s="202"/>
      <c r="AW35" s="204"/>
      <c r="AX35" s="202"/>
      <c r="AY35" s="204"/>
      <c r="AZ35" s="202"/>
      <c r="BA35" s="204"/>
      <c r="BB35" s="202"/>
      <c r="BC35" s="204"/>
      <c r="BD35" s="202"/>
      <c r="BE35" s="208"/>
      <c r="BF35" s="202"/>
      <c r="BG35" s="203">
        <f t="shared" si="7"/>
        <v>0</v>
      </c>
      <c r="BH35" s="202"/>
      <c r="BI35" s="204"/>
      <c r="BJ35" s="202"/>
      <c r="BK35" s="235" t="s">
        <v>446</v>
      </c>
      <c r="BL35" s="202"/>
      <c r="BM35" s="204"/>
      <c r="BN35" s="202"/>
      <c r="BO35" s="203">
        <f t="shared" si="8"/>
        <v>1</v>
      </c>
      <c r="BP35" s="202"/>
      <c r="BQ35" s="138"/>
      <c r="BR35" s="128"/>
      <c r="BS35" s="128"/>
      <c r="BT35" s="128"/>
      <c r="BU35" s="128"/>
      <c r="BV35" s="148">
        <v>21</v>
      </c>
      <c r="BW35" s="144">
        <f ca="1">IFERROR(__xludf.DUMMYFUNCTION("COUNTIF(MAP($S$8:$AB$500,LAMBDA(c,IF(TRIM(c)="""","""",MIN(VALUE(SPLIT(SUBSTITUTE(SUBSTITUTE(SUBSTITUTE(c,"" "",""""),""，"","",""),"";"","",""),"","")))))),BV35)"),27)</f>
        <v>27</v>
      </c>
      <c r="BX35" s="145">
        <f t="shared" ca="1" si="14"/>
        <v>12.053571428571429</v>
      </c>
      <c r="BY35" s="191">
        <f t="shared" ca="1" si="15"/>
        <v>5.4</v>
      </c>
      <c r="BZ35" s="190"/>
      <c r="CA35" s="190"/>
      <c r="CB35" s="190"/>
      <c r="CC35" s="190"/>
      <c r="CD35" s="190"/>
      <c r="CE35" s="134"/>
      <c r="CF35" s="134"/>
      <c r="CG35" s="134"/>
      <c r="CH35" s="134"/>
      <c r="CI35" s="134"/>
      <c r="CJ35" s="135"/>
      <c r="CK35" s="135"/>
    </row>
    <row r="36" spans="1:89" ht="14.25">
      <c r="A36" s="136"/>
      <c r="B36" s="30" t="s">
        <v>84</v>
      </c>
      <c r="C36" s="30" t="s">
        <v>4</v>
      </c>
      <c r="D36" s="137">
        <f t="shared" si="3"/>
        <v>10</v>
      </c>
      <c r="E36" s="207">
        <v>12</v>
      </c>
      <c r="F36" s="202"/>
      <c r="G36" s="207"/>
      <c r="H36" s="202"/>
      <c r="I36" s="207">
        <v>12</v>
      </c>
      <c r="J36" s="202"/>
      <c r="K36" s="207"/>
      <c r="L36" s="202"/>
      <c r="M36" s="207">
        <v>17</v>
      </c>
      <c r="N36" s="202"/>
      <c r="O36" s="201"/>
      <c r="P36" s="202"/>
      <c r="Q36" s="203">
        <f t="shared" si="4"/>
        <v>3</v>
      </c>
      <c r="R36" s="202"/>
      <c r="S36" s="207">
        <v>12</v>
      </c>
      <c r="T36" s="202"/>
      <c r="U36" s="207"/>
      <c r="V36" s="202"/>
      <c r="W36" s="207">
        <v>12</v>
      </c>
      <c r="X36" s="202"/>
      <c r="Y36" s="207"/>
      <c r="Z36" s="202"/>
      <c r="AA36" s="207">
        <v>10</v>
      </c>
      <c r="AB36" s="202"/>
      <c r="AC36" s="208"/>
      <c r="AD36" s="202"/>
      <c r="AE36" s="203">
        <f t="shared" si="5"/>
        <v>3</v>
      </c>
      <c r="AF36" s="202"/>
      <c r="AG36" s="204">
        <v>12</v>
      </c>
      <c r="AH36" s="202"/>
      <c r="AI36" s="204"/>
      <c r="AJ36" s="202"/>
      <c r="AK36" s="204"/>
      <c r="AL36" s="202"/>
      <c r="AM36" s="204"/>
      <c r="AN36" s="202"/>
      <c r="AO36" s="204"/>
      <c r="AP36" s="202"/>
      <c r="AQ36" s="208"/>
      <c r="AR36" s="202"/>
      <c r="AS36" s="203">
        <f t="shared" si="6"/>
        <v>1</v>
      </c>
      <c r="AT36" s="202"/>
      <c r="AU36" s="204">
        <v>12</v>
      </c>
      <c r="AV36" s="202"/>
      <c r="AW36" s="204"/>
      <c r="AX36" s="202"/>
      <c r="AY36" s="204">
        <v>12</v>
      </c>
      <c r="AZ36" s="202"/>
      <c r="BA36" s="204"/>
      <c r="BB36" s="202"/>
      <c r="BC36" s="204"/>
      <c r="BD36" s="202"/>
      <c r="BE36" s="208"/>
      <c r="BF36" s="202"/>
      <c r="BG36" s="203">
        <f t="shared" si="7"/>
        <v>2</v>
      </c>
      <c r="BH36" s="202"/>
      <c r="BI36" s="204"/>
      <c r="BJ36" s="202"/>
      <c r="BK36" s="204"/>
      <c r="BL36" s="202"/>
      <c r="BM36" s="204">
        <v>12</v>
      </c>
      <c r="BN36" s="202"/>
      <c r="BO36" s="203">
        <f t="shared" si="8"/>
        <v>1</v>
      </c>
      <c r="BP36" s="202"/>
      <c r="BQ36" s="138"/>
      <c r="BR36" s="139"/>
      <c r="BS36" s="139"/>
      <c r="BT36" s="139"/>
      <c r="BU36" s="139"/>
      <c r="BV36" s="192">
        <v>11</v>
      </c>
      <c r="BW36" s="193">
        <f ca="1">IFERROR(__xludf.DUMMYFUNCTION("COUNTIF(MAP($AC$8:$AD$500,LAMBDA(c,IF(TRIM(c)="""","""",MIN(VALUE(SPLIT(SUBSTITUTE(SUBSTITUTE(SUBSTITUTE(c,"" "",""""),""，"","",""),"";"","",""),"","")))))),BV36)"),8)</f>
        <v>8</v>
      </c>
      <c r="BX36" s="194" t="s">
        <v>323</v>
      </c>
      <c r="BY36" s="195">
        <f t="shared" ref="BY36:BY37" ca="1" si="16">BW36</f>
        <v>8</v>
      </c>
      <c r="BZ36" s="190"/>
      <c r="CA36" s="190"/>
      <c r="CB36" s="190"/>
      <c r="CC36" s="190"/>
      <c r="CD36" s="190"/>
      <c r="CE36" s="139"/>
      <c r="CF36" s="139"/>
      <c r="CG36" s="136"/>
      <c r="CH36" s="139"/>
      <c r="CI36" s="139"/>
      <c r="CJ36" s="139"/>
      <c r="CK36" s="139"/>
    </row>
    <row r="37" spans="1:89" ht="14.25">
      <c r="A37" s="142"/>
      <c r="B37" s="30" t="s">
        <v>86</v>
      </c>
      <c r="C37" s="30" t="s">
        <v>4</v>
      </c>
      <c r="D37" s="137">
        <f t="shared" si="3"/>
        <v>0</v>
      </c>
      <c r="E37" s="207"/>
      <c r="F37" s="202"/>
      <c r="G37" s="207"/>
      <c r="H37" s="202"/>
      <c r="I37" s="207"/>
      <c r="J37" s="202"/>
      <c r="K37" s="207"/>
      <c r="L37" s="202"/>
      <c r="M37" s="207"/>
      <c r="N37" s="202"/>
      <c r="O37" s="201"/>
      <c r="P37" s="202"/>
      <c r="Q37" s="203">
        <f t="shared" si="4"/>
        <v>0</v>
      </c>
      <c r="R37" s="202"/>
      <c r="S37" s="207"/>
      <c r="T37" s="202"/>
      <c r="U37" s="207"/>
      <c r="V37" s="202"/>
      <c r="W37" s="207"/>
      <c r="X37" s="202"/>
      <c r="Y37" s="207"/>
      <c r="Z37" s="202"/>
      <c r="AA37" s="207"/>
      <c r="AB37" s="202"/>
      <c r="AC37" s="208"/>
      <c r="AD37" s="202"/>
      <c r="AE37" s="203">
        <f t="shared" si="5"/>
        <v>0</v>
      </c>
      <c r="AF37" s="202"/>
      <c r="AG37" s="204"/>
      <c r="AH37" s="202"/>
      <c r="AI37" s="204"/>
      <c r="AJ37" s="202"/>
      <c r="AK37" s="204"/>
      <c r="AL37" s="202"/>
      <c r="AM37" s="204"/>
      <c r="AN37" s="202"/>
      <c r="AO37" s="204"/>
      <c r="AP37" s="202"/>
      <c r="AQ37" s="208"/>
      <c r="AR37" s="202"/>
      <c r="AS37" s="203">
        <f t="shared" si="6"/>
        <v>0</v>
      </c>
      <c r="AT37" s="202"/>
      <c r="AU37" s="204"/>
      <c r="AV37" s="202"/>
      <c r="AW37" s="204"/>
      <c r="AX37" s="202"/>
      <c r="AY37" s="204"/>
      <c r="AZ37" s="202"/>
      <c r="BA37" s="204"/>
      <c r="BB37" s="202"/>
      <c r="BC37" s="204"/>
      <c r="BD37" s="202"/>
      <c r="BE37" s="208"/>
      <c r="BF37" s="202"/>
      <c r="BG37" s="203">
        <f t="shared" si="7"/>
        <v>0</v>
      </c>
      <c r="BH37" s="202"/>
      <c r="BI37" s="204"/>
      <c r="BJ37" s="202"/>
      <c r="BK37" s="204"/>
      <c r="BL37" s="202"/>
      <c r="BM37" s="204"/>
      <c r="BN37" s="202"/>
      <c r="BO37" s="203">
        <f t="shared" si="8"/>
        <v>0</v>
      </c>
      <c r="BP37" s="202"/>
      <c r="BQ37" s="138"/>
      <c r="BR37" s="128"/>
      <c r="BS37" s="128"/>
      <c r="BT37" s="128"/>
      <c r="BU37" s="128"/>
      <c r="BV37" s="192">
        <v>13</v>
      </c>
      <c r="BW37" s="193">
        <f ca="1">IFERROR(__xludf.DUMMYFUNCTION("COUNTIF(MAP($AC$8:$AD$500,LAMBDA(c,IF(TRIM(c)="""","""",MIN(VALUE(SPLIT(SUBSTITUTE(SUBSTITUTE(SUBSTITUTE(c,"" "",""""),""，"","",""),"";"","",""),"","")))))),BV37)"),8)</f>
        <v>8</v>
      </c>
      <c r="BX37" s="194" t="s">
        <v>323</v>
      </c>
      <c r="BY37" s="195">
        <f t="shared" ca="1" si="16"/>
        <v>8</v>
      </c>
      <c r="BZ37" s="190"/>
      <c r="CA37" s="190"/>
      <c r="CB37" s="190"/>
      <c r="CC37" s="190"/>
      <c r="CD37" s="190"/>
      <c r="CE37" s="134"/>
      <c r="CF37" s="134"/>
      <c r="CG37" s="134"/>
      <c r="CH37" s="134"/>
      <c r="CI37" s="134"/>
      <c r="CJ37" s="135"/>
      <c r="CK37" s="135"/>
    </row>
    <row r="38" spans="1:89" ht="14.25">
      <c r="A38" s="142"/>
      <c r="B38" s="30" t="s">
        <v>88</v>
      </c>
      <c r="C38" s="30" t="s">
        <v>4</v>
      </c>
      <c r="D38" s="137">
        <f t="shared" si="3"/>
        <v>10</v>
      </c>
      <c r="E38" s="207">
        <v>12</v>
      </c>
      <c r="F38" s="202"/>
      <c r="G38" s="207">
        <v>12</v>
      </c>
      <c r="H38" s="202"/>
      <c r="I38" s="207">
        <v>12</v>
      </c>
      <c r="J38" s="202"/>
      <c r="K38" s="207">
        <v>10</v>
      </c>
      <c r="L38" s="202"/>
      <c r="M38" s="207">
        <v>17</v>
      </c>
      <c r="N38" s="202"/>
      <c r="O38" s="201">
        <v>11</v>
      </c>
      <c r="P38" s="202"/>
      <c r="Q38" s="203">
        <f t="shared" si="4"/>
        <v>5</v>
      </c>
      <c r="R38" s="202"/>
      <c r="S38" s="207"/>
      <c r="T38" s="202"/>
      <c r="U38" s="207">
        <v>8</v>
      </c>
      <c r="V38" s="202"/>
      <c r="W38" s="207"/>
      <c r="X38" s="202"/>
      <c r="Y38" s="207"/>
      <c r="Z38" s="202"/>
      <c r="AA38" s="207">
        <v>12</v>
      </c>
      <c r="AB38" s="202"/>
      <c r="AC38" s="208"/>
      <c r="AD38" s="202"/>
      <c r="AE38" s="203">
        <f t="shared" si="5"/>
        <v>2</v>
      </c>
      <c r="AF38" s="202"/>
      <c r="AG38" s="204"/>
      <c r="AH38" s="202"/>
      <c r="AI38" s="204"/>
      <c r="AJ38" s="202"/>
      <c r="AK38" s="204"/>
      <c r="AL38" s="202"/>
      <c r="AM38" s="204"/>
      <c r="AN38" s="202"/>
      <c r="AO38" s="204"/>
      <c r="AP38" s="202"/>
      <c r="AQ38" s="208">
        <v>13</v>
      </c>
      <c r="AR38" s="202"/>
      <c r="AS38" s="203">
        <f t="shared" si="6"/>
        <v>0</v>
      </c>
      <c r="AT38" s="202"/>
      <c r="AU38" s="204"/>
      <c r="AV38" s="202"/>
      <c r="AW38" s="204">
        <v>18</v>
      </c>
      <c r="AX38" s="202"/>
      <c r="AY38" s="204"/>
      <c r="AZ38" s="202"/>
      <c r="BA38" s="204"/>
      <c r="BB38" s="202"/>
      <c r="BC38" s="204">
        <v>7</v>
      </c>
      <c r="BD38" s="202"/>
      <c r="BE38" s="208">
        <v>13</v>
      </c>
      <c r="BF38" s="202"/>
      <c r="BG38" s="203">
        <f t="shared" si="7"/>
        <v>2</v>
      </c>
      <c r="BH38" s="202"/>
      <c r="BI38" s="204"/>
      <c r="BJ38" s="202"/>
      <c r="BK38" s="204">
        <v>17</v>
      </c>
      <c r="BL38" s="202"/>
      <c r="BM38" s="204"/>
      <c r="BN38" s="202"/>
      <c r="BO38" s="203">
        <f t="shared" si="8"/>
        <v>1</v>
      </c>
      <c r="BP38" s="202"/>
      <c r="BQ38" s="138"/>
      <c r="BR38" s="128"/>
      <c r="BS38" s="128"/>
      <c r="BT38" s="128"/>
      <c r="BU38" s="128"/>
      <c r="BZ38" s="190"/>
      <c r="CA38" s="190"/>
      <c r="CB38" s="190"/>
      <c r="CC38" s="190"/>
      <c r="CD38" s="190"/>
      <c r="CE38" s="134"/>
      <c r="CF38" s="134"/>
      <c r="CG38" s="157"/>
      <c r="CH38" s="134"/>
      <c r="CI38" s="134"/>
      <c r="CJ38" s="135"/>
      <c r="CK38" s="135"/>
    </row>
    <row r="39" spans="1:89" ht="14.25">
      <c r="A39" s="142"/>
      <c r="B39" s="30" t="s">
        <v>91</v>
      </c>
      <c r="C39" s="30" t="s">
        <v>4</v>
      </c>
      <c r="D39" s="137">
        <f t="shared" si="3"/>
        <v>12</v>
      </c>
      <c r="E39" s="207"/>
      <c r="F39" s="202"/>
      <c r="G39" s="207"/>
      <c r="H39" s="202"/>
      <c r="I39" s="207">
        <v>7</v>
      </c>
      <c r="J39" s="202"/>
      <c r="K39" s="207">
        <v>7</v>
      </c>
      <c r="L39" s="202"/>
      <c r="M39" s="207">
        <v>7</v>
      </c>
      <c r="N39" s="202"/>
      <c r="O39" s="201"/>
      <c r="P39" s="202"/>
      <c r="Q39" s="203">
        <f t="shared" si="4"/>
        <v>3</v>
      </c>
      <c r="R39" s="202"/>
      <c r="S39" s="207"/>
      <c r="T39" s="202"/>
      <c r="U39" s="207"/>
      <c r="V39" s="202"/>
      <c r="W39" s="207">
        <v>7</v>
      </c>
      <c r="X39" s="202"/>
      <c r="Y39" s="207"/>
      <c r="Z39" s="202"/>
      <c r="AA39" s="207">
        <v>7</v>
      </c>
      <c r="AB39" s="202"/>
      <c r="AC39" s="208"/>
      <c r="AD39" s="202"/>
      <c r="AE39" s="203">
        <f t="shared" si="5"/>
        <v>2</v>
      </c>
      <c r="AF39" s="202"/>
      <c r="AG39" s="204">
        <v>7</v>
      </c>
      <c r="AH39" s="202"/>
      <c r="AI39" s="204">
        <v>7</v>
      </c>
      <c r="AJ39" s="202"/>
      <c r="AK39" s="204"/>
      <c r="AL39" s="202"/>
      <c r="AM39" s="204">
        <v>7</v>
      </c>
      <c r="AN39" s="202"/>
      <c r="AO39" s="204">
        <v>7</v>
      </c>
      <c r="AP39" s="202"/>
      <c r="AQ39" s="208"/>
      <c r="AR39" s="202"/>
      <c r="AS39" s="203">
        <f t="shared" si="6"/>
        <v>4</v>
      </c>
      <c r="AT39" s="202"/>
      <c r="AU39" s="204"/>
      <c r="AV39" s="202"/>
      <c r="AW39" s="204"/>
      <c r="AX39" s="202"/>
      <c r="AY39" s="204">
        <v>7</v>
      </c>
      <c r="AZ39" s="202"/>
      <c r="BA39" s="204"/>
      <c r="BB39" s="202"/>
      <c r="BC39" s="204"/>
      <c r="BD39" s="202"/>
      <c r="BE39" s="208"/>
      <c r="BF39" s="202"/>
      <c r="BG39" s="203">
        <f t="shared" si="7"/>
        <v>1</v>
      </c>
      <c r="BH39" s="202"/>
      <c r="BI39" s="204">
        <v>7</v>
      </c>
      <c r="BJ39" s="202"/>
      <c r="BK39" s="204">
        <v>7</v>
      </c>
      <c r="BL39" s="202"/>
      <c r="BM39" s="204"/>
      <c r="BN39" s="202"/>
      <c r="BO39" s="203">
        <f t="shared" si="8"/>
        <v>2</v>
      </c>
      <c r="BP39" s="202"/>
      <c r="BQ39" s="138"/>
      <c r="BR39" s="128"/>
      <c r="BS39" s="128"/>
      <c r="BT39" s="128"/>
      <c r="BU39" s="128"/>
      <c r="BV39" s="228" t="s">
        <v>20</v>
      </c>
      <c r="BW39" s="225"/>
      <c r="BX39" s="225"/>
      <c r="BY39" s="202"/>
      <c r="BZ39" s="190"/>
      <c r="CA39" s="190"/>
      <c r="CB39" s="190"/>
      <c r="CC39" s="190"/>
      <c r="CD39" s="190"/>
      <c r="CE39" s="134"/>
      <c r="CF39" s="134"/>
      <c r="CG39" s="134"/>
      <c r="CH39" s="134"/>
      <c r="CI39" s="134"/>
      <c r="CJ39" s="135"/>
      <c r="CK39" s="135"/>
    </row>
    <row r="40" spans="1:89" ht="14.25">
      <c r="A40" s="142"/>
      <c r="B40" s="30" t="s">
        <v>93</v>
      </c>
      <c r="C40" s="30" t="s">
        <v>3</v>
      </c>
      <c r="D40" s="137">
        <f t="shared" si="3"/>
        <v>0</v>
      </c>
      <c r="E40" s="207"/>
      <c r="F40" s="202"/>
      <c r="G40" s="207"/>
      <c r="H40" s="202"/>
      <c r="I40" s="207"/>
      <c r="J40" s="202"/>
      <c r="K40" s="207"/>
      <c r="L40" s="202"/>
      <c r="M40" s="207"/>
      <c r="N40" s="202"/>
      <c r="O40" s="201"/>
      <c r="P40" s="202"/>
      <c r="Q40" s="203">
        <f t="shared" si="4"/>
        <v>0</v>
      </c>
      <c r="R40" s="202"/>
      <c r="S40" s="207"/>
      <c r="T40" s="202"/>
      <c r="U40" s="207"/>
      <c r="V40" s="202"/>
      <c r="W40" s="207"/>
      <c r="X40" s="202"/>
      <c r="Y40" s="207"/>
      <c r="Z40" s="202"/>
      <c r="AA40" s="207"/>
      <c r="AB40" s="202"/>
      <c r="AC40" s="208"/>
      <c r="AD40" s="202"/>
      <c r="AE40" s="203">
        <f t="shared" si="5"/>
        <v>0</v>
      </c>
      <c r="AF40" s="202"/>
      <c r="AG40" s="204"/>
      <c r="AH40" s="202"/>
      <c r="AI40" s="204"/>
      <c r="AJ40" s="202"/>
      <c r="AK40" s="204"/>
      <c r="AL40" s="202"/>
      <c r="AM40" s="204"/>
      <c r="AN40" s="202"/>
      <c r="AO40" s="204"/>
      <c r="AP40" s="202"/>
      <c r="AQ40" s="208"/>
      <c r="AR40" s="202"/>
      <c r="AS40" s="203">
        <f t="shared" si="6"/>
        <v>0</v>
      </c>
      <c r="AT40" s="202"/>
      <c r="AU40" s="204"/>
      <c r="AV40" s="202"/>
      <c r="AW40" s="204"/>
      <c r="AX40" s="202"/>
      <c r="AY40" s="204"/>
      <c r="AZ40" s="202"/>
      <c r="BA40" s="204"/>
      <c r="BB40" s="202"/>
      <c r="BC40" s="204"/>
      <c r="BD40" s="202"/>
      <c r="BE40" s="208"/>
      <c r="BF40" s="202"/>
      <c r="BG40" s="203">
        <f t="shared" si="7"/>
        <v>0</v>
      </c>
      <c r="BH40" s="202"/>
      <c r="BI40" s="204"/>
      <c r="BJ40" s="202"/>
      <c r="BK40" s="204"/>
      <c r="BL40" s="202"/>
      <c r="BM40" s="204"/>
      <c r="BN40" s="202"/>
      <c r="BO40" s="203">
        <f t="shared" si="8"/>
        <v>0</v>
      </c>
      <c r="BP40" s="202"/>
      <c r="BQ40" s="138"/>
      <c r="BR40" s="128"/>
      <c r="BS40" s="128"/>
      <c r="BT40" s="128"/>
      <c r="BU40" s="128"/>
      <c r="BV40" s="144" t="s">
        <v>367</v>
      </c>
      <c r="BW40" s="144" t="s">
        <v>368</v>
      </c>
      <c r="BX40" s="145" t="s">
        <v>369</v>
      </c>
      <c r="BY40" s="146" t="s">
        <v>356</v>
      </c>
      <c r="BZ40" s="190"/>
      <c r="CA40" s="190"/>
      <c r="CB40" s="190"/>
      <c r="CC40" s="190"/>
      <c r="CD40" s="190"/>
      <c r="CE40" s="134"/>
      <c r="CF40" s="134"/>
      <c r="CG40" s="157"/>
      <c r="CH40" s="134"/>
      <c r="CI40" s="134"/>
      <c r="CJ40" s="135"/>
      <c r="CK40" s="135"/>
    </row>
    <row r="41" spans="1:89" ht="14.25">
      <c r="A41" s="142"/>
      <c r="B41" s="30" t="s">
        <v>95</v>
      </c>
      <c r="C41" s="30" t="s">
        <v>4</v>
      </c>
      <c r="D41" s="137">
        <f t="shared" si="3"/>
        <v>10</v>
      </c>
      <c r="E41" s="207"/>
      <c r="F41" s="202"/>
      <c r="G41" s="207"/>
      <c r="H41" s="202"/>
      <c r="I41" s="207">
        <v>17</v>
      </c>
      <c r="J41" s="202"/>
      <c r="K41" s="207">
        <v>17</v>
      </c>
      <c r="L41" s="202"/>
      <c r="M41" s="207"/>
      <c r="N41" s="202"/>
      <c r="O41" s="201"/>
      <c r="P41" s="202"/>
      <c r="Q41" s="203">
        <f t="shared" si="4"/>
        <v>2</v>
      </c>
      <c r="R41" s="202"/>
      <c r="S41" s="207"/>
      <c r="T41" s="202"/>
      <c r="U41" s="207"/>
      <c r="V41" s="202"/>
      <c r="W41" s="207"/>
      <c r="X41" s="202"/>
      <c r="Y41" s="207"/>
      <c r="Z41" s="202"/>
      <c r="AA41" s="207"/>
      <c r="AB41" s="202"/>
      <c r="AC41" s="208">
        <v>13</v>
      </c>
      <c r="AD41" s="202"/>
      <c r="AE41" s="203">
        <f t="shared" si="5"/>
        <v>0</v>
      </c>
      <c r="AF41" s="202"/>
      <c r="AG41" s="204"/>
      <c r="AH41" s="202"/>
      <c r="AI41" s="204"/>
      <c r="AJ41" s="202"/>
      <c r="AK41" s="204">
        <v>17</v>
      </c>
      <c r="AL41" s="202"/>
      <c r="AM41" s="204"/>
      <c r="AN41" s="202"/>
      <c r="AO41" s="204">
        <v>17</v>
      </c>
      <c r="AP41" s="202"/>
      <c r="AQ41" s="208"/>
      <c r="AR41" s="202"/>
      <c r="AS41" s="203">
        <f t="shared" si="6"/>
        <v>2</v>
      </c>
      <c r="AT41" s="202"/>
      <c r="AU41" s="204">
        <v>17</v>
      </c>
      <c r="AV41" s="202"/>
      <c r="AW41" s="204">
        <v>17</v>
      </c>
      <c r="AX41" s="202"/>
      <c r="AY41" s="204">
        <v>17</v>
      </c>
      <c r="AZ41" s="202"/>
      <c r="BA41" s="204"/>
      <c r="BB41" s="202"/>
      <c r="BC41" s="204"/>
      <c r="BD41" s="202"/>
      <c r="BE41" s="208"/>
      <c r="BF41" s="202"/>
      <c r="BG41" s="203">
        <f t="shared" si="7"/>
        <v>3</v>
      </c>
      <c r="BH41" s="202"/>
      <c r="BI41" s="204">
        <v>19</v>
      </c>
      <c r="BJ41" s="202"/>
      <c r="BK41" s="204">
        <v>19</v>
      </c>
      <c r="BL41" s="202"/>
      <c r="BM41" s="204">
        <v>19</v>
      </c>
      <c r="BN41" s="202"/>
      <c r="BO41" s="203">
        <f t="shared" si="8"/>
        <v>3</v>
      </c>
      <c r="BP41" s="202"/>
      <c r="BQ41" s="138"/>
      <c r="BR41" s="128"/>
      <c r="BS41" s="128"/>
      <c r="BT41" s="128"/>
      <c r="BU41" s="128"/>
      <c r="BV41" s="148">
        <v>7</v>
      </c>
      <c r="BW41" s="144">
        <f ca="1">IFERROR(__xludf.DUMMYFUNCTION("COUNTIF(MAP($AG$8:$AP$500,LAMBDA(c,IF(TRIM(c)="""","""",MIN(VALUE(SPLIT(SUBSTITUTE(SUBSTITUTE(SUBSTITUTE(c,"" "",""""),""，"","",""),"";"","",""),"","")))))),BV41)"),10)</f>
        <v>10</v>
      </c>
      <c r="BX41" s="145">
        <f t="shared" ref="BX41:BX51" ca="1" si="17">BW41/SUM($BW$41:$BW$50)*100</f>
        <v>4.5248868778280542</v>
      </c>
      <c r="BY41" s="191">
        <f t="shared" ref="BY41:BY49" ca="1" si="18">BW41/$BW$5</f>
        <v>2</v>
      </c>
      <c r="BZ41" s="190"/>
      <c r="CA41" s="190"/>
      <c r="CB41" s="190"/>
      <c r="CC41" s="190"/>
      <c r="CD41" s="190"/>
      <c r="CE41" s="134"/>
      <c r="CF41" s="134"/>
      <c r="CG41" s="134"/>
      <c r="CH41" s="134"/>
      <c r="CI41" s="134"/>
      <c r="CJ41" s="135"/>
      <c r="CK41" s="135"/>
    </row>
    <row r="42" spans="1:89" ht="14.25">
      <c r="A42" s="136"/>
      <c r="B42" s="30" t="s">
        <v>97</v>
      </c>
      <c r="C42" s="30" t="s">
        <v>4</v>
      </c>
      <c r="D42" s="137">
        <f t="shared" si="3"/>
        <v>12</v>
      </c>
      <c r="E42" s="207"/>
      <c r="F42" s="202"/>
      <c r="G42" s="207">
        <v>20</v>
      </c>
      <c r="H42" s="202"/>
      <c r="I42" s="207">
        <v>20</v>
      </c>
      <c r="J42" s="202"/>
      <c r="K42" s="207">
        <v>20</v>
      </c>
      <c r="L42" s="202"/>
      <c r="M42" s="207">
        <v>20</v>
      </c>
      <c r="N42" s="202"/>
      <c r="O42" s="201"/>
      <c r="P42" s="202"/>
      <c r="Q42" s="203">
        <f t="shared" si="4"/>
        <v>4</v>
      </c>
      <c r="R42" s="202"/>
      <c r="S42" s="207">
        <v>20</v>
      </c>
      <c r="T42" s="202"/>
      <c r="U42" s="207">
        <v>20</v>
      </c>
      <c r="V42" s="202"/>
      <c r="W42" s="207">
        <v>20</v>
      </c>
      <c r="X42" s="202"/>
      <c r="Y42" s="207"/>
      <c r="Z42" s="202"/>
      <c r="AA42" s="207">
        <v>19</v>
      </c>
      <c r="AB42" s="202"/>
      <c r="AC42" s="236" t="s">
        <v>446</v>
      </c>
      <c r="AD42" s="202"/>
      <c r="AE42" s="203">
        <f t="shared" si="5"/>
        <v>4</v>
      </c>
      <c r="AF42" s="202"/>
      <c r="AG42" s="204"/>
      <c r="AH42" s="202"/>
      <c r="AI42" s="204"/>
      <c r="AJ42" s="202"/>
      <c r="AK42" s="204">
        <v>19</v>
      </c>
      <c r="AL42" s="202"/>
      <c r="AM42" s="204">
        <v>19</v>
      </c>
      <c r="AN42" s="202"/>
      <c r="AO42" s="204"/>
      <c r="AP42" s="202"/>
      <c r="AQ42" s="208"/>
      <c r="AR42" s="202"/>
      <c r="AS42" s="203">
        <f t="shared" si="6"/>
        <v>2</v>
      </c>
      <c r="AT42" s="202"/>
      <c r="AU42" s="204">
        <v>19</v>
      </c>
      <c r="AV42" s="202"/>
      <c r="AW42" s="204">
        <v>19</v>
      </c>
      <c r="AX42" s="202"/>
      <c r="AY42" s="204"/>
      <c r="AZ42" s="202"/>
      <c r="BA42" s="204"/>
      <c r="BB42" s="202"/>
      <c r="BC42" s="204"/>
      <c r="BD42" s="202"/>
      <c r="BE42" s="208"/>
      <c r="BF42" s="202"/>
      <c r="BG42" s="203">
        <f t="shared" si="7"/>
        <v>2</v>
      </c>
      <c r="BH42" s="202"/>
      <c r="BI42" s="204"/>
      <c r="BJ42" s="202"/>
      <c r="BK42" s="204"/>
      <c r="BL42" s="202"/>
      <c r="BM42" s="204"/>
      <c r="BN42" s="202"/>
      <c r="BO42" s="203">
        <f t="shared" si="8"/>
        <v>0</v>
      </c>
      <c r="BP42" s="202"/>
      <c r="BQ42" s="138"/>
      <c r="BR42" s="139"/>
      <c r="BS42" s="139"/>
      <c r="BT42" s="139"/>
      <c r="BU42" s="139"/>
      <c r="BV42" s="148">
        <v>8</v>
      </c>
      <c r="BW42" s="144">
        <f ca="1">IFERROR(__xludf.DUMMYFUNCTION("COUNTIF(MAP($AG$8:$AP$500,LAMBDA(c,IF(TRIM(c)="""","""",MIN(VALUE(SPLIT(SUBSTITUTE(SUBSTITUTE(SUBSTITUTE(c,"" "",""""),""，"","",""),"";"","",""),"","")))))),BV42)"),19)</f>
        <v>19</v>
      </c>
      <c r="BX42" s="145">
        <f t="shared" ca="1" si="17"/>
        <v>8.5972850678733028</v>
      </c>
      <c r="BY42" s="191">
        <f t="shared" ca="1" si="18"/>
        <v>3.8</v>
      </c>
      <c r="BZ42" s="190"/>
      <c r="CA42" s="190"/>
      <c r="CB42" s="190"/>
      <c r="CC42" s="190"/>
      <c r="CD42" s="190"/>
      <c r="CE42" s="139"/>
      <c r="CF42" s="139"/>
      <c r="CG42" s="136"/>
      <c r="CH42" s="139"/>
      <c r="CI42" s="139"/>
      <c r="CJ42" s="139"/>
      <c r="CK42" s="139"/>
    </row>
    <row r="43" spans="1:89" ht="14.25">
      <c r="A43" s="142"/>
      <c r="B43" s="30" t="s">
        <v>99</v>
      </c>
      <c r="C43" s="30" t="s">
        <v>4</v>
      </c>
      <c r="D43" s="137">
        <f t="shared" si="3"/>
        <v>3</v>
      </c>
      <c r="E43" s="207">
        <v>17</v>
      </c>
      <c r="F43" s="202"/>
      <c r="G43" s="207"/>
      <c r="H43" s="202"/>
      <c r="I43" s="207"/>
      <c r="J43" s="202"/>
      <c r="K43" s="207"/>
      <c r="L43" s="202"/>
      <c r="M43" s="207"/>
      <c r="N43" s="202"/>
      <c r="O43" s="201"/>
      <c r="P43" s="202"/>
      <c r="Q43" s="203">
        <f t="shared" si="4"/>
        <v>1</v>
      </c>
      <c r="R43" s="202"/>
      <c r="S43" s="207">
        <v>17</v>
      </c>
      <c r="T43" s="202"/>
      <c r="U43" s="207"/>
      <c r="V43" s="202"/>
      <c r="W43" s="207"/>
      <c r="X43" s="202"/>
      <c r="Y43" s="207"/>
      <c r="Z43" s="202"/>
      <c r="AA43" s="207"/>
      <c r="AB43" s="202"/>
      <c r="AC43" s="208"/>
      <c r="AD43" s="202"/>
      <c r="AE43" s="203">
        <f t="shared" si="5"/>
        <v>1</v>
      </c>
      <c r="AF43" s="202"/>
      <c r="AG43" s="204"/>
      <c r="AH43" s="202"/>
      <c r="AI43" s="204"/>
      <c r="AJ43" s="202"/>
      <c r="AK43" s="204"/>
      <c r="AL43" s="202"/>
      <c r="AM43" s="204"/>
      <c r="AN43" s="202"/>
      <c r="AO43" s="204"/>
      <c r="AP43" s="202"/>
      <c r="AQ43" s="208"/>
      <c r="AR43" s="202"/>
      <c r="AS43" s="203">
        <f t="shared" si="6"/>
        <v>0</v>
      </c>
      <c r="AT43" s="202"/>
      <c r="AU43" s="204"/>
      <c r="AV43" s="202"/>
      <c r="AW43" s="204"/>
      <c r="AX43" s="202"/>
      <c r="AY43" s="204"/>
      <c r="AZ43" s="202"/>
      <c r="BA43" s="204"/>
      <c r="BB43" s="202"/>
      <c r="BC43" s="204"/>
      <c r="BD43" s="202"/>
      <c r="BE43" s="208"/>
      <c r="BF43" s="202"/>
      <c r="BG43" s="203">
        <f t="shared" si="7"/>
        <v>0</v>
      </c>
      <c r="BH43" s="202"/>
      <c r="BI43" s="204">
        <v>17</v>
      </c>
      <c r="BJ43" s="202"/>
      <c r="BK43" s="204"/>
      <c r="BL43" s="202"/>
      <c r="BM43" s="204"/>
      <c r="BN43" s="202"/>
      <c r="BO43" s="203">
        <f t="shared" si="8"/>
        <v>1</v>
      </c>
      <c r="BP43" s="202"/>
      <c r="BQ43" s="138"/>
      <c r="BR43" s="128"/>
      <c r="BS43" s="128"/>
      <c r="BT43" s="128"/>
      <c r="BU43" s="128"/>
      <c r="BV43" s="148">
        <v>10</v>
      </c>
      <c r="BW43" s="144">
        <f ca="1">IFERROR(__xludf.DUMMYFUNCTION("COUNTIF(MAP($AG$8:$AP$500,LAMBDA(c,IF(TRIM(c)="""","""",MIN(VALUE(SPLIT(SUBSTITUTE(SUBSTITUTE(SUBSTITUTE(c,"" "",""""),""，"","",""),"";"","",""),"","")))))),BV43)"),30)</f>
        <v>30</v>
      </c>
      <c r="BX43" s="145">
        <f t="shared" ca="1" si="17"/>
        <v>13.574660633484163</v>
      </c>
      <c r="BY43" s="191">
        <f t="shared" ca="1" si="18"/>
        <v>6</v>
      </c>
      <c r="BZ43" s="190"/>
      <c r="CA43" s="190"/>
      <c r="CB43" s="190"/>
      <c r="CC43" s="190"/>
      <c r="CD43" s="190"/>
      <c r="CE43" s="134"/>
      <c r="CF43" s="134"/>
      <c r="CG43" s="134"/>
      <c r="CH43" s="134"/>
      <c r="CI43" s="134"/>
      <c r="CJ43" s="135"/>
      <c r="CK43" s="135"/>
    </row>
    <row r="44" spans="1:89" ht="14.25">
      <c r="A44" s="142"/>
      <c r="B44" s="30" t="s">
        <v>102</v>
      </c>
      <c r="C44" s="30" t="s">
        <v>4</v>
      </c>
      <c r="D44" s="137">
        <f t="shared" si="3"/>
        <v>1</v>
      </c>
      <c r="E44" s="207"/>
      <c r="F44" s="202"/>
      <c r="G44" s="207"/>
      <c r="H44" s="202"/>
      <c r="I44" s="207"/>
      <c r="J44" s="202"/>
      <c r="K44" s="207"/>
      <c r="L44" s="202"/>
      <c r="M44" s="207"/>
      <c r="N44" s="202"/>
      <c r="O44" s="201"/>
      <c r="P44" s="202"/>
      <c r="Q44" s="203">
        <f t="shared" si="4"/>
        <v>0</v>
      </c>
      <c r="R44" s="202"/>
      <c r="S44" s="207"/>
      <c r="T44" s="202"/>
      <c r="U44" s="207"/>
      <c r="V44" s="202"/>
      <c r="W44" s="207">
        <v>17</v>
      </c>
      <c r="X44" s="202"/>
      <c r="Y44" s="207"/>
      <c r="Z44" s="202"/>
      <c r="AA44" s="207"/>
      <c r="AB44" s="202"/>
      <c r="AC44" s="208"/>
      <c r="AD44" s="202"/>
      <c r="AE44" s="203">
        <f t="shared" si="5"/>
        <v>1</v>
      </c>
      <c r="AF44" s="202"/>
      <c r="AG44" s="204"/>
      <c r="AH44" s="202"/>
      <c r="AI44" s="204"/>
      <c r="AJ44" s="202"/>
      <c r="AK44" s="204"/>
      <c r="AL44" s="202"/>
      <c r="AM44" s="204"/>
      <c r="AN44" s="202"/>
      <c r="AO44" s="204"/>
      <c r="AP44" s="202"/>
      <c r="AQ44" s="208"/>
      <c r="AR44" s="202"/>
      <c r="AS44" s="203">
        <f t="shared" si="6"/>
        <v>0</v>
      </c>
      <c r="AT44" s="202"/>
      <c r="AU44" s="204"/>
      <c r="AV44" s="202"/>
      <c r="AW44" s="204"/>
      <c r="AX44" s="202"/>
      <c r="AY44" s="204"/>
      <c r="AZ44" s="202"/>
      <c r="BA44" s="204"/>
      <c r="BB44" s="202"/>
      <c r="BC44" s="204"/>
      <c r="BD44" s="202"/>
      <c r="BE44" s="208"/>
      <c r="BF44" s="202"/>
      <c r="BG44" s="203">
        <f t="shared" si="7"/>
        <v>0</v>
      </c>
      <c r="BH44" s="202"/>
      <c r="BI44" s="204"/>
      <c r="BJ44" s="202"/>
      <c r="BK44" s="204"/>
      <c r="BL44" s="202"/>
      <c r="BM44" s="204"/>
      <c r="BN44" s="202"/>
      <c r="BO44" s="203">
        <f t="shared" si="8"/>
        <v>0</v>
      </c>
      <c r="BP44" s="202"/>
      <c r="BQ44" s="138"/>
      <c r="BR44" s="128"/>
      <c r="BS44" s="128"/>
      <c r="BT44" s="128"/>
      <c r="BU44" s="128"/>
      <c r="BV44" s="148">
        <v>12</v>
      </c>
      <c r="BW44" s="144">
        <f ca="1">IFERROR(__xludf.DUMMYFUNCTION("COUNTIF(MAP($AG$8:$AP$500,LAMBDA(c,IF(TRIM(c)="""","""",MIN(VALUE(SPLIT(SUBSTITUTE(SUBSTITUTE(SUBSTITUTE(c,"" "",""""),""，"","",""),"";"","",""),"","")))))),BV44)"),16)</f>
        <v>16</v>
      </c>
      <c r="BX44" s="145">
        <f t="shared" ca="1" si="17"/>
        <v>7.2398190045248878</v>
      </c>
      <c r="BY44" s="191">
        <f t="shared" ca="1" si="18"/>
        <v>3.2</v>
      </c>
      <c r="BZ44" s="190"/>
      <c r="CA44" s="190"/>
      <c r="CB44" s="190"/>
      <c r="CC44" s="190"/>
      <c r="CD44" s="190"/>
      <c r="CE44" s="134"/>
      <c r="CF44" s="134"/>
      <c r="CG44" s="134"/>
      <c r="CH44" s="134"/>
      <c r="CI44" s="134"/>
      <c r="CJ44" s="135"/>
      <c r="CK44" s="135"/>
    </row>
    <row r="45" spans="1:89" ht="14.25">
      <c r="A45" s="136"/>
      <c r="B45" s="30" t="s">
        <v>104</v>
      </c>
      <c r="C45" s="30" t="s">
        <v>4</v>
      </c>
      <c r="D45" s="137">
        <f t="shared" si="3"/>
        <v>1</v>
      </c>
      <c r="E45" s="207"/>
      <c r="F45" s="202"/>
      <c r="G45" s="207">
        <v>19</v>
      </c>
      <c r="H45" s="202"/>
      <c r="I45" s="207"/>
      <c r="J45" s="202"/>
      <c r="K45" s="207"/>
      <c r="L45" s="202"/>
      <c r="M45" s="207"/>
      <c r="N45" s="202"/>
      <c r="O45" s="201"/>
      <c r="P45" s="202"/>
      <c r="Q45" s="203">
        <f t="shared" si="4"/>
        <v>1</v>
      </c>
      <c r="R45" s="202"/>
      <c r="S45" s="207"/>
      <c r="T45" s="202"/>
      <c r="U45" s="207"/>
      <c r="V45" s="202"/>
      <c r="W45" s="207"/>
      <c r="X45" s="202"/>
      <c r="Y45" s="207"/>
      <c r="Z45" s="202"/>
      <c r="AA45" s="207"/>
      <c r="AB45" s="202"/>
      <c r="AC45" s="208"/>
      <c r="AD45" s="202"/>
      <c r="AE45" s="203">
        <f t="shared" si="5"/>
        <v>0</v>
      </c>
      <c r="AF45" s="202"/>
      <c r="AG45" s="204"/>
      <c r="AH45" s="202"/>
      <c r="AI45" s="204"/>
      <c r="AJ45" s="202"/>
      <c r="AK45" s="204"/>
      <c r="AL45" s="202"/>
      <c r="AM45" s="204"/>
      <c r="AN45" s="202"/>
      <c r="AO45" s="204"/>
      <c r="AP45" s="202"/>
      <c r="AQ45" s="208"/>
      <c r="AR45" s="202"/>
      <c r="AS45" s="203">
        <f t="shared" si="6"/>
        <v>0</v>
      </c>
      <c r="AT45" s="202"/>
      <c r="AU45" s="204"/>
      <c r="AV45" s="202"/>
      <c r="AW45" s="204"/>
      <c r="AX45" s="202"/>
      <c r="AY45" s="204"/>
      <c r="AZ45" s="202"/>
      <c r="BA45" s="204"/>
      <c r="BB45" s="202"/>
      <c r="BC45" s="204"/>
      <c r="BD45" s="202"/>
      <c r="BE45" s="208"/>
      <c r="BF45" s="202"/>
      <c r="BG45" s="203">
        <f t="shared" si="7"/>
        <v>0</v>
      </c>
      <c r="BH45" s="202"/>
      <c r="BI45" s="204"/>
      <c r="BJ45" s="202"/>
      <c r="BK45" s="204"/>
      <c r="BL45" s="202"/>
      <c r="BM45" s="204"/>
      <c r="BN45" s="202"/>
      <c r="BO45" s="203">
        <f t="shared" si="8"/>
        <v>0</v>
      </c>
      <c r="BP45" s="202"/>
      <c r="BQ45" s="138"/>
      <c r="BR45" s="139"/>
      <c r="BS45" s="139"/>
      <c r="BT45" s="139"/>
      <c r="BU45" s="139"/>
      <c r="BV45" s="148">
        <v>17</v>
      </c>
      <c r="BW45" s="144">
        <f ca="1">IFERROR(__xludf.DUMMYFUNCTION("COUNTIF(MAP($AG$8:$AP$500,LAMBDA(c,IF(TRIM(c)="""","""",MIN(VALUE(SPLIT(SUBSTITUTE(SUBSTITUTE(SUBSTITUTE(c,"" "",""""),""，"","",""),"";"","",""),"","")))))),BV45)"),32)</f>
        <v>32</v>
      </c>
      <c r="BX45" s="145">
        <f t="shared" ca="1" si="17"/>
        <v>14.479638009049776</v>
      </c>
      <c r="BY45" s="191">
        <f t="shared" ca="1" si="18"/>
        <v>6.4</v>
      </c>
      <c r="BZ45" s="190"/>
      <c r="CA45" s="190"/>
      <c r="CB45" s="190"/>
      <c r="CC45" s="190"/>
      <c r="CD45" s="190"/>
      <c r="CE45" s="139"/>
      <c r="CF45" s="139"/>
      <c r="CG45" s="139"/>
      <c r="CH45" s="139"/>
      <c r="CI45" s="139"/>
      <c r="CJ45" s="139"/>
      <c r="CK45" s="139"/>
    </row>
    <row r="46" spans="1:89" ht="14.25">
      <c r="A46" s="136"/>
      <c r="B46" s="30" t="s">
        <v>106</v>
      </c>
      <c r="C46" s="30" t="s">
        <v>3</v>
      </c>
      <c r="D46" s="137">
        <f t="shared" si="3"/>
        <v>0</v>
      </c>
      <c r="E46" s="207"/>
      <c r="F46" s="202"/>
      <c r="G46" s="207"/>
      <c r="H46" s="202"/>
      <c r="I46" s="207"/>
      <c r="J46" s="202"/>
      <c r="K46" s="207"/>
      <c r="L46" s="202"/>
      <c r="M46" s="207"/>
      <c r="N46" s="202"/>
      <c r="O46" s="201"/>
      <c r="P46" s="202"/>
      <c r="Q46" s="203">
        <f t="shared" si="4"/>
        <v>0</v>
      </c>
      <c r="R46" s="202"/>
      <c r="S46" s="207"/>
      <c r="T46" s="202"/>
      <c r="U46" s="207"/>
      <c r="V46" s="202"/>
      <c r="W46" s="207"/>
      <c r="X46" s="202"/>
      <c r="Y46" s="207"/>
      <c r="Z46" s="202"/>
      <c r="AA46" s="207"/>
      <c r="AB46" s="202"/>
      <c r="AC46" s="208"/>
      <c r="AD46" s="202"/>
      <c r="AE46" s="203">
        <f t="shared" si="5"/>
        <v>0</v>
      </c>
      <c r="AF46" s="202"/>
      <c r="AG46" s="204"/>
      <c r="AH46" s="202"/>
      <c r="AI46" s="204"/>
      <c r="AJ46" s="202"/>
      <c r="AK46" s="204"/>
      <c r="AL46" s="202"/>
      <c r="AM46" s="204"/>
      <c r="AN46" s="202"/>
      <c r="AO46" s="204"/>
      <c r="AP46" s="202"/>
      <c r="AQ46" s="208"/>
      <c r="AR46" s="202"/>
      <c r="AS46" s="203">
        <f t="shared" si="6"/>
        <v>0</v>
      </c>
      <c r="AT46" s="202"/>
      <c r="AU46" s="204"/>
      <c r="AV46" s="202"/>
      <c r="AW46" s="204"/>
      <c r="AX46" s="202"/>
      <c r="AY46" s="204"/>
      <c r="AZ46" s="202"/>
      <c r="BA46" s="204"/>
      <c r="BB46" s="202"/>
      <c r="BC46" s="204"/>
      <c r="BD46" s="202"/>
      <c r="BE46" s="208"/>
      <c r="BF46" s="202"/>
      <c r="BG46" s="203">
        <f t="shared" si="7"/>
        <v>0</v>
      </c>
      <c r="BH46" s="202"/>
      <c r="BI46" s="204"/>
      <c r="BJ46" s="202"/>
      <c r="BK46" s="204"/>
      <c r="BL46" s="202"/>
      <c r="BM46" s="204"/>
      <c r="BN46" s="202"/>
      <c r="BO46" s="203">
        <f t="shared" si="8"/>
        <v>0</v>
      </c>
      <c r="BP46" s="202"/>
      <c r="BQ46" s="138"/>
      <c r="BR46" s="139"/>
      <c r="BS46" s="139"/>
      <c r="BT46" s="139"/>
      <c r="BU46" s="139"/>
      <c r="BV46" s="148">
        <v>18</v>
      </c>
      <c r="BW46" s="144">
        <f ca="1">IFERROR(__xludf.DUMMYFUNCTION("COUNTIF(MAP($AG$8:$AP$500,LAMBDA(c,IF(TRIM(c)="""","""",MIN(VALUE(SPLIT(SUBSTITUTE(SUBSTITUTE(SUBSTITUTE(c,"" "",""""),""，"","",""),"";"","",""),"","")))))),BV46)"),22)</f>
        <v>22</v>
      </c>
      <c r="BX46" s="145">
        <f t="shared" ca="1" si="17"/>
        <v>9.9547511312217196</v>
      </c>
      <c r="BY46" s="191">
        <f t="shared" ca="1" si="18"/>
        <v>4.4000000000000004</v>
      </c>
      <c r="BZ46" s="190"/>
      <c r="CA46" s="190"/>
      <c r="CB46" s="190"/>
      <c r="CC46" s="190"/>
      <c r="CD46" s="190"/>
      <c r="CE46" s="139"/>
      <c r="CF46" s="139"/>
      <c r="CG46" s="136"/>
      <c r="CH46" s="139"/>
      <c r="CI46" s="139"/>
      <c r="CJ46" s="139"/>
      <c r="CK46" s="139"/>
    </row>
    <row r="47" spans="1:89" ht="14.25">
      <c r="A47" s="136"/>
      <c r="B47" s="30" t="s">
        <v>108</v>
      </c>
      <c r="C47" s="30" t="s">
        <v>4</v>
      </c>
      <c r="D47" s="137">
        <f t="shared" si="3"/>
        <v>6</v>
      </c>
      <c r="E47" s="207"/>
      <c r="F47" s="202"/>
      <c r="G47" s="207"/>
      <c r="H47" s="202"/>
      <c r="I47" s="207">
        <v>21</v>
      </c>
      <c r="J47" s="202"/>
      <c r="K47" s="207">
        <v>21</v>
      </c>
      <c r="L47" s="202"/>
      <c r="M47" s="207"/>
      <c r="N47" s="202"/>
      <c r="O47" s="201"/>
      <c r="P47" s="202"/>
      <c r="Q47" s="203">
        <f t="shared" si="4"/>
        <v>2</v>
      </c>
      <c r="R47" s="202"/>
      <c r="S47" s="207"/>
      <c r="T47" s="202"/>
      <c r="U47" s="207"/>
      <c r="V47" s="202"/>
      <c r="W47" s="207">
        <v>21</v>
      </c>
      <c r="X47" s="202"/>
      <c r="Y47" s="207"/>
      <c r="Z47" s="202"/>
      <c r="AA47" s="207"/>
      <c r="AB47" s="202"/>
      <c r="AC47" s="208">
        <v>13</v>
      </c>
      <c r="AD47" s="202"/>
      <c r="AE47" s="203">
        <f t="shared" si="5"/>
        <v>1</v>
      </c>
      <c r="AF47" s="202"/>
      <c r="AG47" s="204">
        <v>21</v>
      </c>
      <c r="AH47" s="202"/>
      <c r="AI47" s="204"/>
      <c r="AJ47" s="202"/>
      <c r="AK47" s="204"/>
      <c r="AL47" s="202"/>
      <c r="AM47" s="204">
        <v>21</v>
      </c>
      <c r="AN47" s="202"/>
      <c r="AO47" s="204"/>
      <c r="AP47" s="202"/>
      <c r="AQ47" s="208"/>
      <c r="AR47" s="202"/>
      <c r="AS47" s="203">
        <f t="shared" si="6"/>
        <v>2</v>
      </c>
      <c r="AT47" s="202"/>
      <c r="AU47" s="204">
        <v>21</v>
      </c>
      <c r="AV47" s="202"/>
      <c r="AW47" s="204"/>
      <c r="AX47" s="202"/>
      <c r="AY47" s="204"/>
      <c r="AZ47" s="202"/>
      <c r="BA47" s="204"/>
      <c r="BB47" s="202"/>
      <c r="BC47" s="204"/>
      <c r="BD47" s="202"/>
      <c r="BE47" s="208"/>
      <c r="BF47" s="202"/>
      <c r="BG47" s="203">
        <f t="shared" si="7"/>
        <v>1</v>
      </c>
      <c r="BH47" s="202"/>
      <c r="BI47" s="204"/>
      <c r="BJ47" s="202"/>
      <c r="BK47" s="204"/>
      <c r="BL47" s="202"/>
      <c r="BM47" s="204"/>
      <c r="BN47" s="202"/>
      <c r="BO47" s="203">
        <f t="shared" si="8"/>
        <v>0</v>
      </c>
      <c r="BP47" s="202"/>
      <c r="BQ47" s="138"/>
      <c r="BR47" s="139"/>
      <c r="BS47" s="139"/>
      <c r="BT47" s="139"/>
      <c r="BU47" s="139"/>
      <c r="BV47" s="148">
        <v>19</v>
      </c>
      <c r="BW47" s="144">
        <f ca="1">IFERROR(__xludf.DUMMYFUNCTION("COUNTIF(MAP($AG$8:$AP$500,LAMBDA(c,IF(TRIM(c)="""","""",MIN(VALUE(SPLIT(SUBSTITUTE(SUBSTITUTE(SUBSTITUTE(c,"" "",""""),""，"","",""),"";"","",""),"","")))))),BV47)"),36)</f>
        <v>36</v>
      </c>
      <c r="BX47" s="145">
        <f t="shared" ca="1" si="17"/>
        <v>16.289592760180994</v>
      </c>
      <c r="BY47" s="191">
        <f t="shared" ca="1" si="18"/>
        <v>7.2</v>
      </c>
      <c r="BZ47" s="190"/>
      <c r="CA47" s="190"/>
      <c r="CB47" s="190"/>
      <c r="CC47" s="190"/>
      <c r="CD47" s="190"/>
      <c r="CE47" s="139"/>
      <c r="CF47" s="139"/>
      <c r="CG47" s="136"/>
      <c r="CH47" s="139"/>
      <c r="CI47" s="139"/>
      <c r="CJ47" s="139"/>
      <c r="CK47" s="139"/>
    </row>
    <row r="48" spans="1:89" ht="14.25">
      <c r="A48" s="136"/>
      <c r="B48" s="30" t="s">
        <v>110</v>
      </c>
      <c r="C48" s="30" t="s">
        <v>4</v>
      </c>
      <c r="D48" s="137">
        <f t="shared" si="3"/>
        <v>0</v>
      </c>
      <c r="E48" s="207"/>
      <c r="F48" s="202"/>
      <c r="G48" s="207"/>
      <c r="H48" s="202"/>
      <c r="I48" s="207"/>
      <c r="J48" s="202"/>
      <c r="K48" s="207"/>
      <c r="L48" s="202"/>
      <c r="M48" s="207"/>
      <c r="N48" s="202"/>
      <c r="O48" s="201"/>
      <c r="P48" s="202"/>
      <c r="Q48" s="203">
        <f t="shared" si="4"/>
        <v>0</v>
      </c>
      <c r="R48" s="202"/>
      <c r="S48" s="207"/>
      <c r="T48" s="202"/>
      <c r="U48" s="207"/>
      <c r="V48" s="202"/>
      <c r="W48" s="207"/>
      <c r="X48" s="202"/>
      <c r="Y48" s="207"/>
      <c r="Z48" s="202"/>
      <c r="AA48" s="207"/>
      <c r="AB48" s="202"/>
      <c r="AC48" s="208"/>
      <c r="AD48" s="202"/>
      <c r="AE48" s="203">
        <f t="shared" si="5"/>
        <v>0</v>
      </c>
      <c r="AF48" s="202"/>
      <c r="AG48" s="204"/>
      <c r="AH48" s="202"/>
      <c r="AI48" s="204"/>
      <c r="AJ48" s="202"/>
      <c r="AK48" s="204"/>
      <c r="AL48" s="202"/>
      <c r="AM48" s="204"/>
      <c r="AN48" s="202"/>
      <c r="AO48" s="204"/>
      <c r="AP48" s="202"/>
      <c r="AQ48" s="208"/>
      <c r="AR48" s="202"/>
      <c r="AS48" s="203">
        <f t="shared" si="6"/>
        <v>0</v>
      </c>
      <c r="AT48" s="202"/>
      <c r="AU48" s="204"/>
      <c r="AV48" s="202"/>
      <c r="AW48" s="204"/>
      <c r="AX48" s="202"/>
      <c r="AY48" s="204"/>
      <c r="AZ48" s="202"/>
      <c r="BA48" s="204"/>
      <c r="BB48" s="202"/>
      <c r="BC48" s="204"/>
      <c r="BD48" s="202"/>
      <c r="BE48" s="208"/>
      <c r="BF48" s="202"/>
      <c r="BG48" s="203">
        <f t="shared" si="7"/>
        <v>0</v>
      </c>
      <c r="BH48" s="202"/>
      <c r="BI48" s="204"/>
      <c r="BJ48" s="202"/>
      <c r="BK48" s="204"/>
      <c r="BL48" s="202"/>
      <c r="BM48" s="204"/>
      <c r="BN48" s="202"/>
      <c r="BO48" s="203">
        <f t="shared" si="8"/>
        <v>0</v>
      </c>
      <c r="BP48" s="202"/>
      <c r="BQ48" s="138"/>
      <c r="BR48" s="139"/>
      <c r="BS48" s="139"/>
      <c r="BT48" s="139"/>
      <c r="BU48" s="139"/>
      <c r="BV48" s="148">
        <v>20</v>
      </c>
      <c r="BW48" s="144">
        <f ca="1">IFERROR(__xludf.DUMMYFUNCTION("COUNTIF(MAP($AG$8:$AP$500,LAMBDA(c,IF(TRIM(c)="""","""",MIN(VALUE(SPLIT(SUBSTITUTE(SUBSTITUTE(SUBSTITUTE(c,"" "",""""),""，"","",""),"";"","",""),"","")))))),BV48)"),23)</f>
        <v>23</v>
      </c>
      <c r="BX48" s="145">
        <f t="shared" ca="1" si="17"/>
        <v>10.407239819004525</v>
      </c>
      <c r="BY48" s="191">
        <f t="shared" ca="1" si="18"/>
        <v>4.5999999999999996</v>
      </c>
      <c r="BZ48" s="190"/>
      <c r="CA48" s="190"/>
      <c r="CB48" s="190"/>
      <c r="CC48" s="190"/>
      <c r="CD48" s="190"/>
      <c r="CE48" s="139"/>
      <c r="CF48" s="139"/>
      <c r="CG48" s="139"/>
      <c r="CH48" s="139"/>
      <c r="CI48" s="139"/>
      <c r="CJ48" s="139"/>
      <c r="CK48" s="139"/>
    </row>
    <row r="49" spans="1:89" ht="14.25">
      <c r="A49" s="142"/>
      <c r="B49" s="30" t="s">
        <v>112</v>
      </c>
      <c r="C49" s="30" t="s">
        <v>3</v>
      </c>
      <c r="D49" s="137">
        <f t="shared" si="3"/>
        <v>0</v>
      </c>
      <c r="E49" s="207"/>
      <c r="F49" s="202"/>
      <c r="G49" s="207"/>
      <c r="H49" s="202"/>
      <c r="I49" s="207"/>
      <c r="J49" s="202"/>
      <c r="K49" s="207"/>
      <c r="L49" s="202"/>
      <c r="M49" s="207"/>
      <c r="N49" s="202"/>
      <c r="O49" s="201"/>
      <c r="P49" s="202"/>
      <c r="Q49" s="203">
        <f t="shared" si="4"/>
        <v>0</v>
      </c>
      <c r="R49" s="202"/>
      <c r="S49" s="207"/>
      <c r="T49" s="202"/>
      <c r="U49" s="207"/>
      <c r="V49" s="202"/>
      <c r="W49" s="207"/>
      <c r="X49" s="202"/>
      <c r="Y49" s="207"/>
      <c r="Z49" s="202"/>
      <c r="AA49" s="207"/>
      <c r="AB49" s="202"/>
      <c r="AC49" s="208"/>
      <c r="AD49" s="202"/>
      <c r="AE49" s="203">
        <f t="shared" si="5"/>
        <v>0</v>
      </c>
      <c r="AF49" s="202"/>
      <c r="AG49" s="204"/>
      <c r="AH49" s="202"/>
      <c r="AI49" s="204"/>
      <c r="AJ49" s="202"/>
      <c r="AK49" s="204"/>
      <c r="AL49" s="202"/>
      <c r="AM49" s="204"/>
      <c r="AN49" s="202"/>
      <c r="AO49" s="204"/>
      <c r="AP49" s="202"/>
      <c r="AQ49" s="208"/>
      <c r="AR49" s="202"/>
      <c r="AS49" s="203">
        <f t="shared" si="6"/>
        <v>0</v>
      </c>
      <c r="AT49" s="202"/>
      <c r="AU49" s="204"/>
      <c r="AV49" s="202"/>
      <c r="AW49" s="204"/>
      <c r="AX49" s="202"/>
      <c r="AY49" s="204"/>
      <c r="AZ49" s="202"/>
      <c r="BA49" s="204"/>
      <c r="BB49" s="202"/>
      <c r="BC49" s="204"/>
      <c r="BD49" s="202"/>
      <c r="BE49" s="208"/>
      <c r="BF49" s="202"/>
      <c r="BG49" s="203">
        <f t="shared" si="7"/>
        <v>0</v>
      </c>
      <c r="BH49" s="202"/>
      <c r="BI49" s="204"/>
      <c r="BJ49" s="202"/>
      <c r="BK49" s="204"/>
      <c r="BL49" s="202"/>
      <c r="BM49" s="204"/>
      <c r="BN49" s="202"/>
      <c r="BO49" s="203">
        <f t="shared" si="8"/>
        <v>0</v>
      </c>
      <c r="BP49" s="202"/>
      <c r="BQ49" s="138"/>
      <c r="BR49" s="128"/>
      <c r="BS49" s="128"/>
      <c r="BT49" s="128"/>
      <c r="BU49" s="128"/>
      <c r="BV49" s="148">
        <v>21</v>
      </c>
      <c r="BW49" s="144">
        <f ca="1">IFERROR(__xludf.DUMMYFUNCTION("COUNTIF(MAP($AG$8:$AP$500,LAMBDA(c,IF(TRIM(c)="""","""",MIN(VALUE(SPLIT(SUBSTITUTE(SUBSTITUTE(SUBSTITUTE(c,"" "",""""),""，"","",""),"";"","",""),"","")))))),BV49)"),30)</f>
        <v>30</v>
      </c>
      <c r="BX49" s="145">
        <f t="shared" ca="1" si="17"/>
        <v>13.574660633484163</v>
      </c>
      <c r="BY49" s="191">
        <f t="shared" ca="1" si="18"/>
        <v>6</v>
      </c>
      <c r="BZ49" s="190"/>
      <c r="CA49" s="190"/>
      <c r="CB49" s="190"/>
      <c r="CC49" s="190"/>
      <c r="CD49" s="190"/>
      <c r="CE49" s="134"/>
      <c r="CF49" s="134"/>
      <c r="CG49" s="134"/>
      <c r="CH49" s="134"/>
      <c r="CI49" s="134"/>
      <c r="CJ49" s="135"/>
      <c r="CK49" s="135"/>
    </row>
    <row r="50" spans="1:89" ht="14.25">
      <c r="A50" s="142"/>
      <c r="B50" s="30" t="s">
        <v>114</v>
      </c>
      <c r="C50" s="30" t="s">
        <v>4</v>
      </c>
      <c r="D50" s="137">
        <f t="shared" si="3"/>
        <v>9</v>
      </c>
      <c r="E50" s="207">
        <v>19</v>
      </c>
      <c r="F50" s="202"/>
      <c r="G50" s="207"/>
      <c r="H50" s="202"/>
      <c r="I50" s="207"/>
      <c r="J50" s="202"/>
      <c r="K50" s="207"/>
      <c r="L50" s="202"/>
      <c r="M50" s="207"/>
      <c r="N50" s="202"/>
      <c r="O50" s="201"/>
      <c r="P50" s="202"/>
      <c r="Q50" s="203">
        <f t="shared" si="4"/>
        <v>1</v>
      </c>
      <c r="R50" s="202"/>
      <c r="S50" s="207"/>
      <c r="T50" s="202"/>
      <c r="U50" s="207">
        <v>20</v>
      </c>
      <c r="V50" s="202"/>
      <c r="W50" s="207"/>
      <c r="X50" s="202"/>
      <c r="Y50" s="207">
        <v>20</v>
      </c>
      <c r="Z50" s="202"/>
      <c r="AA50" s="207"/>
      <c r="AB50" s="202"/>
      <c r="AC50" s="208"/>
      <c r="AD50" s="202"/>
      <c r="AE50" s="203">
        <f t="shared" si="5"/>
        <v>2</v>
      </c>
      <c r="AF50" s="202"/>
      <c r="AG50" s="204"/>
      <c r="AH50" s="202"/>
      <c r="AI50" s="204"/>
      <c r="AJ50" s="202"/>
      <c r="AK50" s="204">
        <v>21</v>
      </c>
      <c r="AL50" s="202"/>
      <c r="AM50" s="204"/>
      <c r="AN50" s="202"/>
      <c r="AO50" s="204">
        <v>21</v>
      </c>
      <c r="AP50" s="202"/>
      <c r="AQ50" s="208">
        <v>17</v>
      </c>
      <c r="AR50" s="202"/>
      <c r="AS50" s="203">
        <f t="shared" si="6"/>
        <v>2</v>
      </c>
      <c r="AT50" s="202"/>
      <c r="AU50" s="204">
        <v>20</v>
      </c>
      <c r="AV50" s="202"/>
      <c r="AW50" s="204"/>
      <c r="AX50" s="202"/>
      <c r="AY50" s="204">
        <v>18</v>
      </c>
      <c r="AZ50" s="202"/>
      <c r="BA50" s="204"/>
      <c r="BB50" s="202"/>
      <c r="BC50" s="204"/>
      <c r="BD50" s="202"/>
      <c r="BE50" s="208">
        <v>11</v>
      </c>
      <c r="BF50" s="202"/>
      <c r="BG50" s="203">
        <f t="shared" si="7"/>
        <v>2</v>
      </c>
      <c r="BH50" s="202"/>
      <c r="BI50" s="204"/>
      <c r="BJ50" s="202"/>
      <c r="BK50" s="204">
        <v>20</v>
      </c>
      <c r="BL50" s="202"/>
      <c r="BM50" s="204">
        <v>19</v>
      </c>
      <c r="BN50" s="202"/>
      <c r="BO50" s="203">
        <f t="shared" si="8"/>
        <v>2</v>
      </c>
      <c r="BP50" s="202"/>
      <c r="BQ50" s="138"/>
      <c r="BR50" s="128"/>
      <c r="BS50" s="128"/>
      <c r="BT50" s="128"/>
      <c r="BU50" s="128"/>
      <c r="BV50" s="192">
        <v>11</v>
      </c>
      <c r="BW50" s="193">
        <f ca="1">IFERROR(__xludf.DUMMYFUNCTION("COUNTIF(MAP($AQ$8:$AR$500,LAMBDA(c,IF(TRIM(c)="""","""",MIN(VALUE(SPLIT(SUBSTITUTE(SUBSTITUTE(SUBSTITUTE(c,"" "",""""),""，"","",""),"";"","",""),"","")))))),BV50)"),3)</f>
        <v>3</v>
      </c>
      <c r="BX50" s="196">
        <f t="shared" ca="1" si="17"/>
        <v>1.3574660633484164</v>
      </c>
      <c r="BY50" s="195">
        <f t="shared" ref="BY50:BY51" ca="1" si="19">BW50</f>
        <v>3</v>
      </c>
      <c r="BZ50" s="190"/>
      <c r="CA50" s="190"/>
      <c r="CB50" s="190"/>
      <c r="CC50" s="190"/>
      <c r="CD50" s="190"/>
      <c r="CE50" s="134"/>
      <c r="CF50" s="134"/>
      <c r="CG50" s="134"/>
      <c r="CH50" s="134"/>
      <c r="CI50" s="134"/>
      <c r="CJ50" s="135"/>
      <c r="CK50" s="135"/>
    </row>
    <row r="51" spans="1:89" ht="14.25">
      <c r="A51" s="136"/>
      <c r="B51" s="30" t="s">
        <v>116</v>
      </c>
      <c r="C51" s="30" t="s">
        <v>4</v>
      </c>
      <c r="D51" s="137">
        <f t="shared" si="3"/>
        <v>1</v>
      </c>
      <c r="E51" s="207"/>
      <c r="F51" s="202"/>
      <c r="G51" s="207"/>
      <c r="H51" s="202"/>
      <c r="I51" s="207"/>
      <c r="J51" s="202"/>
      <c r="K51" s="207"/>
      <c r="L51" s="202"/>
      <c r="M51" s="207"/>
      <c r="N51" s="202"/>
      <c r="O51" s="201"/>
      <c r="P51" s="202"/>
      <c r="Q51" s="203">
        <f t="shared" si="4"/>
        <v>0</v>
      </c>
      <c r="R51" s="202"/>
      <c r="S51" s="207"/>
      <c r="T51" s="202"/>
      <c r="U51" s="207"/>
      <c r="V51" s="202"/>
      <c r="W51" s="207"/>
      <c r="X51" s="202"/>
      <c r="Y51" s="207"/>
      <c r="Z51" s="202"/>
      <c r="AA51" s="207"/>
      <c r="AB51" s="202"/>
      <c r="AC51" s="208"/>
      <c r="AD51" s="202"/>
      <c r="AE51" s="203">
        <f t="shared" si="5"/>
        <v>0</v>
      </c>
      <c r="AF51" s="202"/>
      <c r="AG51" s="204"/>
      <c r="AH51" s="202"/>
      <c r="AI51" s="204"/>
      <c r="AJ51" s="202"/>
      <c r="AK51" s="204"/>
      <c r="AL51" s="202"/>
      <c r="AM51" s="204"/>
      <c r="AN51" s="202"/>
      <c r="AO51" s="204"/>
      <c r="AP51" s="202"/>
      <c r="AQ51" s="208"/>
      <c r="AR51" s="202"/>
      <c r="AS51" s="203">
        <f t="shared" si="6"/>
        <v>0</v>
      </c>
      <c r="AT51" s="202"/>
      <c r="AU51" s="204">
        <v>20</v>
      </c>
      <c r="AV51" s="202"/>
      <c r="AW51" s="204"/>
      <c r="AX51" s="202"/>
      <c r="AY51" s="204"/>
      <c r="AZ51" s="202"/>
      <c r="BA51" s="204"/>
      <c r="BB51" s="202"/>
      <c r="BC51" s="204"/>
      <c r="BD51" s="202"/>
      <c r="BE51" s="208"/>
      <c r="BF51" s="202"/>
      <c r="BG51" s="203">
        <f t="shared" si="7"/>
        <v>1</v>
      </c>
      <c r="BH51" s="202"/>
      <c r="BI51" s="204"/>
      <c r="BJ51" s="202"/>
      <c r="BK51" s="204"/>
      <c r="BL51" s="202"/>
      <c r="BM51" s="204"/>
      <c r="BN51" s="202"/>
      <c r="BO51" s="203">
        <f t="shared" si="8"/>
        <v>0</v>
      </c>
      <c r="BP51" s="202"/>
      <c r="BQ51" s="138"/>
      <c r="BR51" s="139"/>
      <c r="BS51" s="139"/>
      <c r="BT51" s="139"/>
      <c r="BU51" s="139"/>
      <c r="BV51" s="192">
        <v>13</v>
      </c>
      <c r="BW51" s="193">
        <f ca="1">IFERROR(__xludf.DUMMYFUNCTION("COUNTIF(MAP($AQ$8:$AR$500,LAMBDA(c,IF(TRIM(c)="""","""",MIN(VALUE(SPLIT(SUBSTITUTE(SUBSTITUTE(SUBSTITUTE(c,"" "",""""),""，"","",""),"";"","",""),"","")))))),BV51)"),4)</f>
        <v>4</v>
      </c>
      <c r="BX51" s="196">
        <f t="shared" ca="1" si="17"/>
        <v>1.809954751131222</v>
      </c>
      <c r="BY51" s="195">
        <f t="shared" ca="1" si="19"/>
        <v>4</v>
      </c>
      <c r="BZ51" s="190"/>
      <c r="CA51" s="190"/>
      <c r="CB51" s="190"/>
      <c r="CC51" s="190"/>
      <c r="CD51" s="190"/>
      <c r="CE51" s="139"/>
      <c r="CF51" s="139"/>
      <c r="CG51" s="139"/>
      <c r="CH51" s="139"/>
      <c r="CI51" s="139"/>
      <c r="CJ51" s="139"/>
      <c r="CK51" s="139"/>
    </row>
    <row r="52" spans="1:89" ht="14.25">
      <c r="A52" s="136"/>
      <c r="B52" s="30" t="s">
        <v>118</v>
      </c>
      <c r="C52" s="30" t="s">
        <v>4</v>
      </c>
      <c r="D52" s="137">
        <f t="shared" si="3"/>
        <v>18</v>
      </c>
      <c r="E52" s="207">
        <v>19</v>
      </c>
      <c r="F52" s="202"/>
      <c r="G52" s="207">
        <v>20</v>
      </c>
      <c r="H52" s="202"/>
      <c r="I52" s="207">
        <v>20</v>
      </c>
      <c r="J52" s="202"/>
      <c r="K52" s="207"/>
      <c r="L52" s="202"/>
      <c r="M52" s="207">
        <v>17</v>
      </c>
      <c r="N52" s="202"/>
      <c r="O52" s="201"/>
      <c r="P52" s="202"/>
      <c r="Q52" s="203">
        <f t="shared" si="4"/>
        <v>4</v>
      </c>
      <c r="R52" s="202"/>
      <c r="S52" s="207">
        <v>20</v>
      </c>
      <c r="T52" s="202"/>
      <c r="U52" s="207">
        <v>20</v>
      </c>
      <c r="V52" s="202"/>
      <c r="W52" s="207">
        <v>20</v>
      </c>
      <c r="X52" s="202"/>
      <c r="Y52" s="207">
        <v>20</v>
      </c>
      <c r="Z52" s="202"/>
      <c r="AA52" s="207">
        <v>20</v>
      </c>
      <c r="AB52" s="202"/>
      <c r="AC52" s="208"/>
      <c r="AD52" s="202"/>
      <c r="AE52" s="203">
        <f t="shared" si="5"/>
        <v>5</v>
      </c>
      <c r="AF52" s="202"/>
      <c r="AG52" s="204">
        <v>20</v>
      </c>
      <c r="AH52" s="202"/>
      <c r="AI52" s="204">
        <v>20</v>
      </c>
      <c r="AJ52" s="202"/>
      <c r="AK52" s="204">
        <v>18</v>
      </c>
      <c r="AL52" s="202"/>
      <c r="AM52" s="204">
        <v>19</v>
      </c>
      <c r="AN52" s="202"/>
      <c r="AO52" s="204">
        <v>20</v>
      </c>
      <c r="AP52" s="202"/>
      <c r="AQ52" s="208"/>
      <c r="AR52" s="202"/>
      <c r="AS52" s="203">
        <f t="shared" si="6"/>
        <v>5</v>
      </c>
      <c r="AT52" s="202"/>
      <c r="AU52" s="204"/>
      <c r="AV52" s="202"/>
      <c r="AW52" s="204">
        <v>20</v>
      </c>
      <c r="AX52" s="202"/>
      <c r="AY52" s="204">
        <v>19</v>
      </c>
      <c r="AZ52" s="202"/>
      <c r="BA52" s="204"/>
      <c r="BB52" s="202"/>
      <c r="BC52" s="204"/>
      <c r="BD52" s="202"/>
      <c r="BE52" s="208"/>
      <c r="BF52" s="202"/>
      <c r="BG52" s="203">
        <f t="shared" si="7"/>
        <v>2</v>
      </c>
      <c r="BH52" s="202"/>
      <c r="BI52" s="204">
        <v>20</v>
      </c>
      <c r="BJ52" s="202"/>
      <c r="BK52" s="204">
        <v>19</v>
      </c>
      <c r="BL52" s="202"/>
      <c r="BM52" s="204"/>
      <c r="BN52" s="202"/>
      <c r="BO52" s="203">
        <f t="shared" si="8"/>
        <v>2</v>
      </c>
      <c r="BP52" s="202"/>
      <c r="BQ52" s="138"/>
      <c r="BR52" s="139"/>
      <c r="BS52" s="139"/>
      <c r="BT52" s="139"/>
      <c r="BU52" s="139"/>
      <c r="BZ52" s="190"/>
      <c r="CA52" s="190"/>
      <c r="CB52" s="190"/>
      <c r="CC52" s="190"/>
      <c r="CD52" s="190"/>
      <c r="CE52" s="139"/>
      <c r="CF52" s="139"/>
      <c r="CG52" s="139"/>
      <c r="CH52" s="139"/>
      <c r="CI52" s="139"/>
      <c r="CJ52" s="139"/>
      <c r="CK52" s="139"/>
    </row>
    <row r="53" spans="1:89" ht="14.25">
      <c r="A53" s="142"/>
      <c r="B53" s="30" t="s">
        <v>120</v>
      </c>
      <c r="C53" s="30" t="s">
        <v>3</v>
      </c>
      <c r="D53" s="137">
        <f t="shared" si="3"/>
        <v>16</v>
      </c>
      <c r="E53" s="207">
        <v>10</v>
      </c>
      <c r="F53" s="202"/>
      <c r="G53" s="207">
        <v>10</v>
      </c>
      <c r="H53" s="202"/>
      <c r="I53" s="207"/>
      <c r="J53" s="202"/>
      <c r="K53" s="207">
        <v>10</v>
      </c>
      <c r="L53" s="202"/>
      <c r="M53" s="207"/>
      <c r="N53" s="202"/>
      <c r="O53" s="201">
        <v>11</v>
      </c>
      <c r="P53" s="202"/>
      <c r="Q53" s="203">
        <f t="shared" si="4"/>
        <v>3</v>
      </c>
      <c r="R53" s="202"/>
      <c r="S53" s="207">
        <v>10</v>
      </c>
      <c r="T53" s="202"/>
      <c r="U53" s="207">
        <v>19</v>
      </c>
      <c r="V53" s="202"/>
      <c r="W53" s="207"/>
      <c r="X53" s="202"/>
      <c r="Y53" s="207">
        <v>18</v>
      </c>
      <c r="Z53" s="202"/>
      <c r="AA53" s="207">
        <v>18</v>
      </c>
      <c r="AB53" s="202"/>
      <c r="AC53" s="208">
        <v>11</v>
      </c>
      <c r="AD53" s="202"/>
      <c r="AE53" s="203">
        <f t="shared" si="5"/>
        <v>4</v>
      </c>
      <c r="AF53" s="202"/>
      <c r="AG53" s="204">
        <v>19</v>
      </c>
      <c r="AH53" s="202"/>
      <c r="AI53" s="204"/>
      <c r="AJ53" s="202"/>
      <c r="AK53" s="204">
        <v>17</v>
      </c>
      <c r="AL53" s="202"/>
      <c r="AM53" s="204"/>
      <c r="AN53" s="202"/>
      <c r="AO53" s="204">
        <v>19</v>
      </c>
      <c r="AP53" s="202"/>
      <c r="AQ53" s="208"/>
      <c r="AR53" s="202"/>
      <c r="AS53" s="203">
        <f t="shared" si="6"/>
        <v>3</v>
      </c>
      <c r="AT53" s="202"/>
      <c r="AU53" s="204">
        <v>19</v>
      </c>
      <c r="AV53" s="202"/>
      <c r="AW53" s="204">
        <v>19</v>
      </c>
      <c r="AX53" s="202"/>
      <c r="AY53" s="204">
        <v>17</v>
      </c>
      <c r="AZ53" s="202"/>
      <c r="BA53" s="204"/>
      <c r="BB53" s="202"/>
      <c r="BC53" s="204">
        <v>19</v>
      </c>
      <c r="BD53" s="202"/>
      <c r="BE53" s="208">
        <v>13</v>
      </c>
      <c r="BF53" s="202"/>
      <c r="BG53" s="203">
        <f t="shared" si="7"/>
        <v>4</v>
      </c>
      <c r="BH53" s="202"/>
      <c r="BI53" s="204"/>
      <c r="BJ53" s="202"/>
      <c r="BK53" s="204">
        <v>19</v>
      </c>
      <c r="BL53" s="202"/>
      <c r="BM53" s="204">
        <v>18</v>
      </c>
      <c r="BN53" s="202"/>
      <c r="BO53" s="203">
        <f t="shared" si="8"/>
        <v>2</v>
      </c>
      <c r="BP53" s="202"/>
      <c r="BQ53" s="138"/>
      <c r="BR53" s="128"/>
      <c r="BS53" s="128"/>
      <c r="BT53" s="128"/>
      <c r="BU53" s="128"/>
      <c r="BV53" s="228" t="s">
        <v>21</v>
      </c>
      <c r="BW53" s="225"/>
      <c r="BX53" s="225"/>
      <c r="BY53" s="202"/>
      <c r="BZ53" s="190"/>
      <c r="CA53" s="190"/>
      <c r="CB53" s="190"/>
      <c r="CC53" s="190"/>
      <c r="CD53" s="190"/>
      <c r="CE53" s="134"/>
      <c r="CF53" s="134"/>
      <c r="CG53" s="134"/>
      <c r="CH53" s="134"/>
      <c r="CI53" s="134"/>
      <c r="CJ53" s="135"/>
      <c r="CK53" s="135"/>
    </row>
    <row r="54" spans="1:89" ht="14.25">
      <c r="A54" s="136"/>
      <c r="B54" s="30" t="s">
        <v>122</v>
      </c>
      <c r="C54" s="30" t="s">
        <v>4</v>
      </c>
      <c r="D54" s="137">
        <f t="shared" si="3"/>
        <v>11</v>
      </c>
      <c r="E54" s="207">
        <v>21</v>
      </c>
      <c r="F54" s="202"/>
      <c r="G54" s="207">
        <v>21</v>
      </c>
      <c r="H54" s="202"/>
      <c r="I54" s="207"/>
      <c r="J54" s="202"/>
      <c r="K54" s="207">
        <v>8</v>
      </c>
      <c r="L54" s="202"/>
      <c r="M54" s="207">
        <v>8</v>
      </c>
      <c r="N54" s="202"/>
      <c r="O54" s="201"/>
      <c r="P54" s="202"/>
      <c r="Q54" s="203">
        <f t="shared" si="4"/>
        <v>4</v>
      </c>
      <c r="R54" s="202"/>
      <c r="S54" s="207"/>
      <c r="T54" s="202"/>
      <c r="U54" s="207">
        <v>21</v>
      </c>
      <c r="V54" s="202"/>
      <c r="W54" s="207">
        <v>8</v>
      </c>
      <c r="X54" s="202"/>
      <c r="Y54" s="207"/>
      <c r="Z54" s="202"/>
      <c r="AA54" s="207"/>
      <c r="AB54" s="202"/>
      <c r="AC54" s="208"/>
      <c r="AD54" s="202"/>
      <c r="AE54" s="203">
        <f t="shared" si="5"/>
        <v>2</v>
      </c>
      <c r="AF54" s="202"/>
      <c r="AG54" s="204">
        <v>18</v>
      </c>
      <c r="AH54" s="202"/>
      <c r="AI54" s="204"/>
      <c r="AJ54" s="202"/>
      <c r="AK54" s="204"/>
      <c r="AL54" s="202"/>
      <c r="AM54" s="204">
        <v>8</v>
      </c>
      <c r="AN54" s="202"/>
      <c r="AO54" s="204">
        <v>8</v>
      </c>
      <c r="AP54" s="202"/>
      <c r="AQ54" s="208"/>
      <c r="AR54" s="202"/>
      <c r="AS54" s="203">
        <f t="shared" si="6"/>
        <v>3</v>
      </c>
      <c r="AT54" s="202"/>
      <c r="AU54" s="204">
        <v>8</v>
      </c>
      <c r="AV54" s="202"/>
      <c r="AW54" s="204"/>
      <c r="AX54" s="202"/>
      <c r="AY54" s="204"/>
      <c r="AZ54" s="202"/>
      <c r="BA54" s="204"/>
      <c r="BB54" s="202"/>
      <c r="BC54" s="204"/>
      <c r="BD54" s="202"/>
      <c r="BE54" s="208"/>
      <c r="BF54" s="202"/>
      <c r="BG54" s="203">
        <f t="shared" si="7"/>
        <v>1</v>
      </c>
      <c r="BH54" s="202"/>
      <c r="BI54" s="204">
        <v>8</v>
      </c>
      <c r="BJ54" s="202"/>
      <c r="BK54" s="204"/>
      <c r="BL54" s="202"/>
      <c r="BM54" s="204"/>
      <c r="BN54" s="202"/>
      <c r="BO54" s="203">
        <f t="shared" si="8"/>
        <v>1</v>
      </c>
      <c r="BP54" s="202"/>
      <c r="BQ54" s="138"/>
      <c r="BR54" s="139"/>
      <c r="BS54" s="139"/>
      <c r="BT54" s="139"/>
      <c r="BU54" s="139"/>
      <c r="BV54" s="146" t="s">
        <v>367</v>
      </c>
      <c r="BW54" s="146" t="s">
        <v>370</v>
      </c>
      <c r="BX54" s="146" t="s">
        <v>369</v>
      </c>
      <c r="BY54" s="146" t="s">
        <v>356</v>
      </c>
      <c r="BZ54" s="190"/>
      <c r="CA54" s="190"/>
      <c r="CB54" s="190"/>
      <c r="CC54" s="190"/>
      <c r="CD54" s="190"/>
      <c r="CE54" s="139"/>
      <c r="CF54" s="139"/>
      <c r="CG54" s="139"/>
      <c r="CH54" s="139"/>
      <c r="CI54" s="139"/>
      <c r="CJ54" s="139"/>
      <c r="CK54" s="139"/>
    </row>
    <row r="55" spans="1:89" ht="14.25">
      <c r="A55" s="142"/>
      <c r="B55" s="30" t="s">
        <v>124</v>
      </c>
      <c r="C55" s="30" t="s">
        <v>3</v>
      </c>
      <c r="D55" s="137">
        <f t="shared" si="3"/>
        <v>15</v>
      </c>
      <c r="E55" s="207"/>
      <c r="F55" s="202"/>
      <c r="G55" s="207">
        <v>20</v>
      </c>
      <c r="H55" s="202"/>
      <c r="I55" s="207">
        <v>20</v>
      </c>
      <c r="J55" s="202"/>
      <c r="K55" s="207">
        <v>20</v>
      </c>
      <c r="L55" s="202"/>
      <c r="M55" s="207">
        <v>20</v>
      </c>
      <c r="N55" s="202"/>
      <c r="O55" s="201">
        <v>11</v>
      </c>
      <c r="P55" s="202"/>
      <c r="Q55" s="203">
        <f t="shared" si="4"/>
        <v>4</v>
      </c>
      <c r="R55" s="202"/>
      <c r="S55" s="207">
        <v>20</v>
      </c>
      <c r="T55" s="202"/>
      <c r="U55" s="207"/>
      <c r="V55" s="202"/>
      <c r="W55" s="207">
        <v>20</v>
      </c>
      <c r="X55" s="202"/>
      <c r="Y55" s="207">
        <v>20</v>
      </c>
      <c r="Z55" s="202"/>
      <c r="AA55" s="207"/>
      <c r="AB55" s="202"/>
      <c r="AC55" s="208"/>
      <c r="AD55" s="202"/>
      <c r="AE55" s="203">
        <f t="shared" si="5"/>
        <v>3</v>
      </c>
      <c r="AF55" s="202"/>
      <c r="AG55" s="204">
        <v>20</v>
      </c>
      <c r="AH55" s="202"/>
      <c r="AI55" s="204">
        <v>20</v>
      </c>
      <c r="AJ55" s="202"/>
      <c r="AK55" s="204">
        <v>20</v>
      </c>
      <c r="AL55" s="202"/>
      <c r="AM55" s="204"/>
      <c r="AN55" s="202"/>
      <c r="AO55" s="204"/>
      <c r="AP55" s="202"/>
      <c r="AQ55" s="208"/>
      <c r="AR55" s="202"/>
      <c r="AS55" s="203">
        <f t="shared" si="6"/>
        <v>3</v>
      </c>
      <c r="AT55" s="202"/>
      <c r="AU55" s="204"/>
      <c r="AV55" s="202"/>
      <c r="AW55" s="204">
        <v>20</v>
      </c>
      <c r="AX55" s="202"/>
      <c r="AY55" s="204">
        <v>20</v>
      </c>
      <c r="AZ55" s="202"/>
      <c r="BA55" s="204">
        <v>11</v>
      </c>
      <c r="BB55" s="202"/>
      <c r="BC55" s="204"/>
      <c r="BD55" s="202"/>
      <c r="BE55" s="208"/>
      <c r="BF55" s="202"/>
      <c r="BG55" s="203">
        <f t="shared" si="7"/>
        <v>3</v>
      </c>
      <c r="BH55" s="202"/>
      <c r="BI55" s="204"/>
      <c r="BJ55" s="202"/>
      <c r="BK55" s="204">
        <v>20</v>
      </c>
      <c r="BL55" s="202"/>
      <c r="BM55" s="204">
        <v>20</v>
      </c>
      <c r="BN55" s="202"/>
      <c r="BO55" s="203">
        <f t="shared" si="8"/>
        <v>2</v>
      </c>
      <c r="BP55" s="202"/>
      <c r="BQ55" s="138"/>
      <c r="BR55" s="128"/>
      <c r="BS55" s="128"/>
      <c r="BT55" s="128"/>
      <c r="BU55" s="128"/>
      <c r="BV55" s="148">
        <v>7</v>
      </c>
      <c r="BW55" s="149">
        <f ca="1">IFERROR(__xludf.DUMMYFUNCTION("COUNTIF(MAP($AU$8:$BD$500,LAMBDA(c,IF(TRIM(c)="""","""",MIN(VALUE(SPLIT(SUBSTITUTE(SUBSTITUTE(SUBSTITUTE(c,"" "",""""),""，"","",""),"";"","",""),"","")))))),BV55)"),8)</f>
        <v>8</v>
      </c>
      <c r="BX55" s="145">
        <f t="shared" ref="BX55:BX63" ca="1" si="20">BW55/SUM($BW$55:$BW$64)*100</f>
        <v>4.5197740112994351</v>
      </c>
      <c r="BY55" s="191">
        <f t="shared" ref="BY55:BY63" ca="1" si="21">BW55/$BW$6</f>
        <v>2</v>
      </c>
      <c r="BZ55" s="190"/>
      <c r="CA55" s="190"/>
      <c r="CB55" s="190"/>
      <c r="CC55" s="190"/>
      <c r="CD55" s="190"/>
      <c r="CE55" s="134"/>
      <c r="CF55" s="134"/>
      <c r="CG55" s="134"/>
      <c r="CH55" s="134"/>
      <c r="CI55" s="134"/>
      <c r="CJ55" s="135"/>
      <c r="CK55" s="135"/>
    </row>
    <row r="56" spans="1:89" ht="14.25">
      <c r="A56" s="136"/>
      <c r="B56" s="30" t="s">
        <v>126</v>
      </c>
      <c r="C56" s="30" t="s">
        <v>4</v>
      </c>
      <c r="D56" s="137">
        <f t="shared" si="3"/>
        <v>0</v>
      </c>
      <c r="E56" s="207"/>
      <c r="F56" s="202"/>
      <c r="G56" s="207"/>
      <c r="H56" s="202"/>
      <c r="I56" s="207"/>
      <c r="J56" s="202"/>
      <c r="K56" s="207"/>
      <c r="L56" s="202"/>
      <c r="M56" s="207"/>
      <c r="N56" s="202"/>
      <c r="O56" s="201"/>
      <c r="P56" s="202"/>
      <c r="Q56" s="203">
        <f t="shared" si="4"/>
        <v>0</v>
      </c>
      <c r="R56" s="202"/>
      <c r="S56" s="207"/>
      <c r="T56" s="202"/>
      <c r="U56" s="207"/>
      <c r="V56" s="202"/>
      <c r="W56" s="207"/>
      <c r="X56" s="202"/>
      <c r="Y56" s="207"/>
      <c r="Z56" s="202"/>
      <c r="AA56" s="207"/>
      <c r="AB56" s="202"/>
      <c r="AC56" s="208"/>
      <c r="AD56" s="202"/>
      <c r="AE56" s="203">
        <f t="shared" si="5"/>
        <v>0</v>
      </c>
      <c r="AF56" s="202"/>
      <c r="AG56" s="204"/>
      <c r="AH56" s="202"/>
      <c r="AI56" s="204"/>
      <c r="AJ56" s="202"/>
      <c r="AK56" s="204"/>
      <c r="AL56" s="202"/>
      <c r="AM56" s="204"/>
      <c r="AN56" s="202"/>
      <c r="AO56" s="204"/>
      <c r="AP56" s="202"/>
      <c r="AQ56" s="208"/>
      <c r="AR56" s="202"/>
      <c r="AS56" s="203">
        <f t="shared" si="6"/>
        <v>0</v>
      </c>
      <c r="AT56" s="202"/>
      <c r="AU56" s="204"/>
      <c r="AV56" s="202"/>
      <c r="AW56" s="204"/>
      <c r="AX56" s="202"/>
      <c r="AY56" s="204"/>
      <c r="AZ56" s="202"/>
      <c r="BA56" s="204"/>
      <c r="BB56" s="202"/>
      <c r="BC56" s="204"/>
      <c r="BD56" s="202"/>
      <c r="BE56" s="208"/>
      <c r="BF56" s="202"/>
      <c r="BG56" s="203">
        <f t="shared" si="7"/>
        <v>0</v>
      </c>
      <c r="BH56" s="202"/>
      <c r="BI56" s="204"/>
      <c r="BJ56" s="202"/>
      <c r="BK56" s="204"/>
      <c r="BL56" s="202"/>
      <c r="BM56" s="204"/>
      <c r="BN56" s="202"/>
      <c r="BO56" s="203">
        <f t="shared" si="8"/>
        <v>0</v>
      </c>
      <c r="BP56" s="202"/>
      <c r="BQ56" s="138"/>
      <c r="BR56" s="139"/>
      <c r="BS56" s="139"/>
      <c r="BT56" s="139"/>
      <c r="BU56" s="139"/>
      <c r="BV56" s="148">
        <v>8</v>
      </c>
      <c r="BW56" s="149">
        <f ca="1">IFERROR(__xludf.DUMMYFUNCTION("COUNTIF(MAP($AU$8:$BD$500,LAMBDA(c,IF(TRIM(c)="""","""",MIN(VALUE(SPLIT(SUBSTITUTE(SUBSTITUTE(SUBSTITUTE(c,"" "",""""),""，"","",""),"";"","",""),"","")))))),BV56)"),10)</f>
        <v>10</v>
      </c>
      <c r="BX56" s="145">
        <f t="shared" ca="1" si="20"/>
        <v>5.6497175141242941</v>
      </c>
      <c r="BY56" s="191">
        <f t="shared" ca="1" si="21"/>
        <v>2.5</v>
      </c>
      <c r="BZ56" s="190"/>
      <c r="CA56" s="190"/>
      <c r="CB56" s="190"/>
      <c r="CC56" s="190"/>
      <c r="CD56" s="190"/>
      <c r="CE56" s="139"/>
      <c r="CF56" s="139"/>
      <c r="CG56" s="139"/>
      <c r="CH56" s="139"/>
      <c r="CI56" s="139"/>
      <c r="CJ56" s="139"/>
      <c r="CK56" s="139"/>
    </row>
    <row r="57" spans="1:89" ht="14.25">
      <c r="A57" s="136"/>
      <c r="B57" s="30" t="s">
        <v>128</v>
      </c>
      <c r="C57" s="30" t="s">
        <v>4</v>
      </c>
      <c r="D57" s="137">
        <f t="shared" si="3"/>
        <v>0</v>
      </c>
      <c r="E57" s="207"/>
      <c r="F57" s="202"/>
      <c r="G57" s="207"/>
      <c r="H57" s="202"/>
      <c r="I57" s="207"/>
      <c r="J57" s="202"/>
      <c r="K57" s="207"/>
      <c r="L57" s="202"/>
      <c r="M57" s="207"/>
      <c r="N57" s="202"/>
      <c r="O57" s="201"/>
      <c r="P57" s="202"/>
      <c r="Q57" s="203">
        <f t="shared" si="4"/>
        <v>0</v>
      </c>
      <c r="R57" s="202"/>
      <c r="S57" s="207"/>
      <c r="T57" s="202"/>
      <c r="U57" s="207"/>
      <c r="V57" s="202"/>
      <c r="W57" s="207"/>
      <c r="X57" s="202"/>
      <c r="Y57" s="207"/>
      <c r="Z57" s="202"/>
      <c r="AA57" s="207"/>
      <c r="AB57" s="202"/>
      <c r="AC57" s="208"/>
      <c r="AD57" s="202"/>
      <c r="AE57" s="203">
        <f t="shared" si="5"/>
        <v>0</v>
      </c>
      <c r="AF57" s="202"/>
      <c r="AG57" s="204"/>
      <c r="AH57" s="202"/>
      <c r="AI57" s="204"/>
      <c r="AJ57" s="202"/>
      <c r="AK57" s="204"/>
      <c r="AL57" s="202"/>
      <c r="AM57" s="204"/>
      <c r="AN57" s="202"/>
      <c r="AO57" s="204"/>
      <c r="AP57" s="202"/>
      <c r="AQ57" s="208"/>
      <c r="AR57" s="202"/>
      <c r="AS57" s="203">
        <f t="shared" si="6"/>
        <v>0</v>
      </c>
      <c r="AT57" s="202"/>
      <c r="AU57" s="204"/>
      <c r="AV57" s="202"/>
      <c r="AW57" s="204"/>
      <c r="AX57" s="202"/>
      <c r="AY57" s="204"/>
      <c r="AZ57" s="202"/>
      <c r="BA57" s="204"/>
      <c r="BB57" s="202"/>
      <c r="BC57" s="204"/>
      <c r="BD57" s="202"/>
      <c r="BE57" s="208"/>
      <c r="BF57" s="202"/>
      <c r="BG57" s="203">
        <f t="shared" si="7"/>
        <v>0</v>
      </c>
      <c r="BH57" s="202"/>
      <c r="BI57" s="204"/>
      <c r="BJ57" s="202"/>
      <c r="BK57" s="204"/>
      <c r="BL57" s="202"/>
      <c r="BM57" s="204"/>
      <c r="BN57" s="202"/>
      <c r="BO57" s="203">
        <f t="shared" si="8"/>
        <v>0</v>
      </c>
      <c r="BP57" s="202"/>
      <c r="BQ57" s="138"/>
      <c r="BR57" s="139"/>
      <c r="BS57" s="139"/>
      <c r="BT57" s="139"/>
      <c r="BU57" s="139"/>
      <c r="BV57" s="148">
        <v>10</v>
      </c>
      <c r="BW57" s="149">
        <f ca="1">IFERROR(__xludf.DUMMYFUNCTION("COUNTIF(MAP($AU$8:$BD$500,LAMBDA(c,IF(TRIM(c)="""","""",MIN(VALUE(SPLIT(SUBSTITUTE(SUBSTITUTE(SUBSTITUTE(c,"" "",""""),""，"","",""),"";"","",""),"","")))))),BV57)"),29)</f>
        <v>29</v>
      </c>
      <c r="BX57" s="145">
        <f t="shared" ca="1" si="20"/>
        <v>16.38418079096045</v>
      </c>
      <c r="BY57" s="191">
        <f t="shared" ca="1" si="21"/>
        <v>7.25</v>
      </c>
      <c r="BZ57" s="190"/>
      <c r="CA57" s="190"/>
      <c r="CB57" s="190"/>
      <c r="CC57" s="190"/>
      <c r="CD57" s="190"/>
      <c r="CE57" s="139"/>
      <c r="CF57" s="139"/>
      <c r="CG57" s="139"/>
      <c r="CH57" s="139"/>
      <c r="CI57" s="139"/>
      <c r="CJ57" s="139"/>
      <c r="CK57" s="139"/>
    </row>
    <row r="58" spans="1:89" ht="14.25">
      <c r="A58" s="136"/>
      <c r="B58" s="30" t="s">
        <v>130</v>
      </c>
      <c r="C58" s="30" t="s">
        <v>4</v>
      </c>
      <c r="D58" s="137">
        <f t="shared" si="3"/>
        <v>12</v>
      </c>
      <c r="E58" s="207">
        <v>10</v>
      </c>
      <c r="F58" s="202"/>
      <c r="G58" s="207">
        <v>10</v>
      </c>
      <c r="H58" s="202"/>
      <c r="I58" s="207"/>
      <c r="J58" s="202"/>
      <c r="K58" s="207"/>
      <c r="L58" s="202"/>
      <c r="M58" s="207">
        <v>10</v>
      </c>
      <c r="N58" s="202"/>
      <c r="O58" s="201"/>
      <c r="P58" s="202"/>
      <c r="Q58" s="203">
        <f t="shared" si="4"/>
        <v>3</v>
      </c>
      <c r="R58" s="202"/>
      <c r="S58" s="207">
        <v>10</v>
      </c>
      <c r="T58" s="202"/>
      <c r="U58" s="207"/>
      <c r="V58" s="202"/>
      <c r="W58" s="207">
        <v>10</v>
      </c>
      <c r="X58" s="202"/>
      <c r="Y58" s="207"/>
      <c r="Z58" s="202"/>
      <c r="AA58" s="207">
        <v>10</v>
      </c>
      <c r="AB58" s="202"/>
      <c r="AC58" s="208"/>
      <c r="AD58" s="202"/>
      <c r="AE58" s="203">
        <f t="shared" si="5"/>
        <v>3</v>
      </c>
      <c r="AF58" s="202"/>
      <c r="AG58" s="204"/>
      <c r="AH58" s="202"/>
      <c r="AI58" s="204">
        <v>10</v>
      </c>
      <c r="AJ58" s="202"/>
      <c r="AK58" s="204">
        <v>10</v>
      </c>
      <c r="AL58" s="202"/>
      <c r="AM58" s="204">
        <v>10</v>
      </c>
      <c r="AN58" s="202"/>
      <c r="AO58" s="204"/>
      <c r="AP58" s="202"/>
      <c r="AQ58" s="208"/>
      <c r="AR58" s="202"/>
      <c r="AS58" s="203">
        <f t="shared" si="6"/>
        <v>3</v>
      </c>
      <c r="AT58" s="202"/>
      <c r="AU58" s="204">
        <v>10</v>
      </c>
      <c r="AV58" s="202"/>
      <c r="AW58" s="204"/>
      <c r="AX58" s="202"/>
      <c r="AY58" s="204"/>
      <c r="AZ58" s="202"/>
      <c r="BA58" s="204"/>
      <c r="BB58" s="202"/>
      <c r="BC58" s="204">
        <v>10</v>
      </c>
      <c r="BD58" s="202"/>
      <c r="BE58" s="208"/>
      <c r="BF58" s="202"/>
      <c r="BG58" s="203">
        <f t="shared" si="7"/>
        <v>2</v>
      </c>
      <c r="BH58" s="202"/>
      <c r="BI58" s="204"/>
      <c r="BJ58" s="202"/>
      <c r="BK58" s="204"/>
      <c r="BL58" s="202"/>
      <c r="BM58" s="204">
        <v>10</v>
      </c>
      <c r="BN58" s="202"/>
      <c r="BO58" s="203">
        <f t="shared" si="8"/>
        <v>1</v>
      </c>
      <c r="BP58" s="202"/>
      <c r="BQ58" s="138"/>
      <c r="BR58" s="139"/>
      <c r="BS58" s="139"/>
      <c r="BT58" s="139"/>
      <c r="BU58" s="139"/>
      <c r="BV58" s="148">
        <v>12</v>
      </c>
      <c r="BW58" s="149">
        <f ca="1">IFERROR(__xludf.DUMMYFUNCTION("COUNTIF(MAP($AU$8:$BD$500,LAMBDA(c,IF(TRIM(c)="""","""",MIN(VALUE(SPLIT(SUBSTITUTE(SUBSTITUTE(SUBSTITUTE(c,"" "",""""),""，"","",""),"";"","",""),"","")))))),BV58)"),14)</f>
        <v>14</v>
      </c>
      <c r="BX58" s="145">
        <f t="shared" ca="1" si="20"/>
        <v>7.9096045197740121</v>
      </c>
      <c r="BY58" s="191">
        <f t="shared" ca="1" si="21"/>
        <v>3.5</v>
      </c>
      <c r="BZ58" s="190"/>
      <c r="CA58" s="190"/>
      <c r="CB58" s="190"/>
      <c r="CC58" s="190"/>
      <c r="CD58" s="190"/>
      <c r="CE58" s="139"/>
      <c r="CF58" s="139"/>
      <c r="CG58" s="139"/>
      <c r="CH58" s="139"/>
      <c r="CI58" s="139"/>
      <c r="CJ58" s="139"/>
      <c r="CK58" s="139"/>
    </row>
    <row r="59" spans="1:89" ht="14.25">
      <c r="A59" s="136"/>
      <c r="B59" s="30" t="s">
        <v>132</v>
      </c>
      <c r="C59" s="30" t="s">
        <v>4</v>
      </c>
      <c r="D59" s="137">
        <f t="shared" si="3"/>
        <v>13</v>
      </c>
      <c r="E59" s="207">
        <v>10</v>
      </c>
      <c r="F59" s="202"/>
      <c r="G59" s="207">
        <v>10</v>
      </c>
      <c r="H59" s="202"/>
      <c r="I59" s="207"/>
      <c r="J59" s="202"/>
      <c r="K59" s="207"/>
      <c r="L59" s="202"/>
      <c r="M59" s="207">
        <v>10</v>
      </c>
      <c r="N59" s="202"/>
      <c r="O59" s="201"/>
      <c r="P59" s="202"/>
      <c r="Q59" s="203">
        <f t="shared" si="4"/>
        <v>3</v>
      </c>
      <c r="R59" s="202"/>
      <c r="S59" s="207">
        <v>10</v>
      </c>
      <c r="T59" s="202"/>
      <c r="U59" s="207"/>
      <c r="V59" s="202"/>
      <c r="W59" s="207">
        <v>10</v>
      </c>
      <c r="X59" s="202"/>
      <c r="Y59" s="207"/>
      <c r="Z59" s="202"/>
      <c r="AA59" s="207">
        <v>10</v>
      </c>
      <c r="AB59" s="202"/>
      <c r="AC59" s="208"/>
      <c r="AD59" s="202"/>
      <c r="AE59" s="203">
        <f t="shared" si="5"/>
        <v>3</v>
      </c>
      <c r="AF59" s="202"/>
      <c r="AG59" s="204"/>
      <c r="AH59" s="202"/>
      <c r="AI59" s="204">
        <v>10</v>
      </c>
      <c r="AJ59" s="202"/>
      <c r="AK59" s="204">
        <v>10</v>
      </c>
      <c r="AL59" s="202"/>
      <c r="AM59" s="204"/>
      <c r="AN59" s="202"/>
      <c r="AO59" s="204"/>
      <c r="AP59" s="202"/>
      <c r="AQ59" s="208"/>
      <c r="AR59" s="202"/>
      <c r="AS59" s="203">
        <f t="shared" si="6"/>
        <v>2</v>
      </c>
      <c r="AT59" s="202"/>
      <c r="AU59" s="204"/>
      <c r="AV59" s="202"/>
      <c r="AW59" s="204">
        <v>10</v>
      </c>
      <c r="AX59" s="202"/>
      <c r="AY59" s="204">
        <v>10</v>
      </c>
      <c r="AZ59" s="202"/>
      <c r="BA59" s="204"/>
      <c r="BB59" s="202"/>
      <c r="BC59" s="204">
        <v>10</v>
      </c>
      <c r="BD59" s="202"/>
      <c r="BE59" s="208"/>
      <c r="BF59" s="202"/>
      <c r="BG59" s="203">
        <f t="shared" si="7"/>
        <v>3</v>
      </c>
      <c r="BH59" s="202"/>
      <c r="BI59" s="204">
        <v>10</v>
      </c>
      <c r="BJ59" s="202"/>
      <c r="BK59" s="204"/>
      <c r="BL59" s="202"/>
      <c r="BM59" s="204">
        <v>10</v>
      </c>
      <c r="BN59" s="202"/>
      <c r="BO59" s="203">
        <f t="shared" si="8"/>
        <v>2</v>
      </c>
      <c r="BP59" s="202"/>
      <c r="BQ59" s="138"/>
      <c r="BR59" s="139"/>
      <c r="BS59" s="139"/>
      <c r="BT59" s="139"/>
      <c r="BU59" s="139"/>
      <c r="BV59" s="148">
        <v>17</v>
      </c>
      <c r="BW59" s="149">
        <f ca="1">IFERROR(__xludf.DUMMYFUNCTION("COUNTIF(MAP($AU$8:$BD$500,LAMBDA(c,IF(TRIM(c)="""","""",MIN(VALUE(SPLIT(SUBSTITUTE(SUBSTITUTE(SUBSTITUTE(c,"" "",""""),""，"","",""),"";"","",""),"","")))))),BV59)"),29)</f>
        <v>29</v>
      </c>
      <c r="BX59" s="145">
        <f t="shared" ca="1" si="20"/>
        <v>16.38418079096045</v>
      </c>
      <c r="BY59" s="191">
        <f t="shared" ca="1" si="21"/>
        <v>7.25</v>
      </c>
      <c r="BZ59" s="190"/>
      <c r="CA59" s="190"/>
      <c r="CB59" s="190"/>
      <c r="CC59" s="190"/>
      <c r="CD59" s="190"/>
      <c r="CE59" s="139"/>
      <c r="CF59" s="139"/>
      <c r="CG59" s="139"/>
      <c r="CH59" s="139"/>
      <c r="CI59" s="139"/>
      <c r="CJ59" s="139"/>
      <c r="CK59" s="139"/>
    </row>
    <row r="60" spans="1:89" ht="14.25">
      <c r="A60" s="136"/>
      <c r="B60" s="30" t="s">
        <v>134</v>
      </c>
      <c r="C60" s="30" t="s">
        <v>4</v>
      </c>
      <c r="D60" s="137">
        <f t="shared" si="3"/>
        <v>1</v>
      </c>
      <c r="E60" s="207"/>
      <c r="F60" s="202"/>
      <c r="G60" s="207"/>
      <c r="H60" s="202"/>
      <c r="I60" s="207"/>
      <c r="J60" s="202"/>
      <c r="K60" s="207"/>
      <c r="L60" s="202"/>
      <c r="M60" s="207"/>
      <c r="N60" s="202"/>
      <c r="O60" s="201"/>
      <c r="P60" s="202"/>
      <c r="Q60" s="203">
        <f t="shared" si="4"/>
        <v>0</v>
      </c>
      <c r="R60" s="202"/>
      <c r="S60" s="207"/>
      <c r="T60" s="202"/>
      <c r="U60" s="207"/>
      <c r="V60" s="202"/>
      <c r="W60" s="207"/>
      <c r="X60" s="202"/>
      <c r="Y60" s="207"/>
      <c r="Z60" s="202"/>
      <c r="AA60" s="207"/>
      <c r="AB60" s="202"/>
      <c r="AC60" s="208"/>
      <c r="AD60" s="202"/>
      <c r="AE60" s="203">
        <f t="shared" si="5"/>
        <v>0</v>
      </c>
      <c r="AF60" s="202"/>
      <c r="AG60" s="204"/>
      <c r="AH60" s="202"/>
      <c r="AI60" s="204"/>
      <c r="AJ60" s="202"/>
      <c r="AK60" s="204"/>
      <c r="AL60" s="202"/>
      <c r="AM60" s="204"/>
      <c r="AN60" s="202"/>
      <c r="AO60" s="204"/>
      <c r="AP60" s="202"/>
      <c r="AQ60" s="208"/>
      <c r="AR60" s="202"/>
      <c r="AS60" s="203">
        <f t="shared" si="6"/>
        <v>0</v>
      </c>
      <c r="AT60" s="202"/>
      <c r="AU60" s="204"/>
      <c r="AV60" s="202"/>
      <c r="AW60" s="204"/>
      <c r="AX60" s="202"/>
      <c r="AY60" s="204">
        <v>12</v>
      </c>
      <c r="AZ60" s="202"/>
      <c r="BA60" s="204"/>
      <c r="BB60" s="202"/>
      <c r="BC60" s="204"/>
      <c r="BD60" s="202"/>
      <c r="BE60" s="208">
        <v>11</v>
      </c>
      <c r="BF60" s="202"/>
      <c r="BG60" s="203">
        <f t="shared" si="7"/>
        <v>1</v>
      </c>
      <c r="BH60" s="202"/>
      <c r="BI60" s="204"/>
      <c r="BJ60" s="202"/>
      <c r="BK60" s="204"/>
      <c r="BL60" s="202"/>
      <c r="BM60" s="204"/>
      <c r="BN60" s="202"/>
      <c r="BO60" s="203">
        <f t="shared" si="8"/>
        <v>0</v>
      </c>
      <c r="BP60" s="202"/>
      <c r="BQ60" s="138"/>
      <c r="BR60" s="139"/>
      <c r="BS60" s="139"/>
      <c r="BT60" s="139"/>
      <c r="BU60" s="139"/>
      <c r="BV60" s="148">
        <v>18</v>
      </c>
      <c r="BW60" s="149">
        <f ca="1">IFERROR(__xludf.DUMMYFUNCTION("COUNTIF(MAP($AU$8:$BD$500,LAMBDA(c,IF(TRIM(c)="""","""",MIN(VALUE(SPLIT(SUBSTITUTE(SUBSTITUTE(SUBSTITUTE(c,"" "",""""),""，"","",""),"";"","",""),"","")))))),BV60)"),18)</f>
        <v>18</v>
      </c>
      <c r="BX60" s="145">
        <f t="shared" ca="1" si="20"/>
        <v>10.16949152542373</v>
      </c>
      <c r="BY60" s="191">
        <f t="shared" ca="1" si="21"/>
        <v>4.5</v>
      </c>
      <c r="BZ60" s="190"/>
      <c r="CA60" s="190"/>
      <c r="CB60" s="190"/>
      <c r="CC60" s="190"/>
      <c r="CD60" s="190"/>
      <c r="CE60" s="139"/>
      <c r="CF60" s="139"/>
      <c r="CG60" s="136"/>
      <c r="CH60" s="136"/>
      <c r="CI60" s="139"/>
      <c r="CJ60" s="139"/>
      <c r="CK60" s="139"/>
    </row>
    <row r="61" spans="1:89" ht="14.25">
      <c r="A61" s="136"/>
      <c r="B61" s="30" t="s">
        <v>136</v>
      </c>
      <c r="C61" s="30" t="s">
        <v>4</v>
      </c>
      <c r="D61" s="137">
        <f t="shared" si="3"/>
        <v>3</v>
      </c>
      <c r="E61" s="207"/>
      <c r="F61" s="202"/>
      <c r="G61" s="207">
        <v>12</v>
      </c>
      <c r="H61" s="202"/>
      <c r="I61" s="207"/>
      <c r="J61" s="202"/>
      <c r="K61" s="207"/>
      <c r="L61" s="202"/>
      <c r="M61" s="207"/>
      <c r="N61" s="202"/>
      <c r="O61" s="201"/>
      <c r="P61" s="202"/>
      <c r="Q61" s="203">
        <f t="shared" si="4"/>
        <v>1</v>
      </c>
      <c r="R61" s="202"/>
      <c r="S61" s="207"/>
      <c r="T61" s="202"/>
      <c r="U61" s="207">
        <v>12</v>
      </c>
      <c r="V61" s="202"/>
      <c r="W61" s="207">
        <v>12</v>
      </c>
      <c r="X61" s="202"/>
      <c r="Y61" s="207"/>
      <c r="Z61" s="202"/>
      <c r="AA61" s="207"/>
      <c r="AB61" s="202"/>
      <c r="AC61" s="208"/>
      <c r="AD61" s="202"/>
      <c r="AE61" s="203">
        <f t="shared" si="5"/>
        <v>2</v>
      </c>
      <c r="AF61" s="202"/>
      <c r="AG61" s="204"/>
      <c r="AH61" s="202"/>
      <c r="AI61" s="204"/>
      <c r="AJ61" s="202"/>
      <c r="AK61" s="204"/>
      <c r="AL61" s="202"/>
      <c r="AM61" s="204"/>
      <c r="AN61" s="202"/>
      <c r="AO61" s="204"/>
      <c r="AP61" s="202"/>
      <c r="AQ61" s="208"/>
      <c r="AR61" s="202"/>
      <c r="AS61" s="203">
        <f t="shared" si="6"/>
        <v>0</v>
      </c>
      <c r="AT61" s="202"/>
      <c r="AU61" s="204"/>
      <c r="AV61" s="202"/>
      <c r="AW61" s="204"/>
      <c r="AX61" s="202"/>
      <c r="AY61" s="204"/>
      <c r="AZ61" s="202"/>
      <c r="BA61" s="204"/>
      <c r="BB61" s="202"/>
      <c r="BC61" s="204"/>
      <c r="BD61" s="202"/>
      <c r="BE61" s="208"/>
      <c r="BF61" s="202"/>
      <c r="BG61" s="203">
        <f t="shared" si="7"/>
        <v>0</v>
      </c>
      <c r="BH61" s="202"/>
      <c r="BI61" s="204"/>
      <c r="BJ61" s="202"/>
      <c r="BK61" s="204"/>
      <c r="BL61" s="202"/>
      <c r="BM61" s="204"/>
      <c r="BN61" s="202"/>
      <c r="BO61" s="203">
        <f t="shared" si="8"/>
        <v>0</v>
      </c>
      <c r="BP61" s="202"/>
      <c r="BQ61" s="138"/>
      <c r="BR61" s="139"/>
      <c r="BS61" s="139"/>
      <c r="BT61" s="139"/>
      <c r="BU61" s="139"/>
      <c r="BV61" s="148">
        <v>19</v>
      </c>
      <c r="BW61" s="149">
        <f ca="1">IFERROR(__xludf.DUMMYFUNCTION("COUNTIF(MAP($AU$8:$BD$500,LAMBDA(c,IF(TRIM(c)="""","""",MIN(VALUE(SPLIT(SUBSTITUTE(SUBSTITUTE(SUBSTITUTE(c,"" "",""""),""，"","",""),"";"","",""),"","")))))),BV61)"),29)</f>
        <v>29</v>
      </c>
      <c r="BX61" s="145">
        <f t="shared" ca="1" si="20"/>
        <v>16.38418079096045</v>
      </c>
      <c r="BY61" s="191">
        <f t="shared" ca="1" si="21"/>
        <v>7.25</v>
      </c>
      <c r="BZ61" s="190"/>
      <c r="CA61" s="190"/>
      <c r="CB61" s="190"/>
      <c r="CC61" s="190"/>
      <c r="CD61" s="190"/>
      <c r="CE61" s="139"/>
      <c r="CF61" s="139"/>
      <c r="CG61" s="139"/>
      <c r="CH61" s="139"/>
      <c r="CI61" s="139"/>
      <c r="CJ61" s="139"/>
      <c r="CK61" s="139"/>
    </row>
    <row r="62" spans="1:89" ht="14.25">
      <c r="A62" s="142"/>
      <c r="B62" s="30" t="s">
        <v>140</v>
      </c>
      <c r="C62" s="30" t="s">
        <v>4</v>
      </c>
      <c r="D62" s="137">
        <f t="shared" si="3"/>
        <v>1</v>
      </c>
      <c r="E62" s="207"/>
      <c r="F62" s="202"/>
      <c r="G62" s="207"/>
      <c r="H62" s="202"/>
      <c r="I62" s="207"/>
      <c r="J62" s="202"/>
      <c r="K62" s="207"/>
      <c r="L62" s="202"/>
      <c r="M62" s="207"/>
      <c r="N62" s="202"/>
      <c r="O62" s="201"/>
      <c r="P62" s="202"/>
      <c r="Q62" s="203">
        <f t="shared" si="4"/>
        <v>0</v>
      </c>
      <c r="R62" s="202"/>
      <c r="S62" s="207"/>
      <c r="T62" s="202"/>
      <c r="U62" s="207"/>
      <c r="V62" s="202"/>
      <c r="W62" s="237" t="s">
        <v>446</v>
      </c>
      <c r="X62" s="202"/>
      <c r="Y62" s="207"/>
      <c r="Z62" s="202"/>
      <c r="AA62" s="207"/>
      <c r="AB62" s="202"/>
      <c r="AC62" s="208"/>
      <c r="AD62" s="202"/>
      <c r="AE62" s="203">
        <f t="shared" si="5"/>
        <v>1</v>
      </c>
      <c r="AF62" s="202"/>
      <c r="AG62" s="204"/>
      <c r="AH62" s="202"/>
      <c r="AI62" s="204"/>
      <c r="AJ62" s="202"/>
      <c r="AK62" s="204"/>
      <c r="AL62" s="202"/>
      <c r="AM62" s="204"/>
      <c r="AN62" s="202"/>
      <c r="AO62" s="204"/>
      <c r="AP62" s="202"/>
      <c r="AQ62" s="208"/>
      <c r="AR62" s="202"/>
      <c r="AS62" s="203">
        <f t="shared" si="6"/>
        <v>0</v>
      </c>
      <c r="AT62" s="202"/>
      <c r="AU62" s="204"/>
      <c r="AV62" s="202"/>
      <c r="AW62" s="204"/>
      <c r="AX62" s="202"/>
      <c r="AY62" s="204"/>
      <c r="AZ62" s="202"/>
      <c r="BA62" s="204"/>
      <c r="BB62" s="202"/>
      <c r="BC62" s="204"/>
      <c r="BD62" s="202"/>
      <c r="BE62" s="208"/>
      <c r="BF62" s="202"/>
      <c r="BG62" s="203">
        <f t="shared" si="7"/>
        <v>0</v>
      </c>
      <c r="BH62" s="202"/>
      <c r="BI62" s="204"/>
      <c r="BJ62" s="202"/>
      <c r="BK62" s="204"/>
      <c r="BL62" s="202"/>
      <c r="BM62" s="204"/>
      <c r="BN62" s="202"/>
      <c r="BO62" s="203">
        <f t="shared" si="8"/>
        <v>0</v>
      </c>
      <c r="BP62" s="202"/>
      <c r="BQ62" s="138"/>
      <c r="BR62" s="128"/>
      <c r="BS62" s="128"/>
      <c r="BT62" s="128"/>
      <c r="BU62" s="128"/>
      <c r="BV62" s="148">
        <v>20</v>
      </c>
      <c r="BW62" s="149">
        <f ca="1">IFERROR(__xludf.DUMMYFUNCTION("COUNTIF(MAP($AU$8:$BD$500,LAMBDA(c,IF(TRIM(c)="""","""",MIN(VALUE(SPLIT(SUBSTITUTE(SUBSTITUTE(SUBSTITUTE(c,"" "",""""),""，"","",""),"";"","",""),"","")))))),BV62)"),17)</f>
        <v>17</v>
      </c>
      <c r="BX62" s="145">
        <f t="shared" ca="1" si="20"/>
        <v>9.6045197740112993</v>
      </c>
      <c r="BY62" s="191">
        <f t="shared" ca="1" si="21"/>
        <v>4.25</v>
      </c>
      <c r="BZ62" s="190"/>
      <c r="CA62" s="190"/>
      <c r="CB62" s="190"/>
      <c r="CC62" s="190"/>
      <c r="CD62" s="190"/>
      <c r="CE62" s="134"/>
      <c r="CF62" s="134"/>
      <c r="CG62" s="134"/>
      <c r="CH62" s="134"/>
      <c r="CI62" s="134"/>
      <c r="CJ62" s="135"/>
      <c r="CK62" s="135"/>
    </row>
    <row r="63" spans="1:89" ht="14.25">
      <c r="A63" s="136"/>
      <c r="B63" s="30" t="s">
        <v>138</v>
      </c>
      <c r="C63" s="30" t="s">
        <v>4</v>
      </c>
      <c r="D63" s="137">
        <f t="shared" si="3"/>
        <v>1</v>
      </c>
      <c r="E63" s="207"/>
      <c r="F63" s="202"/>
      <c r="G63" s="207"/>
      <c r="H63" s="202"/>
      <c r="I63" s="207"/>
      <c r="J63" s="202"/>
      <c r="K63" s="207"/>
      <c r="L63" s="202"/>
      <c r="M63" s="207"/>
      <c r="N63" s="202"/>
      <c r="O63" s="201"/>
      <c r="P63" s="202"/>
      <c r="Q63" s="203">
        <f t="shared" si="4"/>
        <v>0</v>
      </c>
      <c r="R63" s="202"/>
      <c r="S63" s="207"/>
      <c r="T63" s="202"/>
      <c r="U63" s="207"/>
      <c r="V63" s="202"/>
      <c r="W63" s="207"/>
      <c r="X63" s="202"/>
      <c r="Y63" s="207"/>
      <c r="Z63" s="202"/>
      <c r="AA63" s="207"/>
      <c r="AB63" s="202"/>
      <c r="AC63" s="208"/>
      <c r="AD63" s="202"/>
      <c r="AE63" s="203">
        <f t="shared" si="5"/>
        <v>0</v>
      </c>
      <c r="AF63" s="202"/>
      <c r="AG63" s="204"/>
      <c r="AH63" s="202"/>
      <c r="AI63" s="204"/>
      <c r="AJ63" s="202"/>
      <c r="AK63" s="204"/>
      <c r="AL63" s="202"/>
      <c r="AM63" s="204"/>
      <c r="AN63" s="202"/>
      <c r="AO63" s="204"/>
      <c r="AP63" s="202"/>
      <c r="AQ63" s="208"/>
      <c r="AR63" s="202"/>
      <c r="AS63" s="203">
        <f t="shared" si="6"/>
        <v>0</v>
      </c>
      <c r="AT63" s="202"/>
      <c r="AU63" s="204"/>
      <c r="AV63" s="202"/>
      <c r="AW63" s="204"/>
      <c r="AX63" s="202"/>
      <c r="AY63" s="204"/>
      <c r="AZ63" s="202"/>
      <c r="BA63" s="204"/>
      <c r="BB63" s="202"/>
      <c r="BC63" s="204"/>
      <c r="BD63" s="202"/>
      <c r="BE63" s="208"/>
      <c r="BF63" s="202"/>
      <c r="BG63" s="203">
        <f t="shared" si="7"/>
        <v>0</v>
      </c>
      <c r="BH63" s="202"/>
      <c r="BI63" s="204"/>
      <c r="BJ63" s="202"/>
      <c r="BK63" s="204">
        <v>10</v>
      </c>
      <c r="BL63" s="202"/>
      <c r="BM63" s="204"/>
      <c r="BN63" s="202"/>
      <c r="BO63" s="203">
        <f t="shared" si="8"/>
        <v>1</v>
      </c>
      <c r="BP63" s="202"/>
      <c r="BQ63" s="138"/>
      <c r="BR63" s="139"/>
      <c r="BS63" s="139"/>
      <c r="BT63" s="139"/>
      <c r="BU63" s="139"/>
      <c r="BV63" s="148">
        <v>21</v>
      </c>
      <c r="BW63" s="149">
        <f ca="1">IFERROR(__xludf.DUMMYFUNCTION("COUNTIF(MAP($AU$8:$BD$500,LAMBDA(c,IF(TRIM(c)="""","""",MIN(VALUE(SPLIT(SUBSTITUTE(SUBSTITUTE(SUBSTITUTE(c,"" "",""""),""，"","",""),"";"","",""),"","")))))),BV63)"),13)</f>
        <v>13</v>
      </c>
      <c r="BX63" s="145">
        <f t="shared" ca="1" si="20"/>
        <v>7.3446327683615822</v>
      </c>
      <c r="BY63" s="191">
        <f t="shared" ca="1" si="21"/>
        <v>3.25</v>
      </c>
      <c r="BZ63" s="190"/>
      <c r="CA63" s="190"/>
      <c r="CB63" s="190"/>
      <c r="CC63" s="190"/>
      <c r="CD63" s="190"/>
      <c r="CE63" s="139"/>
      <c r="CF63" s="139"/>
      <c r="CG63" s="139"/>
      <c r="CH63" s="139"/>
      <c r="CI63" s="139"/>
      <c r="CJ63" s="139"/>
      <c r="CK63" s="139"/>
    </row>
    <row r="64" spans="1:89" ht="14.25">
      <c r="A64" s="136"/>
      <c r="B64" s="30" t="s">
        <v>144</v>
      </c>
      <c r="C64" s="30" t="s">
        <v>4</v>
      </c>
      <c r="D64" s="137">
        <f t="shared" si="3"/>
        <v>0</v>
      </c>
      <c r="E64" s="207"/>
      <c r="F64" s="202"/>
      <c r="G64" s="207"/>
      <c r="H64" s="202"/>
      <c r="I64" s="207"/>
      <c r="J64" s="202"/>
      <c r="K64" s="207"/>
      <c r="L64" s="202"/>
      <c r="M64" s="207"/>
      <c r="N64" s="202"/>
      <c r="O64" s="201"/>
      <c r="P64" s="202"/>
      <c r="Q64" s="203">
        <f t="shared" si="4"/>
        <v>0</v>
      </c>
      <c r="R64" s="202"/>
      <c r="S64" s="207"/>
      <c r="T64" s="202"/>
      <c r="U64" s="207"/>
      <c r="V64" s="202"/>
      <c r="W64" s="207"/>
      <c r="X64" s="202"/>
      <c r="Y64" s="207"/>
      <c r="Z64" s="202"/>
      <c r="AA64" s="207"/>
      <c r="AB64" s="202"/>
      <c r="AC64" s="208"/>
      <c r="AD64" s="202"/>
      <c r="AE64" s="203">
        <f t="shared" si="5"/>
        <v>0</v>
      </c>
      <c r="AF64" s="202"/>
      <c r="AG64" s="204"/>
      <c r="AH64" s="202"/>
      <c r="AI64" s="204"/>
      <c r="AJ64" s="202"/>
      <c r="AK64" s="204"/>
      <c r="AL64" s="202"/>
      <c r="AM64" s="204"/>
      <c r="AN64" s="202"/>
      <c r="AO64" s="204"/>
      <c r="AP64" s="202"/>
      <c r="AQ64" s="208"/>
      <c r="AR64" s="202"/>
      <c r="AS64" s="203">
        <f t="shared" si="6"/>
        <v>0</v>
      </c>
      <c r="AT64" s="202"/>
      <c r="AU64" s="204"/>
      <c r="AV64" s="202"/>
      <c r="AW64" s="204"/>
      <c r="AX64" s="202"/>
      <c r="AY64" s="204"/>
      <c r="AZ64" s="202"/>
      <c r="BA64" s="204"/>
      <c r="BB64" s="202"/>
      <c r="BC64" s="204"/>
      <c r="BD64" s="202"/>
      <c r="BE64" s="208"/>
      <c r="BF64" s="202"/>
      <c r="BG64" s="203">
        <f t="shared" si="7"/>
        <v>0</v>
      </c>
      <c r="BH64" s="202"/>
      <c r="BI64" s="204"/>
      <c r="BJ64" s="202"/>
      <c r="BK64" s="204"/>
      <c r="BL64" s="202"/>
      <c r="BM64" s="204"/>
      <c r="BN64" s="202"/>
      <c r="BO64" s="203">
        <f t="shared" si="8"/>
        <v>0</v>
      </c>
      <c r="BP64" s="202"/>
      <c r="BQ64" s="138"/>
      <c r="BR64" s="139"/>
      <c r="BS64" s="139"/>
      <c r="BT64" s="139"/>
      <c r="BU64" s="139"/>
      <c r="BV64" s="192">
        <v>11</v>
      </c>
      <c r="BW64" s="193">
        <f ca="1">IFERROR(__xludf.DUMMYFUNCTION("COUNTIF(MAP($BE$8:$BF$500,LAMBDA(c,IF(TRIM(c)="""","""",MIN(VALUE(SPLIT(SUBSTITUTE(SUBSTITUTE(SUBSTITUTE(c,"" "",""""),""，"","",""),"";"","",""),"","")))))),BV64)"),10)</f>
        <v>10</v>
      </c>
      <c r="BX64" s="194" t="s">
        <v>323</v>
      </c>
      <c r="BY64" s="195">
        <f t="shared" ref="BY64:BY65" ca="1" si="22">BW64</f>
        <v>10</v>
      </c>
      <c r="BZ64" s="190"/>
      <c r="CA64" s="190"/>
      <c r="CB64" s="190"/>
      <c r="CC64" s="190"/>
      <c r="CD64" s="190"/>
      <c r="CE64" s="139"/>
      <c r="CF64" s="139"/>
      <c r="CG64" s="139"/>
      <c r="CH64" s="139"/>
      <c r="CI64" s="139"/>
      <c r="CJ64" s="139"/>
      <c r="CK64" s="139"/>
    </row>
    <row r="65" spans="1:89" ht="14.25">
      <c r="A65" s="142"/>
      <c r="B65" s="30" t="s">
        <v>142</v>
      </c>
      <c r="C65" s="30" t="s">
        <v>4</v>
      </c>
      <c r="D65" s="137">
        <f t="shared" si="3"/>
        <v>1</v>
      </c>
      <c r="E65" s="207"/>
      <c r="F65" s="202"/>
      <c r="G65" s="207">
        <v>12</v>
      </c>
      <c r="H65" s="202"/>
      <c r="I65" s="207"/>
      <c r="J65" s="202"/>
      <c r="K65" s="207"/>
      <c r="L65" s="202"/>
      <c r="M65" s="207"/>
      <c r="N65" s="202"/>
      <c r="O65" s="201"/>
      <c r="P65" s="202"/>
      <c r="Q65" s="203">
        <f t="shared" si="4"/>
        <v>1</v>
      </c>
      <c r="R65" s="202"/>
      <c r="S65" s="207"/>
      <c r="T65" s="202"/>
      <c r="U65" s="207"/>
      <c r="V65" s="202"/>
      <c r="W65" s="207"/>
      <c r="X65" s="202"/>
      <c r="Y65" s="207"/>
      <c r="Z65" s="202"/>
      <c r="AA65" s="207"/>
      <c r="AB65" s="202"/>
      <c r="AC65" s="208"/>
      <c r="AD65" s="202"/>
      <c r="AE65" s="203">
        <f t="shared" si="5"/>
        <v>0</v>
      </c>
      <c r="AF65" s="202"/>
      <c r="AG65" s="204"/>
      <c r="AH65" s="202"/>
      <c r="AI65" s="204"/>
      <c r="AJ65" s="202"/>
      <c r="AK65" s="204"/>
      <c r="AL65" s="202"/>
      <c r="AM65" s="204"/>
      <c r="AN65" s="202"/>
      <c r="AO65" s="204"/>
      <c r="AP65" s="202"/>
      <c r="AQ65" s="208"/>
      <c r="AR65" s="202"/>
      <c r="AS65" s="203">
        <f t="shared" si="6"/>
        <v>0</v>
      </c>
      <c r="AT65" s="202"/>
      <c r="AU65" s="204"/>
      <c r="AV65" s="202"/>
      <c r="AW65" s="204"/>
      <c r="AX65" s="202"/>
      <c r="AY65" s="204"/>
      <c r="AZ65" s="202"/>
      <c r="BA65" s="204"/>
      <c r="BB65" s="202"/>
      <c r="BC65" s="204"/>
      <c r="BD65" s="202"/>
      <c r="BE65" s="208"/>
      <c r="BF65" s="202"/>
      <c r="BG65" s="203">
        <f t="shared" si="7"/>
        <v>0</v>
      </c>
      <c r="BH65" s="202"/>
      <c r="BI65" s="204"/>
      <c r="BJ65" s="202"/>
      <c r="BK65" s="204"/>
      <c r="BL65" s="202"/>
      <c r="BM65" s="204"/>
      <c r="BN65" s="202"/>
      <c r="BO65" s="203">
        <f t="shared" si="8"/>
        <v>0</v>
      </c>
      <c r="BP65" s="202"/>
      <c r="BQ65" s="138"/>
      <c r="BR65" s="128"/>
      <c r="BS65" s="128"/>
      <c r="BT65" s="128"/>
      <c r="BU65" s="128"/>
      <c r="BV65" s="192">
        <v>13</v>
      </c>
      <c r="BW65" s="193">
        <f ca="1">IFERROR(__xludf.DUMMYFUNCTION("COUNTIF(MAP($BE$8:$BF$500,LAMBDA(c,IF(TRIM(c)="""","""",MIN(VALUE(SPLIT(SUBSTITUTE(SUBSTITUTE(SUBSTITUTE(c,"" "",""""),""，"","",""),"";"","",""),"","")))))),BV65)"),11)</f>
        <v>11</v>
      </c>
      <c r="BX65" s="194" t="s">
        <v>323</v>
      </c>
      <c r="BY65" s="195">
        <f t="shared" ca="1" si="22"/>
        <v>11</v>
      </c>
      <c r="BZ65" s="190"/>
      <c r="CA65" s="190"/>
      <c r="CB65" s="190"/>
      <c r="CC65" s="190"/>
      <c r="CD65" s="190"/>
      <c r="CE65" s="134"/>
      <c r="CF65" s="134"/>
      <c r="CG65" s="134"/>
      <c r="CH65" s="134"/>
      <c r="CI65" s="134"/>
      <c r="CJ65" s="135"/>
      <c r="CK65" s="135"/>
    </row>
    <row r="66" spans="1:89" ht="14.25">
      <c r="A66" s="136"/>
      <c r="B66" s="30" t="s">
        <v>146</v>
      </c>
      <c r="C66" s="30" t="s">
        <v>4</v>
      </c>
      <c r="D66" s="137">
        <f t="shared" si="3"/>
        <v>6</v>
      </c>
      <c r="E66" s="207"/>
      <c r="F66" s="202"/>
      <c r="G66" s="207"/>
      <c r="H66" s="202"/>
      <c r="I66" s="207"/>
      <c r="J66" s="202"/>
      <c r="K66" s="207">
        <v>8</v>
      </c>
      <c r="L66" s="202"/>
      <c r="M66" s="207">
        <v>8</v>
      </c>
      <c r="N66" s="202"/>
      <c r="O66" s="201"/>
      <c r="P66" s="202"/>
      <c r="Q66" s="203">
        <f t="shared" si="4"/>
        <v>2</v>
      </c>
      <c r="R66" s="202"/>
      <c r="S66" s="207">
        <v>20</v>
      </c>
      <c r="T66" s="202"/>
      <c r="U66" s="207"/>
      <c r="V66" s="202"/>
      <c r="W66" s="207">
        <v>18</v>
      </c>
      <c r="X66" s="202"/>
      <c r="Y66" s="207">
        <v>8</v>
      </c>
      <c r="Z66" s="202"/>
      <c r="AA66" s="207"/>
      <c r="AB66" s="202"/>
      <c r="AC66" s="208"/>
      <c r="AD66" s="202"/>
      <c r="AE66" s="203">
        <f t="shared" si="5"/>
        <v>3</v>
      </c>
      <c r="AF66" s="202"/>
      <c r="AG66" s="204"/>
      <c r="AH66" s="202"/>
      <c r="AI66" s="204"/>
      <c r="AJ66" s="202"/>
      <c r="AK66" s="204">
        <v>18</v>
      </c>
      <c r="AL66" s="202"/>
      <c r="AM66" s="204"/>
      <c r="AN66" s="202"/>
      <c r="AO66" s="204"/>
      <c r="AP66" s="202"/>
      <c r="AQ66" s="208"/>
      <c r="AR66" s="202"/>
      <c r="AS66" s="203">
        <f t="shared" si="6"/>
        <v>1</v>
      </c>
      <c r="AT66" s="202"/>
      <c r="AU66" s="204"/>
      <c r="AV66" s="202"/>
      <c r="AW66" s="204"/>
      <c r="AX66" s="202"/>
      <c r="AY66" s="204"/>
      <c r="AZ66" s="202"/>
      <c r="BA66" s="204"/>
      <c r="BB66" s="202"/>
      <c r="BC66" s="204"/>
      <c r="BD66" s="202"/>
      <c r="BE66" s="208">
        <v>13</v>
      </c>
      <c r="BF66" s="202"/>
      <c r="BG66" s="203">
        <f t="shared" si="7"/>
        <v>0</v>
      </c>
      <c r="BH66" s="202"/>
      <c r="BI66" s="204"/>
      <c r="BJ66" s="202"/>
      <c r="BK66" s="204"/>
      <c r="BL66" s="202"/>
      <c r="BM66" s="204"/>
      <c r="BN66" s="202"/>
      <c r="BO66" s="203">
        <f t="shared" si="8"/>
        <v>0</v>
      </c>
      <c r="BP66" s="202"/>
      <c r="BQ66" s="138"/>
      <c r="BR66" s="139"/>
      <c r="BS66" s="139"/>
      <c r="BT66" s="139"/>
      <c r="BU66" s="139"/>
      <c r="BZ66" s="190"/>
      <c r="CA66" s="190"/>
      <c r="CB66" s="190"/>
      <c r="CC66" s="190"/>
      <c r="CD66" s="190"/>
      <c r="CE66" s="139"/>
      <c r="CF66" s="139"/>
      <c r="CG66" s="139"/>
      <c r="CH66" s="139"/>
      <c r="CI66" s="139"/>
      <c r="CJ66" s="139"/>
      <c r="CK66" s="139"/>
    </row>
    <row r="67" spans="1:89" ht="14.25">
      <c r="A67" s="142"/>
      <c r="B67" s="30" t="s">
        <v>148</v>
      </c>
      <c r="C67" s="30" t="s">
        <v>3</v>
      </c>
      <c r="D67" s="137">
        <f t="shared" si="3"/>
        <v>7</v>
      </c>
      <c r="E67" s="207"/>
      <c r="F67" s="202"/>
      <c r="G67" s="207"/>
      <c r="H67" s="202"/>
      <c r="I67" s="207"/>
      <c r="J67" s="202"/>
      <c r="K67" s="207">
        <v>8</v>
      </c>
      <c r="L67" s="202"/>
      <c r="M67" s="207">
        <v>8</v>
      </c>
      <c r="N67" s="202"/>
      <c r="O67" s="201"/>
      <c r="P67" s="202"/>
      <c r="Q67" s="203">
        <f t="shared" si="4"/>
        <v>2</v>
      </c>
      <c r="R67" s="202"/>
      <c r="S67" s="207">
        <v>20</v>
      </c>
      <c r="T67" s="202"/>
      <c r="U67" s="207"/>
      <c r="V67" s="202"/>
      <c r="W67" s="207">
        <v>18</v>
      </c>
      <c r="X67" s="202"/>
      <c r="Y67" s="207">
        <v>8</v>
      </c>
      <c r="Z67" s="202"/>
      <c r="AA67" s="207"/>
      <c r="AB67" s="202"/>
      <c r="AC67" s="208"/>
      <c r="AD67" s="202"/>
      <c r="AE67" s="203">
        <f t="shared" si="5"/>
        <v>3</v>
      </c>
      <c r="AF67" s="202"/>
      <c r="AG67" s="204"/>
      <c r="AH67" s="202"/>
      <c r="AI67" s="204"/>
      <c r="AJ67" s="202"/>
      <c r="AK67" s="204">
        <v>18</v>
      </c>
      <c r="AL67" s="202"/>
      <c r="AM67" s="204">
        <v>18</v>
      </c>
      <c r="AN67" s="202"/>
      <c r="AO67" s="204"/>
      <c r="AP67" s="202"/>
      <c r="AQ67" s="208"/>
      <c r="AR67" s="202"/>
      <c r="AS67" s="203">
        <f t="shared" si="6"/>
        <v>2</v>
      </c>
      <c r="AT67" s="202"/>
      <c r="AU67" s="204"/>
      <c r="AV67" s="202"/>
      <c r="AW67" s="204"/>
      <c r="AX67" s="202"/>
      <c r="AY67" s="204"/>
      <c r="AZ67" s="202"/>
      <c r="BA67" s="204"/>
      <c r="BB67" s="202"/>
      <c r="BC67" s="204"/>
      <c r="BD67" s="202"/>
      <c r="BE67" s="208">
        <v>13</v>
      </c>
      <c r="BF67" s="202"/>
      <c r="BG67" s="203">
        <f t="shared" si="7"/>
        <v>0</v>
      </c>
      <c r="BH67" s="202"/>
      <c r="BI67" s="204"/>
      <c r="BJ67" s="202"/>
      <c r="BK67" s="204"/>
      <c r="BL67" s="202"/>
      <c r="BM67" s="204"/>
      <c r="BN67" s="202"/>
      <c r="BO67" s="203">
        <f t="shared" si="8"/>
        <v>0</v>
      </c>
      <c r="BP67" s="202"/>
      <c r="BQ67" s="138"/>
      <c r="BR67" s="128"/>
      <c r="BS67" s="128"/>
      <c r="BT67" s="128"/>
      <c r="BU67" s="128"/>
      <c r="BV67" s="228" t="s">
        <v>22</v>
      </c>
      <c r="BW67" s="225"/>
      <c r="BX67" s="225"/>
      <c r="BY67" s="202"/>
      <c r="BZ67" s="190"/>
      <c r="CA67" s="190"/>
      <c r="CB67" s="190"/>
      <c r="CC67" s="190"/>
      <c r="CD67" s="190"/>
      <c r="CE67" s="134"/>
      <c r="CF67" s="134"/>
      <c r="CG67" s="134"/>
      <c r="CH67" s="134"/>
      <c r="CI67" s="134"/>
      <c r="CJ67" s="135"/>
      <c r="CK67" s="135"/>
    </row>
    <row r="68" spans="1:89" ht="14.25">
      <c r="A68" s="136"/>
      <c r="B68" s="30" t="s">
        <v>150</v>
      </c>
      <c r="C68" s="30" t="s">
        <v>3</v>
      </c>
      <c r="D68" s="137">
        <f t="shared" si="3"/>
        <v>4</v>
      </c>
      <c r="E68" s="207"/>
      <c r="F68" s="202"/>
      <c r="G68" s="207">
        <v>20</v>
      </c>
      <c r="H68" s="202"/>
      <c r="I68" s="207"/>
      <c r="J68" s="202"/>
      <c r="K68" s="207"/>
      <c r="L68" s="202"/>
      <c r="M68" s="207"/>
      <c r="N68" s="202"/>
      <c r="O68" s="201"/>
      <c r="P68" s="202"/>
      <c r="Q68" s="203">
        <f t="shared" si="4"/>
        <v>1</v>
      </c>
      <c r="R68" s="202"/>
      <c r="S68" s="207"/>
      <c r="T68" s="202"/>
      <c r="U68" s="207"/>
      <c r="V68" s="202"/>
      <c r="W68" s="207"/>
      <c r="X68" s="202"/>
      <c r="Y68" s="207">
        <v>19</v>
      </c>
      <c r="Z68" s="202"/>
      <c r="AA68" s="207"/>
      <c r="AB68" s="202"/>
      <c r="AC68" s="208"/>
      <c r="AD68" s="202"/>
      <c r="AE68" s="203">
        <f t="shared" si="5"/>
        <v>1</v>
      </c>
      <c r="AF68" s="202"/>
      <c r="AG68" s="204"/>
      <c r="AH68" s="202"/>
      <c r="AI68" s="204">
        <v>19</v>
      </c>
      <c r="AJ68" s="202"/>
      <c r="AK68" s="204"/>
      <c r="AL68" s="202"/>
      <c r="AM68" s="204"/>
      <c r="AN68" s="202"/>
      <c r="AO68" s="204"/>
      <c r="AP68" s="202"/>
      <c r="AQ68" s="208"/>
      <c r="AR68" s="202"/>
      <c r="AS68" s="203">
        <f t="shared" si="6"/>
        <v>1</v>
      </c>
      <c r="AT68" s="202"/>
      <c r="AU68" s="204"/>
      <c r="AV68" s="202"/>
      <c r="AW68" s="204">
        <v>19</v>
      </c>
      <c r="AX68" s="202"/>
      <c r="AY68" s="204"/>
      <c r="AZ68" s="202"/>
      <c r="BA68" s="204"/>
      <c r="BB68" s="202"/>
      <c r="BC68" s="204"/>
      <c r="BD68" s="202"/>
      <c r="BE68" s="208"/>
      <c r="BF68" s="202"/>
      <c r="BG68" s="203">
        <f t="shared" si="7"/>
        <v>1</v>
      </c>
      <c r="BH68" s="202"/>
      <c r="BI68" s="204"/>
      <c r="BJ68" s="202"/>
      <c r="BK68" s="204"/>
      <c r="BL68" s="202"/>
      <c r="BM68" s="204"/>
      <c r="BN68" s="202"/>
      <c r="BO68" s="203">
        <f t="shared" si="8"/>
        <v>0</v>
      </c>
      <c r="BP68" s="202"/>
      <c r="BQ68" s="138"/>
      <c r="BR68" s="139"/>
      <c r="BS68" s="139"/>
      <c r="BT68" s="139"/>
      <c r="BU68" s="139"/>
      <c r="BV68" s="146" t="s">
        <v>367</v>
      </c>
      <c r="BW68" s="146" t="s">
        <v>370</v>
      </c>
      <c r="BX68" s="146" t="s">
        <v>369</v>
      </c>
      <c r="BY68" s="146" t="s">
        <v>356</v>
      </c>
      <c r="BZ68" s="190"/>
      <c r="CA68" s="190"/>
      <c r="CB68" s="190"/>
      <c r="CC68" s="190"/>
      <c r="CD68" s="190"/>
      <c r="CE68" s="139"/>
      <c r="CF68" s="139"/>
      <c r="CG68" s="139"/>
      <c r="CH68" s="136"/>
      <c r="CI68" s="139"/>
      <c r="CJ68" s="139"/>
      <c r="CK68" s="139"/>
    </row>
    <row r="69" spans="1:89" ht="14.25">
      <c r="A69" s="136"/>
      <c r="B69" s="30" t="s">
        <v>152</v>
      </c>
      <c r="C69" s="30" t="s">
        <v>4</v>
      </c>
      <c r="D69" s="137">
        <f t="shared" si="3"/>
        <v>12</v>
      </c>
      <c r="E69" s="207">
        <v>18</v>
      </c>
      <c r="F69" s="202"/>
      <c r="G69" s="207"/>
      <c r="H69" s="202"/>
      <c r="I69" s="207">
        <v>20</v>
      </c>
      <c r="J69" s="202"/>
      <c r="K69" s="207"/>
      <c r="L69" s="202"/>
      <c r="M69" s="207">
        <v>20</v>
      </c>
      <c r="N69" s="202"/>
      <c r="O69" s="201"/>
      <c r="P69" s="202"/>
      <c r="Q69" s="203">
        <f t="shared" si="4"/>
        <v>3</v>
      </c>
      <c r="R69" s="202"/>
      <c r="S69" s="207"/>
      <c r="T69" s="202"/>
      <c r="U69" s="207"/>
      <c r="V69" s="202"/>
      <c r="W69" s="207">
        <v>20</v>
      </c>
      <c r="X69" s="202"/>
      <c r="Y69" s="207">
        <v>20</v>
      </c>
      <c r="Z69" s="202"/>
      <c r="AA69" s="207"/>
      <c r="AB69" s="202"/>
      <c r="AC69" s="208"/>
      <c r="AD69" s="202"/>
      <c r="AE69" s="203">
        <f t="shared" si="5"/>
        <v>2</v>
      </c>
      <c r="AF69" s="202"/>
      <c r="AG69" s="204">
        <v>19</v>
      </c>
      <c r="AH69" s="202"/>
      <c r="AI69" s="204"/>
      <c r="AJ69" s="202"/>
      <c r="AK69" s="204">
        <v>10</v>
      </c>
      <c r="AL69" s="202"/>
      <c r="AM69" s="204">
        <v>21</v>
      </c>
      <c r="AN69" s="202"/>
      <c r="AO69" s="204"/>
      <c r="AP69" s="202"/>
      <c r="AQ69" s="208"/>
      <c r="AR69" s="202"/>
      <c r="AS69" s="203">
        <f t="shared" si="6"/>
        <v>3</v>
      </c>
      <c r="AT69" s="202"/>
      <c r="AU69" s="204">
        <v>21</v>
      </c>
      <c r="AV69" s="202"/>
      <c r="AW69" s="204">
        <v>18</v>
      </c>
      <c r="AX69" s="202"/>
      <c r="AY69" s="204">
        <v>21</v>
      </c>
      <c r="AZ69" s="202"/>
      <c r="BA69" s="204"/>
      <c r="BB69" s="202"/>
      <c r="BC69" s="204"/>
      <c r="BD69" s="202"/>
      <c r="BE69" s="208"/>
      <c r="BF69" s="202"/>
      <c r="BG69" s="203">
        <f t="shared" si="7"/>
        <v>3</v>
      </c>
      <c r="BH69" s="202"/>
      <c r="BI69" s="204"/>
      <c r="BJ69" s="202"/>
      <c r="BK69" s="204">
        <v>18</v>
      </c>
      <c r="BL69" s="202"/>
      <c r="BM69" s="204"/>
      <c r="BN69" s="202"/>
      <c r="BO69" s="203">
        <f t="shared" si="8"/>
        <v>1</v>
      </c>
      <c r="BP69" s="202"/>
      <c r="BQ69" s="138"/>
      <c r="BR69" s="139"/>
      <c r="BS69" s="139"/>
      <c r="BT69" s="139"/>
      <c r="BU69" s="139"/>
      <c r="BV69" s="148">
        <v>7</v>
      </c>
      <c r="BW69" s="149">
        <f ca="1">IFERROR(__xludf.DUMMYFUNCTION("COUNTIF(MAP($BI$8:$BN$500,LAMBDA(c,IF(TRIM(c)="""","""",MIN(VALUE(SPLIT(SUBSTITUTE(SUBSTITUTE(SUBSTITUTE(c,"" "",""""),""，"","",""),"";"","",""),"","")))))),BV69)"),4)</f>
        <v>4</v>
      </c>
      <c r="BX69" s="145">
        <f t="shared" ref="BX69:BX77" ca="1" si="23">BW55/SUM($BW$69:$BW$77)*100</f>
        <v>6.4516129032258061</v>
      </c>
      <c r="BY69" s="191">
        <f t="shared" ref="BY69:BY77" ca="1" si="24">BW69/$BW$7</f>
        <v>1.3333333333333333</v>
      </c>
      <c r="BZ69" s="190"/>
      <c r="CA69" s="190"/>
      <c r="CB69" s="190"/>
      <c r="CC69" s="190"/>
      <c r="CD69" s="190"/>
      <c r="CE69" s="139"/>
      <c r="CF69" s="139"/>
      <c r="CG69" s="139"/>
      <c r="CH69" s="139"/>
      <c r="CI69" s="139"/>
      <c r="CJ69" s="139"/>
      <c r="CK69" s="139"/>
    </row>
    <row r="70" spans="1:89" ht="14.25">
      <c r="A70" s="136"/>
      <c r="B70" s="30" t="s">
        <v>154</v>
      </c>
      <c r="C70" s="30" t="s">
        <v>3</v>
      </c>
      <c r="D70" s="137">
        <f t="shared" si="3"/>
        <v>1</v>
      </c>
      <c r="E70" s="207"/>
      <c r="F70" s="202"/>
      <c r="G70" s="207"/>
      <c r="H70" s="202"/>
      <c r="I70" s="207"/>
      <c r="J70" s="202"/>
      <c r="K70" s="207"/>
      <c r="L70" s="202"/>
      <c r="M70" s="207"/>
      <c r="N70" s="202"/>
      <c r="O70" s="201"/>
      <c r="P70" s="202"/>
      <c r="Q70" s="203">
        <f t="shared" si="4"/>
        <v>0</v>
      </c>
      <c r="R70" s="202"/>
      <c r="S70" s="207"/>
      <c r="T70" s="202"/>
      <c r="U70" s="207"/>
      <c r="V70" s="202"/>
      <c r="W70" s="207"/>
      <c r="X70" s="202"/>
      <c r="Y70" s="207"/>
      <c r="Z70" s="202"/>
      <c r="AA70" s="207"/>
      <c r="AB70" s="202"/>
      <c r="AC70" s="208"/>
      <c r="AD70" s="202"/>
      <c r="AE70" s="203">
        <f t="shared" si="5"/>
        <v>0</v>
      </c>
      <c r="AF70" s="202"/>
      <c r="AG70" s="204"/>
      <c r="AH70" s="202"/>
      <c r="AI70" s="204"/>
      <c r="AJ70" s="202"/>
      <c r="AK70" s="204"/>
      <c r="AL70" s="202"/>
      <c r="AM70" s="204"/>
      <c r="AN70" s="202"/>
      <c r="AO70" s="204"/>
      <c r="AP70" s="202"/>
      <c r="AQ70" s="208"/>
      <c r="AR70" s="202"/>
      <c r="AS70" s="203">
        <f t="shared" si="6"/>
        <v>0</v>
      </c>
      <c r="AT70" s="202"/>
      <c r="AU70" s="204"/>
      <c r="AV70" s="202"/>
      <c r="AW70" s="204"/>
      <c r="AX70" s="202"/>
      <c r="AY70" s="204">
        <v>20</v>
      </c>
      <c r="AZ70" s="202"/>
      <c r="BA70" s="204"/>
      <c r="BB70" s="202"/>
      <c r="BC70" s="204"/>
      <c r="BD70" s="202"/>
      <c r="BE70" s="208"/>
      <c r="BF70" s="202"/>
      <c r="BG70" s="203">
        <f t="shared" si="7"/>
        <v>1</v>
      </c>
      <c r="BH70" s="202"/>
      <c r="BI70" s="204"/>
      <c r="BJ70" s="202"/>
      <c r="BK70" s="204"/>
      <c r="BL70" s="202"/>
      <c r="BM70" s="204"/>
      <c r="BN70" s="202"/>
      <c r="BO70" s="203">
        <f t="shared" si="8"/>
        <v>0</v>
      </c>
      <c r="BP70" s="202"/>
      <c r="BQ70" s="138"/>
      <c r="BR70" s="139"/>
      <c r="BS70" s="139"/>
      <c r="BT70" s="139"/>
      <c r="BU70" s="139"/>
      <c r="BV70" s="148">
        <v>8</v>
      </c>
      <c r="BW70" s="149">
        <f ca="1">IFERROR(__xludf.DUMMYFUNCTION("COUNTIF(MAP($BI$8:$BN$500,LAMBDA(c,IF(TRIM(c)="""","""",MIN(VALUE(SPLIT(SUBSTITUTE(SUBSTITUTE(SUBSTITUTE(c,"" "",""""),""，"","",""),"";"","",""),"","")))))),BV70)"),8)</f>
        <v>8</v>
      </c>
      <c r="BX70" s="145">
        <f t="shared" ca="1" si="23"/>
        <v>8.064516129032258</v>
      </c>
      <c r="BY70" s="191">
        <f t="shared" ca="1" si="24"/>
        <v>2.6666666666666665</v>
      </c>
      <c r="BZ70" s="190"/>
      <c r="CA70" s="190"/>
      <c r="CB70" s="190"/>
      <c r="CC70" s="190"/>
      <c r="CD70" s="190"/>
      <c r="CE70" s="139"/>
      <c r="CF70" s="139"/>
      <c r="CG70" s="139"/>
      <c r="CH70" s="139"/>
      <c r="CI70" s="139"/>
      <c r="CJ70" s="139"/>
      <c r="CK70" s="139"/>
    </row>
    <row r="71" spans="1:89" ht="14.25">
      <c r="A71" s="142"/>
      <c r="B71" s="30" t="s">
        <v>156</v>
      </c>
      <c r="C71" s="30" t="s">
        <v>4</v>
      </c>
      <c r="D71" s="137">
        <f t="shared" si="3"/>
        <v>6</v>
      </c>
      <c r="E71" s="207"/>
      <c r="F71" s="202"/>
      <c r="G71" s="207">
        <v>10</v>
      </c>
      <c r="H71" s="202"/>
      <c r="I71" s="207"/>
      <c r="J71" s="202"/>
      <c r="K71" s="207"/>
      <c r="L71" s="202"/>
      <c r="M71" s="207"/>
      <c r="N71" s="202"/>
      <c r="O71" s="201"/>
      <c r="P71" s="202"/>
      <c r="Q71" s="203">
        <f t="shared" si="4"/>
        <v>1</v>
      </c>
      <c r="R71" s="202"/>
      <c r="S71" s="207"/>
      <c r="T71" s="202"/>
      <c r="U71" s="207"/>
      <c r="V71" s="202"/>
      <c r="W71" s="207"/>
      <c r="X71" s="202"/>
      <c r="Y71" s="207"/>
      <c r="Z71" s="202"/>
      <c r="AA71" s="207"/>
      <c r="AB71" s="202"/>
      <c r="AC71" s="208"/>
      <c r="AD71" s="202"/>
      <c r="AE71" s="203">
        <f t="shared" si="5"/>
        <v>0</v>
      </c>
      <c r="AF71" s="202"/>
      <c r="AG71" s="204">
        <v>12</v>
      </c>
      <c r="AH71" s="202"/>
      <c r="AI71" s="204"/>
      <c r="AJ71" s="202"/>
      <c r="AK71" s="204">
        <v>10</v>
      </c>
      <c r="AL71" s="202"/>
      <c r="AM71" s="204"/>
      <c r="AN71" s="202"/>
      <c r="AO71" s="204"/>
      <c r="AP71" s="202"/>
      <c r="AQ71" s="208"/>
      <c r="AR71" s="202"/>
      <c r="AS71" s="203">
        <f t="shared" si="6"/>
        <v>2</v>
      </c>
      <c r="AT71" s="202"/>
      <c r="AU71" s="204">
        <v>10</v>
      </c>
      <c r="AV71" s="202"/>
      <c r="AW71" s="204">
        <v>10</v>
      </c>
      <c r="AX71" s="202"/>
      <c r="AY71" s="204"/>
      <c r="AZ71" s="202"/>
      <c r="BA71" s="204"/>
      <c r="BB71" s="202"/>
      <c r="BC71" s="204"/>
      <c r="BD71" s="202"/>
      <c r="BE71" s="208">
        <v>13</v>
      </c>
      <c r="BF71" s="202"/>
      <c r="BG71" s="203">
        <f t="shared" si="7"/>
        <v>2</v>
      </c>
      <c r="BH71" s="202"/>
      <c r="BI71" s="204">
        <v>10</v>
      </c>
      <c r="BJ71" s="202"/>
      <c r="BK71" s="204"/>
      <c r="BL71" s="202"/>
      <c r="BM71" s="204"/>
      <c r="BN71" s="202"/>
      <c r="BO71" s="203">
        <f t="shared" si="8"/>
        <v>1</v>
      </c>
      <c r="BP71" s="202"/>
      <c r="BQ71" s="138"/>
      <c r="BR71" s="128"/>
      <c r="BS71" s="128"/>
      <c r="BT71" s="128"/>
      <c r="BU71" s="128"/>
      <c r="BV71" s="148">
        <v>10</v>
      </c>
      <c r="BW71" s="149">
        <f ca="1">IFERROR(__xludf.DUMMYFUNCTION("COUNTIF(MAP($BI$8:$BN$500,LAMBDA(c,IF(TRIM(c)="""","""",MIN(VALUE(SPLIT(SUBSTITUTE(SUBSTITUTE(SUBSTITUTE(c,"" "",""""),""，"","",""),"";"","",""),"","")))))),BV71)"),27)</f>
        <v>27</v>
      </c>
      <c r="BX71" s="145">
        <f t="shared" ca="1" si="23"/>
        <v>23.387096774193548</v>
      </c>
      <c r="BY71" s="191">
        <f t="shared" ca="1" si="24"/>
        <v>9</v>
      </c>
      <c r="BZ71" s="190"/>
      <c r="CA71" s="190"/>
      <c r="CB71" s="190"/>
      <c r="CC71" s="190"/>
      <c r="CD71" s="190"/>
      <c r="CE71" s="134"/>
      <c r="CF71" s="134"/>
      <c r="CG71" s="157"/>
      <c r="CH71" s="157"/>
      <c r="CI71" s="134"/>
      <c r="CJ71" s="135"/>
      <c r="CK71" s="135"/>
    </row>
    <row r="72" spans="1:89" ht="14.25">
      <c r="A72" s="142"/>
      <c r="B72" s="30" t="s">
        <v>158</v>
      </c>
      <c r="C72" s="30" t="s">
        <v>3</v>
      </c>
      <c r="D72" s="137">
        <f t="shared" si="3"/>
        <v>4</v>
      </c>
      <c r="E72" s="207"/>
      <c r="F72" s="202"/>
      <c r="G72" s="207">
        <v>21</v>
      </c>
      <c r="H72" s="202"/>
      <c r="I72" s="207"/>
      <c r="J72" s="202"/>
      <c r="K72" s="207"/>
      <c r="L72" s="202"/>
      <c r="M72" s="207"/>
      <c r="N72" s="202"/>
      <c r="O72" s="201">
        <v>11</v>
      </c>
      <c r="P72" s="202"/>
      <c r="Q72" s="203">
        <f t="shared" si="4"/>
        <v>1</v>
      </c>
      <c r="R72" s="202"/>
      <c r="S72" s="207"/>
      <c r="T72" s="202"/>
      <c r="U72" s="207"/>
      <c r="V72" s="202"/>
      <c r="W72" s="207">
        <v>21</v>
      </c>
      <c r="X72" s="202"/>
      <c r="Y72" s="207"/>
      <c r="Z72" s="202"/>
      <c r="AA72" s="207"/>
      <c r="AB72" s="202"/>
      <c r="AC72" s="208">
        <v>13</v>
      </c>
      <c r="AD72" s="202"/>
      <c r="AE72" s="203">
        <f t="shared" si="5"/>
        <v>1</v>
      </c>
      <c r="AF72" s="202"/>
      <c r="AG72" s="235" t="s">
        <v>446</v>
      </c>
      <c r="AH72" s="202"/>
      <c r="AI72" s="204"/>
      <c r="AJ72" s="202"/>
      <c r="AK72" s="204"/>
      <c r="AL72" s="202"/>
      <c r="AM72" s="204"/>
      <c r="AN72" s="202"/>
      <c r="AO72" s="204"/>
      <c r="AP72" s="202"/>
      <c r="AQ72" s="208"/>
      <c r="AR72" s="202"/>
      <c r="AS72" s="203">
        <f t="shared" si="6"/>
        <v>1</v>
      </c>
      <c r="AT72" s="202"/>
      <c r="AU72" s="204"/>
      <c r="AV72" s="202"/>
      <c r="AW72" s="204"/>
      <c r="AX72" s="202"/>
      <c r="AY72" s="204"/>
      <c r="AZ72" s="202"/>
      <c r="BA72" s="204">
        <v>13</v>
      </c>
      <c r="BB72" s="202"/>
      <c r="BC72" s="204"/>
      <c r="BD72" s="202"/>
      <c r="BE72" s="208">
        <v>13</v>
      </c>
      <c r="BF72" s="202"/>
      <c r="BG72" s="203">
        <f t="shared" si="7"/>
        <v>1</v>
      </c>
      <c r="BH72" s="202"/>
      <c r="BI72" s="204"/>
      <c r="BJ72" s="202"/>
      <c r="BK72" s="204"/>
      <c r="BL72" s="202"/>
      <c r="BM72" s="204"/>
      <c r="BN72" s="202"/>
      <c r="BO72" s="203">
        <f t="shared" si="8"/>
        <v>0</v>
      </c>
      <c r="BP72" s="202"/>
      <c r="BQ72" s="138"/>
      <c r="BR72" s="128"/>
      <c r="BS72" s="128"/>
      <c r="BT72" s="128"/>
      <c r="BU72" s="128"/>
      <c r="BV72" s="148">
        <v>12</v>
      </c>
      <c r="BW72" s="149">
        <f ca="1">IFERROR(__xludf.DUMMYFUNCTION("COUNTIF(MAP($BI$8:$BN$500,LAMBDA(c,IF(TRIM(c)="""","""",MIN(VALUE(SPLIT(SUBSTITUTE(SUBSTITUTE(SUBSTITUTE(c,"" "",""""),""，"","",""),"";"","",""),"","")))))),BV72)"),13)</f>
        <v>13</v>
      </c>
      <c r="BX72" s="145">
        <f t="shared" ca="1" si="23"/>
        <v>11.29032258064516</v>
      </c>
      <c r="BY72" s="191">
        <f t="shared" ca="1" si="24"/>
        <v>4.333333333333333</v>
      </c>
      <c r="BZ72" s="190"/>
      <c r="CA72" s="190"/>
      <c r="CB72" s="190"/>
      <c r="CC72" s="190"/>
      <c r="CD72" s="190"/>
      <c r="CE72" s="134"/>
      <c r="CF72" s="134"/>
      <c r="CG72" s="134"/>
      <c r="CH72" s="134"/>
      <c r="CI72" s="134"/>
      <c r="CJ72" s="135"/>
      <c r="CK72" s="135"/>
    </row>
    <row r="73" spans="1:89" ht="14.25">
      <c r="A73" s="136"/>
      <c r="B73" s="30" t="s">
        <v>160</v>
      </c>
      <c r="C73" s="30" t="s">
        <v>4</v>
      </c>
      <c r="D73" s="137">
        <f t="shared" si="3"/>
        <v>13</v>
      </c>
      <c r="E73" s="207">
        <v>20</v>
      </c>
      <c r="F73" s="202"/>
      <c r="G73" s="207"/>
      <c r="H73" s="202"/>
      <c r="I73" s="207">
        <v>19</v>
      </c>
      <c r="J73" s="202"/>
      <c r="K73" s="207"/>
      <c r="L73" s="202"/>
      <c r="M73" s="207">
        <v>20</v>
      </c>
      <c r="N73" s="202"/>
      <c r="O73" s="201">
        <v>13</v>
      </c>
      <c r="P73" s="202"/>
      <c r="Q73" s="203">
        <f t="shared" si="4"/>
        <v>3</v>
      </c>
      <c r="R73" s="202"/>
      <c r="S73" s="207">
        <v>20</v>
      </c>
      <c r="T73" s="202"/>
      <c r="U73" s="207">
        <v>20</v>
      </c>
      <c r="V73" s="202"/>
      <c r="W73" s="207"/>
      <c r="X73" s="202"/>
      <c r="Y73" s="207">
        <v>20</v>
      </c>
      <c r="Z73" s="202"/>
      <c r="AA73" s="207">
        <v>20</v>
      </c>
      <c r="AB73" s="202"/>
      <c r="AC73" s="208">
        <v>13</v>
      </c>
      <c r="AD73" s="202"/>
      <c r="AE73" s="203">
        <f t="shared" si="5"/>
        <v>4</v>
      </c>
      <c r="AF73" s="202"/>
      <c r="AG73" s="204">
        <v>20</v>
      </c>
      <c r="AH73" s="202"/>
      <c r="AI73" s="204"/>
      <c r="AJ73" s="202"/>
      <c r="AK73" s="204">
        <v>21</v>
      </c>
      <c r="AL73" s="202"/>
      <c r="AM73" s="204"/>
      <c r="AN73" s="202"/>
      <c r="AO73" s="204">
        <v>19</v>
      </c>
      <c r="AP73" s="202"/>
      <c r="AQ73" s="208"/>
      <c r="AR73" s="202"/>
      <c r="AS73" s="203">
        <f t="shared" si="6"/>
        <v>3</v>
      </c>
      <c r="AT73" s="202"/>
      <c r="AU73" s="204"/>
      <c r="AV73" s="202"/>
      <c r="AW73" s="204"/>
      <c r="AX73" s="202"/>
      <c r="AY73" s="204"/>
      <c r="AZ73" s="202"/>
      <c r="BA73" s="204">
        <v>11</v>
      </c>
      <c r="BB73" s="202"/>
      <c r="BC73" s="204">
        <v>19</v>
      </c>
      <c r="BD73" s="202"/>
      <c r="BE73" s="208"/>
      <c r="BF73" s="202"/>
      <c r="BG73" s="203">
        <f t="shared" si="7"/>
        <v>2</v>
      </c>
      <c r="BH73" s="202"/>
      <c r="BI73" s="204">
        <v>10</v>
      </c>
      <c r="BJ73" s="202"/>
      <c r="BK73" s="204"/>
      <c r="BL73" s="202"/>
      <c r="BM73" s="204"/>
      <c r="BN73" s="202"/>
      <c r="BO73" s="203">
        <f t="shared" si="8"/>
        <v>1</v>
      </c>
      <c r="BP73" s="202"/>
      <c r="BQ73" s="138"/>
      <c r="BR73" s="139"/>
      <c r="BS73" s="139"/>
      <c r="BT73" s="139"/>
      <c r="BU73" s="139"/>
      <c r="BV73" s="148">
        <v>17</v>
      </c>
      <c r="BW73" s="149">
        <f ca="1">IFERROR(__xludf.DUMMYFUNCTION("COUNTIF(MAP($BI$8:$BN$500,LAMBDA(c,IF(TRIM(c)="""","""",MIN(VALUE(SPLIT(SUBSTITUTE(SUBSTITUTE(SUBSTITUTE(c,"" "",""""),""，"","",""),"";"","",""),"","")))))),BV73)"),13)</f>
        <v>13</v>
      </c>
      <c r="BX73" s="145">
        <f t="shared" ca="1" si="23"/>
        <v>23.387096774193548</v>
      </c>
      <c r="BY73" s="191">
        <f t="shared" ca="1" si="24"/>
        <v>4.333333333333333</v>
      </c>
      <c r="BZ73" s="190"/>
      <c r="CA73" s="190"/>
      <c r="CB73" s="190"/>
      <c r="CC73" s="190"/>
      <c r="CD73" s="190"/>
      <c r="CE73" s="139"/>
      <c r="CF73" s="139"/>
      <c r="CG73" s="139"/>
      <c r="CH73" s="139"/>
      <c r="CI73" s="139"/>
      <c r="CJ73" s="139"/>
      <c r="CK73" s="139"/>
    </row>
    <row r="74" spans="1:89" ht="14.25">
      <c r="A74" s="136"/>
      <c r="B74" s="30" t="s">
        <v>162</v>
      </c>
      <c r="C74" s="30" t="s">
        <v>4</v>
      </c>
      <c r="D74" s="137">
        <f t="shared" si="3"/>
        <v>4</v>
      </c>
      <c r="E74" s="207"/>
      <c r="F74" s="202"/>
      <c r="G74" s="207"/>
      <c r="H74" s="202"/>
      <c r="I74" s="207">
        <v>19</v>
      </c>
      <c r="J74" s="202"/>
      <c r="K74" s="207"/>
      <c r="L74" s="202"/>
      <c r="M74" s="207">
        <v>20</v>
      </c>
      <c r="N74" s="202"/>
      <c r="O74" s="201"/>
      <c r="P74" s="202"/>
      <c r="Q74" s="203">
        <f t="shared" si="4"/>
        <v>2</v>
      </c>
      <c r="R74" s="202"/>
      <c r="S74" s="207">
        <v>21</v>
      </c>
      <c r="T74" s="202"/>
      <c r="U74" s="207">
        <v>18</v>
      </c>
      <c r="V74" s="202"/>
      <c r="W74" s="207"/>
      <c r="X74" s="202"/>
      <c r="Y74" s="207"/>
      <c r="Z74" s="202"/>
      <c r="AA74" s="207"/>
      <c r="AB74" s="202"/>
      <c r="AC74" s="208"/>
      <c r="AD74" s="202"/>
      <c r="AE74" s="203">
        <f t="shared" si="5"/>
        <v>2</v>
      </c>
      <c r="AF74" s="202"/>
      <c r="AG74" s="204"/>
      <c r="AH74" s="202"/>
      <c r="AI74" s="204"/>
      <c r="AJ74" s="202"/>
      <c r="AK74" s="204"/>
      <c r="AL74" s="202"/>
      <c r="AM74" s="204"/>
      <c r="AN74" s="202"/>
      <c r="AO74" s="204"/>
      <c r="AP74" s="202"/>
      <c r="AQ74" s="208"/>
      <c r="AR74" s="202"/>
      <c r="AS74" s="203">
        <f t="shared" si="6"/>
        <v>0</v>
      </c>
      <c r="AT74" s="202"/>
      <c r="AU74" s="204"/>
      <c r="AV74" s="202"/>
      <c r="AW74" s="204"/>
      <c r="AX74" s="202"/>
      <c r="AY74" s="204"/>
      <c r="AZ74" s="202"/>
      <c r="BA74" s="204"/>
      <c r="BB74" s="202"/>
      <c r="BC74" s="204"/>
      <c r="BD74" s="202"/>
      <c r="BE74" s="208"/>
      <c r="BF74" s="202"/>
      <c r="BG74" s="203">
        <f t="shared" si="7"/>
        <v>0</v>
      </c>
      <c r="BH74" s="202"/>
      <c r="BI74" s="204"/>
      <c r="BJ74" s="202"/>
      <c r="BK74" s="204"/>
      <c r="BL74" s="202"/>
      <c r="BM74" s="204"/>
      <c r="BN74" s="202"/>
      <c r="BO74" s="203">
        <f t="shared" si="8"/>
        <v>0</v>
      </c>
      <c r="BP74" s="202"/>
      <c r="BQ74" s="138"/>
      <c r="BR74" s="139"/>
      <c r="BS74" s="139"/>
      <c r="BT74" s="139"/>
      <c r="BU74" s="139"/>
      <c r="BV74" s="148">
        <v>18</v>
      </c>
      <c r="BW74" s="149">
        <f ca="1">IFERROR(__xludf.DUMMYFUNCTION("COUNTIF(MAP($BI$8:$BN$500,LAMBDA(c,IF(TRIM(c)="""","""",MIN(VALUE(SPLIT(SUBSTITUTE(SUBSTITUTE(SUBSTITUTE(c,"" "",""""),""，"","",""),"";"","",""),"","")))))),BV74)"),13)</f>
        <v>13</v>
      </c>
      <c r="BX74" s="145">
        <f t="shared" ca="1" si="23"/>
        <v>14.516129032258066</v>
      </c>
      <c r="BY74" s="191">
        <f t="shared" ca="1" si="24"/>
        <v>4.333333333333333</v>
      </c>
      <c r="BZ74" s="190"/>
      <c r="CA74" s="190"/>
      <c r="CB74" s="190"/>
      <c r="CC74" s="190"/>
      <c r="CD74" s="190"/>
      <c r="CE74" s="139"/>
      <c r="CF74" s="139"/>
      <c r="CG74" s="139"/>
      <c r="CH74" s="139"/>
      <c r="CI74" s="139"/>
      <c r="CJ74" s="139"/>
      <c r="CK74" s="139"/>
    </row>
    <row r="75" spans="1:89" ht="14.25">
      <c r="A75" s="136"/>
      <c r="B75" s="30" t="s">
        <v>164</v>
      </c>
      <c r="C75" s="30" t="s">
        <v>4</v>
      </c>
      <c r="D75" s="137">
        <f t="shared" si="3"/>
        <v>6</v>
      </c>
      <c r="E75" s="207">
        <v>12</v>
      </c>
      <c r="F75" s="202"/>
      <c r="G75" s="207"/>
      <c r="H75" s="202"/>
      <c r="I75" s="207"/>
      <c r="J75" s="202"/>
      <c r="K75" s="207"/>
      <c r="L75" s="202"/>
      <c r="M75" s="207">
        <v>17</v>
      </c>
      <c r="N75" s="202"/>
      <c r="O75" s="201"/>
      <c r="P75" s="202"/>
      <c r="Q75" s="203">
        <f t="shared" si="4"/>
        <v>2</v>
      </c>
      <c r="R75" s="202"/>
      <c r="S75" s="207">
        <v>12</v>
      </c>
      <c r="T75" s="202"/>
      <c r="U75" s="207"/>
      <c r="V75" s="202"/>
      <c r="W75" s="207"/>
      <c r="X75" s="202"/>
      <c r="Y75" s="207"/>
      <c r="Z75" s="202"/>
      <c r="AA75" s="207">
        <v>10</v>
      </c>
      <c r="AB75" s="202"/>
      <c r="AC75" s="208"/>
      <c r="AD75" s="202"/>
      <c r="AE75" s="203">
        <f t="shared" si="5"/>
        <v>2</v>
      </c>
      <c r="AF75" s="202"/>
      <c r="AG75" s="204">
        <v>1</v>
      </c>
      <c r="AH75" s="202"/>
      <c r="AI75" s="204"/>
      <c r="AJ75" s="202"/>
      <c r="AK75" s="204"/>
      <c r="AL75" s="202"/>
      <c r="AM75" s="204"/>
      <c r="AN75" s="202"/>
      <c r="AO75" s="204"/>
      <c r="AP75" s="202"/>
      <c r="AQ75" s="208"/>
      <c r="AR75" s="202"/>
      <c r="AS75" s="203">
        <f t="shared" si="6"/>
        <v>1</v>
      </c>
      <c r="AT75" s="202"/>
      <c r="AU75" s="204">
        <v>12</v>
      </c>
      <c r="AV75" s="202"/>
      <c r="AW75" s="204"/>
      <c r="AX75" s="202"/>
      <c r="AY75" s="204"/>
      <c r="AZ75" s="202"/>
      <c r="BA75" s="204"/>
      <c r="BB75" s="202"/>
      <c r="BC75" s="204"/>
      <c r="BD75" s="202"/>
      <c r="BE75" s="208"/>
      <c r="BF75" s="202"/>
      <c r="BG75" s="203">
        <f t="shared" si="7"/>
        <v>1</v>
      </c>
      <c r="BH75" s="202"/>
      <c r="BI75" s="204"/>
      <c r="BJ75" s="202"/>
      <c r="BK75" s="204"/>
      <c r="BL75" s="202"/>
      <c r="BM75" s="204"/>
      <c r="BN75" s="202"/>
      <c r="BO75" s="203">
        <f t="shared" si="8"/>
        <v>0</v>
      </c>
      <c r="BP75" s="202"/>
      <c r="BQ75" s="138"/>
      <c r="BR75" s="139"/>
      <c r="BS75" s="139"/>
      <c r="BT75" s="139"/>
      <c r="BU75" s="139"/>
      <c r="BV75" s="148">
        <v>19</v>
      </c>
      <c r="BW75" s="149">
        <f ca="1">IFERROR(__xludf.DUMMYFUNCTION("COUNTIF(MAP($BI$8:$BN$500,LAMBDA(c,IF(TRIM(c)="""","""",MIN(VALUE(SPLIT(SUBSTITUTE(SUBSTITUTE(SUBSTITUTE(c,"" "",""""),""，"","",""),"";"","",""),"","")))))),BV75)"),20)</f>
        <v>20</v>
      </c>
      <c r="BX75" s="145">
        <f t="shared" ca="1" si="23"/>
        <v>23.387096774193548</v>
      </c>
      <c r="BY75" s="191">
        <f t="shared" ca="1" si="24"/>
        <v>6.666666666666667</v>
      </c>
      <c r="BZ75" s="190"/>
      <c r="CA75" s="190"/>
      <c r="CB75" s="190"/>
      <c r="CC75" s="190"/>
      <c r="CD75" s="190"/>
      <c r="CE75" s="139"/>
      <c r="CF75" s="139"/>
      <c r="CG75" s="139"/>
      <c r="CH75" s="139"/>
      <c r="CI75" s="139"/>
      <c r="CJ75" s="139"/>
      <c r="CK75" s="139"/>
    </row>
    <row r="76" spans="1:89" ht="14.25">
      <c r="A76" s="136"/>
      <c r="B76" s="30" t="s">
        <v>166</v>
      </c>
      <c r="C76" s="30" t="s">
        <v>4</v>
      </c>
      <c r="D76" s="137">
        <f t="shared" si="3"/>
        <v>14</v>
      </c>
      <c r="E76" s="207">
        <v>12</v>
      </c>
      <c r="F76" s="202"/>
      <c r="G76" s="207"/>
      <c r="H76" s="202"/>
      <c r="I76" s="207">
        <v>19</v>
      </c>
      <c r="J76" s="202"/>
      <c r="K76" s="207">
        <v>21</v>
      </c>
      <c r="L76" s="202"/>
      <c r="M76" s="207"/>
      <c r="N76" s="202"/>
      <c r="O76" s="201">
        <v>13</v>
      </c>
      <c r="P76" s="202"/>
      <c r="Q76" s="203">
        <f t="shared" si="4"/>
        <v>3</v>
      </c>
      <c r="R76" s="202"/>
      <c r="S76" s="207">
        <v>20</v>
      </c>
      <c r="T76" s="202"/>
      <c r="U76" s="207">
        <v>12</v>
      </c>
      <c r="V76" s="202"/>
      <c r="W76" s="207"/>
      <c r="X76" s="202"/>
      <c r="Y76" s="207">
        <v>10</v>
      </c>
      <c r="Z76" s="202"/>
      <c r="AA76" s="207"/>
      <c r="AB76" s="202"/>
      <c r="AC76" s="208"/>
      <c r="AD76" s="202"/>
      <c r="AE76" s="203">
        <f t="shared" si="5"/>
        <v>3</v>
      </c>
      <c r="AF76" s="202"/>
      <c r="AG76" s="204"/>
      <c r="AH76" s="202"/>
      <c r="AI76" s="204">
        <v>18</v>
      </c>
      <c r="AJ76" s="202"/>
      <c r="AK76" s="204">
        <v>18</v>
      </c>
      <c r="AL76" s="202"/>
      <c r="AM76" s="204">
        <v>18</v>
      </c>
      <c r="AN76" s="202"/>
      <c r="AO76" s="204"/>
      <c r="AP76" s="202"/>
      <c r="AQ76" s="208"/>
      <c r="AR76" s="202"/>
      <c r="AS76" s="203">
        <f t="shared" si="6"/>
        <v>3</v>
      </c>
      <c r="AT76" s="202"/>
      <c r="AU76" s="204">
        <v>18</v>
      </c>
      <c r="AV76" s="202"/>
      <c r="AW76" s="204"/>
      <c r="AX76" s="202"/>
      <c r="AY76" s="204">
        <v>18</v>
      </c>
      <c r="AZ76" s="202"/>
      <c r="BA76" s="204"/>
      <c r="BB76" s="202"/>
      <c r="BC76" s="204"/>
      <c r="BD76" s="202"/>
      <c r="BE76" s="208"/>
      <c r="BF76" s="202"/>
      <c r="BG76" s="203">
        <f t="shared" si="7"/>
        <v>2</v>
      </c>
      <c r="BH76" s="202"/>
      <c r="BI76" s="204">
        <v>18</v>
      </c>
      <c r="BJ76" s="202"/>
      <c r="BK76" s="204">
        <v>21</v>
      </c>
      <c r="BL76" s="202"/>
      <c r="BM76" s="204">
        <v>21</v>
      </c>
      <c r="BN76" s="202"/>
      <c r="BO76" s="203">
        <f t="shared" si="8"/>
        <v>3</v>
      </c>
      <c r="BP76" s="202"/>
      <c r="BQ76" s="138"/>
      <c r="BR76" s="139"/>
      <c r="BS76" s="139"/>
      <c r="BT76" s="139"/>
      <c r="BU76" s="139"/>
      <c r="BV76" s="148">
        <v>20</v>
      </c>
      <c r="BW76" s="149">
        <f ca="1">IFERROR(__xludf.DUMMYFUNCTION("COUNTIF(MAP($BI$8:$BN$500,LAMBDA(c,IF(TRIM(c)="""","""",MIN(VALUE(SPLIT(SUBSTITUTE(SUBSTITUTE(SUBSTITUTE(c,"" "",""""),""，"","",""),"";"","",""),"","")))))),BV76)"),18)</f>
        <v>18</v>
      </c>
      <c r="BX76" s="145">
        <f t="shared" ca="1" si="23"/>
        <v>13.709677419354838</v>
      </c>
      <c r="BY76" s="191">
        <f t="shared" ca="1" si="24"/>
        <v>6</v>
      </c>
      <c r="BZ76" s="190"/>
      <c r="CA76" s="190"/>
      <c r="CB76" s="190"/>
      <c r="CC76" s="190"/>
      <c r="CD76" s="190"/>
      <c r="CE76" s="139"/>
      <c r="CF76" s="139"/>
      <c r="CG76" s="139"/>
      <c r="CH76" s="139"/>
      <c r="CI76" s="139"/>
      <c r="CJ76" s="139"/>
      <c r="CK76" s="139"/>
    </row>
    <row r="77" spans="1:89" ht="14.25">
      <c r="A77" s="136"/>
      <c r="B77" s="30" t="s">
        <v>168</v>
      </c>
      <c r="C77" s="30" t="s">
        <v>3</v>
      </c>
      <c r="D77" s="137">
        <f t="shared" si="3"/>
        <v>18</v>
      </c>
      <c r="E77" s="207"/>
      <c r="F77" s="202"/>
      <c r="G77" s="207">
        <v>7</v>
      </c>
      <c r="H77" s="202"/>
      <c r="I77" s="207"/>
      <c r="J77" s="202"/>
      <c r="K77" s="207">
        <v>8</v>
      </c>
      <c r="L77" s="202"/>
      <c r="M77" s="207">
        <v>18</v>
      </c>
      <c r="N77" s="202"/>
      <c r="O77" s="201">
        <v>13</v>
      </c>
      <c r="P77" s="202"/>
      <c r="Q77" s="203">
        <f t="shared" si="4"/>
        <v>3</v>
      </c>
      <c r="R77" s="202"/>
      <c r="S77" s="207">
        <v>20</v>
      </c>
      <c r="T77" s="202"/>
      <c r="U77" s="207">
        <v>19</v>
      </c>
      <c r="V77" s="202"/>
      <c r="W77" s="207">
        <v>18</v>
      </c>
      <c r="X77" s="202"/>
      <c r="Y77" s="207">
        <v>18</v>
      </c>
      <c r="Z77" s="202"/>
      <c r="AA77" s="207"/>
      <c r="AB77" s="202"/>
      <c r="AC77" s="208">
        <v>13</v>
      </c>
      <c r="AD77" s="202"/>
      <c r="AE77" s="203">
        <f t="shared" si="5"/>
        <v>4</v>
      </c>
      <c r="AF77" s="202"/>
      <c r="AG77" s="204">
        <v>19</v>
      </c>
      <c r="AH77" s="202"/>
      <c r="AI77" s="204">
        <v>17</v>
      </c>
      <c r="AJ77" s="202"/>
      <c r="AK77" s="204"/>
      <c r="AL77" s="202"/>
      <c r="AM77" s="204"/>
      <c r="AN77" s="202"/>
      <c r="AO77" s="204">
        <v>18</v>
      </c>
      <c r="AP77" s="202"/>
      <c r="AQ77" s="208">
        <v>13</v>
      </c>
      <c r="AR77" s="202"/>
      <c r="AS77" s="203">
        <f t="shared" si="6"/>
        <v>3</v>
      </c>
      <c r="AT77" s="202"/>
      <c r="AU77" s="204">
        <v>19</v>
      </c>
      <c r="AV77" s="202"/>
      <c r="AW77" s="204">
        <v>19</v>
      </c>
      <c r="AX77" s="202"/>
      <c r="AY77" s="204">
        <v>20</v>
      </c>
      <c r="AZ77" s="202"/>
      <c r="BA77" s="204">
        <v>11</v>
      </c>
      <c r="BB77" s="202"/>
      <c r="BC77" s="204">
        <v>21</v>
      </c>
      <c r="BD77" s="202"/>
      <c r="BE77" s="208">
        <v>11</v>
      </c>
      <c r="BF77" s="202"/>
      <c r="BG77" s="203">
        <f t="shared" si="7"/>
        <v>5</v>
      </c>
      <c r="BH77" s="202"/>
      <c r="BI77" s="204">
        <v>20</v>
      </c>
      <c r="BJ77" s="202"/>
      <c r="BK77" s="204">
        <v>18</v>
      </c>
      <c r="BL77" s="202"/>
      <c r="BM77" s="204">
        <v>12</v>
      </c>
      <c r="BN77" s="202"/>
      <c r="BO77" s="203">
        <f t="shared" si="8"/>
        <v>3</v>
      </c>
      <c r="BP77" s="202"/>
      <c r="BQ77" s="138"/>
      <c r="BR77" s="139"/>
      <c r="BS77" s="139"/>
      <c r="BT77" s="139"/>
      <c r="BU77" s="139"/>
      <c r="BV77" s="148">
        <v>21</v>
      </c>
      <c r="BW77" s="149">
        <f ca="1">IFERROR(__xludf.DUMMYFUNCTION("COUNTIF(MAP($BI$8:$BN$500,LAMBDA(c,IF(TRIM(c)="""","""",MIN(VALUE(SPLIT(SUBSTITUTE(SUBSTITUTE(SUBSTITUTE(c,"" "",""""),""，"","",""),"";"","",""),"","")))))),BV77)"),8)</f>
        <v>8</v>
      </c>
      <c r="BX77" s="145">
        <f t="shared" ca="1" si="23"/>
        <v>10.483870967741936</v>
      </c>
      <c r="BY77" s="191">
        <f t="shared" ca="1" si="24"/>
        <v>2.6666666666666665</v>
      </c>
      <c r="BZ77" s="190"/>
      <c r="CA77" s="190"/>
      <c r="CB77" s="190"/>
      <c r="CC77" s="190"/>
      <c r="CD77" s="190"/>
      <c r="CE77" s="139"/>
      <c r="CF77" s="139"/>
      <c r="CG77" s="139"/>
      <c r="CH77" s="139"/>
      <c r="CI77" s="139"/>
      <c r="CJ77" s="139"/>
      <c r="CK77" s="139"/>
    </row>
    <row r="78" spans="1:89" ht="14.25">
      <c r="A78" s="142"/>
      <c r="B78" s="30" t="s">
        <v>170</v>
      </c>
      <c r="C78" s="30" t="s">
        <v>3</v>
      </c>
      <c r="D78" s="137">
        <f t="shared" si="3"/>
        <v>5</v>
      </c>
      <c r="E78" s="207"/>
      <c r="F78" s="202"/>
      <c r="G78" s="207"/>
      <c r="H78" s="202"/>
      <c r="I78" s="207"/>
      <c r="J78" s="202"/>
      <c r="K78" s="207"/>
      <c r="L78" s="202"/>
      <c r="M78" s="207"/>
      <c r="N78" s="202"/>
      <c r="O78" s="201"/>
      <c r="P78" s="202"/>
      <c r="Q78" s="203">
        <f t="shared" si="4"/>
        <v>0</v>
      </c>
      <c r="R78" s="202"/>
      <c r="S78" s="207"/>
      <c r="T78" s="202"/>
      <c r="U78" s="207"/>
      <c r="V78" s="202"/>
      <c r="W78" s="207"/>
      <c r="X78" s="202"/>
      <c r="Y78" s="207">
        <v>20</v>
      </c>
      <c r="Z78" s="202"/>
      <c r="AA78" s="207">
        <v>19</v>
      </c>
      <c r="AB78" s="202"/>
      <c r="AC78" s="208">
        <v>13</v>
      </c>
      <c r="AD78" s="202"/>
      <c r="AE78" s="203">
        <f t="shared" si="5"/>
        <v>2</v>
      </c>
      <c r="AF78" s="202"/>
      <c r="AG78" s="204">
        <v>20</v>
      </c>
      <c r="AH78" s="202"/>
      <c r="AI78" s="204">
        <v>12</v>
      </c>
      <c r="AJ78" s="202"/>
      <c r="AK78" s="204"/>
      <c r="AL78" s="202"/>
      <c r="AM78" s="204"/>
      <c r="AN78" s="202"/>
      <c r="AO78" s="204"/>
      <c r="AP78" s="202"/>
      <c r="AQ78" s="208"/>
      <c r="AR78" s="202"/>
      <c r="AS78" s="203">
        <f t="shared" si="6"/>
        <v>2</v>
      </c>
      <c r="AT78" s="202"/>
      <c r="AU78" s="204">
        <v>19</v>
      </c>
      <c r="AV78" s="202"/>
      <c r="AW78" s="204"/>
      <c r="AX78" s="202"/>
      <c r="AY78" s="204"/>
      <c r="AZ78" s="202"/>
      <c r="BA78" s="204"/>
      <c r="BB78" s="202"/>
      <c r="BC78" s="204"/>
      <c r="BD78" s="202"/>
      <c r="BE78" s="208"/>
      <c r="BF78" s="202"/>
      <c r="BG78" s="203">
        <f t="shared" si="7"/>
        <v>1</v>
      </c>
      <c r="BH78" s="202"/>
      <c r="BI78" s="204"/>
      <c r="BJ78" s="202"/>
      <c r="BK78" s="204"/>
      <c r="BL78" s="202"/>
      <c r="BM78" s="204"/>
      <c r="BN78" s="202"/>
      <c r="BO78" s="203">
        <f t="shared" si="8"/>
        <v>0</v>
      </c>
      <c r="BP78" s="202"/>
      <c r="BQ78" s="138"/>
      <c r="BR78" s="128"/>
      <c r="BS78" s="128"/>
      <c r="BT78" s="128"/>
      <c r="BU78" s="128"/>
      <c r="BV78" s="192">
        <v>11</v>
      </c>
      <c r="BW78" s="192" t="s">
        <v>323</v>
      </c>
      <c r="BX78" s="194" t="s">
        <v>323</v>
      </c>
      <c r="BY78" s="197" t="s">
        <v>323</v>
      </c>
      <c r="BZ78" s="190"/>
      <c r="CA78" s="190"/>
      <c r="CB78" s="190"/>
      <c r="CC78" s="190"/>
      <c r="CD78" s="190"/>
      <c r="CE78" s="134"/>
      <c r="CF78" s="134"/>
      <c r="CG78" s="134"/>
      <c r="CH78" s="134"/>
      <c r="CI78" s="134"/>
      <c r="CJ78" s="135"/>
      <c r="CK78" s="135"/>
    </row>
    <row r="79" spans="1:89" ht="14.25">
      <c r="A79" s="136"/>
      <c r="B79" s="30" t="s">
        <v>172</v>
      </c>
      <c r="C79" s="30" t="s">
        <v>4</v>
      </c>
      <c r="D79" s="137">
        <f t="shared" si="3"/>
        <v>6</v>
      </c>
      <c r="E79" s="207">
        <v>19</v>
      </c>
      <c r="F79" s="202"/>
      <c r="G79" s="207"/>
      <c r="H79" s="202"/>
      <c r="I79" s="207"/>
      <c r="J79" s="202"/>
      <c r="K79" s="207"/>
      <c r="L79" s="202"/>
      <c r="M79" s="207"/>
      <c r="N79" s="202"/>
      <c r="O79" s="201"/>
      <c r="P79" s="202"/>
      <c r="Q79" s="203">
        <f t="shared" si="4"/>
        <v>1</v>
      </c>
      <c r="R79" s="202"/>
      <c r="S79" s="207"/>
      <c r="T79" s="202"/>
      <c r="U79" s="207">
        <v>21</v>
      </c>
      <c r="V79" s="202"/>
      <c r="W79" s="207"/>
      <c r="X79" s="202"/>
      <c r="Y79" s="207"/>
      <c r="Z79" s="202"/>
      <c r="AA79" s="207"/>
      <c r="AB79" s="202"/>
      <c r="AC79" s="208">
        <v>11</v>
      </c>
      <c r="AD79" s="202"/>
      <c r="AE79" s="203">
        <f t="shared" si="5"/>
        <v>1</v>
      </c>
      <c r="AF79" s="202"/>
      <c r="AG79" s="204">
        <v>19</v>
      </c>
      <c r="AH79" s="202"/>
      <c r="AI79" s="204"/>
      <c r="AJ79" s="202"/>
      <c r="AK79" s="204">
        <v>19</v>
      </c>
      <c r="AL79" s="202"/>
      <c r="AM79" s="204"/>
      <c r="AN79" s="202"/>
      <c r="AO79" s="204"/>
      <c r="AP79" s="202"/>
      <c r="AQ79" s="208"/>
      <c r="AR79" s="202"/>
      <c r="AS79" s="203">
        <f t="shared" si="6"/>
        <v>2</v>
      </c>
      <c r="AT79" s="202"/>
      <c r="AU79" s="204">
        <v>19</v>
      </c>
      <c r="AV79" s="202"/>
      <c r="AW79" s="204"/>
      <c r="AX79" s="202"/>
      <c r="AY79" s="204"/>
      <c r="AZ79" s="202"/>
      <c r="BA79" s="204"/>
      <c r="BB79" s="202"/>
      <c r="BC79" s="204"/>
      <c r="BD79" s="202"/>
      <c r="BE79" s="208"/>
      <c r="BF79" s="202"/>
      <c r="BG79" s="203">
        <f t="shared" si="7"/>
        <v>1</v>
      </c>
      <c r="BH79" s="202"/>
      <c r="BI79" s="204">
        <v>19</v>
      </c>
      <c r="BJ79" s="202"/>
      <c r="BK79" s="204"/>
      <c r="BL79" s="202"/>
      <c r="BM79" s="204"/>
      <c r="BN79" s="202"/>
      <c r="BO79" s="203">
        <f t="shared" si="8"/>
        <v>1</v>
      </c>
      <c r="BP79" s="202"/>
      <c r="BQ79" s="138"/>
      <c r="BR79" s="139"/>
      <c r="BS79" s="139"/>
      <c r="BT79" s="139"/>
      <c r="BU79" s="139"/>
      <c r="BV79" s="192">
        <v>13</v>
      </c>
      <c r="BW79" s="192" t="s">
        <v>323</v>
      </c>
      <c r="BX79" s="194" t="s">
        <v>323</v>
      </c>
      <c r="BY79" s="197" t="s">
        <v>323</v>
      </c>
      <c r="BZ79" s="190"/>
      <c r="CA79" s="190"/>
      <c r="CB79" s="190"/>
      <c r="CC79" s="190"/>
      <c r="CD79" s="190"/>
      <c r="CE79" s="139"/>
      <c r="CF79" s="139"/>
      <c r="CG79" s="136"/>
      <c r="CH79" s="139"/>
      <c r="CI79" s="139"/>
      <c r="CJ79" s="139"/>
      <c r="CK79" s="139"/>
    </row>
    <row r="80" spans="1:89" ht="14.25">
      <c r="A80" s="142"/>
      <c r="B80" s="30" t="s">
        <v>174</v>
      </c>
      <c r="C80" s="30" t="s">
        <v>3</v>
      </c>
      <c r="D80" s="137">
        <f t="shared" si="3"/>
        <v>0</v>
      </c>
      <c r="E80" s="207"/>
      <c r="F80" s="202"/>
      <c r="G80" s="207"/>
      <c r="H80" s="202"/>
      <c r="I80" s="207"/>
      <c r="J80" s="202"/>
      <c r="K80" s="207"/>
      <c r="L80" s="202"/>
      <c r="M80" s="207"/>
      <c r="N80" s="202"/>
      <c r="O80" s="201"/>
      <c r="P80" s="202"/>
      <c r="Q80" s="203">
        <f t="shared" si="4"/>
        <v>0</v>
      </c>
      <c r="R80" s="202"/>
      <c r="S80" s="207"/>
      <c r="T80" s="202"/>
      <c r="U80" s="207"/>
      <c r="V80" s="202"/>
      <c r="W80" s="207"/>
      <c r="X80" s="202"/>
      <c r="Y80" s="207"/>
      <c r="Z80" s="202"/>
      <c r="AA80" s="207"/>
      <c r="AB80" s="202"/>
      <c r="AC80" s="208"/>
      <c r="AD80" s="202"/>
      <c r="AE80" s="203">
        <f t="shared" si="5"/>
        <v>0</v>
      </c>
      <c r="AF80" s="202"/>
      <c r="AG80" s="204"/>
      <c r="AH80" s="202"/>
      <c r="AI80" s="204"/>
      <c r="AJ80" s="202"/>
      <c r="AK80" s="204"/>
      <c r="AL80" s="202"/>
      <c r="AM80" s="204"/>
      <c r="AN80" s="202"/>
      <c r="AO80" s="204"/>
      <c r="AP80" s="202"/>
      <c r="AQ80" s="208"/>
      <c r="AR80" s="202"/>
      <c r="AS80" s="203">
        <f t="shared" si="6"/>
        <v>0</v>
      </c>
      <c r="AT80" s="202"/>
      <c r="AU80" s="204"/>
      <c r="AV80" s="202"/>
      <c r="AW80" s="204"/>
      <c r="AX80" s="202"/>
      <c r="AY80" s="204"/>
      <c r="AZ80" s="202"/>
      <c r="BA80" s="204"/>
      <c r="BB80" s="202"/>
      <c r="BC80" s="204"/>
      <c r="BD80" s="202"/>
      <c r="BE80" s="208"/>
      <c r="BF80" s="202"/>
      <c r="BG80" s="203">
        <f t="shared" si="7"/>
        <v>0</v>
      </c>
      <c r="BH80" s="202"/>
      <c r="BI80" s="204"/>
      <c r="BJ80" s="202"/>
      <c r="BK80" s="204"/>
      <c r="BL80" s="202"/>
      <c r="BM80" s="204"/>
      <c r="BN80" s="202"/>
      <c r="BO80" s="203">
        <f t="shared" si="8"/>
        <v>0</v>
      </c>
      <c r="BP80" s="202"/>
      <c r="BQ80" s="138"/>
      <c r="BR80" s="128"/>
      <c r="BS80" s="128"/>
      <c r="BT80" s="128"/>
      <c r="BU80" s="128"/>
      <c r="BZ80" s="190"/>
      <c r="CA80" s="190"/>
      <c r="CB80" s="190"/>
      <c r="CC80" s="190"/>
      <c r="CD80" s="190"/>
      <c r="CE80" s="134"/>
      <c r="CF80" s="134"/>
      <c r="CG80" s="157"/>
      <c r="CH80" s="134"/>
      <c r="CI80" s="134"/>
      <c r="CJ80" s="135"/>
      <c r="CK80" s="135"/>
    </row>
    <row r="81" spans="1:89" ht="14.25">
      <c r="A81" s="136"/>
      <c r="B81" s="30" t="s">
        <v>176</v>
      </c>
      <c r="C81" s="30" t="s">
        <v>4</v>
      </c>
      <c r="D81" s="137">
        <f t="shared" si="3"/>
        <v>0</v>
      </c>
      <c r="E81" s="207"/>
      <c r="F81" s="202"/>
      <c r="G81" s="207"/>
      <c r="H81" s="202"/>
      <c r="I81" s="207"/>
      <c r="J81" s="202"/>
      <c r="K81" s="207"/>
      <c r="L81" s="202"/>
      <c r="M81" s="207"/>
      <c r="N81" s="202"/>
      <c r="O81" s="201"/>
      <c r="P81" s="202"/>
      <c r="Q81" s="203">
        <f t="shared" si="4"/>
        <v>0</v>
      </c>
      <c r="R81" s="202"/>
      <c r="S81" s="207"/>
      <c r="T81" s="202"/>
      <c r="U81" s="207"/>
      <c r="V81" s="202"/>
      <c r="W81" s="207"/>
      <c r="X81" s="202"/>
      <c r="Y81" s="207"/>
      <c r="Z81" s="202"/>
      <c r="AA81" s="207"/>
      <c r="AB81" s="202"/>
      <c r="AC81" s="208"/>
      <c r="AD81" s="202"/>
      <c r="AE81" s="203">
        <f t="shared" si="5"/>
        <v>0</v>
      </c>
      <c r="AF81" s="202"/>
      <c r="AG81" s="204"/>
      <c r="AH81" s="202"/>
      <c r="AI81" s="204"/>
      <c r="AJ81" s="202"/>
      <c r="AK81" s="204"/>
      <c r="AL81" s="202"/>
      <c r="AM81" s="204"/>
      <c r="AN81" s="202"/>
      <c r="AO81" s="204"/>
      <c r="AP81" s="202"/>
      <c r="AQ81" s="208"/>
      <c r="AR81" s="202"/>
      <c r="AS81" s="203">
        <f t="shared" si="6"/>
        <v>0</v>
      </c>
      <c r="AT81" s="202"/>
      <c r="AU81" s="204"/>
      <c r="AV81" s="202"/>
      <c r="AW81" s="204"/>
      <c r="AX81" s="202"/>
      <c r="AY81" s="204"/>
      <c r="AZ81" s="202"/>
      <c r="BA81" s="204"/>
      <c r="BB81" s="202"/>
      <c r="BC81" s="204"/>
      <c r="BD81" s="202"/>
      <c r="BE81" s="208"/>
      <c r="BF81" s="202"/>
      <c r="BG81" s="203">
        <f t="shared" si="7"/>
        <v>0</v>
      </c>
      <c r="BH81" s="202"/>
      <c r="BI81" s="204"/>
      <c r="BJ81" s="202"/>
      <c r="BK81" s="204"/>
      <c r="BL81" s="202"/>
      <c r="BM81" s="204"/>
      <c r="BN81" s="202"/>
      <c r="BO81" s="203">
        <f t="shared" si="8"/>
        <v>0</v>
      </c>
      <c r="BP81" s="202"/>
      <c r="BQ81" s="138"/>
      <c r="BR81" s="139"/>
      <c r="BS81" s="139"/>
      <c r="BT81" s="139"/>
      <c r="BU81" s="139"/>
      <c r="BV81" s="139"/>
      <c r="BW81" s="139"/>
      <c r="BX81" s="140"/>
      <c r="BY81" s="139"/>
      <c r="BZ81" s="190"/>
      <c r="CA81" s="190"/>
      <c r="CB81" s="190"/>
      <c r="CC81" s="190"/>
      <c r="CD81" s="190"/>
      <c r="CE81" s="139"/>
      <c r="CF81" s="139"/>
      <c r="CG81" s="139"/>
      <c r="CH81" s="139"/>
      <c r="CI81" s="139"/>
      <c r="CJ81" s="139"/>
      <c r="CK81" s="139"/>
    </row>
    <row r="82" spans="1:89" ht="14.25">
      <c r="A82" s="136"/>
      <c r="B82" s="30" t="s">
        <v>178</v>
      </c>
      <c r="C82" s="30" t="s">
        <v>4</v>
      </c>
      <c r="D82" s="137">
        <f t="shared" si="3"/>
        <v>6</v>
      </c>
      <c r="E82" s="207"/>
      <c r="F82" s="202"/>
      <c r="G82" s="207">
        <v>10</v>
      </c>
      <c r="H82" s="202"/>
      <c r="I82" s="207"/>
      <c r="J82" s="202"/>
      <c r="K82" s="207">
        <v>10</v>
      </c>
      <c r="L82" s="202"/>
      <c r="M82" s="207"/>
      <c r="N82" s="202"/>
      <c r="O82" s="201"/>
      <c r="P82" s="202"/>
      <c r="Q82" s="203">
        <f t="shared" si="4"/>
        <v>2</v>
      </c>
      <c r="R82" s="202"/>
      <c r="S82" s="207"/>
      <c r="T82" s="202"/>
      <c r="U82" s="207">
        <v>10</v>
      </c>
      <c r="V82" s="202"/>
      <c r="W82" s="207"/>
      <c r="X82" s="202"/>
      <c r="Y82" s="207">
        <v>10</v>
      </c>
      <c r="Z82" s="202"/>
      <c r="AA82" s="207"/>
      <c r="AB82" s="202"/>
      <c r="AC82" s="208"/>
      <c r="AD82" s="202"/>
      <c r="AE82" s="203">
        <f t="shared" si="5"/>
        <v>2</v>
      </c>
      <c r="AF82" s="202"/>
      <c r="AG82" s="204"/>
      <c r="AH82" s="202"/>
      <c r="AI82" s="204">
        <v>10</v>
      </c>
      <c r="AJ82" s="202"/>
      <c r="AK82" s="204"/>
      <c r="AL82" s="202"/>
      <c r="AM82" s="204"/>
      <c r="AN82" s="202"/>
      <c r="AO82" s="204"/>
      <c r="AP82" s="202"/>
      <c r="AQ82" s="208"/>
      <c r="AR82" s="202"/>
      <c r="AS82" s="203">
        <f t="shared" si="6"/>
        <v>1</v>
      </c>
      <c r="AT82" s="202"/>
      <c r="AU82" s="204">
        <v>10</v>
      </c>
      <c r="AV82" s="202"/>
      <c r="AW82" s="204"/>
      <c r="AX82" s="202"/>
      <c r="AY82" s="204"/>
      <c r="AZ82" s="202"/>
      <c r="BA82" s="204"/>
      <c r="BB82" s="202"/>
      <c r="BC82" s="204"/>
      <c r="BD82" s="202"/>
      <c r="BE82" s="208"/>
      <c r="BF82" s="202"/>
      <c r="BG82" s="203">
        <f t="shared" si="7"/>
        <v>1</v>
      </c>
      <c r="BH82" s="202"/>
      <c r="BI82" s="204"/>
      <c r="BJ82" s="202"/>
      <c r="BK82" s="204"/>
      <c r="BL82" s="202"/>
      <c r="BM82" s="204"/>
      <c r="BN82" s="202"/>
      <c r="BO82" s="203">
        <f t="shared" si="8"/>
        <v>0</v>
      </c>
      <c r="BP82" s="202"/>
      <c r="BQ82" s="138"/>
      <c r="BR82" s="139"/>
      <c r="BS82" s="139"/>
      <c r="BT82" s="139"/>
      <c r="BU82" s="139"/>
      <c r="BV82" s="139"/>
      <c r="BW82" s="139"/>
      <c r="BX82" s="140"/>
      <c r="BY82" s="139"/>
      <c r="BZ82" s="139"/>
      <c r="CA82" s="139"/>
      <c r="CB82" s="139"/>
      <c r="CC82" s="139"/>
      <c r="CD82" s="139"/>
      <c r="CE82" s="139"/>
      <c r="CF82" s="139"/>
      <c r="CG82" s="139"/>
      <c r="CH82" s="139"/>
      <c r="CI82" s="139"/>
      <c r="CJ82" s="139"/>
      <c r="CK82" s="139"/>
    </row>
    <row r="83" spans="1:89" ht="14.25">
      <c r="A83" s="136"/>
      <c r="B83" s="30" t="s">
        <v>384</v>
      </c>
      <c r="C83" s="30" t="s">
        <v>4</v>
      </c>
      <c r="D83" s="137">
        <f t="shared" si="3"/>
        <v>4</v>
      </c>
      <c r="E83" s="207">
        <v>17</v>
      </c>
      <c r="F83" s="202"/>
      <c r="G83" s="207"/>
      <c r="H83" s="202"/>
      <c r="I83" s="207">
        <v>17</v>
      </c>
      <c r="J83" s="202"/>
      <c r="K83" s="207"/>
      <c r="L83" s="202"/>
      <c r="M83" s="207"/>
      <c r="N83" s="202"/>
      <c r="O83" s="201"/>
      <c r="P83" s="202"/>
      <c r="Q83" s="203">
        <f t="shared" si="4"/>
        <v>2</v>
      </c>
      <c r="R83" s="202"/>
      <c r="S83" s="207"/>
      <c r="T83" s="202"/>
      <c r="U83" s="207">
        <v>17</v>
      </c>
      <c r="V83" s="202"/>
      <c r="W83" s="207"/>
      <c r="X83" s="202"/>
      <c r="Y83" s="207"/>
      <c r="Z83" s="202"/>
      <c r="AA83" s="207">
        <v>17</v>
      </c>
      <c r="AB83" s="202"/>
      <c r="AC83" s="208"/>
      <c r="AD83" s="202"/>
      <c r="AE83" s="203">
        <f t="shared" si="5"/>
        <v>2</v>
      </c>
      <c r="AF83" s="202"/>
      <c r="AG83" s="204"/>
      <c r="AH83" s="202"/>
      <c r="AI83" s="204"/>
      <c r="AJ83" s="202"/>
      <c r="AK83" s="204"/>
      <c r="AL83" s="202"/>
      <c r="AM83" s="204"/>
      <c r="AN83" s="202"/>
      <c r="AO83" s="204"/>
      <c r="AP83" s="202"/>
      <c r="AQ83" s="208"/>
      <c r="AR83" s="202"/>
      <c r="AS83" s="203">
        <f t="shared" si="6"/>
        <v>0</v>
      </c>
      <c r="AT83" s="202"/>
      <c r="AU83" s="204"/>
      <c r="AV83" s="202"/>
      <c r="AW83" s="204"/>
      <c r="AX83" s="202"/>
      <c r="AY83" s="204"/>
      <c r="AZ83" s="202"/>
      <c r="BA83" s="204"/>
      <c r="BB83" s="202"/>
      <c r="BC83" s="204"/>
      <c r="BD83" s="202"/>
      <c r="BE83" s="208"/>
      <c r="BF83" s="202"/>
      <c r="BG83" s="203">
        <f t="shared" si="7"/>
        <v>0</v>
      </c>
      <c r="BH83" s="202"/>
      <c r="BI83" s="204"/>
      <c r="BJ83" s="202"/>
      <c r="BK83" s="204"/>
      <c r="BL83" s="202"/>
      <c r="BM83" s="204"/>
      <c r="BN83" s="202"/>
      <c r="BO83" s="203">
        <f t="shared" si="8"/>
        <v>0</v>
      </c>
      <c r="BP83" s="202"/>
      <c r="BQ83" s="138"/>
      <c r="BR83" s="139"/>
      <c r="BS83" s="139"/>
      <c r="BT83" s="139"/>
      <c r="BU83" s="139"/>
      <c r="BV83" s="139"/>
      <c r="BW83" s="139"/>
      <c r="BX83" s="140"/>
      <c r="BY83" s="139"/>
      <c r="BZ83" s="139"/>
      <c r="CA83" s="139"/>
      <c r="CB83" s="139"/>
      <c r="CC83" s="139"/>
      <c r="CD83" s="139"/>
      <c r="CE83" s="139"/>
      <c r="CF83" s="139"/>
      <c r="CG83" s="139"/>
      <c r="CH83" s="139"/>
      <c r="CI83" s="139"/>
      <c r="CJ83" s="139"/>
      <c r="CK83" s="139"/>
    </row>
    <row r="84" spans="1:89" ht="14.25">
      <c r="A84" s="142"/>
      <c r="B84" s="30" t="s">
        <v>180</v>
      </c>
      <c r="C84" s="30" t="s">
        <v>4</v>
      </c>
      <c r="D84" s="137">
        <f t="shared" si="3"/>
        <v>6</v>
      </c>
      <c r="E84" s="207"/>
      <c r="F84" s="202"/>
      <c r="G84" s="207"/>
      <c r="H84" s="202"/>
      <c r="I84" s="207"/>
      <c r="J84" s="202"/>
      <c r="K84" s="207"/>
      <c r="L84" s="202"/>
      <c r="M84" s="207"/>
      <c r="N84" s="202"/>
      <c r="O84" s="201"/>
      <c r="P84" s="202"/>
      <c r="Q84" s="203">
        <f t="shared" si="4"/>
        <v>0</v>
      </c>
      <c r="R84" s="202"/>
      <c r="S84" s="207">
        <v>21</v>
      </c>
      <c r="T84" s="202"/>
      <c r="U84" s="207">
        <v>21</v>
      </c>
      <c r="V84" s="202"/>
      <c r="W84" s="207"/>
      <c r="X84" s="202"/>
      <c r="Y84" s="207"/>
      <c r="Z84" s="202"/>
      <c r="AA84" s="207">
        <v>21</v>
      </c>
      <c r="AB84" s="202"/>
      <c r="AC84" s="208"/>
      <c r="AD84" s="202"/>
      <c r="AE84" s="203">
        <f t="shared" si="5"/>
        <v>3</v>
      </c>
      <c r="AF84" s="202"/>
      <c r="AG84" s="204"/>
      <c r="AH84" s="202"/>
      <c r="AI84" s="204">
        <v>17</v>
      </c>
      <c r="AJ84" s="202"/>
      <c r="AK84" s="204"/>
      <c r="AL84" s="202"/>
      <c r="AM84" s="204">
        <v>21</v>
      </c>
      <c r="AN84" s="202"/>
      <c r="AO84" s="204"/>
      <c r="AP84" s="202"/>
      <c r="AQ84" s="208"/>
      <c r="AR84" s="202"/>
      <c r="AS84" s="203">
        <f t="shared" si="6"/>
        <v>2</v>
      </c>
      <c r="AT84" s="202"/>
      <c r="AU84" s="204">
        <v>21</v>
      </c>
      <c r="AV84" s="202"/>
      <c r="AW84" s="204"/>
      <c r="AX84" s="202"/>
      <c r="AY84" s="204"/>
      <c r="AZ84" s="202"/>
      <c r="BA84" s="204"/>
      <c r="BB84" s="202"/>
      <c r="BC84" s="204"/>
      <c r="BD84" s="202"/>
      <c r="BE84" s="208"/>
      <c r="BF84" s="202"/>
      <c r="BG84" s="203">
        <f t="shared" si="7"/>
        <v>1</v>
      </c>
      <c r="BH84" s="202"/>
      <c r="BI84" s="204"/>
      <c r="BJ84" s="202"/>
      <c r="BK84" s="204"/>
      <c r="BL84" s="202"/>
      <c r="BM84" s="204"/>
      <c r="BN84" s="202"/>
      <c r="BO84" s="203">
        <f t="shared" si="8"/>
        <v>0</v>
      </c>
      <c r="BP84" s="202"/>
      <c r="BQ84" s="138"/>
      <c r="BR84" s="128"/>
      <c r="BS84" s="128"/>
      <c r="BT84" s="128"/>
      <c r="BU84" s="128"/>
      <c r="BV84" s="128"/>
      <c r="BW84" s="139"/>
      <c r="BX84" s="140"/>
      <c r="BY84" s="139"/>
      <c r="BZ84" s="139"/>
      <c r="CA84" s="134"/>
      <c r="CB84" s="134"/>
      <c r="CC84" s="134"/>
      <c r="CD84" s="134"/>
      <c r="CE84" s="134"/>
      <c r="CF84" s="134"/>
      <c r="CG84" s="134"/>
      <c r="CH84" s="134"/>
      <c r="CI84" s="134"/>
      <c r="CJ84" s="135"/>
      <c r="CK84" s="135"/>
    </row>
    <row r="85" spans="1:89" ht="14.25">
      <c r="A85" s="136"/>
      <c r="B85" s="30" t="s">
        <v>182</v>
      </c>
      <c r="C85" s="30" t="s">
        <v>4</v>
      </c>
      <c r="D85" s="137">
        <f t="shared" si="3"/>
        <v>0</v>
      </c>
      <c r="E85" s="207"/>
      <c r="F85" s="202"/>
      <c r="G85" s="207"/>
      <c r="H85" s="202"/>
      <c r="I85" s="207"/>
      <c r="J85" s="202"/>
      <c r="K85" s="207"/>
      <c r="L85" s="202"/>
      <c r="M85" s="207"/>
      <c r="N85" s="202"/>
      <c r="O85" s="201"/>
      <c r="P85" s="202"/>
      <c r="Q85" s="203">
        <f t="shared" si="4"/>
        <v>0</v>
      </c>
      <c r="R85" s="202"/>
      <c r="S85" s="207"/>
      <c r="T85" s="202"/>
      <c r="U85" s="207"/>
      <c r="V85" s="202"/>
      <c r="W85" s="207"/>
      <c r="X85" s="202"/>
      <c r="Y85" s="207"/>
      <c r="Z85" s="202"/>
      <c r="AA85" s="207"/>
      <c r="AB85" s="202"/>
      <c r="AC85" s="208"/>
      <c r="AD85" s="202"/>
      <c r="AE85" s="203">
        <f t="shared" si="5"/>
        <v>0</v>
      </c>
      <c r="AF85" s="202"/>
      <c r="AG85" s="204"/>
      <c r="AH85" s="202"/>
      <c r="AI85" s="204"/>
      <c r="AJ85" s="202"/>
      <c r="AK85" s="204"/>
      <c r="AL85" s="202"/>
      <c r="AM85" s="204"/>
      <c r="AN85" s="202"/>
      <c r="AO85" s="204"/>
      <c r="AP85" s="202"/>
      <c r="AQ85" s="208"/>
      <c r="AR85" s="202"/>
      <c r="AS85" s="203">
        <f t="shared" si="6"/>
        <v>0</v>
      </c>
      <c r="AT85" s="202"/>
      <c r="AU85" s="204"/>
      <c r="AV85" s="202"/>
      <c r="AW85" s="204"/>
      <c r="AX85" s="202"/>
      <c r="AY85" s="204"/>
      <c r="AZ85" s="202"/>
      <c r="BA85" s="204"/>
      <c r="BB85" s="202"/>
      <c r="BC85" s="204"/>
      <c r="BD85" s="202"/>
      <c r="BE85" s="208"/>
      <c r="BF85" s="202"/>
      <c r="BG85" s="203">
        <f t="shared" si="7"/>
        <v>0</v>
      </c>
      <c r="BH85" s="202"/>
      <c r="BI85" s="204"/>
      <c r="BJ85" s="202"/>
      <c r="BK85" s="204"/>
      <c r="BL85" s="202"/>
      <c r="BM85" s="204"/>
      <c r="BN85" s="202"/>
      <c r="BO85" s="203">
        <f t="shared" si="8"/>
        <v>0</v>
      </c>
      <c r="BP85" s="202"/>
      <c r="BQ85" s="138"/>
      <c r="BR85" s="139"/>
      <c r="BS85" s="139"/>
      <c r="BT85" s="139"/>
      <c r="BU85" s="139"/>
      <c r="BV85" s="139"/>
      <c r="BW85" s="139"/>
      <c r="BX85" s="140"/>
      <c r="BY85" s="139"/>
      <c r="BZ85" s="139"/>
      <c r="CA85" s="139"/>
      <c r="CB85" s="139"/>
      <c r="CC85" s="139"/>
      <c r="CD85" s="139"/>
      <c r="CE85" s="139"/>
      <c r="CF85" s="139"/>
      <c r="CG85" s="139"/>
      <c r="CH85" s="139"/>
      <c r="CI85" s="139"/>
      <c r="CJ85" s="139"/>
      <c r="CK85" s="139"/>
    </row>
    <row r="86" spans="1:89" ht="14.25">
      <c r="A86" s="142"/>
      <c r="B86" s="30" t="s">
        <v>389</v>
      </c>
      <c r="C86" s="30" t="s">
        <v>4</v>
      </c>
      <c r="D86" s="137">
        <f t="shared" si="3"/>
        <v>8</v>
      </c>
      <c r="E86" s="207"/>
      <c r="F86" s="202"/>
      <c r="G86" s="207">
        <v>18</v>
      </c>
      <c r="H86" s="202"/>
      <c r="I86" s="207">
        <v>18</v>
      </c>
      <c r="J86" s="202"/>
      <c r="K86" s="207"/>
      <c r="L86" s="202"/>
      <c r="M86" s="207"/>
      <c r="N86" s="202"/>
      <c r="O86" s="201"/>
      <c r="P86" s="202"/>
      <c r="Q86" s="203">
        <f t="shared" si="4"/>
        <v>2</v>
      </c>
      <c r="R86" s="202"/>
      <c r="S86" s="207"/>
      <c r="T86" s="202"/>
      <c r="U86" s="207"/>
      <c r="V86" s="202"/>
      <c r="W86" s="207">
        <v>18</v>
      </c>
      <c r="X86" s="202"/>
      <c r="Y86" s="207">
        <v>19</v>
      </c>
      <c r="Z86" s="202"/>
      <c r="AA86" s="207">
        <v>17</v>
      </c>
      <c r="AB86" s="202"/>
      <c r="AC86" s="208"/>
      <c r="AD86" s="202"/>
      <c r="AE86" s="203">
        <f t="shared" si="5"/>
        <v>3</v>
      </c>
      <c r="AF86" s="202"/>
      <c r="AG86" s="204"/>
      <c r="AH86" s="202"/>
      <c r="AI86" s="204">
        <v>19</v>
      </c>
      <c r="AJ86" s="202"/>
      <c r="AK86" s="204"/>
      <c r="AL86" s="202"/>
      <c r="AM86" s="204">
        <v>19</v>
      </c>
      <c r="AN86" s="202"/>
      <c r="AO86" s="204"/>
      <c r="AP86" s="202"/>
      <c r="AQ86" s="208"/>
      <c r="AR86" s="202"/>
      <c r="AS86" s="203">
        <f t="shared" si="6"/>
        <v>2</v>
      </c>
      <c r="AT86" s="202"/>
      <c r="AU86" s="204">
        <v>19</v>
      </c>
      <c r="AV86" s="202"/>
      <c r="AW86" s="204"/>
      <c r="AX86" s="202"/>
      <c r="AY86" s="204"/>
      <c r="AZ86" s="202"/>
      <c r="BA86" s="204"/>
      <c r="BB86" s="202"/>
      <c r="BC86" s="204"/>
      <c r="BD86" s="202"/>
      <c r="BE86" s="208"/>
      <c r="BF86" s="202"/>
      <c r="BG86" s="203">
        <f t="shared" si="7"/>
        <v>1</v>
      </c>
      <c r="BH86" s="202"/>
      <c r="BI86" s="204"/>
      <c r="BJ86" s="202"/>
      <c r="BK86" s="204"/>
      <c r="BL86" s="202"/>
      <c r="BM86" s="204"/>
      <c r="BN86" s="202"/>
      <c r="BO86" s="203">
        <f t="shared" si="8"/>
        <v>0</v>
      </c>
      <c r="BP86" s="202"/>
      <c r="BQ86" s="138"/>
      <c r="BR86" s="128"/>
      <c r="BS86" s="128"/>
      <c r="BT86" s="128"/>
      <c r="BU86" s="128"/>
      <c r="BV86" s="128"/>
      <c r="BW86" s="139"/>
      <c r="BX86" s="140"/>
      <c r="BY86" s="139"/>
      <c r="BZ86" s="139"/>
      <c r="CA86" s="134"/>
      <c r="CB86" s="134"/>
      <c r="CC86" s="134"/>
      <c r="CD86" s="134"/>
      <c r="CE86" s="134"/>
      <c r="CF86" s="134"/>
      <c r="CG86" s="134"/>
      <c r="CH86" s="134"/>
      <c r="CI86" s="134"/>
      <c r="CJ86" s="135"/>
      <c r="CK86" s="135"/>
    </row>
    <row r="87" spans="1:89" ht="14.25">
      <c r="A87" s="142"/>
      <c r="B87" s="30" t="s">
        <v>187</v>
      </c>
      <c r="C87" s="30" t="s">
        <v>4</v>
      </c>
      <c r="D87" s="137">
        <f t="shared" si="3"/>
        <v>7</v>
      </c>
      <c r="E87" s="207">
        <v>20</v>
      </c>
      <c r="F87" s="202"/>
      <c r="G87" s="207"/>
      <c r="H87" s="202"/>
      <c r="I87" s="207">
        <v>20</v>
      </c>
      <c r="J87" s="202"/>
      <c r="K87" s="207"/>
      <c r="L87" s="202"/>
      <c r="M87" s="207">
        <v>20</v>
      </c>
      <c r="N87" s="202"/>
      <c r="O87" s="201"/>
      <c r="P87" s="202"/>
      <c r="Q87" s="203">
        <f t="shared" si="4"/>
        <v>3</v>
      </c>
      <c r="R87" s="202"/>
      <c r="S87" s="207">
        <v>20</v>
      </c>
      <c r="T87" s="202"/>
      <c r="U87" s="207"/>
      <c r="V87" s="202"/>
      <c r="W87" s="207"/>
      <c r="X87" s="202"/>
      <c r="Y87" s="207"/>
      <c r="Z87" s="202"/>
      <c r="AA87" s="207">
        <v>20</v>
      </c>
      <c r="AB87" s="202"/>
      <c r="AC87" s="208"/>
      <c r="AD87" s="202"/>
      <c r="AE87" s="203">
        <f t="shared" si="5"/>
        <v>2</v>
      </c>
      <c r="AF87" s="202"/>
      <c r="AG87" s="204"/>
      <c r="AH87" s="202"/>
      <c r="AI87" s="204"/>
      <c r="AJ87" s="202"/>
      <c r="AK87" s="204"/>
      <c r="AL87" s="202"/>
      <c r="AM87" s="204"/>
      <c r="AN87" s="202"/>
      <c r="AO87" s="204"/>
      <c r="AP87" s="202"/>
      <c r="AQ87" s="208"/>
      <c r="AR87" s="202"/>
      <c r="AS87" s="203">
        <f t="shared" si="6"/>
        <v>0</v>
      </c>
      <c r="AT87" s="202"/>
      <c r="AU87" s="204"/>
      <c r="AV87" s="202"/>
      <c r="AW87" s="204"/>
      <c r="AX87" s="202"/>
      <c r="AY87" s="204"/>
      <c r="AZ87" s="202"/>
      <c r="BA87" s="204"/>
      <c r="BB87" s="202"/>
      <c r="BC87" s="204">
        <v>20</v>
      </c>
      <c r="BD87" s="202"/>
      <c r="BE87" s="208"/>
      <c r="BF87" s="202"/>
      <c r="BG87" s="203">
        <f t="shared" si="7"/>
        <v>1</v>
      </c>
      <c r="BH87" s="202"/>
      <c r="BI87" s="204"/>
      <c r="BJ87" s="202"/>
      <c r="BK87" s="204">
        <v>20</v>
      </c>
      <c r="BL87" s="202"/>
      <c r="BM87" s="204"/>
      <c r="BN87" s="202"/>
      <c r="BO87" s="203">
        <f t="shared" si="8"/>
        <v>1</v>
      </c>
      <c r="BP87" s="202"/>
      <c r="BQ87" s="138"/>
      <c r="BR87" s="128"/>
      <c r="BS87" s="128"/>
      <c r="BT87" s="128"/>
      <c r="BU87" s="128"/>
      <c r="BV87" s="128"/>
      <c r="BW87" s="139"/>
      <c r="BX87" s="140"/>
      <c r="BY87" s="139"/>
      <c r="BZ87" s="139"/>
      <c r="CA87" s="134"/>
      <c r="CB87" s="134"/>
      <c r="CC87" s="134"/>
      <c r="CD87" s="134"/>
      <c r="CE87" s="134"/>
      <c r="CF87" s="134"/>
      <c r="CG87" s="134"/>
      <c r="CH87" s="134"/>
      <c r="CI87" s="134"/>
      <c r="CJ87" s="135"/>
      <c r="CK87" s="135"/>
    </row>
    <row r="88" spans="1:89" ht="14.25">
      <c r="A88" s="142"/>
      <c r="B88" s="30" t="s">
        <v>189</v>
      </c>
      <c r="C88" s="30" t="s">
        <v>4</v>
      </c>
      <c r="D88" s="137">
        <f t="shared" si="3"/>
        <v>0</v>
      </c>
      <c r="E88" s="207"/>
      <c r="F88" s="202"/>
      <c r="G88" s="207"/>
      <c r="H88" s="202"/>
      <c r="I88" s="207"/>
      <c r="J88" s="202"/>
      <c r="K88" s="207"/>
      <c r="L88" s="202"/>
      <c r="M88" s="207"/>
      <c r="N88" s="202"/>
      <c r="O88" s="201"/>
      <c r="P88" s="202"/>
      <c r="Q88" s="203">
        <f t="shared" si="4"/>
        <v>0</v>
      </c>
      <c r="R88" s="202"/>
      <c r="S88" s="207"/>
      <c r="T88" s="202"/>
      <c r="U88" s="207"/>
      <c r="V88" s="202"/>
      <c r="W88" s="207"/>
      <c r="X88" s="202"/>
      <c r="Y88" s="207"/>
      <c r="Z88" s="202"/>
      <c r="AA88" s="207"/>
      <c r="AB88" s="202"/>
      <c r="AC88" s="208"/>
      <c r="AD88" s="202"/>
      <c r="AE88" s="203">
        <f t="shared" si="5"/>
        <v>0</v>
      </c>
      <c r="AF88" s="202"/>
      <c r="AG88" s="204"/>
      <c r="AH88" s="202"/>
      <c r="AI88" s="204"/>
      <c r="AJ88" s="202"/>
      <c r="AK88" s="204"/>
      <c r="AL88" s="202"/>
      <c r="AM88" s="204"/>
      <c r="AN88" s="202"/>
      <c r="AO88" s="204"/>
      <c r="AP88" s="202"/>
      <c r="AQ88" s="208"/>
      <c r="AR88" s="202"/>
      <c r="AS88" s="203">
        <f t="shared" si="6"/>
        <v>0</v>
      </c>
      <c r="AT88" s="202"/>
      <c r="AU88" s="204"/>
      <c r="AV88" s="202"/>
      <c r="AW88" s="204"/>
      <c r="AX88" s="202"/>
      <c r="AY88" s="204"/>
      <c r="AZ88" s="202"/>
      <c r="BA88" s="204"/>
      <c r="BB88" s="202"/>
      <c r="BC88" s="204"/>
      <c r="BD88" s="202"/>
      <c r="BE88" s="208"/>
      <c r="BF88" s="202"/>
      <c r="BG88" s="203">
        <f t="shared" si="7"/>
        <v>0</v>
      </c>
      <c r="BH88" s="202"/>
      <c r="BI88" s="204"/>
      <c r="BJ88" s="202"/>
      <c r="BK88" s="204"/>
      <c r="BL88" s="202"/>
      <c r="BM88" s="204"/>
      <c r="BN88" s="202"/>
      <c r="BO88" s="203">
        <f t="shared" si="8"/>
        <v>0</v>
      </c>
      <c r="BP88" s="202"/>
      <c r="BQ88" s="138"/>
      <c r="BR88" s="128"/>
      <c r="BS88" s="128"/>
      <c r="BT88" s="128"/>
      <c r="BU88" s="128"/>
      <c r="BV88" s="128"/>
      <c r="BW88" s="139"/>
      <c r="BX88" s="140"/>
      <c r="BY88" s="139"/>
      <c r="BZ88" s="139"/>
      <c r="CA88" s="134"/>
      <c r="CB88" s="134"/>
      <c r="CC88" s="134"/>
      <c r="CD88" s="134"/>
      <c r="CE88" s="134"/>
      <c r="CF88" s="134"/>
      <c r="CG88" s="134"/>
      <c r="CH88" s="157"/>
      <c r="CI88" s="134"/>
      <c r="CJ88" s="135"/>
      <c r="CK88" s="135"/>
    </row>
    <row r="89" spans="1:89" ht="14.25">
      <c r="A89" s="136"/>
      <c r="B89" s="30" t="s">
        <v>191</v>
      </c>
      <c r="C89" s="30" t="s">
        <v>4</v>
      </c>
      <c r="D89" s="137">
        <f t="shared" si="3"/>
        <v>4</v>
      </c>
      <c r="E89" s="207"/>
      <c r="F89" s="202"/>
      <c r="G89" s="207"/>
      <c r="H89" s="202"/>
      <c r="I89" s="207"/>
      <c r="J89" s="202"/>
      <c r="K89" s="207"/>
      <c r="L89" s="202"/>
      <c r="M89" s="207"/>
      <c r="N89" s="202"/>
      <c r="O89" s="201"/>
      <c r="P89" s="202"/>
      <c r="Q89" s="203">
        <f t="shared" si="4"/>
        <v>0</v>
      </c>
      <c r="R89" s="202"/>
      <c r="S89" s="207">
        <v>18</v>
      </c>
      <c r="T89" s="202"/>
      <c r="U89" s="207">
        <v>18</v>
      </c>
      <c r="V89" s="202"/>
      <c r="W89" s="207"/>
      <c r="X89" s="202"/>
      <c r="Y89" s="207"/>
      <c r="Z89" s="202"/>
      <c r="AA89" s="207"/>
      <c r="AB89" s="202"/>
      <c r="AC89" s="208"/>
      <c r="AD89" s="202"/>
      <c r="AE89" s="203">
        <f t="shared" si="5"/>
        <v>2</v>
      </c>
      <c r="AF89" s="202"/>
      <c r="AG89" s="204">
        <v>18</v>
      </c>
      <c r="AH89" s="202"/>
      <c r="AI89" s="204"/>
      <c r="AJ89" s="202"/>
      <c r="AK89" s="204"/>
      <c r="AL89" s="202"/>
      <c r="AM89" s="204"/>
      <c r="AN89" s="202"/>
      <c r="AO89" s="204"/>
      <c r="AP89" s="202"/>
      <c r="AQ89" s="208"/>
      <c r="AR89" s="202"/>
      <c r="AS89" s="203">
        <f t="shared" si="6"/>
        <v>1</v>
      </c>
      <c r="AT89" s="202"/>
      <c r="AU89" s="204"/>
      <c r="AV89" s="202"/>
      <c r="AW89" s="204"/>
      <c r="AX89" s="202"/>
      <c r="AY89" s="204"/>
      <c r="AZ89" s="202"/>
      <c r="BA89" s="204"/>
      <c r="BB89" s="202"/>
      <c r="BC89" s="204">
        <v>18</v>
      </c>
      <c r="BD89" s="202"/>
      <c r="BE89" s="208"/>
      <c r="BF89" s="202"/>
      <c r="BG89" s="203">
        <f t="shared" si="7"/>
        <v>1</v>
      </c>
      <c r="BH89" s="202"/>
      <c r="BI89" s="204"/>
      <c r="BJ89" s="202"/>
      <c r="BK89" s="204"/>
      <c r="BL89" s="202"/>
      <c r="BM89" s="204"/>
      <c r="BN89" s="202"/>
      <c r="BO89" s="203">
        <f t="shared" si="8"/>
        <v>0</v>
      </c>
      <c r="BP89" s="202"/>
      <c r="BQ89" s="138"/>
      <c r="BR89" s="139"/>
      <c r="BS89" s="139"/>
      <c r="BT89" s="139"/>
      <c r="BU89" s="139"/>
      <c r="BV89" s="139"/>
      <c r="BW89" s="139"/>
      <c r="BX89" s="140"/>
      <c r="BY89" s="139"/>
      <c r="BZ89" s="139"/>
      <c r="CA89" s="139"/>
      <c r="CB89" s="139"/>
      <c r="CC89" s="139"/>
      <c r="CD89" s="139"/>
      <c r="CE89" s="139"/>
      <c r="CF89" s="139"/>
      <c r="CG89" s="139"/>
      <c r="CH89" s="139"/>
      <c r="CI89" s="139"/>
      <c r="CJ89" s="139"/>
      <c r="CK89" s="139"/>
    </row>
    <row r="90" spans="1:89" ht="14.25">
      <c r="A90" s="136"/>
      <c r="B90" s="30" t="s">
        <v>193</v>
      </c>
      <c r="C90" s="30" t="s">
        <v>4</v>
      </c>
      <c r="D90" s="137">
        <f t="shared" si="3"/>
        <v>2</v>
      </c>
      <c r="E90" s="207"/>
      <c r="F90" s="202"/>
      <c r="G90" s="207"/>
      <c r="H90" s="202"/>
      <c r="I90" s="207"/>
      <c r="J90" s="202"/>
      <c r="K90" s="207">
        <v>21</v>
      </c>
      <c r="L90" s="202"/>
      <c r="M90" s="207"/>
      <c r="N90" s="202"/>
      <c r="O90" s="201"/>
      <c r="P90" s="202"/>
      <c r="Q90" s="203">
        <f t="shared" si="4"/>
        <v>1</v>
      </c>
      <c r="R90" s="202"/>
      <c r="S90" s="207"/>
      <c r="T90" s="202"/>
      <c r="U90" s="207"/>
      <c r="V90" s="202"/>
      <c r="W90" s="207">
        <v>21</v>
      </c>
      <c r="X90" s="202"/>
      <c r="Y90" s="207"/>
      <c r="Z90" s="202"/>
      <c r="AA90" s="207"/>
      <c r="AB90" s="202"/>
      <c r="AC90" s="208"/>
      <c r="AD90" s="202"/>
      <c r="AE90" s="203">
        <f t="shared" si="5"/>
        <v>1</v>
      </c>
      <c r="AF90" s="202"/>
      <c r="AG90" s="204"/>
      <c r="AH90" s="202"/>
      <c r="AI90" s="204"/>
      <c r="AJ90" s="202"/>
      <c r="AK90" s="204"/>
      <c r="AL90" s="202"/>
      <c r="AM90" s="204"/>
      <c r="AN90" s="202"/>
      <c r="AO90" s="204"/>
      <c r="AP90" s="202"/>
      <c r="AQ90" s="208"/>
      <c r="AR90" s="202"/>
      <c r="AS90" s="203">
        <f t="shared" si="6"/>
        <v>0</v>
      </c>
      <c r="AT90" s="202"/>
      <c r="AU90" s="204"/>
      <c r="AV90" s="202"/>
      <c r="AW90" s="204"/>
      <c r="AX90" s="202"/>
      <c r="AY90" s="204"/>
      <c r="AZ90" s="202"/>
      <c r="BA90" s="204"/>
      <c r="BB90" s="202"/>
      <c r="BC90" s="204"/>
      <c r="BD90" s="202"/>
      <c r="BE90" s="208"/>
      <c r="BF90" s="202"/>
      <c r="BG90" s="203">
        <f t="shared" si="7"/>
        <v>0</v>
      </c>
      <c r="BH90" s="202"/>
      <c r="BI90" s="204"/>
      <c r="BJ90" s="202"/>
      <c r="BK90" s="204"/>
      <c r="BL90" s="202"/>
      <c r="BM90" s="204"/>
      <c r="BN90" s="202"/>
      <c r="BO90" s="203">
        <f t="shared" si="8"/>
        <v>0</v>
      </c>
      <c r="BP90" s="202"/>
      <c r="BQ90" s="138"/>
      <c r="BR90" s="139"/>
      <c r="BS90" s="139"/>
      <c r="BT90" s="139"/>
      <c r="BU90" s="139"/>
      <c r="BV90" s="139"/>
      <c r="BW90" s="139"/>
      <c r="BX90" s="140"/>
      <c r="BY90" s="139"/>
      <c r="BZ90" s="139"/>
      <c r="CA90" s="139"/>
      <c r="CB90" s="139"/>
      <c r="CC90" s="139"/>
      <c r="CD90" s="139"/>
      <c r="CE90" s="139"/>
      <c r="CF90" s="139"/>
      <c r="CG90" s="139"/>
      <c r="CH90" s="139"/>
      <c r="CI90" s="139"/>
      <c r="CJ90" s="139"/>
      <c r="CK90" s="139"/>
    </row>
    <row r="91" spans="1:89" ht="14.25">
      <c r="A91" s="136"/>
      <c r="B91" s="30" t="s">
        <v>195</v>
      </c>
      <c r="C91" s="30" t="s">
        <v>3</v>
      </c>
      <c r="D91" s="137">
        <f t="shared" si="3"/>
        <v>0</v>
      </c>
      <c r="E91" s="207"/>
      <c r="F91" s="202"/>
      <c r="G91" s="207"/>
      <c r="H91" s="202"/>
      <c r="I91" s="207"/>
      <c r="J91" s="202"/>
      <c r="K91" s="207"/>
      <c r="L91" s="202"/>
      <c r="M91" s="207"/>
      <c r="N91" s="202"/>
      <c r="O91" s="201"/>
      <c r="P91" s="202"/>
      <c r="Q91" s="203">
        <f t="shared" si="4"/>
        <v>0</v>
      </c>
      <c r="R91" s="202"/>
      <c r="S91" s="207"/>
      <c r="T91" s="202"/>
      <c r="U91" s="207"/>
      <c r="V91" s="202"/>
      <c r="W91" s="207"/>
      <c r="X91" s="202"/>
      <c r="Y91" s="207"/>
      <c r="Z91" s="202"/>
      <c r="AA91" s="207"/>
      <c r="AB91" s="202"/>
      <c r="AC91" s="208"/>
      <c r="AD91" s="202"/>
      <c r="AE91" s="203">
        <f t="shared" si="5"/>
        <v>0</v>
      </c>
      <c r="AF91" s="202"/>
      <c r="AG91" s="204"/>
      <c r="AH91" s="202"/>
      <c r="AI91" s="204"/>
      <c r="AJ91" s="202"/>
      <c r="AK91" s="204"/>
      <c r="AL91" s="202"/>
      <c r="AM91" s="204"/>
      <c r="AN91" s="202"/>
      <c r="AO91" s="204"/>
      <c r="AP91" s="202"/>
      <c r="AQ91" s="208"/>
      <c r="AR91" s="202"/>
      <c r="AS91" s="203">
        <f t="shared" si="6"/>
        <v>0</v>
      </c>
      <c r="AT91" s="202"/>
      <c r="AU91" s="204"/>
      <c r="AV91" s="202"/>
      <c r="AW91" s="204"/>
      <c r="AX91" s="202"/>
      <c r="AY91" s="204"/>
      <c r="AZ91" s="202"/>
      <c r="BA91" s="204"/>
      <c r="BB91" s="202"/>
      <c r="BC91" s="204"/>
      <c r="BD91" s="202"/>
      <c r="BE91" s="208"/>
      <c r="BF91" s="202"/>
      <c r="BG91" s="203">
        <f t="shared" si="7"/>
        <v>0</v>
      </c>
      <c r="BH91" s="202"/>
      <c r="BI91" s="204"/>
      <c r="BJ91" s="202"/>
      <c r="BK91" s="204"/>
      <c r="BL91" s="202"/>
      <c r="BM91" s="204"/>
      <c r="BN91" s="202"/>
      <c r="BO91" s="203">
        <f t="shared" si="8"/>
        <v>0</v>
      </c>
      <c r="BP91" s="202"/>
      <c r="BQ91" s="138"/>
      <c r="BR91" s="139"/>
      <c r="BS91" s="139"/>
      <c r="BT91" s="139"/>
      <c r="BU91" s="139"/>
      <c r="BV91" s="139"/>
      <c r="BW91" s="139"/>
      <c r="BX91" s="140"/>
      <c r="BY91" s="139"/>
      <c r="BZ91" s="139"/>
      <c r="CA91" s="139"/>
      <c r="CB91" s="139"/>
      <c r="CC91" s="139"/>
      <c r="CD91" s="139"/>
      <c r="CE91" s="139"/>
      <c r="CF91" s="139"/>
      <c r="CG91" s="139"/>
      <c r="CH91" s="139"/>
      <c r="CI91" s="139"/>
      <c r="CJ91" s="139"/>
      <c r="CK91" s="139"/>
    </row>
    <row r="92" spans="1:89" ht="14.25">
      <c r="A92" s="142"/>
      <c r="B92" s="30" t="s">
        <v>198</v>
      </c>
      <c r="C92" s="30" t="s">
        <v>4</v>
      </c>
      <c r="D92" s="137">
        <f t="shared" si="3"/>
        <v>4</v>
      </c>
      <c r="E92" s="207">
        <v>20</v>
      </c>
      <c r="F92" s="202"/>
      <c r="G92" s="207"/>
      <c r="H92" s="202"/>
      <c r="I92" s="207">
        <v>20</v>
      </c>
      <c r="J92" s="202"/>
      <c r="K92" s="207"/>
      <c r="L92" s="202"/>
      <c r="M92" s="207"/>
      <c r="N92" s="202"/>
      <c r="O92" s="201"/>
      <c r="P92" s="202"/>
      <c r="Q92" s="203">
        <f t="shared" si="4"/>
        <v>2</v>
      </c>
      <c r="R92" s="202"/>
      <c r="S92" s="207">
        <v>20</v>
      </c>
      <c r="T92" s="202"/>
      <c r="U92" s="207"/>
      <c r="V92" s="202"/>
      <c r="W92" s="207"/>
      <c r="X92" s="202"/>
      <c r="Y92" s="207"/>
      <c r="Z92" s="202"/>
      <c r="AA92" s="207"/>
      <c r="AB92" s="202"/>
      <c r="AC92" s="208"/>
      <c r="AD92" s="202"/>
      <c r="AE92" s="203">
        <f t="shared" si="5"/>
        <v>1</v>
      </c>
      <c r="AF92" s="202"/>
      <c r="AG92" s="204"/>
      <c r="AH92" s="202"/>
      <c r="AI92" s="204"/>
      <c r="AJ92" s="202"/>
      <c r="AK92" s="204"/>
      <c r="AL92" s="202"/>
      <c r="AM92" s="204"/>
      <c r="AN92" s="202"/>
      <c r="AO92" s="204"/>
      <c r="AP92" s="202"/>
      <c r="AQ92" s="208"/>
      <c r="AR92" s="202"/>
      <c r="AS92" s="203">
        <f t="shared" si="6"/>
        <v>0</v>
      </c>
      <c r="AT92" s="202"/>
      <c r="AU92" s="204"/>
      <c r="AV92" s="202"/>
      <c r="AW92" s="204"/>
      <c r="AX92" s="202"/>
      <c r="AY92" s="204"/>
      <c r="AZ92" s="202"/>
      <c r="BA92" s="204"/>
      <c r="BB92" s="202"/>
      <c r="BC92" s="204"/>
      <c r="BD92" s="202"/>
      <c r="BE92" s="208"/>
      <c r="BF92" s="202"/>
      <c r="BG92" s="203">
        <f t="shared" si="7"/>
        <v>0</v>
      </c>
      <c r="BH92" s="202"/>
      <c r="BI92" s="204"/>
      <c r="BJ92" s="202"/>
      <c r="BK92" s="204">
        <v>20</v>
      </c>
      <c r="BL92" s="202"/>
      <c r="BM92" s="204"/>
      <c r="BN92" s="202"/>
      <c r="BO92" s="203">
        <f t="shared" si="8"/>
        <v>1</v>
      </c>
      <c r="BP92" s="202"/>
      <c r="BQ92" s="138"/>
      <c r="BR92" s="128"/>
      <c r="BS92" s="128"/>
      <c r="BT92" s="128"/>
      <c r="BU92" s="128"/>
      <c r="BV92" s="128"/>
      <c r="BW92" s="139"/>
      <c r="BX92" s="140"/>
      <c r="BY92" s="139"/>
      <c r="BZ92" s="139"/>
      <c r="CA92" s="134"/>
      <c r="CB92" s="134"/>
      <c r="CC92" s="134"/>
      <c r="CD92" s="134"/>
      <c r="CE92" s="134"/>
      <c r="CF92" s="134"/>
      <c r="CG92" s="134"/>
      <c r="CH92" s="134"/>
      <c r="CI92" s="134"/>
      <c r="CJ92" s="135"/>
      <c r="CK92" s="135"/>
    </row>
    <row r="93" spans="1:89" ht="14.25">
      <c r="A93" s="142"/>
      <c r="B93" s="30" t="s">
        <v>200</v>
      </c>
      <c r="C93" s="30" t="s">
        <v>3</v>
      </c>
      <c r="D93" s="137">
        <f t="shared" si="3"/>
        <v>0</v>
      </c>
      <c r="E93" s="207"/>
      <c r="F93" s="202"/>
      <c r="G93" s="207"/>
      <c r="H93" s="202"/>
      <c r="I93" s="207"/>
      <c r="J93" s="202"/>
      <c r="K93" s="207"/>
      <c r="L93" s="202"/>
      <c r="M93" s="207"/>
      <c r="N93" s="202"/>
      <c r="O93" s="201"/>
      <c r="P93" s="202"/>
      <c r="Q93" s="203">
        <f t="shared" si="4"/>
        <v>0</v>
      </c>
      <c r="R93" s="202"/>
      <c r="S93" s="207"/>
      <c r="T93" s="202"/>
      <c r="U93" s="207"/>
      <c r="V93" s="202"/>
      <c r="W93" s="207"/>
      <c r="X93" s="202"/>
      <c r="Y93" s="207"/>
      <c r="Z93" s="202"/>
      <c r="AA93" s="207"/>
      <c r="AB93" s="202"/>
      <c r="AC93" s="208"/>
      <c r="AD93" s="202"/>
      <c r="AE93" s="203">
        <f t="shared" si="5"/>
        <v>0</v>
      </c>
      <c r="AF93" s="202"/>
      <c r="AG93" s="204"/>
      <c r="AH93" s="202"/>
      <c r="AI93" s="204"/>
      <c r="AJ93" s="202"/>
      <c r="AK93" s="204"/>
      <c r="AL93" s="202"/>
      <c r="AM93" s="204"/>
      <c r="AN93" s="202"/>
      <c r="AO93" s="204"/>
      <c r="AP93" s="202"/>
      <c r="AQ93" s="208"/>
      <c r="AR93" s="202"/>
      <c r="AS93" s="203">
        <f t="shared" si="6"/>
        <v>0</v>
      </c>
      <c r="AT93" s="202"/>
      <c r="AU93" s="204"/>
      <c r="AV93" s="202"/>
      <c r="AW93" s="204"/>
      <c r="AX93" s="202"/>
      <c r="AY93" s="204"/>
      <c r="AZ93" s="202"/>
      <c r="BA93" s="204"/>
      <c r="BB93" s="202"/>
      <c r="BC93" s="204"/>
      <c r="BD93" s="202"/>
      <c r="BE93" s="208"/>
      <c r="BF93" s="202"/>
      <c r="BG93" s="203">
        <f t="shared" si="7"/>
        <v>0</v>
      </c>
      <c r="BH93" s="202"/>
      <c r="BI93" s="204"/>
      <c r="BJ93" s="202"/>
      <c r="BK93" s="204"/>
      <c r="BL93" s="202"/>
      <c r="BM93" s="204"/>
      <c r="BN93" s="202"/>
      <c r="BO93" s="203">
        <f t="shared" si="8"/>
        <v>0</v>
      </c>
      <c r="BP93" s="202"/>
      <c r="BQ93" s="138"/>
      <c r="BR93" s="128"/>
      <c r="BS93" s="128"/>
      <c r="BT93" s="128"/>
      <c r="BU93" s="128"/>
      <c r="BV93" s="128"/>
      <c r="BW93" s="139"/>
      <c r="BX93" s="140"/>
      <c r="BY93" s="139"/>
      <c r="BZ93" s="139"/>
      <c r="CA93" s="134"/>
      <c r="CB93" s="134"/>
      <c r="CC93" s="134"/>
      <c r="CD93" s="134"/>
      <c r="CE93" s="134"/>
      <c r="CF93" s="134"/>
      <c r="CG93" s="157"/>
      <c r="CH93" s="134"/>
      <c r="CI93" s="134"/>
      <c r="CJ93" s="135"/>
      <c r="CK93" s="135"/>
    </row>
    <row r="94" spans="1:89" ht="14.25">
      <c r="A94" s="142"/>
      <c r="B94" s="30" t="s">
        <v>202</v>
      </c>
      <c r="C94" s="30" t="s">
        <v>4</v>
      </c>
      <c r="D94" s="137">
        <f t="shared" si="3"/>
        <v>0</v>
      </c>
      <c r="E94" s="207"/>
      <c r="F94" s="202"/>
      <c r="G94" s="207"/>
      <c r="H94" s="202"/>
      <c r="I94" s="207"/>
      <c r="J94" s="202"/>
      <c r="K94" s="207"/>
      <c r="L94" s="202"/>
      <c r="M94" s="207"/>
      <c r="N94" s="202"/>
      <c r="O94" s="201"/>
      <c r="P94" s="202"/>
      <c r="Q94" s="203">
        <f t="shared" si="4"/>
        <v>0</v>
      </c>
      <c r="R94" s="202"/>
      <c r="S94" s="207"/>
      <c r="T94" s="202"/>
      <c r="U94" s="207"/>
      <c r="V94" s="202"/>
      <c r="W94" s="207"/>
      <c r="X94" s="202"/>
      <c r="Y94" s="207"/>
      <c r="Z94" s="202"/>
      <c r="AA94" s="207"/>
      <c r="AB94" s="202"/>
      <c r="AC94" s="208"/>
      <c r="AD94" s="202"/>
      <c r="AE94" s="203">
        <f t="shared" si="5"/>
        <v>0</v>
      </c>
      <c r="AF94" s="202"/>
      <c r="AG94" s="204"/>
      <c r="AH94" s="202"/>
      <c r="AI94" s="204"/>
      <c r="AJ94" s="202"/>
      <c r="AK94" s="204"/>
      <c r="AL94" s="202"/>
      <c r="AM94" s="204"/>
      <c r="AN94" s="202"/>
      <c r="AO94" s="204"/>
      <c r="AP94" s="202"/>
      <c r="AQ94" s="208"/>
      <c r="AR94" s="202"/>
      <c r="AS94" s="203">
        <f t="shared" si="6"/>
        <v>0</v>
      </c>
      <c r="AT94" s="202"/>
      <c r="AU94" s="204"/>
      <c r="AV94" s="202"/>
      <c r="AW94" s="204"/>
      <c r="AX94" s="202"/>
      <c r="AY94" s="204"/>
      <c r="AZ94" s="202"/>
      <c r="BA94" s="204"/>
      <c r="BB94" s="202"/>
      <c r="BC94" s="204"/>
      <c r="BD94" s="202"/>
      <c r="BE94" s="208"/>
      <c r="BF94" s="202"/>
      <c r="BG94" s="203">
        <f t="shared" si="7"/>
        <v>0</v>
      </c>
      <c r="BH94" s="202"/>
      <c r="BI94" s="204"/>
      <c r="BJ94" s="202"/>
      <c r="BK94" s="204"/>
      <c r="BL94" s="202"/>
      <c r="BM94" s="204"/>
      <c r="BN94" s="202"/>
      <c r="BO94" s="203">
        <f t="shared" si="8"/>
        <v>0</v>
      </c>
      <c r="BP94" s="202"/>
      <c r="BQ94" s="138"/>
      <c r="BR94" s="128"/>
      <c r="BS94" s="128"/>
      <c r="BT94" s="128"/>
      <c r="BU94" s="128"/>
      <c r="BV94" s="128"/>
      <c r="BW94" s="139"/>
      <c r="BX94" s="140"/>
      <c r="BY94" s="139"/>
      <c r="BZ94" s="139"/>
      <c r="CA94" s="134"/>
      <c r="CB94" s="134"/>
      <c r="CC94" s="134"/>
      <c r="CD94" s="134"/>
      <c r="CE94" s="134"/>
      <c r="CF94" s="134"/>
      <c r="CG94" s="134"/>
      <c r="CH94" s="134"/>
      <c r="CI94" s="134"/>
      <c r="CJ94" s="135"/>
      <c r="CK94" s="135"/>
    </row>
    <row r="95" spans="1:89" ht="14.25">
      <c r="A95" s="142"/>
      <c r="B95" s="30" t="s">
        <v>392</v>
      </c>
      <c r="C95" s="30" t="s">
        <v>3</v>
      </c>
      <c r="D95" s="137">
        <f t="shared" si="3"/>
        <v>12</v>
      </c>
      <c r="E95" s="207">
        <v>8</v>
      </c>
      <c r="F95" s="202"/>
      <c r="G95" s="207">
        <v>21</v>
      </c>
      <c r="H95" s="202"/>
      <c r="I95" s="207"/>
      <c r="J95" s="202"/>
      <c r="K95" s="207">
        <v>8</v>
      </c>
      <c r="L95" s="202"/>
      <c r="M95" s="207">
        <v>8</v>
      </c>
      <c r="N95" s="202"/>
      <c r="O95" s="201"/>
      <c r="P95" s="202"/>
      <c r="Q95" s="203">
        <f t="shared" si="4"/>
        <v>4</v>
      </c>
      <c r="R95" s="202"/>
      <c r="S95" s="207">
        <v>17</v>
      </c>
      <c r="T95" s="202"/>
      <c r="U95" s="207">
        <v>8</v>
      </c>
      <c r="V95" s="202"/>
      <c r="W95" s="207"/>
      <c r="X95" s="202"/>
      <c r="Y95" s="207"/>
      <c r="Z95" s="202"/>
      <c r="AA95" s="207">
        <v>8</v>
      </c>
      <c r="AB95" s="202"/>
      <c r="AC95" s="208"/>
      <c r="AD95" s="202"/>
      <c r="AE95" s="203">
        <f t="shared" si="5"/>
        <v>3</v>
      </c>
      <c r="AF95" s="202"/>
      <c r="AG95" s="204"/>
      <c r="AH95" s="202"/>
      <c r="AI95" s="204">
        <v>8</v>
      </c>
      <c r="AJ95" s="202"/>
      <c r="AK95" s="204"/>
      <c r="AL95" s="202"/>
      <c r="AM95" s="204">
        <v>8</v>
      </c>
      <c r="AN95" s="202"/>
      <c r="AO95" s="204">
        <v>8</v>
      </c>
      <c r="AP95" s="202"/>
      <c r="AQ95" s="208"/>
      <c r="AR95" s="202"/>
      <c r="AS95" s="203">
        <f t="shared" si="6"/>
        <v>3</v>
      </c>
      <c r="AT95" s="202"/>
      <c r="AU95" s="204">
        <v>12</v>
      </c>
      <c r="AV95" s="202"/>
      <c r="AW95" s="204"/>
      <c r="AX95" s="202"/>
      <c r="AY95" s="204">
        <v>8</v>
      </c>
      <c r="AZ95" s="202"/>
      <c r="BA95" s="204"/>
      <c r="BB95" s="202"/>
      <c r="BC95" s="204"/>
      <c r="BD95" s="202"/>
      <c r="BE95" s="208"/>
      <c r="BF95" s="202"/>
      <c r="BG95" s="203">
        <f t="shared" si="7"/>
        <v>2</v>
      </c>
      <c r="BH95" s="202"/>
      <c r="BI95" s="204"/>
      <c r="BJ95" s="202"/>
      <c r="BK95" s="204"/>
      <c r="BL95" s="202"/>
      <c r="BM95" s="204"/>
      <c r="BN95" s="202"/>
      <c r="BO95" s="203">
        <f t="shared" si="8"/>
        <v>0</v>
      </c>
      <c r="BP95" s="202"/>
      <c r="BQ95" s="138"/>
      <c r="BR95" s="128"/>
      <c r="BS95" s="128"/>
      <c r="BT95" s="128"/>
      <c r="BU95" s="128"/>
      <c r="BV95" s="128"/>
      <c r="BW95" s="139"/>
      <c r="BX95" s="140"/>
      <c r="BY95" s="139"/>
      <c r="BZ95" s="139"/>
      <c r="CA95" s="134"/>
      <c r="CB95" s="134"/>
      <c r="CC95" s="134"/>
      <c r="CD95" s="134"/>
      <c r="CE95" s="134"/>
      <c r="CF95" s="134"/>
      <c r="CG95" s="134"/>
      <c r="CH95" s="134"/>
      <c r="CI95" s="134"/>
      <c r="CJ95" s="135"/>
      <c r="CK95" s="135"/>
    </row>
    <row r="96" spans="1:89" ht="14.25">
      <c r="A96" s="136"/>
      <c r="B96" s="30" t="s">
        <v>204</v>
      </c>
      <c r="C96" s="30" t="s">
        <v>4</v>
      </c>
      <c r="D96" s="137">
        <f t="shared" si="3"/>
        <v>5</v>
      </c>
      <c r="E96" s="207">
        <v>10</v>
      </c>
      <c r="F96" s="202"/>
      <c r="G96" s="207">
        <v>12</v>
      </c>
      <c r="H96" s="202"/>
      <c r="I96" s="207"/>
      <c r="J96" s="202"/>
      <c r="K96" s="207"/>
      <c r="L96" s="202"/>
      <c r="M96" s="207"/>
      <c r="N96" s="202"/>
      <c r="O96" s="201"/>
      <c r="P96" s="202"/>
      <c r="Q96" s="203">
        <f t="shared" si="4"/>
        <v>2</v>
      </c>
      <c r="R96" s="202"/>
      <c r="S96" s="207">
        <v>12</v>
      </c>
      <c r="T96" s="202"/>
      <c r="U96" s="207"/>
      <c r="V96" s="202"/>
      <c r="W96" s="207"/>
      <c r="X96" s="202"/>
      <c r="Y96" s="207"/>
      <c r="Z96" s="202"/>
      <c r="AA96" s="207">
        <v>12</v>
      </c>
      <c r="AB96" s="202"/>
      <c r="AC96" s="208"/>
      <c r="AD96" s="202"/>
      <c r="AE96" s="203">
        <f t="shared" si="5"/>
        <v>2</v>
      </c>
      <c r="AF96" s="202"/>
      <c r="AG96" s="204"/>
      <c r="AH96" s="202"/>
      <c r="AI96" s="204"/>
      <c r="AJ96" s="202"/>
      <c r="AK96" s="204">
        <v>12</v>
      </c>
      <c r="AL96" s="202"/>
      <c r="AM96" s="204"/>
      <c r="AN96" s="202"/>
      <c r="AO96" s="204"/>
      <c r="AP96" s="202"/>
      <c r="AQ96" s="208"/>
      <c r="AR96" s="202"/>
      <c r="AS96" s="203">
        <f t="shared" si="6"/>
        <v>1</v>
      </c>
      <c r="AT96" s="202"/>
      <c r="AU96" s="204"/>
      <c r="AV96" s="202"/>
      <c r="AW96" s="204"/>
      <c r="AX96" s="202"/>
      <c r="AY96" s="204"/>
      <c r="AZ96" s="202"/>
      <c r="BA96" s="204"/>
      <c r="BB96" s="202"/>
      <c r="BC96" s="204"/>
      <c r="BD96" s="202"/>
      <c r="BE96" s="208"/>
      <c r="BF96" s="202"/>
      <c r="BG96" s="203">
        <f t="shared" si="7"/>
        <v>0</v>
      </c>
      <c r="BH96" s="202"/>
      <c r="BI96" s="204"/>
      <c r="BJ96" s="202"/>
      <c r="BK96" s="204"/>
      <c r="BL96" s="202"/>
      <c r="BM96" s="204"/>
      <c r="BN96" s="202"/>
      <c r="BO96" s="203">
        <f t="shared" si="8"/>
        <v>0</v>
      </c>
      <c r="BP96" s="202"/>
      <c r="BQ96" s="138"/>
      <c r="BR96" s="139"/>
      <c r="BS96" s="139"/>
      <c r="BT96" s="139"/>
      <c r="BU96" s="139"/>
      <c r="BV96" s="139"/>
      <c r="BW96" s="139"/>
      <c r="BX96" s="140"/>
      <c r="BY96" s="139"/>
      <c r="BZ96" s="139"/>
      <c r="CA96" s="139"/>
      <c r="CB96" s="139"/>
      <c r="CC96" s="139"/>
      <c r="CD96" s="139"/>
      <c r="CE96" s="139"/>
      <c r="CF96" s="139"/>
      <c r="CG96" s="139"/>
      <c r="CH96" s="139"/>
      <c r="CI96" s="139"/>
      <c r="CJ96" s="139"/>
      <c r="CK96" s="139"/>
    </row>
    <row r="97" spans="1:89" ht="14.25">
      <c r="A97" s="142"/>
      <c r="B97" s="30" t="s">
        <v>394</v>
      </c>
      <c r="C97" s="30" t="s">
        <v>4</v>
      </c>
      <c r="D97" s="137">
        <f t="shared" si="3"/>
        <v>0</v>
      </c>
      <c r="E97" s="207"/>
      <c r="F97" s="202"/>
      <c r="G97" s="207"/>
      <c r="H97" s="202"/>
      <c r="I97" s="207"/>
      <c r="J97" s="202"/>
      <c r="K97" s="207"/>
      <c r="L97" s="202"/>
      <c r="M97" s="207"/>
      <c r="N97" s="202"/>
      <c r="O97" s="201"/>
      <c r="P97" s="202"/>
      <c r="Q97" s="203">
        <f t="shared" si="4"/>
        <v>0</v>
      </c>
      <c r="R97" s="202"/>
      <c r="S97" s="207"/>
      <c r="T97" s="202"/>
      <c r="U97" s="207"/>
      <c r="V97" s="202"/>
      <c r="W97" s="207"/>
      <c r="X97" s="202"/>
      <c r="Y97" s="207"/>
      <c r="Z97" s="202"/>
      <c r="AA97" s="207"/>
      <c r="AB97" s="202"/>
      <c r="AC97" s="208"/>
      <c r="AD97" s="202"/>
      <c r="AE97" s="203">
        <f t="shared" si="5"/>
        <v>0</v>
      </c>
      <c r="AF97" s="202"/>
      <c r="AG97" s="204"/>
      <c r="AH97" s="202"/>
      <c r="AI97" s="204"/>
      <c r="AJ97" s="202"/>
      <c r="AK97" s="204"/>
      <c r="AL97" s="202"/>
      <c r="AM97" s="204"/>
      <c r="AN97" s="202"/>
      <c r="AO97" s="204"/>
      <c r="AP97" s="202"/>
      <c r="AQ97" s="208"/>
      <c r="AR97" s="202"/>
      <c r="AS97" s="203">
        <f t="shared" si="6"/>
        <v>0</v>
      </c>
      <c r="AT97" s="202"/>
      <c r="AU97" s="204"/>
      <c r="AV97" s="202"/>
      <c r="AW97" s="204"/>
      <c r="AX97" s="202"/>
      <c r="AY97" s="204"/>
      <c r="AZ97" s="202"/>
      <c r="BA97" s="204"/>
      <c r="BB97" s="202"/>
      <c r="BC97" s="204"/>
      <c r="BD97" s="202"/>
      <c r="BE97" s="208"/>
      <c r="BF97" s="202"/>
      <c r="BG97" s="203">
        <f t="shared" si="7"/>
        <v>0</v>
      </c>
      <c r="BH97" s="202"/>
      <c r="BI97" s="204"/>
      <c r="BJ97" s="202"/>
      <c r="BK97" s="204"/>
      <c r="BL97" s="202"/>
      <c r="BM97" s="204"/>
      <c r="BN97" s="202"/>
      <c r="BO97" s="203">
        <f t="shared" si="8"/>
        <v>0</v>
      </c>
      <c r="BP97" s="202"/>
      <c r="BQ97" s="138"/>
      <c r="BR97" s="128"/>
      <c r="BS97" s="128"/>
      <c r="BT97" s="128"/>
      <c r="BU97" s="128"/>
      <c r="BV97" s="128"/>
      <c r="BW97" s="139"/>
      <c r="BX97" s="140"/>
      <c r="BY97" s="139"/>
      <c r="BZ97" s="139"/>
      <c r="CA97" s="134"/>
      <c r="CB97" s="134"/>
      <c r="CC97" s="134"/>
      <c r="CD97" s="134"/>
      <c r="CE97" s="134"/>
      <c r="CF97" s="134"/>
      <c r="CG97" s="134"/>
      <c r="CH97" s="134"/>
      <c r="CI97" s="134"/>
      <c r="CJ97" s="135"/>
      <c r="CK97" s="135"/>
    </row>
    <row r="98" spans="1:89" ht="14.25">
      <c r="A98" s="142"/>
      <c r="B98" s="30" t="s">
        <v>206</v>
      </c>
      <c r="C98" s="30" t="s">
        <v>4</v>
      </c>
      <c r="D98" s="137">
        <f t="shared" si="3"/>
        <v>9</v>
      </c>
      <c r="E98" s="207">
        <v>19</v>
      </c>
      <c r="F98" s="202"/>
      <c r="G98" s="207"/>
      <c r="H98" s="202"/>
      <c r="I98" s="207"/>
      <c r="J98" s="202"/>
      <c r="K98" s="207">
        <v>20</v>
      </c>
      <c r="L98" s="202"/>
      <c r="M98" s="207">
        <v>19</v>
      </c>
      <c r="N98" s="202"/>
      <c r="O98" s="201"/>
      <c r="P98" s="202"/>
      <c r="Q98" s="203">
        <f t="shared" si="4"/>
        <v>3</v>
      </c>
      <c r="R98" s="202"/>
      <c r="S98" s="207">
        <v>19</v>
      </c>
      <c r="T98" s="202"/>
      <c r="U98" s="207">
        <v>19</v>
      </c>
      <c r="V98" s="202"/>
      <c r="W98" s="207"/>
      <c r="X98" s="202"/>
      <c r="Y98" s="207">
        <v>19</v>
      </c>
      <c r="Z98" s="202"/>
      <c r="AA98" s="207">
        <v>19</v>
      </c>
      <c r="AB98" s="202"/>
      <c r="AC98" s="208"/>
      <c r="AD98" s="202"/>
      <c r="AE98" s="203">
        <f t="shared" si="5"/>
        <v>4</v>
      </c>
      <c r="AF98" s="202"/>
      <c r="AG98" s="204">
        <v>19</v>
      </c>
      <c r="AH98" s="202"/>
      <c r="AI98" s="204">
        <v>19</v>
      </c>
      <c r="AJ98" s="202"/>
      <c r="AK98" s="204"/>
      <c r="AL98" s="202"/>
      <c r="AM98" s="204"/>
      <c r="AN98" s="202"/>
      <c r="AO98" s="204"/>
      <c r="AP98" s="202"/>
      <c r="AQ98" s="208"/>
      <c r="AR98" s="202"/>
      <c r="AS98" s="203">
        <f t="shared" si="6"/>
        <v>2</v>
      </c>
      <c r="AT98" s="202"/>
      <c r="AU98" s="204"/>
      <c r="AV98" s="202"/>
      <c r="AW98" s="204"/>
      <c r="AX98" s="202"/>
      <c r="AY98" s="204"/>
      <c r="AZ98" s="202"/>
      <c r="BA98" s="204"/>
      <c r="BB98" s="202"/>
      <c r="BC98" s="204"/>
      <c r="BD98" s="202"/>
      <c r="BE98" s="208"/>
      <c r="BF98" s="202"/>
      <c r="BG98" s="203">
        <f t="shared" si="7"/>
        <v>0</v>
      </c>
      <c r="BH98" s="202"/>
      <c r="BI98" s="204"/>
      <c r="BJ98" s="202"/>
      <c r="BK98" s="204"/>
      <c r="BL98" s="202"/>
      <c r="BM98" s="204"/>
      <c r="BN98" s="202"/>
      <c r="BO98" s="203">
        <f t="shared" si="8"/>
        <v>0</v>
      </c>
      <c r="BP98" s="202"/>
      <c r="BQ98" s="138"/>
      <c r="BR98" s="128"/>
      <c r="BS98" s="128"/>
      <c r="BT98" s="128"/>
      <c r="BU98" s="128"/>
      <c r="BV98" s="128"/>
      <c r="BW98" s="139"/>
      <c r="BX98" s="140"/>
      <c r="BY98" s="139"/>
      <c r="BZ98" s="139"/>
      <c r="CA98" s="134"/>
      <c r="CB98" s="134"/>
      <c r="CC98" s="134"/>
      <c r="CD98" s="134"/>
      <c r="CE98" s="134"/>
      <c r="CF98" s="134"/>
      <c r="CG98" s="134"/>
      <c r="CH98" s="134"/>
      <c r="CI98" s="134"/>
      <c r="CJ98" s="135"/>
      <c r="CK98" s="135"/>
    </row>
    <row r="99" spans="1:89" ht="14.25">
      <c r="A99" s="136"/>
      <c r="B99" s="30" t="s">
        <v>208</v>
      </c>
      <c r="C99" s="30" t="s">
        <v>4</v>
      </c>
      <c r="D99" s="137">
        <f t="shared" si="3"/>
        <v>20</v>
      </c>
      <c r="E99" s="207">
        <v>7</v>
      </c>
      <c r="F99" s="202"/>
      <c r="G99" s="207">
        <v>7</v>
      </c>
      <c r="H99" s="202"/>
      <c r="I99" s="207">
        <v>7</v>
      </c>
      <c r="J99" s="202"/>
      <c r="K99" s="207">
        <v>7</v>
      </c>
      <c r="L99" s="202"/>
      <c r="M99" s="207">
        <v>7</v>
      </c>
      <c r="N99" s="202"/>
      <c r="O99" s="201">
        <v>13</v>
      </c>
      <c r="P99" s="202"/>
      <c r="Q99" s="203">
        <f t="shared" si="4"/>
        <v>5</v>
      </c>
      <c r="R99" s="202"/>
      <c r="S99" s="207">
        <v>7</v>
      </c>
      <c r="T99" s="202"/>
      <c r="U99" s="207">
        <v>7</v>
      </c>
      <c r="V99" s="202"/>
      <c r="W99" s="207">
        <v>7</v>
      </c>
      <c r="X99" s="202"/>
      <c r="Y99" s="207">
        <v>7</v>
      </c>
      <c r="Z99" s="202"/>
      <c r="AA99" s="207">
        <v>7</v>
      </c>
      <c r="AB99" s="202"/>
      <c r="AC99" s="208"/>
      <c r="AD99" s="202"/>
      <c r="AE99" s="203">
        <f t="shared" si="5"/>
        <v>5</v>
      </c>
      <c r="AF99" s="202"/>
      <c r="AG99" s="204">
        <v>7</v>
      </c>
      <c r="AH99" s="202"/>
      <c r="AI99" s="204">
        <v>7</v>
      </c>
      <c r="AJ99" s="202"/>
      <c r="AK99" s="204">
        <v>7</v>
      </c>
      <c r="AL99" s="202"/>
      <c r="AM99" s="204">
        <v>7</v>
      </c>
      <c r="AN99" s="202"/>
      <c r="AO99" s="204"/>
      <c r="AP99" s="202"/>
      <c r="AQ99" s="208">
        <v>11</v>
      </c>
      <c r="AR99" s="202"/>
      <c r="AS99" s="203">
        <f t="shared" si="6"/>
        <v>4</v>
      </c>
      <c r="AT99" s="202"/>
      <c r="AU99" s="204"/>
      <c r="AV99" s="202"/>
      <c r="AW99" s="204">
        <v>7</v>
      </c>
      <c r="AX99" s="202"/>
      <c r="AY99" s="204">
        <v>7</v>
      </c>
      <c r="AZ99" s="202"/>
      <c r="BA99" s="204">
        <v>11</v>
      </c>
      <c r="BB99" s="202"/>
      <c r="BC99" s="204">
        <v>19</v>
      </c>
      <c r="BD99" s="202"/>
      <c r="BE99" s="208">
        <v>13</v>
      </c>
      <c r="BF99" s="202"/>
      <c r="BG99" s="203">
        <f t="shared" si="7"/>
        <v>4</v>
      </c>
      <c r="BH99" s="202"/>
      <c r="BI99" s="204">
        <v>20</v>
      </c>
      <c r="BJ99" s="202"/>
      <c r="BK99" s="204"/>
      <c r="BL99" s="202"/>
      <c r="BM99" s="204">
        <v>19</v>
      </c>
      <c r="BN99" s="202"/>
      <c r="BO99" s="203">
        <f t="shared" si="8"/>
        <v>2</v>
      </c>
      <c r="BP99" s="202"/>
      <c r="BQ99" s="138"/>
      <c r="BR99" s="139"/>
      <c r="BS99" s="139"/>
      <c r="BT99" s="139"/>
      <c r="BU99" s="139"/>
      <c r="BV99" s="139"/>
      <c r="BW99" s="139"/>
      <c r="BX99" s="140"/>
      <c r="BY99" s="139"/>
      <c r="BZ99" s="139"/>
      <c r="CA99" s="139"/>
      <c r="CB99" s="139"/>
      <c r="CC99" s="139"/>
      <c r="CD99" s="139"/>
      <c r="CE99" s="139"/>
      <c r="CF99" s="139"/>
      <c r="CG99" s="139"/>
      <c r="CH99" s="139"/>
      <c r="CI99" s="139"/>
      <c r="CJ99" s="139"/>
      <c r="CK99" s="139"/>
    </row>
    <row r="100" spans="1:89" ht="14.25">
      <c r="A100" s="142"/>
      <c r="B100" s="30" t="s">
        <v>210</v>
      </c>
      <c r="C100" s="30" t="s">
        <v>4</v>
      </c>
      <c r="D100" s="137">
        <f t="shared" si="3"/>
        <v>2</v>
      </c>
      <c r="E100" s="207"/>
      <c r="F100" s="202"/>
      <c r="G100" s="207"/>
      <c r="H100" s="202"/>
      <c r="I100" s="207"/>
      <c r="J100" s="202"/>
      <c r="K100" s="207"/>
      <c r="L100" s="202"/>
      <c r="M100" s="207"/>
      <c r="N100" s="202"/>
      <c r="O100" s="201"/>
      <c r="P100" s="202"/>
      <c r="Q100" s="203">
        <f t="shared" si="4"/>
        <v>0</v>
      </c>
      <c r="R100" s="202"/>
      <c r="S100" s="207"/>
      <c r="T100" s="202"/>
      <c r="U100" s="207"/>
      <c r="V100" s="202"/>
      <c r="W100" s="207"/>
      <c r="X100" s="202"/>
      <c r="Y100" s="207"/>
      <c r="Z100" s="202"/>
      <c r="AA100" s="207"/>
      <c r="AB100" s="202"/>
      <c r="AC100" s="208"/>
      <c r="AD100" s="202"/>
      <c r="AE100" s="203">
        <f t="shared" si="5"/>
        <v>0</v>
      </c>
      <c r="AF100" s="202"/>
      <c r="AG100" s="204">
        <v>21</v>
      </c>
      <c r="AH100" s="202"/>
      <c r="AI100" s="204"/>
      <c r="AJ100" s="202"/>
      <c r="AK100" s="204"/>
      <c r="AL100" s="202"/>
      <c r="AM100" s="204"/>
      <c r="AN100" s="202"/>
      <c r="AO100" s="204"/>
      <c r="AP100" s="202"/>
      <c r="AQ100" s="208"/>
      <c r="AR100" s="202"/>
      <c r="AS100" s="203">
        <f t="shared" si="6"/>
        <v>1</v>
      </c>
      <c r="AT100" s="202"/>
      <c r="AU100" s="204"/>
      <c r="AV100" s="202"/>
      <c r="AW100" s="204"/>
      <c r="AX100" s="202"/>
      <c r="AY100" s="204"/>
      <c r="AZ100" s="202"/>
      <c r="BA100" s="204"/>
      <c r="BB100" s="202"/>
      <c r="BC100" s="204"/>
      <c r="BD100" s="202"/>
      <c r="BE100" s="208"/>
      <c r="BF100" s="202"/>
      <c r="BG100" s="203">
        <f t="shared" si="7"/>
        <v>0</v>
      </c>
      <c r="BH100" s="202"/>
      <c r="BI100" s="204">
        <v>21</v>
      </c>
      <c r="BJ100" s="202"/>
      <c r="BK100" s="204"/>
      <c r="BL100" s="202"/>
      <c r="BM100" s="204"/>
      <c r="BN100" s="202"/>
      <c r="BO100" s="203">
        <f t="shared" si="8"/>
        <v>1</v>
      </c>
      <c r="BP100" s="202"/>
      <c r="BQ100" s="138"/>
      <c r="BR100" s="128"/>
      <c r="BS100" s="128"/>
      <c r="BT100" s="128"/>
      <c r="BU100" s="128"/>
      <c r="BV100" s="128"/>
      <c r="BW100" s="139"/>
      <c r="BX100" s="140"/>
      <c r="BY100" s="139"/>
      <c r="BZ100" s="139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5"/>
      <c r="CK100" s="135"/>
    </row>
    <row r="101" spans="1:89" ht="14.25">
      <c r="A101" s="136"/>
      <c r="B101" s="30" t="s">
        <v>212</v>
      </c>
      <c r="C101" s="30" t="s">
        <v>4</v>
      </c>
      <c r="D101" s="137">
        <f t="shared" si="3"/>
        <v>4</v>
      </c>
      <c r="E101" s="207"/>
      <c r="F101" s="202"/>
      <c r="G101" s="207"/>
      <c r="H101" s="202"/>
      <c r="I101" s="207"/>
      <c r="J101" s="202"/>
      <c r="K101" s="207"/>
      <c r="L101" s="202"/>
      <c r="M101" s="207"/>
      <c r="N101" s="202"/>
      <c r="O101" s="201"/>
      <c r="P101" s="202"/>
      <c r="Q101" s="203">
        <f t="shared" si="4"/>
        <v>0</v>
      </c>
      <c r="R101" s="202"/>
      <c r="S101" s="207">
        <v>17</v>
      </c>
      <c r="T101" s="202"/>
      <c r="U101" s="207"/>
      <c r="V101" s="202"/>
      <c r="W101" s="207">
        <v>17</v>
      </c>
      <c r="X101" s="202"/>
      <c r="Y101" s="207"/>
      <c r="Z101" s="202"/>
      <c r="AA101" s="207">
        <v>17</v>
      </c>
      <c r="AB101" s="202"/>
      <c r="AC101" s="208"/>
      <c r="AD101" s="202"/>
      <c r="AE101" s="203">
        <f t="shared" si="5"/>
        <v>3</v>
      </c>
      <c r="AF101" s="202"/>
      <c r="AG101" s="204"/>
      <c r="AH101" s="202"/>
      <c r="AI101" s="204"/>
      <c r="AJ101" s="202"/>
      <c r="AK101" s="204"/>
      <c r="AL101" s="202"/>
      <c r="AM101" s="204"/>
      <c r="AN101" s="202"/>
      <c r="AO101" s="204"/>
      <c r="AP101" s="202"/>
      <c r="AQ101" s="208"/>
      <c r="AR101" s="202"/>
      <c r="AS101" s="203">
        <f t="shared" si="6"/>
        <v>0</v>
      </c>
      <c r="AT101" s="202"/>
      <c r="AU101" s="204"/>
      <c r="AV101" s="202"/>
      <c r="AW101" s="204"/>
      <c r="AX101" s="202"/>
      <c r="AY101" s="204"/>
      <c r="AZ101" s="202"/>
      <c r="BA101" s="204"/>
      <c r="BB101" s="202"/>
      <c r="BC101" s="204"/>
      <c r="BD101" s="202"/>
      <c r="BE101" s="208"/>
      <c r="BF101" s="202"/>
      <c r="BG101" s="203">
        <f t="shared" si="7"/>
        <v>0</v>
      </c>
      <c r="BH101" s="202"/>
      <c r="BI101" s="204"/>
      <c r="BJ101" s="202"/>
      <c r="BK101" s="204"/>
      <c r="BL101" s="202"/>
      <c r="BM101" s="204">
        <v>10</v>
      </c>
      <c r="BN101" s="202"/>
      <c r="BO101" s="203">
        <f t="shared" si="8"/>
        <v>1</v>
      </c>
      <c r="BP101" s="202"/>
      <c r="BQ101" s="138"/>
      <c r="BR101" s="139"/>
      <c r="BS101" s="139"/>
      <c r="BT101" s="139"/>
      <c r="BU101" s="139"/>
      <c r="BV101" s="139"/>
      <c r="BW101" s="139"/>
      <c r="BX101" s="140"/>
      <c r="BY101" s="139"/>
      <c r="BZ101" s="139"/>
      <c r="CA101" s="139"/>
      <c r="CB101" s="139"/>
      <c r="CC101" s="139"/>
      <c r="CD101" s="139"/>
      <c r="CE101" s="139"/>
      <c r="CF101" s="139"/>
      <c r="CG101" s="136"/>
      <c r="CH101" s="139"/>
      <c r="CI101" s="139"/>
      <c r="CJ101" s="139"/>
      <c r="CK101" s="139"/>
    </row>
    <row r="102" spans="1:89" ht="14.25">
      <c r="A102" s="136"/>
      <c r="B102" s="30" t="s">
        <v>214</v>
      </c>
      <c r="C102" s="30" t="s">
        <v>3</v>
      </c>
      <c r="D102" s="137">
        <f t="shared" si="3"/>
        <v>4</v>
      </c>
      <c r="E102" s="207"/>
      <c r="F102" s="202"/>
      <c r="G102" s="207">
        <v>12</v>
      </c>
      <c r="H102" s="202"/>
      <c r="I102" s="207"/>
      <c r="J102" s="202"/>
      <c r="K102" s="207"/>
      <c r="L102" s="202"/>
      <c r="M102" s="207"/>
      <c r="N102" s="202"/>
      <c r="O102" s="201"/>
      <c r="P102" s="202"/>
      <c r="Q102" s="203">
        <f t="shared" si="4"/>
        <v>1</v>
      </c>
      <c r="R102" s="202"/>
      <c r="S102" s="207"/>
      <c r="T102" s="202"/>
      <c r="U102" s="207">
        <v>21</v>
      </c>
      <c r="V102" s="202"/>
      <c r="W102" s="207"/>
      <c r="X102" s="202"/>
      <c r="Y102" s="207"/>
      <c r="Z102" s="202"/>
      <c r="AA102" s="207"/>
      <c r="AB102" s="202"/>
      <c r="AC102" s="208"/>
      <c r="AD102" s="202"/>
      <c r="AE102" s="203">
        <f t="shared" si="5"/>
        <v>1</v>
      </c>
      <c r="AF102" s="202"/>
      <c r="AG102" s="204">
        <v>17</v>
      </c>
      <c r="AH102" s="202"/>
      <c r="AI102" s="204"/>
      <c r="AJ102" s="202"/>
      <c r="AK102" s="204"/>
      <c r="AL102" s="202"/>
      <c r="AM102" s="204"/>
      <c r="AN102" s="202"/>
      <c r="AO102" s="204">
        <v>21</v>
      </c>
      <c r="AP102" s="202"/>
      <c r="AQ102" s="208"/>
      <c r="AR102" s="202"/>
      <c r="AS102" s="203">
        <f t="shared" si="6"/>
        <v>2</v>
      </c>
      <c r="AT102" s="202"/>
      <c r="AU102" s="204"/>
      <c r="AV102" s="202"/>
      <c r="AW102" s="204"/>
      <c r="AX102" s="202"/>
      <c r="AY102" s="204"/>
      <c r="AZ102" s="202"/>
      <c r="BA102" s="204"/>
      <c r="BB102" s="202"/>
      <c r="BC102" s="204"/>
      <c r="BD102" s="202"/>
      <c r="BE102" s="208"/>
      <c r="BF102" s="202"/>
      <c r="BG102" s="203">
        <f t="shared" si="7"/>
        <v>0</v>
      </c>
      <c r="BH102" s="202"/>
      <c r="BI102" s="204"/>
      <c r="BJ102" s="202"/>
      <c r="BK102" s="204"/>
      <c r="BL102" s="202"/>
      <c r="BM102" s="204"/>
      <c r="BN102" s="202"/>
      <c r="BO102" s="203">
        <f t="shared" si="8"/>
        <v>0</v>
      </c>
      <c r="BP102" s="202"/>
      <c r="BQ102" s="138"/>
      <c r="BR102" s="139"/>
      <c r="BS102" s="139"/>
      <c r="BT102" s="139"/>
      <c r="BU102" s="139"/>
      <c r="BV102" s="139"/>
      <c r="BW102" s="139"/>
      <c r="BX102" s="140"/>
      <c r="BY102" s="139"/>
      <c r="BZ102" s="139"/>
      <c r="CA102" s="139"/>
      <c r="CB102" s="139"/>
      <c r="CC102" s="139"/>
      <c r="CD102" s="139"/>
      <c r="CE102" s="139"/>
      <c r="CF102" s="139"/>
      <c r="CG102" s="139"/>
      <c r="CH102" s="139"/>
      <c r="CI102" s="139"/>
      <c r="CJ102" s="139"/>
      <c r="CK102" s="139"/>
    </row>
    <row r="103" spans="1:89" ht="14.25">
      <c r="A103" s="136"/>
      <c r="B103" s="30" t="s">
        <v>216</v>
      </c>
      <c r="C103" s="30" t="s">
        <v>4</v>
      </c>
      <c r="D103" s="137">
        <f t="shared" si="3"/>
        <v>0</v>
      </c>
      <c r="E103" s="207"/>
      <c r="F103" s="202"/>
      <c r="G103" s="207"/>
      <c r="H103" s="202"/>
      <c r="I103" s="207"/>
      <c r="J103" s="202"/>
      <c r="K103" s="207"/>
      <c r="L103" s="202"/>
      <c r="M103" s="207"/>
      <c r="N103" s="202"/>
      <c r="O103" s="201"/>
      <c r="P103" s="202"/>
      <c r="Q103" s="203">
        <f t="shared" si="4"/>
        <v>0</v>
      </c>
      <c r="R103" s="202"/>
      <c r="S103" s="207"/>
      <c r="T103" s="202"/>
      <c r="U103" s="207"/>
      <c r="V103" s="202"/>
      <c r="W103" s="207"/>
      <c r="X103" s="202"/>
      <c r="Y103" s="207"/>
      <c r="Z103" s="202"/>
      <c r="AA103" s="207"/>
      <c r="AB103" s="202"/>
      <c r="AC103" s="208"/>
      <c r="AD103" s="202"/>
      <c r="AE103" s="203">
        <f t="shared" si="5"/>
        <v>0</v>
      </c>
      <c r="AF103" s="202"/>
      <c r="AG103" s="204"/>
      <c r="AH103" s="202"/>
      <c r="AI103" s="204"/>
      <c r="AJ103" s="202"/>
      <c r="AK103" s="204"/>
      <c r="AL103" s="202"/>
      <c r="AM103" s="204"/>
      <c r="AN103" s="202"/>
      <c r="AO103" s="204"/>
      <c r="AP103" s="202"/>
      <c r="AQ103" s="208"/>
      <c r="AR103" s="202"/>
      <c r="AS103" s="203">
        <f t="shared" si="6"/>
        <v>0</v>
      </c>
      <c r="AT103" s="202"/>
      <c r="AU103" s="204"/>
      <c r="AV103" s="202"/>
      <c r="AW103" s="204"/>
      <c r="AX103" s="202"/>
      <c r="AY103" s="204"/>
      <c r="AZ103" s="202"/>
      <c r="BA103" s="204"/>
      <c r="BB103" s="202"/>
      <c r="BC103" s="204"/>
      <c r="BD103" s="202"/>
      <c r="BE103" s="208"/>
      <c r="BF103" s="202"/>
      <c r="BG103" s="203">
        <f t="shared" si="7"/>
        <v>0</v>
      </c>
      <c r="BH103" s="202"/>
      <c r="BI103" s="204"/>
      <c r="BJ103" s="202"/>
      <c r="BK103" s="204"/>
      <c r="BL103" s="202"/>
      <c r="BM103" s="204"/>
      <c r="BN103" s="202"/>
      <c r="BO103" s="203">
        <f t="shared" si="8"/>
        <v>0</v>
      </c>
      <c r="BP103" s="202"/>
      <c r="BQ103" s="138"/>
      <c r="BR103" s="139"/>
      <c r="BS103" s="139"/>
      <c r="BT103" s="139"/>
      <c r="BU103" s="139"/>
      <c r="BV103" s="139"/>
      <c r="BW103" s="139"/>
      <c r="BX103" s="140"/>
      <c r="BY103" s="139"/>
      <c r="BZ103" s="139"/>
      <c r="CA103" s="139"/>
      <c r="CB103" s="139"/>
      <c r="CC103" s="139"/>
      <c r="CD103" s="139"/>
      <c r="CE103" s="139"/>
      <c r="CF103" s="139"/>
      <c r="CG103" s="139"/>
      <c r="CH103" s="139"/>
      <c r="CI103" s="139"/>
      <c r="CJ103" s="139"/>
      <c r="CK103" s="139"/>
    </row>
    <row r="104" spans="1:89" ht="14.25">
      <c r="A104" s="136"/>
      <c r="B104" s="30" t="s">
        <v>218</v>
      </c>
      <c r="C104" s="30" t="s">
        <v>4</v>
      </c>
      <c r="D104" s="137">
        <f t="shared" si="3"/>
        <v>2</v>
      </c>
      <c r="E104" s="207"/>
      <c r="F104" s="202"/>
      <c r="G104" s="207"/>
      <c r="H104" s="202"/>
      <c r="I104" s="207"/>
      <c r="J104" s="202"/>
      <c r="K104" s="207"/>
      <c r="L104" s="202"/>
      <c r="M104" s="207"/>
      <c r="N104" s="202"/>
      <c r="O104" s="201"/>
      <c r="P104" s="202"/>
      <c r="Q104" s="203">
        <f t="shared" si="4"/>
        <v>0</v>
      </c>
      <c r="R104" s="202"/>
      <c r="S104" s="207"/>
      <c r="T104" s="202"/>
      <c r="U104" s="207"/>
      <c r="V104" s="202"/>
      <c r="W104" s="207"/>
      <c r="X104" s="202"/>
      <c r="Y104" s="207"/>
      <c r="Z104" s="202"/>
      <c r="AA104" s="207"/>
      <c r="AB104" s="202"/>
      <c r="AC104" s="208"/>
      <c r="AD104" s="202"/>
      <c r="AE104" s="203">
        <f t="shared" si="5"/>
        <v>0</v>
      </c>
      <c r="AF104" s="202"/>
      <c r="AG104" s="204"/>
      <c r="AH104" s="202"/>
      <c r="AI104" s="204">
        <v>21</v>
      </c>
      <c r="AJ104" s="202"/>
      <c r="AK104" s="204"/>
      <c r="AL104" s="202"/>
      <c r="AM104" s="204"/>
      <c r="AN104" s="202"/>
      <c r="AO104" s="204">
        <v>21</v>
      </c>
      <c r="AP104" s="202"/>
      <c r="AQ104" s="208"/>
      <c r="AR104" s="202"/>
      <c r="AS104" s="203">
        <f t="shared" si="6"/>
        <v>2</v>
      </c>
      <c r="AT104" s="202"/>
      <c r="AU104" s="204"/>
      <c r="AV104" s="202"/>
      <c r="AW104" s="204"/>
      <c r="AX104" s="202"/>
      <c r="AY104" s="204"/>
      <c r="AZ104" s="202"/>
      <c r="BA104" s="204"/>
      <c r="BB104" s="202"/>
      <c r="BC104" s="204"/>
      <c r="BD104" s="202"/>
      <c r="BE104" s="208"/>
      <c r="BF104" s="202"/>
      <c r="BG104" s="203">
        <f t="shared" si="7"/>
        <v>0</v>
      </c>
      <c r="BH104" s="202"/>
      <c r="BI104" s="204"/>
      <c r="BJ104" s="202"/>
      <c r="BK104" s="204"/>
      <c r="BL104" s="202"/>
      <c r="BM104" s="204"/>
      <c r="BN104" s="202"/>
      <c r="BO104" s="203">
        <f t="shared" si="8"/>
        <v>0</v>
      </c>
      <c r="BP104" s="202"/>
      <c r="BQ104" s="138"/>
      <c r="BR104" s="139"/>
      <c r="BS104" s="139"/>
      <c r="BT104" s="139"/>
      <c r="BU104" s="139"/>
      <c r="BV104" s="139"/>
      <c r="BW104" s="139"/>
      <c r="BX104" s="140"/>
      <c r="BY104" s="139"/>
      <c r="BZ104" s="139"/>
      <c r="CA104" s="139"/>
      <c r="CB104" s="139"/>
      <c r="CC104" s="139"/>
      <c r="CD104" s="139"/>
      <c r="CE104" s="139"/>
      <c r="CF104" s="139"/>
      <c r="CG104" s="139"/>
      <c r="CH104" s="139"/>
      <c r="CI104" s="139"/>
      <c r="CJ104" s="139"/>
      <c r="CK104" s="139"/>
    </row>
    <row r="105" spans="1:89" ht="14.25">
      <c r="A105" s="142"/>
      <c r="B105" s="30" t="s">
        <v>220</v>
      </c>
      <c r="C105" s="30" t="s">
        <v>4</v>
      </c>
      <c r="D105" s="137">
        <f t="shared" si="3"/>
        <v>1</v>
      </c>
      <c r="E105" s="207"/>
      <c r="F105" s="202"/>
      <c r="G105" s="207"/>
      <c r="H105" s="202"/>
      <c r="I105" s="207"/>
      <c r="J105" s="202"/>
      <c r="K105" s="207"/>
      <c r="L105" s="202"/>
      <c r="M105" s="207"/>
      <c r="N105" s="202"/>
      <c r="O105" s="201"/>
      <c r="P105" s="202"/>
      <c r="Q105" s="203">
        <f t="shared" si="4"/>
        <v>0</v>
      </c>
      <c r="R105" s="202"/>
      <c r="S105" s="207">
        <v>7</v>
      </c>
      <c r="T105" s="202"/>
      <c r="U105" s="207"/>
      <c r="V105" s="202"/>
      <c r="W105" s="207"/>
      <c r="X105" s="202"/>
      <c r="Y105" s="207"/>
      <c r="Z105" s="202"/>
      <c r="AA105" s="207"/>
      <c r="AB105" s="202"/>
      <c r="AC105" s="208"/>
      <c r="AD105" s="202"/>
      <c r="AE105" s="203">
        <f t="shared" si="5"/>
        <v>1</v>
      </c>
      <c r="AF105" s="202"/>
      <c r="AG105" s="204"/>
      <c r="AH105" s="202"/>
      <c r="AI105" s="204"/>
      <c r="AJ105" s="202"/>
      <c r="AK105" s="204"/>
      <c r="AL105" s="202"/>
      <c r="AM105" s="204"/>
      <c r="AN105" s="202"/>
      <c r="AO105" s="204"/>
      <c r="AP105" s="202"/>
      <c r="AQ105" s="208"/>
      <c r="AR105" s="202"/>
      <c r="AS105" s="203">
        <f t="shared" si="6"/>
        <v>0</v>
      </c>
      <c r="AT105" s="202"/>
      <c r="AU105" s="204"/>
      <c r="AV105" s="202"/>
      <c r="AW105" s="204"/>
      <c r="AX105" s="202"/>
      <c r="AY105" s="204"/>
      <c r="AZ105" s="202"/>
      <c r="BA105" s="204"/>
      <c r="BB105" s="202"/>
      <c r="BC105" s="204"/>
      <c r="BD105" s="202"/>
      <c r="BE105" s="208"/>
      <c r="BF105" s="202"/>
      <c r="BG105" s="203">
        <f t="shared" si="7"/>
        <v>0</v>
      </c>
      <c r="BH105" s="202"/>
      <c r="BI105" s="204"/>
      <c r="BJ105" s="202"/>
      <c r="BK105" s="204"/>
      <c r="BL105" s="202"/>
      <c r="BM105" s="204"/>
      <c r="BN105" s="202"/>
      <c r="BO105" s="203">
        <f t="shared" si="8"/>
        <v>0</v>
      </c>
      <c r="BP105" s="202"/>
      <c r="BQ105" s="138"/>
      <c r="BR105" s="128"/>
      <c r="BS105" s="128"/>
      <c r="BT105" s="128"/>
      <c r="BU105" s="128"/>
      <c r="BV105" s="128"/>
      <c r="BW105" s="139"/>
      <c r="BX105" s="140"/>
      <c r="BY105" s="139"/>
      <c r="BZ105" s="139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5"/>
      <c r="CK105" s="135"/>
    </row>
    <row r="106" spans="1:89" ht="14.25">
      <c r="A106" s="136"/>
      <c r="B106" s="30" t="s">
        <v>222</v>
      </c>
      <c r="C106" s="30" t="s">
        <v>4</v>
      </c>
      <c r="D106" s="137">
        <f t="shared" si="3"/>
        <v>10</v>
      </c>
      <c r="E106" s="207">
        <v>21</v>
      </c>
      <c r="F106" s="202"/>
      <c r="G106" s="207">
        <v>21</v>
      </c>
      <c r="H106" s="202"/>
      <c r="I106" s="207">
        <v>21</v>
      </c>
      <c r="J106" s="202"/>
      <c r="K106" s="207">
        <v>21</v>
      </c>
      <c r="L106" s="202"/>
      <c r="M106" s="207"/>
      <c r="N106" s="202"/>
      <c r="O106" s="201"/>
      <c r="P106" s="202"/>
      <c r="Q106" s="203">
        <f t="shared" si="4"/>
        <v>4</v>
      </c>
      <c r="R106" s="202"/>
      <c r="S106" s="207">
        <v>21</v>
      </c>
      <c r="T106" s="202"/>
      <c r="U106" s="207">
        <v>21</v>
      </c>
      <c r="V106" s="202"/>
      <c r="W106" s="207"/>
      <c r="X106" s="202"/>
      <c r="Y106" s="207">
        <v>21</v>
      </c>
      <c r="Z106" s="202"/>
      <c r="AA106" s="207"/>
      <c r="AB106" s="202"/>
      <c r="AC106" s="208"/>
      <c r="AD106" s="202"/>
      <c r="AE106" s="203">
        <f t="shared" si="5"/>
        <v>3</v>
      </c>
      <c r="AF106" s="202"/>
      <c r="AG106" s="204">
        <v>21</v>
      </c>
      <c r="AH106" s="202"/>
      <c r="AI106" s="204">
        <v>21</v>
      </c>
      <c r="AJ106" s="202"/>
      <c r="AK106" s="204"/>
      <c r="AL106" s="202"/>
      <c r="AM106" s="204"/>
      <c r="AN106" s="202"/>
      <c r="AO106" s="204">
        <v>21</v>
      </c>
      <c r="AP106" s="202"/>
      <c r="AQ106" s="208"/>
      <c r="AR106" s="202"/>
      <c r="AS106" s="203">
        <f t="shared" si="6"/>
        <v>3</v>
      </c>
      <c r="AT106" s="202"/>
      <c r="AU106" s="204"/>
      <c r="AV106" s="202"/>
      <c r="AW106" s="204"/>
      <c r="AX106" s="202"/>
      <c r="AY106" s="204"/>
      <c r="AZ106" s="202"/>
      <c r="BA106" s="204"/>
      <c r="BB106" s="202"/>
      <c r="BC106" s="204"/>
      <c r="BD106" s="202"/>
      <c r="BE106" s="208"/>
      <c r="BF106" s="202"/>
      <c r="BG106" s="203">
        <f t="shared" si="7"/>
        <v>0</v>
      </c>
      <c r="BH106" s="202"/>
      <c r="BI106" s="204"/>
      <c r="BJ106" s="202"/>
      <c r="BK106" s="204"/>
      <c r="BL106" s="202"/>
      <c r="BM106" s="204"/>
      <c r="BN106" s="202"/>
      <c r="BO106" s="203">
        <f t="shared" si="8"/>
        <v>0</v>
      </c>
      <c r="BP106" s="202"/>
      <c r="BQ106" s="138"/>
      <c r="BR106" s="139"/>
      <c r="BS106" s="139"/>
      <c r="BT106" s="139"/>
      <c r="BU106" s="139"/>
      <c r="BV106" s="139"/>
      <c r="BW106" s="139"/>
      <c r="BX106" s="140"/>
      <c r="BY106" s="139"/>
      <c r="BZ106" s="139"/>
      <c r="CA106" s="139"/>
      <c r="CB106" s="139"/>
      <c r="CC106" s="139"/>
      <c r="CD106" s="139"/>
      <c r="CE106" s="139"/>
      <c r="CF106" s="139"/>
      <c r="CG106" s="139"/>
      <c r="CH106" s="136"/>
      <c r="CI106" s="139"/>
      <c r="CJ106" s="139"/>
      <c r="CK106" s="139"/>
    </row>
    <row r="107" spans="1:89" ht="14.25">
      <c r="A107" s="136"/>
      <c r="B107" s="30" t="s">
        <v>224</v>
      </c>
      <c r="C107" s="30" t="s">
        <v>4</v>
      </c>
      <c r="D107" s="137">
        <f t="shared" si="3"/>
        <v>6</v>
      </c>
      <c r="E107" s="207"/>
      <c r="F107" s="202"/>
      <c r="G107" s="207"/>
      <c r="H107" s="202"/>
      <c r="I107" s="207">
        <v>20</v>
      </c>
      <c r="J107" s="202"/>
      <c r="K107" s="207"/>
      <c r="L107" s="202"/>
      <c r="M107" s="207"/>
      <c r="N107" s="202"/>
      <c r="O107" s="201"/>
      <c r="P107" s="202"/>
      <c r="Q107" s="203">
        <f t="shared" si="4"/>
        <v>1</v>
      </c>
      <c r="R107" s="202"/>
      <c r="S107" s="207"/>
      <c r="T107" s="202"/>
      <c r="U107" s="207">
        <v>21</v>
      </c>
      <c r="V107" s="202"/>
      <c r="W107" s="207"/>
      <c r="X107" s="202"/>
      <c r="Y107" s="207"/>
      <c r="Z107" s="202"/>
      <c r="AA107" s="207">
        <v>19</v>
      </c>
      <c r="AB107" s="202"/>
      <c r="AC107" s="208"/>
      <c r="AD107" s="202"/>
      <c r="AE107" s="203">
        <f t="shared" si="5"/>
        <v>2</v>
      </c>
      <c r="AF107" s="202"/>
      <c r="AG107" s="204"/>
      <c r="AH107" s="202"/>
      <c r="AI107" s="204"/>
      <c r="AJ107" s="202"/>
      <c r="AK107" s="204"/>
      <c r="AL107" s="202"/>
      <c r="AM107" s="204">
        <v>20</v>
      </c>
      <c r="AN107" s="202"/>
      <c r="AO107" s="204"/>
      <c r="AP107" s="202"/>
      <c r="AQ107" s="208"/>
      <c r="AR107" s="202"/>
      <c r="AS107" s="203">
        <f t="shared" si="6"/>
        <v>1</v>
      </c>
      <c r="AT107" s="202"/>
      <c r="AU107" s="204">
        <v>19</v>
      </c>
      <c r="AV107" s="202"/>
      <c r="AW107" s="204"/>
      <c r="AX107" s="202"/>
      <c r="AY107" s="204"/>
      <c r="AZ107" s="202"/>
      <c r="BA107" s="204"/>
      <c r="BB107" s="202"/>
      <c r="BC107" s="204"/>
      <c r="BD107" s="202"/>
      <c r="BE107" s="208"/>
      <c r="BF107" s="202"/>
      <c r="BG107" s="203">
        <f t="shared" si="7"/>
        <v>1</v>
      </c>
      <c r="BH107" s="202"/>
      <c r="BI107" s="204"/>
      <c r="BJ107" s="202"/>
      <c r="BK107" s="204">
        <v>20</v>
      </c>
      <c r="BL107" s="202"/>
      <c r="BM107" s="204"/>
      <c r="BN107" s="202"/>
      <c r="BO107" s="203">
        <f t="shared" si="8"/>
        <v>1</v>
      </c>
      <c r="BP107" s="202"/>
      <c r="BQ107" s="138"/>
      <c r="BR107" s="139"/>
      <c r="BS107" s="139"/>
      <c r="BT107" s="139"/>
      <c r="BU107" s="139"/>
      <c r="BV107" s="139"/>
      <c r="BW107" s="139"/>
      <c r="BX107" s="140"/>
      <c r="BY107" s="139"/>
      <c r="BZ107" s="139"/>
      <c r="CA107" s="139"/>
      <c r="CB107" s="139"/>
      <c r="CC107" s="139"/>
      <c r="CD107" s="139"/>
      <c r="CE107" s="139"/>
      <c r="CF107" s="139"/>
      <c r="CG107" s="139"/>
      <c r="CH107" s="139"/>
      <c r="CI107" s="139"/>
      <c r="CJ107" s="139"/>
      <c r="CK107" s="139"/>
    </row>
    <row r="108" spans="1:89" ht="14.25">
      <c r="A108" s="136"/>
      <c r="B108" s="30" t="s">
        <v>397</v>
      </c>
      <c r="C108" s="30" t="s">
        <v>4</v>
      </c>
      <c r="D108" s="137">
        <f t="shared" si="3"/>
        <v>12</v>
      </c>
      <c r="E108" s="207">
        <v>20</v>
      </c>
      <c r="F108" s="202"/>
      <c r="G108" s="207">
        <v>19</v>
      </c>
      <c r="H108" s="202"/>
      <c r="I108" s="207">
        <v>10</v>
      </c>
      <c r="J108" s="202"/>
      <c r="K108" s="207">
        <v>10</v>
      </c>
      <c r="L108" s="202"/>
      <c r="M108" s="207">
        <v>10</v>
      </c>
      <c r="N108" s="202"/>
      <c r="O108" s="201"/>
      <c r="P108" s="202"/>
      <c r="Q108" s="203">
        <f t="shared" si="4"/>
        <v>5</v>
      </c>
      <c r="R108" s="202"/>
      <c r="S108" s="207">
        <v>19</v>
      </c>
      <c r="T108" s="202"/>
      <c r="U108" s="207">
        <v>19</v>
      </c>
      <c r="V108" s="202"/>
      <c r="W108" s="207">
        <v>10</v>
      </c>
      <c r="X108" s="202"/>
      <c r="Y108" s="207"/>
      <c r="Z108" s="202"/>
      <c r="AA108" s="207"/>
      <c r="AB108" s="202"/>
      <c r="AC108" s="208"/>
      <c r="AD108" s="202"/>
      <c r="AE108" s="203">
        <f t="shared" si="5"/>
        <v>3</v>
      </c>
      <c r="AF108" s="202"/>
      <c r="AG108" s="204">
        <v>18</v>
      </c>
      <c r="AH108" s="202"/>
      <c r="AI108" s="204"/>
      <c r="AJ108" s="202"/>
      <c r="AK108" s="204"/>
      <c r="AL108" s="202"/>
      <c r="AM108" s="204"/>
      <c r="AN108" s="202"/>
      <c r="AO108" s="204">
        <v>20</v>
      </c>
      <c r="AP108" s="202"/>
      <c r="AQ108" s="208"/>
      <c r="AR108" s="202"/>
      <c r="AS108" s="203">
        <f t="shared" si="6"/>
        <v>2</v>
      </c>
      <c r="AT108" s="202"/>
      <c r="AU108" s="204"/>
      <c r="AV108" s="202"/>
      <c r="AW108" s="204">
        <v>20</v>
      </c>
      <c r="AX108" s="202"/>
      <c r="AY108" s="204"/>
      <c r="AZ108" s="202"/>
      <c r="BA108" s="204"/>
      <c r="BB108" s="202"/>
      <c r="BC108" s="204"/>
      <c r="BD108" s="202"/>
      <c r="BE108" s="208"/>
      <c r="BF108" s="202"/>
      <c r="BG108" s="203">
        <f t="shared" si="7"/>
        <v>1</v>
      </c>
      <c r="BH108" s="202"/>
      <c r="BI108" s="204"/>
      <c r="BJ108" s="202"/>
      <c r="BK108" s="204"/>
      <c r="BL108" s="202"/>
      <c r="BM108" s="204">
        <v>10</v>
      </c>
      <c r="BN108" s="202"/>
      <c r="BO108" s="203">
        <f t="shared" si="8"/>
        <v>1</v>
      </c>
      <c r="BP108" s="202"/>
      <c r="BQ108" s="138"/>
      <c r="BR108" s="139"/>
      <c r="BS108" s="139"/>
      <c r="BT108" s="139"/>
      <c r="BU108" s="139"/>
      <c r="BV108" s="139"/>
      <c r="BW108" s="139"/>
      <c r="BX108" s="140"/>
      <c r="BY108" s="139"/>
      <c r="BZ108" s="139"/>
      <c r="CA108" s="139"/>
      <c r="CB108" s="139"/>
      <c r="CC108" s="139"/>
      <c r="CD108" s="139"/>
      <c r="CE108" s="139"/>
      <c r="CF108" s="139"/>
      <c r="CG108" s="139"/>
      <c r="CH108" s="139"/>
      <c r="CI108" s="139"/>
      <c r="CJ108" s="139"/>
      <c r="CK108" s="139"/>
    </row>
    <row r="109" spans="1:89" ht="14.25">
      <c r="A109" s="136"/>
      <c r="B109" s="30" t="s">
        <v>228</v>
      </c>
      <c r="C109" s="30" t="s">
        <v>4</v>
      </c>
      <c r="D109" s="137">
        <f t="shared" si="3"/>
        <v>6</v>
      </c>
      <c r="E109" s="207"/>
      <c r="F109" s="202"/>
      <c r="G109" s="207">
        <v>19</v>
      </c>
      <c r="H109" s="202"/>
      <c r="I109" s="207"/>
      <c r="J109" s="202"/>
      <c r="K109" s="207">
        <v>21</v>
      </c>
      <c r="L109" s="202"/>
      <c r="M109" s="207"/>
      <c r="N109" s="202"/>
      <c r="O109" s="201"/>
      <c r="P109" s="202"/>
      <c r="Q109" s="203">
        <f t="shared" si="4"/>
        <v>2</v>
      </c>
      <c r="R109" s="202"/>
      <c r="S109" s="207"/>
      <c r="T109" s="202"/>
      <c r="U109" s="207">
        <v>8</v>
      </c>
      <c r="V109" s="202"/>
      <c r="W109" s="207"/>
      <c r="X109" s="202"/>
      <c r="Y109" s="207"/>
      <c r="Z109" s="202"/>
      <c r="AA109" s="207">
        <v>7</v>
      </c>
      <c r="AB109" s="202"/>
      <c r="AC109" s="208"/>
      <c r="AD109" s="202"/>
      <c r="AE109" s="203">
        <f t="shared" si="5"/>
        <v>2</v>
      </c>
      <c r="AF109" s="202"/>
      <c r="AG109" s="204">
        <v>19</v>
      </c>
      <c r="AH109" s="202"/>
      <c r="AI109" s="204"/>
      <c r="AJ109" s="202"/>
      <c r="AK109" s="204"/>
      <c r="AL109" s="202"/>
      <c r="AM109" s="204">
        <v>20</v>
      </c>
      <c r="AN109" s="202"/>
      <c r="AO109" s="204"/>
      <c r="AP109" s="202"/>
      <c r="AQ109" s="208"/>
      <c r="AR109" s="202"/>
      <c r="AS109" s="203">
        <f t="shared" si="6"/>
        <v>2</v>
      </c>
      <c r="AT109" s="202"/>
      <c r="AU109" s="204"/>
      <c r="AV109" s="202"/>
      <c r="AW109" s="204"/>
      <c r="AX109" s="202"/>
      <c r="AY109" s="204"/>
      <c r="AZ109" s="202"/>
      <c r="BA109" s="204"/>
      <c r="BB109" s="202"/>
      <c r="BC109" s="204"/>
      <c r="BD109" s="202"/>
      <c r="BE109" s="208"/>
      <c r="BF109" s="202"/>
      <c r="BG109" s="203">
        <f t="shared" si="7"/>
        <v>0</v>
      </c>
      <c r="BH109" s="202"/>
      <c r="BI109" s="204"/>
      <c r="BJ109" s="202"/>
      <c r="BK109" s="204"/>
      <c r="BL109" s="202"/>
      <c r="BM109" s="204"/>
      <c r="BN109" s="202"/>
      <c r="BO109" s="203">
        <f t="shared" si="8"/>
        <v>0</v>
      </c>
      <c r="BP109" s="202"/>
      <c r="BQ109" s="138"/>
      <c r="BR109" s="139"/>
      <c r="BS109" s="139"/>
      <c r="BT109" s="139"/>
      <c r="BU109" s="139"/>
      <c r="BV109" s="139"/>
      <c r="BW109" s="139"/>
      <c r="BX109" s="140"/>
      <c r="BY109" s="139"/>
      <c r="BZ109" s="139"/>
      <c r="CA109" s="139"/>
      <c r="CB109" s="139"/>
      <c r="CC109" s="139"/>
      <c r="CD109" s="139"/>
      <c r="CE109" s="139"/>
      <c r="CF109" s="139"/>
      <c r="CG109" s="139"/>
      <c r="CH109" s="139"/>
      <c r="CI109" s="139"/>
      <c r="CJ109" s="139"/>
      <c r="CK109" s="139"/>
    </row>
    <row r="110" spans="1:89" ht="14.25">
      <c r="A110" s="136"/>
      <c r="B110" s="30" t="s">
        <v>230</v>
      </c>
      <c r="C110" s="30" t="s">
        <v>3</v>
      </c>
      <c r="D110" s="137">
        <f t="shared" si="3"/>
        <v>1</v>
      </c>
      <c r="E110" s="207"/>
      <c r="F110" s="202"/>
      <c r="G110" s="207">
        <v>7</v>
      </c>
      <c r="H110" s="202"/>
      <c r="I110" s="207"/>
      <c r="J110" s="202"/>
      <c r="K110" s="207"/>
      <c r="L110" s="202"/>
      <c r="M110" s="207"/>
      <c r="N110" s="202"/>
      <c r="O110" s="201"/>
      <c r="P110" s="202"/>
      <c r="Q110" s="203">
        <f t="shared" si="4"/>
        <v>1</v>
      </c>
      <c r="R110" s="202"/>
      <c r="S110" s="207"/>
      <c r="T110" s="202"/>
      <c r="U110" s="207"/>
      <c r="V110" s="202"/>
      <c r="W110" s="207"/>
      <c r="X110" s="202"/>
      <c r="Y110" s="207"/>
      <c r="Z110" s="202"/>
      <c r="AA110" s="207"/>
      <c r="AB110" s="202"/>
      <c r="AC110" s="208"/>
      <c r="AD110" s="202"/>
      <c r="AE110" s="203">
        <f t="shared" si="5"/>
        <v>0</v>
      </c>
      <c r="AF110" s="202"/>
      <c r="AG110" s="204"/>
      <c r="AH110" s="202"/>
      <c r="AI110" s="204"/>
      <c r="AJ110" s="202"/>
      <c r="AK110" s="204"/>
      <c r="AL110" s="202"/>
      <c r="AM110" s="204"/>
      <c r="AN110" s="202"/>
      <c r="AO110" s="204"/>
      <c r="AP110" s="202"/>
      <c r="AQ110" s="208"/>
      <c r="AR110" s="202"/>
      <c r="AS110" s="203">
        <f t="shared" si="6"/>
        <v>0</v>
      </c>
      <c r="AT110" s="202"/>
      <c r="AU110" s="204"/>
      <c r="AV110" s="202"/>
      <c r="AW110" s="204"/>
      <c r="AX110" s="202"/>
      <c r="AY110" s="204"/>
      <c r="AZ110" s="202"/>
      <c r="BA110" s="204"/>
      <c r="BB110" s="202"/>
      <c r="BC110" s="204"/>
      <c r="BD110" s="202"/>
      <c r="BE110" s="208"/>
      <c r="BF110" s="202"/>
      <c r="BG110" s="203">
        <f t="shared" si="7"/>
        <v>0</v>
      </c>
      <c r="BH110" s="202"/>
      <c r="BI110" s="204"/>
      <c r="BJ110" s="202"/>
      <c r="BK110" s="204"/>
      <c r="BL110" s="202"/>
      <c r="BM110" s="204"/>
      <c r="BN110" s="202"/>
      <c r="BO110" s="203">
        <f t="shared" si="8"/>
        <v>0</v>
      </c>
      <c r="BP110" s="202"/>
      <c r="BQ110" s="138"/>
      <c r="BR110" s="139"/>
      <c r="BS110" s="139"/>
      <c r="BT110" s="139"/>
      <c r="BU110" s="139"/>
      <c r="BV110" s="139"/>
      <c r="BW110" s="139"/>
      <c r="BX110" s="140"/>
      <c r="BY110" s="139"/>
      <c r="BZ110" s="139"/>
      <c r="CA110" s="139"/>
      <c r="CB110" s="139"/>
      <c r="CC110" s="139"/>
      <c r="CD110" s="139"/>
      <c r="CE110" s="139"/>
      <c r="CF110" s="139"/>
      <c r="CG110" s="139"/>
      <c r="CH110" s="139"/>
      <c r="CI110" s="139"/>
      <c r="CJ110" s="139"/>
      <c r="CK110" s="139"/>
    </row>
    <row r="111" spans="1:89" ht="14.25">
      <c r="A111" s="136"/>
      <c r="B111" s="30" t="s">
        <v>232</v>
      </c>
      <c r="C111" s="30" t="s">
        <v>4</v>
      </c>
      <c r="D111" s="137">
        <f t="shared" si="3"/>
        <v>14</v>
      </c>
      <c r="E111" s="207">
        <v>8</v>
      </c>
      <c r="F111" s="202"/>
      <c r="G111" s="207">
        <v>8</v>
      </c>
      <c r="H111" s="202"/>
      <c r="I111" s="207"/>
      <c r="J111" s="202"/>
      <c r="K111" s="207"/>
      <c r="L111" s="202"/>
      <c r="M111" s="207">
        <v>8</v>
      </c>
      <c r="N111" s="202"/>
      <c r="O111" s="201">
        <v>11</v>
      </c>
      <c r="P111" s="202"/>
      <c r="Q111" s="203">
        <f t="shared" si="4"/>
        <v>3</v>
      </c>
      <c r="R111" s="202"/>
      <c r="S111" s="207">
        <v>8</v>
      </c>
      <c r="T111" s="202"/>
      <c r="U111" s="207">
        <v>8</v>
      </c>
      <c r="V111" s="202"/>
      <c r="W111" s="207"/>
      <c r="X111" s="202"/>
      <c r="Y111" s="207">
        <v>8</v>
      </c>
      <c r="Z111" s="202"/>
      <c r="AA111" s="207">
        <v>8</v>
      </c>
      <c r="AB111" s="202"/>
      <c r="AC111" s="208">
        <v>11</v>
      </c>
      <c r="AD111" s="202"/>
      <c r="AE111" s="203">
        <f t="shared" si="5"/>
        <v>4</v>
      </c>
      <c r="AF111" s="202"/>
      <c r="AG111" s="204">
        <v>8</v>
      </c>
      <c r="AH111" s="202"/>
      <c r="AI111" s="204"/>
      <c r="AJ111" s="202"/>
      <c r="AK111" s="204">
        <v>8</v>
      </c>
      <c r="AL111" s="202"/>
      <c r="AM111" s="204"/>
      <c r="AN111" s="202"/>
      <c r="AO111" s="204">
        <v>8</v>
      </c>
      <c r="AP111" s="202"/>
      <c r="AQ111" s="208"/>
      <c r="AR111" s="202"/>
      <c r="AS111" s="203">
        <f t="shared" si="6"/>
        <v>3</v>
      </c>
      <c r="AT111" s="202"/>
      <c r="AU111" s="204"/>
      <c r="AV111" s="202"/>
      <c r="AW111" s="204">
        <v>8</v>
      </c>
      <c r="AX111" s="202"/>
      <c r="AY111" s="204"/>
      <c r="AZ111" s="202"/>
      <c r="BA111" s="204"/>
      <c r="BB111" s="202"/>
      <c r="BC111" s="204">
        <v>8</v>
      </c>
      <c r="BD111" s="202"/>
      <c r="BE111" s="208"/>
      <c r="BF111" s="202"/>
      <c r="BG111" s="203">
        <f t="shared" si="7"/>
        <v>2</v>
      </c>
      <c r="BH111" s="202"/>
      <c r="BI111" s="204"/>
      <c r="BJ111" s="202"/>
      <c r="BK111" s="204">
        <v>8</v>
      </c>
      <c r="BL111" s="202"/>
      <c r="BM111" s="204">
        <v>8</v>
      </c>
      <c r="BN111" s="202"/>
      <c r="BO111" s="203">
        <f t="shared" si="8"/>
        <v>2</v>
      </c>
      <c r="BP111" s="202"/>
      <c r="BQ111" s="138"/>
      <c r="BR111" s="139"/>
      <c r="BS111" s="139"/>
      <c r="BT111" s="139"/>
      <c r="BU111" s="139"/>
      <c r="BV111" s="139"/>
      <c r="BW111" s="139"/>
      <c r="BX111" s="140"/>
      <c r="BY111" s="139"/>
      <c r="BZ111" s="139"/>
      <c r="CA111" s="139"/>
      <c r="CB111" s="139"/>
      <c r="CC111" s="139"/>
      <c r="CD111" s="139"/>
      <c r="CE111" s="139"/>
      <c r="CF111" s="139"/>
      <c r="CG111" s="139"/>
      <c r="CH111" s="139"/>
      <c r="CI111" s="139"/>
      <c r="CJ111" s="139"/>
      <c r="CK111" s="139"/>
    </row>
    <row r="112" spans="1:89" ht="14.25">
      <c r="A112" s="136"/>
      <c r="B112" s="30" t="s">
        <v>234</v>
      </c>
      <c r="C112" s="30" t="s">
        <v>4</v>
      </c>
      <c r="D112" s="137">
        <f t="shared" si="3"/>
        <v>22</v>
      </c>
      <c r="E112" s="207">
        <v>19</v>
      </c>
      <c r="F112" s="202"/>
      <c r="G112" s="207">
        <v>19</v>
      </c>
      <c r="H112" s="202"/>
      <c r="I112" s="207">
        <v>18</v>
      </c>
      <c r="J112" s="202"/>
      <c r="K112" s="207">
        <v>19</v>
      </c>
      <c r="L112" s="202"/>
      <c r="M112" s="207">
        <v>18</v>
      </c>
      <c r="N112" s="202"/>
      <c r="O112" s="201"/>
      <c r="P112" s="202"/>
      <c r="Q112" s="203">
        <f t="shared" si="4"/>
        <v>5</v>
      </c>
      <c r="R112" s="202"/>
      <c r="S112" s="207">
        <v>19</v>
      </c>
      <c r="T112" s="202"/>
      <c r="U112" s="207">
        <v>19</v>
      </c>
      <c r="V112" s="202"/>
      <c r="W112" s="207">
        <v>18</v>
      </c>
      <c r="X112" s="202"/>
      <c r="Y112" s="207">
        <v>19</v>
      </c>
      <c r="Z112" s="202"/>
      <c r="AA112" s="207">
        <v>18</v>
      </c>
      <c r="AB112" s="202"/>
      <c r="AC112" s="208"/>
      <c r="AD112" s="202"/>
      <c r="AE112" s="203">
        <f t="shared" si="5"/>
        <v>5</v>
      </c>
      <c r="AF112" s="202"/>
      <c r="AG112" s="204">
        <v>19</v>
      </c>
      <c r="AH112" s="202"/>
      <c r="AI112" s="204">
        <v>19</v>
      </c>
      <c r="AJ112" s="202"/>
      <c r="AK112" s="204">
        <v>18</v>
      </c>
      <c r="AL112" s="202"/>
      <c r="AM112" s="204">
        <v>19</v>
      </c>
      <c r="AN112" s="202"/>
      <c r="AO112" s="204">
        <v>18</v>
      </c>
      <c r="AP112" s="202"/>
      <c r="AQ112" s="208"/>
      <c r="AR112" s="202"/>
      <c r="AS112" s="203">
        <f t="shared" si="6"/>
        <v>5</v>
      </c>
      <c r="AT112" s="202"/>
      <c r="AU112" s="204">
        <v>19</v>
      </c>
      <c r="AV112" s="202"/>
      <c r="AW112" s="204">
        <v>19</v>
      </c>
      <c r="AX112" s="202"/>
      <c r="AY112" s="204">
        <v>18</v>
      </c>
      <c r="AZ112" s="202"/>
      <c r="BA112" s="204"/>
      <c r="BB112" s="202"/>
      <c r="BC112" s="204">
        <v>17</v>
      </c>
      <c r="BD112" s="202"/>
      <c r="BE112" s="208"/>
      <c r="BF112" s="202"/>
      <c r="BG112" s="203">
        <f t="shared" si="7"/>
        <v>4</v>
      </c>
      <c r="BH112" s="202"/>
      <c r="BI112" s="204">
        <v>19</v>
      </c>
      <c r="BJ112" s="202"/>
      <c r="BK112" s="204">
        <v>19</v>
      </c>
      <c r="BL112" s="202"/>
      <c r="BM112" s="204">
        <v>17</v>
      </c>
      <c r="BN112" s="202"/>
      <c r="BO112" s="203">
        <f t="shared" si="8"/>
        <v>3</v>
      </c>
      <c r="BP112" s="202"/>
      <c r="BQ112" s="138"/>
      <c r="BR112" s="139"/>
      <c r="BS112" s="139"/>
      <c r="BT112" s="139"/>
      <c r="BU112" s="139"/>
      <c r="BV112" s="139"/>
      <c r="BW112" s="139"/>
      <c r="BX112" s="140"/>
      <c r="BY112" s="139"/>
      <c r="BZ112" s="139"/>
      <c r="CA112" s="139"/>
      <c r="CB112" s="139"/>
      <c r="CC112" s="139"/>
      <c r="CD112" s="139"/>
      <c r="CE112" s="139"/>
      <c r="CF112" s="139"/>
      <c r="CG112" s="139"/>
      <c r="CH112" s="139"/>
      <c r="CI112" s="139"/>
      <c r="CJ112" s="139"/>
      <c r="CK112" s="139"/>
    </row>
    <row r="113" spans="1:89" ht="14.25">
      <c r="A113" s="136"/>
      <c r="B113" s="30" t="s">
        <v>236</v>
      </c>
      <c r="C113" s="30" t="s">
        <v>3</v>
      </c>
      <c r="D113" s="137">
        <f t="shared" si="3"/>
        <v>0</v>
      </c>
      <c r="E113" s="207"/>
      <c r="F113" s="202"/>
      <c r="G113" s="207"/>
      <c r="H113" s="202"/>
      <c r="I113" s="207"/>
      <c r="J113" s="202"/>
      <c r="K113" s="207"/>
      <c r="L113" s="202"/>
      <c r="M113" s="207"/>
      <c r="N113" s="202"/>
      <c r="O113" s="201"/>
      <c r="P113" s="202"/>
      <c r="Q113" s="203">
        <f t="shared" si="4"/>
        <v>0</v>
      </c>
      <c r="R113" s="202"/>
      <c r="S113" s="207"/>
      <c r="T113" s="202"/>
      <c r="U113" s="207"/>
      <c r="V113" s="202"/>
      <c r="W113" s="207"/>
      <c r="X113" s="202"/>
      <c r="Y113" s="207"/>
      <c r="Z113" s="202"/>
      <c r="AA113" s="207"/>
      <c r="AB113" s="202"/>
      <c r="AC113" s="208"/>
      <c r="AD113" s="202"/>
      <c r="AE113" s="203">
        <f t="shared" si="5"/>
        <v>0</v>
      </c>
      <c r="AF113" s="202"/>
      <c r="AG113" s="204"/>
      <c r="AH113" s="202"/>
      <c r="AI113" s="204"/>
      <c r="AJ113" s="202"/>
      <c r="AK113" s="204"/>
      <c r="AL113" s="202"/>
      <c r="AM113" s="204"/>
      <c r="AN113" s="202"/>
      <c r="AO113" s="204"/>
      <c r="AP113" s="202"/>
      <c r="AQ113" s="208"/>
      <c r="AR113" s="202"/>
      <c r="AS113" s="203">
        <f t="shared" si="6"/>
        <v>0</v>
      </c>
      <c r="AT113" s="202"/>
      <c r="AU113" s="204"/>
      <c r="AV113" s="202"/>
      <c r="AW113" s="204"/>
      <c r="AX113" s="202"/>
      <c r="AY113" s="204"/>
      <c r="AZ113" s="202"/>
      <c r="BA113" s="204"/>
      <c r="BB113" s="202"/>
      <c r="BC113" s="204"/>
      <c r="BD113" s="202"/>
      <c r="BE113" s="208"/>
      <c r="BF113" s="202"/>
      <c r="BG113" s="203">
        <f t="shared" si="7"/>
        <v>0</v>
      </c>
      <c r="BH113" s="202"/>
      <c r="BI113" s="204"/>
      <c r="BJ113" s="202"/>
      <c r="BK113" s="204"/>
      <c r="BL113" s="202"/>
      <c r="BM113" s="204"/>
      <c r="BN113" s="202"/>
      <c r="BO113" s="203">
        <f t="shared" si="8"/>
        <v>0</v>
      </c>
      <c r="BP113" s="202"/>
      <c r="BQ113" s="138"/>
      <c r="BR113" s="139"/>
      <c r="BS113" s="139"/>
      <c r="BT113" s="139"/>
      <c r="BU113" s="139"/>
      <c r="BV113" s="139"/>
      <c r="BW113" s="139"/>
      <c r="BX113" s="140"/>
      <c r="BY113" s="139"/>
      <c r="BZ113" s="139"/>
      <c r="CA113" s="139"/>
      <c r="CB113" s="139"/>
      <c r="CC113" s="139"/>
      <c r="CD113" s="139"/>
      <c r="CE113" s="139"/>
      <c r="CF113" s="139"/>
      <c r="CG113" s="139"/>
      <c r="CH113" s="139"/>
      <c r="CI113" s="139"/>
      <c r="CJ113" s="139"/>
      <c r="CK113" s="139"/>
    </row>
    <row r="114" spans="1:89" ht="14.25">
      <c r="A114" s="136"/>
      <c r="B114" s="30" t="s">
        <v>240</v>
      </c>
      <c r="C114" s="30" t="s">
        <v>4</v>
      </c>
      <c r="D114" s="137">
        <f t="shared" si="3"/>
        <v>8</v>
      </c>
      <c r="E114" s="207">
        <v>8</v>
      </c>
      <c r="F114" s="202"/>
      <c r="G114" s="207">
        <v>8</v>
      </c>
      <c r="H114" s="202"/>
      <c r="I114" s="207">
        <v>8</v>
      </c>
      <c r="J114" s="202"/>
      <c r="K114" s="207"/>
      <c r="L114" s="202"/>
      <c r="M114" s="207"/>
      <c r="N114" s="202"/>
      <c r="O114" s="201"/>
      <c r="P114" s="202"/>
      <c r="Q114" s="203">
        <f t="shared" si="4"/>
        <v>3</v>
      </c>
      <c r="R114" s="202"/>
      <c r="S114" s="207">
        <v>8</v>
      </c>
      <c r="T114" s="202"/>
      <c r="U114" s="207">
        <v>8</v>
      </c>
      <c r="V114" s="202"/>
      <c r="W114" s="207"/>
      <c r="X114" s="202"/>
      <c r="Y114" s="207"/>
      <c r="Z114" s="202"/>
      <c r="AA114" s="207"/>
      <c r="AB114" s="202"/>
      <c r="AC114" s="208"/>
      <c r="AD114" s="202"/>
      <c r="AE114" s="203">
        <f t="shared" si="5"/>
        <v>2</v>
      </c>
      <c r="AF114" s="202"/>
      <c r="AG114" s="204"/>
      <c r="AH114" s="202"/>
      <c r="AI114" s="204"/>
      <c r="AJ114" s="202"/>
      <c r="AK114" s="204"/>
      <c r="AL114" s="202"/>
      <c r="AM114" s="204">
        <v>8</v>
      </c>
      <c r="AN114" s="202"/>
      <c r="AO114" s="204"/>
      <c r="AP114" s="202"/>
      <c r="AQ114" s="208"/>
      <c r="AR114" s="202"/>
      <c r="AS114" s="203">
        <f t="shared" si="6"/>
        <v>1</v>
      </c>
      <c r="AT114" s="202"/>
      <c r="AU114" s="204"/>
      <c r="AV114" s="202"/>
      <c r="AW114" s="204">
        <v>8</v>
      </c>
      <c r="AX114" s="202"/>
      <c r="AY114" s="204"/>
      <c r="AZ114" s="202"/>
      <c r="BA114" s="204"/>
      <c r="BB114" s="202"/>
      <c r="BC114" s="204"/>
      <c r="BD114" s="202"/>
      <c r="BE114" s="208"/>
      <c r="BF114" s="202"/>
      <c r="BG114" s="203">
        <f t="shared" si="7"/>
        <v>1</v>
      </c>
      <c r="BH114" s="202"/>
      <c r="BI114" s="204"/>
      <c r="BJ114" s="202"/>
      <c r="BK114" s="204">
        <v>20</v>
      </c>
      <c r="BL114" s="202"/>
      <c r="BM114" s="204"/>
      <c r="BN114" s="202"/>
      <c r="BO114" s="203">
        <f t="shared" si="8"/>
        <v>1</v>
      </c>
      <c r="BP114" s="202"/>
      <c r="BQ114" s="138"/>
      <c r="BR114" s="139"/>
      <c r="BS114" s="139"/>
      <c r="BT114" s="139"/>
      <c r="BU114" s="139"/>
      <c r="BV114" s="139"/>
      <c r="BW114" s="139"/>
      <c r="BX114" s="140"/>
      <c r="BY114" s="139"/>
      <c r="BZ114" s="139"/>
      <c r="CA114" s="139"/>
      <c r="CB114" s="139"/>
      <c r="CC114" s="139"/>
      <c r="CD114" s="139"/>
      <c r="CE114" s="139"/>
      <c r="CF114" s="139"/>
      <c r="CG114" s="139"/>
      <c r="CH114" s="139"/>
      <c r="CI114" s="139"/>
      <c r="CJ114" s="139"/>
      <c r="CK114" s="139"/>
    </row>
    <row r="115" spans="1:89" ht="14.25">
      <c r="A115" s="136"/>
      <c r="B115" s="30" t="s">
        <v>238</v>
      </c>
      <c r="C115" s="30" t="s">
        <v>4</v>
      </c>
      <c r="D115" s="137">
        <f t="shared" si="3"/>
        <v>6</v>
      </c>
      <c r="E115" s="207">
        <v>8</v>
      </c>
      <c r="F115" s="202"/>
      <c r="G115" s="207">
        <v>8</v>
      </c>
      <c r="H115" s="202"/>
      <c r="I115" s="207"/>
      <c r="J115" s="202"/>
      <c r="K115" s="207"/>
      <c r="L115" s="202"/>
      <c r="M115" s="207">
        <v>8</v>
      </c>
      <c r="N115" s="202"/>
      <c r="O115" s="201"/>
      <c r="P115" s="202"/>
      <c r="Q115" s="203">
        <f t="shared" si="4"/>
        <v>3</v>
      </c>
      <c r="R115" s="202"/>
      <c r="S115" s="207"/>
      <c r="T115" s="202"/>
      <c r="U115" s="207"/>
      <c r="V115" s="202"/>
      <c r="W115" s="207"/>
      <c r="X115" s="202"/>
      <c r="Y115" s="207">
        <v>8</v>
      </c>
      <c r="Z115" s="202"/>
      <c r="AA115" s="207"/>
      <c r="AB115" s="202"/>
      <c r="AC115" s="208"/>
      <c r="AD115" s="202"/>
      <c r="AE115" s="203">
        <f t="shared" si="5"/>
        <v>1</v>
      </c>
      <c r="AF115" s="202"/>
      <c r="AG115" s="204">
        <v>8</v>
      </c>
      <c r="AH115" s="202"/>
      <c r="AI115" s="204">
        <v>8</v>
      </c>
      <c r="AJ115" s="202"/>
      <c r="AK115" s="204"/>
      <c r="AL115" s="202"/>
      <c r="AM115" s="204"/>
      <c r="AN115" s="202"/>
      <c r="AO115" s="204"/>
      <c r="AP115" s="202"/>
      <c r="AQ115" s="208"/>
      <c r="AR115" s="202"/>
      <c r="AS115" s="203">
        <f t="shared" si="6"/>
        <v>2</v>
      </c>
      <c r="AT115" s="202"/>
      <c r="AU115" s="204"/>
      <c r="AV115" s="202"/>
      <c r="AW115" s="204"/>
      <c r="AX115" s="202"/>
      <c r="AY115" s="204"/>
      <c r="AZ115" s="202"/>
      <c r="BA115" s="204"/>
      <c r="BB115" s="202"/>
      <c r="BC115" s="204"/>
      <c r="BD115" s="202"/>
      <c r="BE115" s="208"/>
      <c r="BF115" s="202"/>
      <c r="BG115" s="203">
        <f t="shared" si="7"/>
        <v>0</v>
      </c>
      <c r="BH115" s="202"/>
      <c r="BI115" s="204"/>
      <c r="BJ115" s="202"/>
      <c r="BK115" s="204"/>
      <c r="BL115" s="202"/>
      <c r="BM115" s="204"/>
      <c r="BN115" s="202"/>
      <c r="BO115" s="203">
        <f t="shared" si="8"/>
        <v>0</v>
      </c>
      <c r="BP115" s="202"/>
      <c r="BQ115" s="138"/>
      <c r="BR115" s="139"/>
      <c r="BS115" s="139"/>
      <c r="BT115" s="139"/>
      <c r="BU115" s="139"/>
      <c r="BV115" s="139"/>
      <c r="BW115" s="139"/>
      <c r="BX115" s="140"/>
      <c r="BY115" s="139"/>
      <c r="BZ115" s="139"/>
      <c r="CA115" s="139"/>
      <c r="CB115" s="139"/>
      <c r="CC115" s="139"/>
      <c r="CD115" s="139"/>
      <c r="CE115" s="139"/>
      <c r="CF115" s="139"/>
      <c r="CG115" s="139"/>
      <c r="CH115" s="139"/>
      <c r="CI115" s="139"/>
      <c r="CJ115" s="139"/>
      <c r="CK115" s="139"/>
    </row>
    <row r="116" spans="1:89" ht="14.25">
      <c r="A116" s="136"/>
      <c r="B116" s="30" t="s">
        <v>242</v>
      </c>
      <c r="C116" s="30" t="s">
        <v>3</v>
      </c>
      <c r="D116" s="137">
        <f t="shared" si="3"/>
        <v>10</v>
      </c>
      <c r="E116" s="207">
        <v>17</v>
      </c>
      <c r="F116" s="202"/>
      <c r="G116" s="207"/>
      <c r="H116" s="202"/>
      <c r="I116" s="207">
        <v>18</v>
      </c>
      <c r="J116" s="202"/>
      <c r="K116" s="207"/>
      <c r="L116" s="202"/>
      <c r="M116" s="207"/>
      <c r="N116" s="202"/>
      <c r="O116" s="201"/>
      <c r="P116" s="202"/>
      <c r="Q116" s="203">
        <f t="shared" si="4"/>
        <v>2</v>
      </c>
      <c r="R116" s="202"/>
      <c r="S116" s="207">
        <v>17</v>
      </c>
      <c r="T116" s="202"/>
      <c r="U116" s="207">
        <v>17</v>
      </c>
      <c r="V116" s="202"/>
      <c r="W116" s="207"/>
      <c r="X116" s="202"/>
      <c r="Y116" s="207"/>
      <c r="Z116" s="202"/>
      <c r="AA116" s="207"/>
      <c r="AB116" s="202"/>
      <c r="AC116" s="208"/>
      <c r="AD116" s="202"/>
      <c r="AE116" s="203">
        <f t="shared" si="5"/>
        <v>2</v>
      </c>
      <c r="AF116" s="202"/>
      <c r="AG116" s="204">
        <v>17</v>
      </c>
      <c r="AH116" s="202"/>
      <c r="AI116" s="204"/>
      <c r="AJ116" s="202"/>
      <c r="AK116" s="204">
        <v>17</v>
      </c>
      <c r="AL116" s="202"/>
      <c r="AM116" s="204">
        <v>17</v>
      </c>
      <c r="AN116" s="202"/>
      <c r="AO116" s="204"/>
      <c r="AP116" s="202"/>
      <c r="AQ116" s="208"/>
      <c r="AR116" s="202"/>
      <c r="AS116" s="203">
        <f t="shared" si="6"/>
        <v>3</v>
      </c>
      <c r="AT116" s="202"/>
      <c r="AU116" s="204">
        <v>17</v>
      </c>
      <c r="AV116" s="202"/>
      <c r="AW116" s="204">
        <v>17</v>
      </c>
      <c r="AX116" s="202"/>
      <c r="AY116" s="204"/>
      <c r="AZ116" s="202"/>
      <c r="BA116" s="204"/>
      <c r="BB116" s="202"/>
      <c r="BC116" s="204"/>
      <c r="BD116" s="202"/>
      <c r="BE116" s="208"/>
      <c r="BF116" s="202"/>
      <c r="BG116" s="203">
        <f t="shared" si="7"/>
        <v>2</v>
      </c>
      <c r="BH116" s="202"/>
      <c r="BI116" s="204">
        <v>17</v>
      </c>
      <c r="BJ116" s="202"/>
      <c r="BK116" s="204"/>
      <c r="BL116" s="202"/>
      <c r="BM116" s="204"/>
      <c r="BN116" s="202"/>
      <c r="BO116" s="203">
        <f t="shared" si="8"/>
        <v>1</v>
      </c>
      <c r="BP116" s="202"/>
      <c r="BQ116" s="138"/>
      <c r="BR116" s="139"/>
      <c r="BS116" s="139"/>
      <c r="BT116" s="139"/>
      <c r="BU116" s="139"/>
      <c r="BV116" s="139"/>
      <c r="BW116" s="139"/>
      <c r="BX116" s="140"/>
      <c r="BY116" s="139"/>
      <c r="BZ116" s="139"/>
      <c r="CA116" s="139"/>
      <c r="CB116" s="139"/>
      <c r="CC116" s="139"/>
      <c r="CD116" s="139"/>
      <c r="CE116" s="139"/>
      <c r="CF116" s="139"/>
      <c r="CG116" s="139"/>
      <c r="CH116" s="139"/>
      <c r="CI116" s="139"/>
      <c r="CJ116" s="139"/>
      <c r="CK116" s="139"/>
    </row>
    <row r="117" spans="1:89" ht="14.25">
      <c r="A117" s="136"/>
      <c r="B117" s="30" t="s">
        <v>246</v>
      </c>
      <c r="C117" s="30" t="s">
        <v>4</v>
      </c>
      <c r="D117" s="137">
        <f t="shared" si="3"/>
        <v>13</v>
      </c>
      <c r="E117" s="207"/>
      <c r="F117" s="202"/>
      <c r="G117" s="207">
        <v>10</v>
      </c>
      <c r="H117" s="202"/>
      <c r="I117" s="207"/>
      <c r="J117" s="202"/>
      <c r="K117" s="207">
        <v>10</v>
      </c>
      <c r="L117" s="202"/>
      <c r="M117" s="207"/>
      <c r="N117" s="202"/>
      <c r="O117" s="201"/>
      <c r="P117" s="202"/>
      <c r="Q117" s="203">
        <f t="shared" si="4"/>
        <v>2</v>
      </c>
      <c r="R117" s="202"/>
      <c r="S117" s="207">
        <v>10</v>
      </c>
      <c r="T117" s="202"/>
      <c r="U117" s="207"/>
      <c r="V117" s="202"/>
      <c r="W117" s="207"/>
      <c r="X117" s="202"/>
      <c r="Y117" s="207"/>
      <c r="Z117" s="202"/>
      <c r="AA117" s="207"/>
      <c r="AB117" s="202"/>
      <c r="AC117" s="208"/>
      <c r="AD117" s="202"/>
      <c r="AE117" s="203">
        <f t="shared" si="5"/>
        <v>1</v>
      </c>
      <c r="AF117" s="202"/>
      <c r="AG117" s="204"/>
      <c r="AH117" s="202"/>
      <c r="AI117" s="204">
        <v>10</v>
      </c>
      <c r="AJ117" s="202"/>
      <c r="AK117" s="204">
        <v>10</v>
      </c>
      <c r="AL117" s="202"/>
      <c r="AM117" s="204">
        <v>10</v>
      </c>
      <c r="AN117" s="202"/>
      <c r="AO117" s="204"/>
      <c r="AP117" s="202"/>
      <c r="AQ117" s="208"/>
      <c r="AR117" s="202"/>
      <c r="AS117" s="203">
        <f t="shared" si="6"/>
        <v>3</v>
      </c>
      <c r="AT117" s="202"/>
      <c r="AU117" s="204">
        <v>10</v>
      </c>
      <c r="AV117" s="202"/>
      <c r="AW117" s="204">
        <v>10</v>
      </c>
      <c r="AX117" s="202"/>
      <c r="AY117" s="204">
        <v>10</v>
      </c>
      <c r="AZ117" s="202"/>
      <c r="BA117" s="204"/>
      <c r="BB117" s="202"/>
      <c r="BC117" s="204">
        <v>10</v>
      </c>
      <c r="BD117" s="202"/>
      <c r="BE117" s="208">
        <v>11</v>
      </c>
      <c r="BF117" s="202"/>
      <c r="BG117" s="203">
        <f t="shared" si="7"/>
        <v>4</v>
      </c>
      <c r="BH117" s="202"/>
      <c r="BI117" s="204">
        <v>10</v>
      </c>
      <c r="BJ117" s="202"/>
      <c r="BK117" s="204">
        <v>10</v>
      </c>
      <c r="BL117" s="202"/>
      <c r="BM117" s="204">
        <v>10</v>
      </c>
      <c r="BN117" s="202"/>
      <c r="BO117" s="203">
        <f t="shared" si="8"/>
        <v>3</v>
      </c>
      <c r="BP117" s="202"/>
      <c r="BQ117" s="138"/>
      <c r="BR117" s="139"/>
      <c r="BS117" s="139"/>
      <c r="BT117" s="139"/>
      <c r="BU117" s="139"/>
      <c r="BV117" s="139"/>
      <c r="BW117" s="139"/>
      <c r="BX117" s="140"/>
      <c r="BY117" s="139"/>
      <c r="BZ117" s="139"/>
      <c r="CA117" s="139"/>
      <c r="CB117" s="139"/>
      <c r="CC117" s="139"/>
      <c r="CD117" s="139"/>
      <c r="CE117" s="139"/>
      <c r="CF117" s="139"/>
      <c r="CG117" s="139"/>
      <c r="CH117" s="139"/>
      <c r="CI117" s="139"/>
      <c r="CJ117" s="139"/>
      <c r="CK117" s="139"/>
    </row>
    <row r="118" spans="1:89" ht="14.25">
      <c r="A118" s="142"/>
      <c r="B118" s="30" t="s">
        <v>244</v>
      </c>
      <c r="C118" s="30" t="s">
        <v>4</v>
      </c>
      <c r="D118" s="137">
        <f t="shared" si="3"/>
        <v>0</v>
      </c>
      <c r="E118" s="207"/>
      <c r="F118" s="202"/>
      <c r="G118" s="207"/>
      <c r="H118" s="202"/>
      <c r="I118" s="207"/>
      <c r="J118" s="202"/>
      <c r="K118" s="207"/>
      <c r="L118" s="202"/>
      <c r="M118" s="207"/>
      <c r="N118" s="202"/>
      <c r="O118" s="201"/>
      <c r="P118" s="202"/>
      <c r="Q118" s="203">
        <f t="shared" si="4"/>
        <v>0</v>
      </c>
      <c r="R118" s="202"/>
      <c r="S118" s="207"/>
      <c r="T118" s="202"/>
      <c r="U118" s="207"/>
      <c r="V118" s="202"/>
      <c r="W118" s="207"/>
      <c r="X118" s="202"/>
      <c r="Y118" s="207"/>
      <c r="Z118" s="202"/>
      <c r="AA118" s="207"/>
      <c r="AB118" s="202"/>
      <c r="AC118" s="208"/>
      <c r="AD118" s="202"/>
      <c r="AE118" s="203">
        <f t="shared" si="5"/>
        <v>0</v>
      </c>
      <c r="AF118" s="202"/>
      <c r="AG118" s="204"/>
      <c r="AH118" s="202"/>
      <c r="AI118" s="204"/>
      <c r="AJ118" s="202"/>
      <c r="AK118" s="204"/>
      <c r="AL118" s="202"/>
      <c r="AM118" s="204"/>
      <c r="AN118" s="202"/>
      <c r="AO118" s="204"/>
      <c r="AP118" s="202"/>
      <c r="AQ118" s="208"/>
      <c r="AR118" s="202"/>
      <c r="AS118" s="203">
        <f t="shared" si="6"/>
        <v>0</v>
      </c>
      <c r="AT118" s="202"/>
      <c r="AU118" s="204"/>
      <c r="AV118" s="202"/>
      <c r="AW118" s="204"/>
      <c r="AX118" s="202"/>
      <c r="AY118" s="204"/>
      <c r="AZ118" s="202"/>
      <c r="BA118" s="204"/>
      <c r="BB118" s="202"/>
      <c r="BC118" s="204"/>
      <c r="BD118" s="202"/>
      <c r="BE118" s="208"/>
      <c r="BF118" s="202"/>
      <c r="BG118" s="203">
        <f t="shared" si="7"/>
        <v>0</v>
      </c>
      <c r="BH118" s="202"/>
      <c r="BI118" s="204"/>
      <c r="BJ118" s="202"/>
      <c r="BK118" s="204"/>
      <c r="BL118" s="202"/>
      <c r="BM118" s="204"/>
      <c r="BN118" s="202"/>
      <c r="BO118" s="203">
        <f t="shared" si="8"/>
        <v>0</v>
      </c>
      <c r="BP118" s="202"/>
      <c r="BQ118" s="138"/>
      <c r="BR118" s="128"/>
      <c r="BS118" s="128"/>
      <c r="BT118" s="128"/>
      <c r="BU118" s="128"/>
      <c r="BV118" s="128"/>
      <c r="BW118" s="139"/>
      <c r="BX118" s="140"/>
      <c r="BY118" s="139"/>
      <c r="BZ118" s="139"/>
      <c r="CA118" s="134"/>
      <c r="CB118" s="134"/>
      <c r="CC118" s="134"/>
      <c r="CD118" s="134"/>
      <c r="CE118" s="134"/>
      <c r="CF118" s="134"/>
      <c r="CG118" s="134"/>
      <c r="CH118" s="134"/>
      <c r="CI118" s="134"/>
      <c r="CJ118" s="135"/>
      <c r="CK118" s="135"/>
    </row>
    <row r="119" spans="1:89" ht="14.25">
      <c r="A119" s="136"/>
      <c r="B119" s="30" t="s">
        <v>248</v>
      </c>
      <c r="C119" s="30" t="s">
        <v>4</v>
      </c>
      <c r="D119" s="137">
        <f t="shared" si="3"/>
        <v>0</v>
      </c>
      <c r="E119" s="207"/>
      <c r="F119" s="202"/>
      <c r="G119" s="207"/>
      <c r="H119" s="202"/>
      <c r="I119" s="207"/>
      <c r="J119" s="202"/>
      <c r="K119" s="207"/>
      <c r="L119" s="202"/>
      <c r="M119" s="207"/>
      <c r="N119" s="202"/>
      <c r="O119" s="201"/>
      <c r="P119" s="202"/>
      <c r="Q119" s="203">
        <f t="shared" si="4"/>
        <v>0</v>
      </c>
      <c r="R119" s="202"/>
      <c r="S119" s="207"/>
      <c r="T119" s="202"/>
      <c r="U119" s="207"/>
      <c r="V119" s="202"/>
      <c r="W119" s="207"/>
      <c r="X119" s="202"/>
      <c r="Y119" s="207"/>
      <c r="Z119" s="202"/>
      <c r="AA119" s="207"/>
      <c r="AB119" s="202"/>
      <c r="AC119" s="208"/>
      <c r="AD119" s="202"/>
      <c r="AE119" s="203">
        <f t="shared" si="5"/>
        <v>0</v>
      </c>
      <c r="AF119" s="202"/>
      <c r="AG119" s="204"/>
      <c r="AH119" s="202"/>
      <c r="AI119" s="204"/>
      <c r="AJ119" s="202"/>
      <c r="AK119" s="204"/>
      <c r="AL119" s="202"/>
      <c r="AM119" s="204"/>
      <c r="AN119" s="202"/>
      <c r="AO119" s="204"/>
      <c r="AP119" s="202"/>
      <c r="AQ119" s="208"/>
      <c r="AR119" s="202"/>
      <c r="AS119" s="203">
        <f t="shared" si="6"/>
        <v>0</v>
      </c>
      <c r="AT119" s="202"/>
      <c r="AU119" s="204"/>
      <c r="AV119" s="202"/>
      <c r="AW119" s="204"/>
      <c r="AX119" s="202"/>
      <c r="AY119" s="204"/>
      <c r="AZ119" s="202"/>
      <c r="BA119" s="204"/>
      <c r="BB119" s="202"/>
      <c r="BC119" s="204"/>
      <c r="BD119" s="202"/>
      <c r="BE119" s="208"/>
      <c r="BF119" s="202"/>
      <c r="BG119" s="203">
        <f t="shared" si="7"/>
        <v>0</v>
      </c>
      <c r="BH119" s="202"/>
      <c r="BI119" s="204"/>
      <c r="BJ119" s="202"/>
      <c r="BK119" s="204"/>
      <c r="BL119" s="202"/>
      <c r="BM119" s="204"/>
      <c r="BN119" s="202"/>
      <c r="BO119" s="203">
        <f t="shared" si="8"/>
        <v>0</v>
      </c>
      <c r="BP119" s="202"/>
      <c r="BQ119" s="138"/>
      <c r="BR119" s="139"/>
      <c r="BS119" s="139"/>
      <c r="BT119" s="139"/>
      <c r="BU119" s="139"/>
      <c r="BV119" s="139"/>
      <c r="BW119" s="139"/>
      <c r="BX119" s="140"/>
      <c r="BY119" s="139"/>
      <c r="BZ119" s="139"/>
      <c r="CA119" s="139"/>
      <c r="CB119" s="139"/>
      <c r="CC119" s="139"/>
      <c r="CD119" s="139"/>
      <c r="CE119" s="139"/>
      <c r="CF119" s="139"/>
      <c r="CG119" s="139"/>
      <c r="CH119" s="139"/>
      <c r="CI119" s="139"/>
      <c r="CJ119" s="139"/>
      <c r="CK119" s="139"/>
    </row>
    <row r="120" spans="1:89" ht="14.25">
      <c r="A120" s="136"/>
      <c r="B120" s="30" t="s">
        <v>250</v>
      </c>
      <c r="C120" s="30" t="s">
        <v>4</v>
      </c>
      <c r="D120" s="137">
        <f t="shared" si="3"/>
        <v>12</v>
      </c>
      <c r="E120" s="207">
        <v>19</v>
      </c>
      <c r="F120" s="202"/>
      <c r="G120" s="207">
        <v>19</v>
      </c>
      <c r="H120" s="202"/>
      <c r="I120" s="207"/>
      <c r="J120" s="202"/>
      <c r="K120" s="207"/>
      <c r="L120" s="202"/>
      <c r="M120" s="207">
        <v>17</v>
      </c>
      <c r="N120" s="202"/>
      <c r="O120" s="201"/>
      <c r="P120" s="202"/>
      <c r="Q120" s="203">
        <f t="shared" si="4"/>
        <v>3</v>
      </c>
      <c r="R120" s="202"/>
      <c r="S120" s="207">
        <v>19</v>
      </c>
      <c r="T120" s="202"/>
      <c r="U120" s="207"/>
      <c r="V120" s="202"/>
      <c r="W120" s="207"/>
      <c r="X120" s="202"/>
      <c r="Y120" s="207">
        <v>19</v>
      </c>
      <c r="Z120" s="202"/>
      <c r="AA120" s="207"/>
      <c r="AB120" s="202"/>
      <c r="AC120" s="208"/>
      <c r="AD120" s="202"/>
      <c r="AE120" s="203">
        <f t="shared" si="5"/>
        <v>2</v>
      </c>
      <c r="AF120" s="202"/>
      <c r="AG120" s="204">
        <v>19</v>
      </c>
      <c r="AH120" s="202"/>
      <c r="AI120" s="204">
        <v>19</v>
      </c>
      <c r="AJ120" s="202"/>
      <c r="AK120" s="204"/>
      <c r="AL120" s="202"/>
      <c r="AM120" s="204">
        <v>19</v>
      </c>
      <c r="AN120" s="202"/>
      <c r="AO120" s="204"/>
      <c r="AP120" s="202"/>
      <c r="AQ120" s="208"/>
      <c r="AR120" s="202"/>
      <c r="AS120" s="203">
        <f t="shared" si="6"/>
        <v>3</v>
      </c>
      <c r="AT120" s="202"/>
      <c r="AU120" s="204">
        <v>19</v>
      </c>
      <c r="AV120" s="202"/>
      <c r="AW120" s="204">
        <v>19</v>
      </c>
      <c r="AX120" s="202"/>
      <c r="AY120" s="204"/>
      <c r="AZ120" s="202"/>
      <c r="BA120" s="204"/>
      <c r="BB120" s="202"/>
      <c r="BC120" s="204"/>
      <c r="BD120" s="202"/>
      <c r="BE120" s="208"/>
      <c r="BF120" s="202"/>
      <c r="BG120" s="203">
        <f t="shared" si="7"/>
        <v>2</v>
      </c>
      <c r="BH120" s="202"/>
      <c r="BI120" s="204">
        <v>19</v>
      </c>
      <c r="BJ120" s="202"/>
      <c r="BK120" s="204">
        <v>19</v>
      </c>
      <c r="BL120" s="202"/>
      <c r="BM120" s="204"/>
      <c r="BN120" s="202"/>
      <c r="BO120" s="203">
        <f t="shared" si="8"/>
        <v>2</v>
      </c>
      <c r="BP120" s="202"/>
      <c r="BQ120" s="138"/>
      <c r="BR120" s="139"/>
      <c r="BS120" s="139"/>
      <c r="BT120" s="139"/>
      <c r="BU120" s="139"/>
      <c r="BV120" s="139"/>
      <c r="BW120" s="139"/>
      <c r="BX120" s="140"/>
      <c r="BY120" s="139"/>
      <c r="BZ120" s="139"/>
      <c r="CA120" s="139"/>
      <c r="CB120" s="139"/>
      <c r="CC120" s="139"/>
      <c r="CD120" s="139"/>
      <c r="CE120" s="139"/>
      <c r="CF120" s="139"/>
      <c r="CG120" s="139"/>
      <c r="CH120" s="139"/>
      <c r="CI120" s="139"/>
      <c r="CJ120" s="139"/>
      <c r="CK120" s="139"/>
    </row>
    <row r="121" spans="1:89" ht="14.25">
      <c r="A121" s="142"/>
      <c r="B121" s="30" t="s">
        <v>252</v>
      </c>
      <c r="C121" s="30" t="s">
        <v>4</v>
      </c>
      <c r="D121" s="137">
        <f t="shared" si="3"/>
        <v>0</v>
      </c>
      <c r="E121" s="207"/>
      <c r="F121" s="202"/>
      <c r="G121" s="207"/>
      <c r="H121" s="202"/>
      <c r="I121" s="207"/>
      <c r="J121" s="202"/>
      <c r="K121" s="207"/>
      <c r="L121" s="202"/>
      <c r="M121" s="207"/>
      <c r="N121" s="202"/>
      <c r="O121" s="201"/>
      <c r="P121" s="202"/>
      <c r="Q121" s="203">
        <f t="shared" si="4"/>
        <v>0</v>
      </c>
      <c r="R121" s="202"/>
      <c r="S121" s="207"/>
      <c r="T121" s="202"/>
      <c r="U121" s="207"/>
      <c r="V121" s="202"/>
      <c r="W121" s="207"/>
      <c r="X121" s="202"/>
      <c r="Y121" s="207"/>
      <c r="Z121" s="202"/>
      <c r="AA121" s="207"/>
      <c r="AB121" s="202"/>
      <c r="AC121" s="208"/>
      <c r="AD121" s="202"/>
      <c r="AE121" s="203">
        <f t="shared" si="5"/>
        <v>0</v>
      </c>
      <c r="AF121" s="202"/>
      <c r="AG121" s="204"/>
      <c r="AH121" s="202"/>
      <c r="AI121" s="204"/>
      <c r="AJ121" s="202"/>
      <c r="AK121" s="204"/>
      <c r="AL121" s="202"/>
      <c r="AM121" s="204"/>
      <c r="AN121" s="202"/>
      <c r="AO121" s="204"/>
      <c r="AP121" s="202"/>
      <c r="AQ121" s="208"/>
      <c r="AR121" s="202"/>
      <c r="AS121" s="203">
        <f t="shared" si="6"/>
        <v>0</v>
      </c>
      <c r="AT121" s="202"/>
      <c r="AU121" s="204"/>
      <c r="AV121" s="202"/>
      <c r="AW121" s="204"/>
      <c r="AX121" s="202"/>
      <c r="AY121" s="204"/>
      <c r="AZ121" s="202"/>
      <c r="BA121" s="204"/>
      <c r="BB121" s="202"/>
      <c r="BC121" s="204"/>
      <c r="BD121" s="202"/>
      <c r="BE121" s="208"/>
      <c r="BF121" s="202"/>
      <c r="BG121" s="203">
        <f t="shared" si="7"/>
        <v>0</v>
      </c>
      <c r="BH121" s="202"/>
      <c r="BI121" s="204"/>
      <c r="BJ121" s="202"/>
      <c r="BK121" s="204"/>
      <c r="BL121" s="202"/>
      <c r="BM121" s="204"/>
      <c r="BN121" s="202"/>
      <c r="BO121" s="203">
        <f t="shared" si="8"/>
        <v>0</v>
      </c>
      <c r="BP121" s="202"/>
      <c r="BQ121" s="138"/>
      <c r="BR121" s="128"/>
      <c r="BS121" s="128"/>
      <c r="BT121" s="128"/>
      <c r="BU121" s="128"/>
      <c r="BV121" s="128"/>
      <c r="BW121" s="139"/>
      <c r="BX121" s="140"/>
      <c r="BY121" s="139"/>
      <c r="BZ121" s="139"/>
      <c r="CA121" s="134"/>
      <c r="CB121" s="134"/>
      <c r="CC121" s="134"/>
      <c r="CD121" s="134"/>
      <c r="CE121" s="134"/>
      <c r="CF121" s="134"/>
      <c r="CG121" s="134"/>
      <c r="CH121" s="134"/>
      <c r="CI121" s="134"/>
      <c r="CJ121" s="135"/>
      <c r="CK121" s="135"/>
    </row>
    <row r="122" spans="1:89" ht="14.25">
      <c r="A122" s="136"/>
      <c r="B122" s="30" t="s">
        <v>254</v>
      </c>
      <c r="C122" s="30" t="s">
        <v>4</v>
      </c>
      <c r="D122" s="137">
        <f t="shared" si="3"/>
        <v>12</v>
      </c>
      <c r="E122" s="207">
        <v>17</v>
      </c>
      <c r="F122" s="202"/>
      <c r="G122" s="207"/>
      <c r="H122" s="202"/>
      <c r="I122" s="207">
        <v>17</v>
      </c>
      <c r="J122" s="202"/>
      <c r="K122" s="207"/>
      <c r="L122" s="202"/>
      <c r="M122" s="207">
        <v>17</v>
      </c>
      <c r="N122" s="202"/>
      <c r="O122" s="201"/>
      <c r="P122" s="202"/>
      <c r="Q122" s="203">
        <f t="shared" si="4"/>
        <v>3</v>
      </c>
      <c r="R122" s="202"/>
      <c r="S122" s="207">
        <v>17</v>
      </c>
      <c r="T122" s="202"/>
      <c r="U122" s="207"/>
      <c r="V122" s="202"/>
      <c r="W122" s="207">
        <v>17</v>
      </c>
      <c r="X122" s="202"/>
      <c r="Y122" s="207"/>
      <c r="Z122" s="202"/>
      <c r="AA122" s="207"/>
      <c r="AB122" s="202"/>
      <c r="AC122" s="208"/>
      <c r="AD122" s="202"/>
      <c r="AE122" s="203">
        <f t="shared" si="5"/>
        <v>2</v>
      </c>
      <c r="AF122" s="202"/>
      <c r="AG122" s="204"/>
      <c r="AH122" s="202"/>
      <c r="AI122" s="204"/>
      <c r="AJ122" s="202"/>
      <c r="AK122" s="204">
        <v>17</v>
      </c>
      <c r="AL122" s="202"/>
      <c r="AM122" s="204"/>
      <c r="AN122" s="202"/>
      <c r="AO122" s="204">
        <v>17</v>
      </c>
      <c r="AP122" s="202"/>
      <c r="AQ122" s="208"/>
      <c r="AR122" s="202"/>
      <c r="AS122" s="203">
        <f t="shared" si="6"/>
        <v>2</v>
      </c>
      <c r="AT122" s="202"/>
      <c r="AU122" s="204">
        <v>17</v>
      </c>
      <c r="AV122" s="202"/>
      <c r="AW122" s="204"/>
      <c r="AX122" s="202"/>
      <c r="AY122" s="204">
        <v>17</v>
      </c>
      <c r="AZ122" s="202"/>
      <c r="BA122" s="204"/>
      <c r="BB122" s="202"/>
      <c r="BC122" s="204">
        <v>17</v>
      </c>
      <c r="BD122" s="202"/>
      <c r="BE122" s="208"/>
      <c r="BF122" s="202"/>
      <c r="BG122" s="203">
        <f t="shared" si="7"/>
        <v>3</v>
      </c>
      <c r="BH122" s="202"/>
      <c r="BI122" s="204">
        <v>17</v>
      </c>
      <c r="BJ122" s="202"/>
      <c r="BK122" s="204"/>
      <c r="BL122" s="202"/>
      <c r="BM122" s="204">
        <v>17</v>
      </c>
      <c r="BN122" s="202"/>
      <c r="BO122" s="203">
        <f t="shared" si="8"/>
        <v>2</v>
      </c>
      <c r="BP122" s="202"/>
      <c r="BQ122" s="138"/>
      <c r="BR122" s="139"/>
      <c r="BS122" s="139"/>
      <c r="BT122" s="139"/>
      <c r="BU122" s="139"/>
      <c r="BV122" s="139"/>
      <c r="BW122" s="139"/>
      <c r="BX122" s="140"/>
      <c r="BY122" s="139"/>
      <c r="BZ122" s="139"/>
      <c r="CA122" s="139"/>
      <c r="CB122" s="139"/>
      <c r="CC122" s="139"/>
      <c r="CD122" s="139"/>
      <c r="CE122" s="139"/>
      <c r="CF122" s="139"/>
      <c r="CG122" s="139"/>
      <c r="CH122" s="139"/>
      <c r="CI122" s="139"/>
      <c r="CJ122" s="139"/>
      <c r="CK122" s="139"/>
    </row>
    <row r="123" spans="1:89" ht="14.25">
      <c r="A123" s="136"/>
      <c r="B123" s="30" t="s">
        <v>256</v>
      </c>
      <c r="C123" s="30" t="s">
        <v>4</v>
      </c>
      <c r="D123" s="137">
        <f t="shared" si="3"/>
        <v>17</v>
      </c>
      <c r="E123" s="207">
        <v>12</v>
      </c>
      <c r="F123" s="202"/>
      <c r="G123" s="207"/>
      <c r="H123" s="202"/>
      <c r="I123" s="207">
        <v>12</v>
      </c>
      <c r="J123" s="202"/>
      <c r="K123" s="207">
        <v>10</v>
      </c>
      <c r="L123" s="202"/>
      <c r="M123" s="207">
        <v>12</v>
      </c>
      <c r="N123" s="202"/>
      <c r="O123" s="201"/>
      <c r="P123" s="202"/>
      <c r="Q123" s="203">
        <f t="shared" si="4"/>
        <v>4</v>
      </c>
      <c r="R123" s="202"/>
      <c r="S123" s="207">
        <v>12</v>
      </c>
      <c r="T123" s="202"/>
      <c r="U123" s="207">
        <v>12</v>
      </c>
      <c r="V123" s="202"/>
      <c r="W123" s="207"/>
      <c r="X123" s="202"/>
      <c r="Y123" s="207">
        <v>12</v>
      </c>
      <c r="Z123" s="202"/>
      <c r="AA123" s="207">
        <v>12</v>
      </c>
      <c r="AB123" s="202"/>
      <c r="AC123" s="208">
        <v>13</v>
      </c>
      <c r="AD123" s="202"/>
      <c r="AE123" s="203">
        <f t="shared" si="5"/>
        <v>4</v>
      </c>
      <c r="AF123" s="202"/>
      <c r="AG123" s="204">
        <v>12</v>
      </c>
      <c r="AH123" s="202"/>
      <c r="AI123" s="204">
        <v>20</v>
      </c>
      <c r="AJ123" s="202"/>
      <c r="AK123" s="204"/>
      <c r="AL123" s="202"/>
      <c r="AM123" s="204">
        <v>20</v>
      </c>
      <c r="AN123" s="202"/>
      <c r="AO123" s="204">
        <v>12</v>
      </c>
      <c r="AP123" s="202"/>
      <c r="AQ123" s="208"/>
      <c r="AR123" s="202"/>
      <c r="AS123" s="203">
        <f t="shared" si="6"/>
        <v>4</v>
      </c>
      <c r="AT123" s="202"/>
      <c r="AU123" s="204">
        <v>19</v>
      </c>
      <c r="AV123" s="202"/>
      <c r="AW123" s="204">
        <v>12</v>
      </c>
      <c r="AX123" s="202"/>
      <c r="AY123" s="204">
        <v>12</v>
      </c>
      <c r="AZ123" s="202"/>
      <c r="BA123" s="204"/>
      <c r="BB123" s="202"/>
      <c r="BC123" s="204">
        <v>20</v>
      </c>
      <c r="BD123" s="202"/>
      <c r="BE123" s="208"/>
      <c r="BF123" s="202"/>
      <c r="BG123" s="203">
        <f t="shared" si="7"/>
        <v>4</v>
      </c>
      <c r="BH123" s="202"/>
      <c r="BI123" s="204"/>
      <c r="BJ123" s="202"/>
      <c r="BK123" s="204"/>
      <c r="BL123" s="202"/>
      <c r="BM123" s="204">
        <v>21</v>
      </c>
      <c r="BN123" s="202"/>
      <c r="BO123" s="203">
        <f t="shared" si="8"/>
        <v>1</v>
      </c>
      <c r="BP123" s="202"/>
      <c r="BQ123" s="138"/>
      <c r="BR123" s="139"/>
      <c r="BS123" s="139"/>
      <c r="BT123" s="139"/>
      <c r="BU123" s="139"/>
      <c r="BV123" s="139"/>
      <c r="BW123" s="139"/>
      <c r="BX123" s="140"/>
      <c r="BY123" s="139"/>
      <c r="BZ123" s="139"/>
      <c r="CA123" s="139"/>
      <c r="CB123" s="139"/>
      <c r="CC123" s="139"/>
      <c r="CD123" s="139"/>
      <c r="CE123" s="139"/>
      <c r="CF123" s="139"/>
      <c r="CG123" s="139"/>
      <c r="CH123" s="139"/>
      <c r="CI123" s="139"/>
      <c r="CJ123" s="139"/>
      <c r="CK123" s="139"/>
    </row>
    <row r="124" spans="1:89" ht="14.25">
      <c r="A124" s="142"/>
      <c r="B124" s="30" t="s">
        <v>258</v>
      </c>
      <c r="C124" s="30" t="s">
        <v>4</v>
      </c>
      <c r="D124" s="137">
        <f t="shared" si="3"/>
        <v>11</v>
      </c>
      <c r="E124" s="207">
        <v>10</v>
      </c>
      <c r="F124" s="202"/>
      <c r="G124" s="207">
        <v>17</v>
      </c>
      <c r="H124" s="202"/>
      <c r="I124" s="207">
        <v>18</v>
      </c>
      <c r="J124" s="202"/>
      <c r="K124" s="207"/>
      <c r="L124" s="202"/>
      <c r="M124" s="207"/>
      <c r="N124" s="202"/>
      <c r="O124" s="201"/>
      <c r="P124" s="202"/>
      <c r="Q124" s="203">
        <f t="shared" si="4"/>
        <v>3</v>
      </c>
      <c r="R124" s="202"/>
      <c r="S124" s="207">
        <v>17</v>
      </c>
      <c r="T124" s="202"/>
      <c r="U124" s="207"/>
      <c r="V124" s="202"/>
      <c r="W124" s="207"/>
      <c r="X124" s="202"/>
      <c r="Y124" s="207">
        <v>18</v>
      </c>
      <c r="Z124" s="202"/>
      <c r="AA124" s="207">
        <v>17</v>
      </c>
      <c r="AB124" s="202"/>
      <c r="AC124" s="208"/>
      <c r="AD124" s="202"/>
      <c r="AE124" s="203">
        <f t="shared" si="5"/>
        <v>3</v>
      </c>
      <c r="AF124" s="202"/>
      <c r="AG124" s="204">
        <v>10</v>
      </c>
      <c r="AH124" s="202"/>
      <c r="AI124" s="204"/>
      <c r="AJ124" s="202"/>
      <c r="AK124" s="204"/>
      <c r="AL124" s="202"/>
      <c r="AM124" s="204"/>
      <c r="AN124" s="202"/>
      <c r="AO124" s="204"/>
      <c r="AP124" s="202"/>
      <c r="AQ124" s="208"/>
      <c r="AR124" s="202"/>
      <c r="AS124" s="203">
        <f t="shared" si="6"/>
        <v>1</v>
      </c>
      <c r="AT124" s="202"/>
      <c r="AU124" s="204"/>
      <c r="AV124" s="202"/>
      <c r="AW124" s="204">
        <v>10</v>
      </c>
      <c r="AX124" s="202"/>
      <c r="AY124" s="204"/>
      <c r="AZ124" s="202"/>
      <c r="BA124" s="204"/>
      <c r="BB124" s="202"/>
      <c r="BC124" s="204">
        <v>17</v>
      </c>
      <c r="BD124" s="202"/>
      <c r="BE124" s="208">
        <v>13</v>
      </c>
      <c r="BF124" s="202"/>
      <c r="BG124" s="203">
        <f t="shared" si="7"/>
        <v>2</v>
      </c>
      <c r="BH124" s="202"/>
      <c r="BI124" s="204">
        <v>10</v>
      </c>
      <c r="BJ124" s="202"/>
      <c r="BK124" s="204">
        <v>12</v>
      </c>
      <c r="BL124" s="202"/>
      <c r="BM124" s="204"/>
      <c r="BN124" s="202"/>
      <c r="BO124" s="203">
        <f t="shared" si="8"/>
        <v>2</v>
      </c>
      <c r="BP124" s="202"/>
      <c r="BQ124" s="138"/>
      <c r="BR124" s="128"/>
      <c r="BS124" s="128"/>
      <c r="BT124" s="128"/>
      <c r="BU124" s="128"/>
      <c r="BV124" s="128"/>
      <c r="BW124" s="139"/>
      <c r="BX124" s="140"/>
      <c r="BY124" s="139"/>
      <c r="BZ124" s="139"/>
      <c r="CA124" s="134"/>
      <c r="CB124" s="134"/>
      <c r="CC124" s="134"/>
      <c r="CD124" s="134"/>
      <c r="CE124" s="134"/>
      <c r="CF124" s="134"/>
      <c r="CG124" s="134"/>
      <c r="CH124" s="134"/>
      <c r="CI124" s="134"/>
      <c r="CJ124" s="135"/>
      <c r="CK124" s="135"/>
    </row>
    <row r="125" spans="1:89" ht="14.25">
      <c r="A125" s="136"/>
      <c r="B125" s="30" t="s">
        <v>260</v>
      </c>
      <c r="C125" s="30" t="s">
        <v>4</v>
      </c>
      <c r="D125" s="137">
        <f t="shared" si="3"/>
        <v>1</v>
      </c>
      <c r="E125" s="207"/>
      <c r="F125" s="202"/>
      <c r="G125" s="207"/>
      <c r="H125" s="202"/>
      <c r="I125" s="207"/>
      <c r="J125" s="202"/>
      <c r="K125" s="207"/>
      <c r="L125" s="202"/>
      <c r="M125" s="207"/>
      <c r="N125" s="202"/>
      <c r="O125" s="201"/>
      <c r="P125" s="202"/>
      <c r="Q125" s="203">
        <f t="shared" si="4"/>
        <v>0</v>
      </c>
      <c r="R125" s="202"/>
      <c r="S125" s="207"/>
      <c r="T125" s="202"/>
      <c r="U125" s="207"/>
      <c r="V125" s="202"/>
      <c r="W125" s="207"/>
      <c r="X125" s="202"/>
      <c r="Y125" s="207"/>
      <c r="Z125" s="202"/>
      <c r="AA125" s="207"/>
      <c r="AB125" s="202"/>
      <c r="AC125" s="208"/>
      <c r="AD125" s="202"/>
      <c r="AE125" s="203">
        <f t="shared" si="5"/>
        <v>0</v>
      </c>
      <c r="AF125" s="202"/>
      <c r="AG125" s="204"/>
      <c r="AH125" s="202"/>
      <c r="AI125" s="204"/>
      <c r="AJ125" s="202"/>
      <c r="AK125" s="204"/>
      <c r="AL125" s="202"/>
      <c r="AM125" s="204"/>
      <c r="AN125" s="202"/>
      <c r="AO125" s="204"/>
      <c r="AP125" s="202"/>
      <c r="AQ125" s="208"/>
      <c r="AR125" s="202"/>
      <c r="AS125" s="203">
        <f t="shared" si="6"/>
        <v>0</v>
      </c>
      <c r="AT125" s="202"/>
      <c r="AU125" s="204"/>
      <c r="AV125" s="202"/>
      <c r="AW125" s="204"/>
      <c r="AX125" s="202"/>
      <c r="AY125" s="204"/>
      <c r="AZ125" s="202"/>
      <c r="BA125" s="204"/>
      <c r="BB125" s="202"/>
      <c r="BC125" s="204"/>
      <c r="BD125" s="202"/>
      <c r="BE125" s="208"/>
      <c r="BF125" s="202"/>
      <c r="BG125" s="203">
        <f t="shared" si="7"/>
        <v>0</v>
      </c>
      <c r="BH125" s="202"/>
      <c r="BI125" s="204"/>
      <c r="BJ125" s="202"/>
      <c r="BK125" s="204"/>
      <c r="BL125" s="202"/>
      <c r="BM125" s="204">
        <v>12</v>
      </c>
      <c r="BN125" s="202"/>
      <c r="BO125" s="203">
        <f t="shared" si="8"/>
        <v>1</v>
      </c>
      <c r="BP125" s="202"/>
      <c r="BQ125" s="138"/>
      <c r="BR125" s="139"/>
      <c r="BS125" s="139"/>
      <c r="BT125" s="139"/>
      <c r="BU125" s="139"/>
      <c r="BV125" s="139"/>
      <c r="BW125" s="139"/>
      <c r="BX125" s="140"/>
      <c r="BY125" s="139"/>
      <c r="BZ125" s="139"/>
      <c r="CA125" s="139"/>
      <c r="CB125" s="139"/>
      <c r="CC125" s="139"/>
      <c r="CD125" s="139"/>
      <c r="CE125" s="139"/>
      <c r="CF125" s="139"/>
      <c r="CG125" s="139"/>
      <c r="CH125" s="139"/>
      <c r="CI125" s="139"/>
      <c r="CJ125" s="139"/>
      <c r="CK125" s="139"/>
    </row>
    <row r="126" spans="1:89" ht="14.25">
      <c r="A126" s="142"/>
      <c r="B126" s="30" t="s">
        <v>262</v>
      </c>
      <c r="C126" s="30" t="s">
        <v>3</v>
      </c>
      <c r="D126" s="137">
        <f t="shared" si="3"/>
        <v>17</v>
      </c>
      <c r="E126" s="207"/>
      <c r="F126" s="202"/>
      <c r="G126" s="207">
        <v>21</v>
      </c>
      <c r="H126" s="202"/>
      <c r="I126" s="207">
        <v>21</v>
      </c>
      <c r="J126" s="202"/>
      <c r="K126" s="207">
        <v>21</v>
      </c>
      <c r="L126" s="202"/>
      <c r="M126" s="207">
        <v>21</v>
      </c>
      <c r="N126" s="202"/>
      <c r="O126" s="201"/>
      <c r="P126" s="202"/>
      <c r="Q126" s="203">
        <f t="shared" si="4"/>
        <v>4</v>
      </c>
      <c r="R126" s="202"/>
      <c r="S126" s="207">
        <v>18</v>
      </c>
      <c r="T126" s="202"/>
      <c r="U126" s="207">
        <v>21</v>
      </c>
      <c r="V126" s="202"/>
      <c r="W126" s="207">
        <v>19</v>
      </c>
      <c r="X126" s="202"/>
      <c r="Y126" s="207">
        <v>21</v>
      </c>
      <c r="Z126" s="202"/>
      <c r="AA126" s="207"/>
      <c r="AB126" s="202"/>
      <c r="AC126" s="208">
        <v>11</v>
      </c>
      <c r="AD126" s="202"/>
      <c r="AE126" s="203">
        <f t="shared" si="5"/>
        <v>4</v>
      </c>
      <c r="AF126" s="202"/>
      <c r="AG126" s="204">
        <v>21</v>
      </c>
      <c r="AH126" s="202"/>
      <c r="AI126" s="204">
        <v>18</v>
      </c>
      <c r="AJ126" s="202"/>
      <c r="AK126" s="204">
        <v>19</v>
      </c>
      <c r="AL126" s="202"/>
      <c r="AM126" s="204">
        <v>12</v>
      </c>
      <c r="AN126" s="202"/>
      <c r="AO126" s="204">
        <v>19</v>
      </c>
      <c r="AP126" s="202"/>
      <c r="AQ126" s="208"/>
      <c r="AR126" s="202"/>
      <c r="AS126" s="203">
        <f t="shared" si="6"/>
        <v>5</v>
      </c>
      <c r="AT126" s="202"/>
      <c r="AU126" s="204">
        <v>21</v>
      </c>
      <c r="AV126" s="202"/>
      <c r="AW126" s="204"/>
      <c r="AX126" s="202"/>
      <c r="AY126" s="204"/>
      <c r="AZ126" s="202"/>
      <c r="BA126" s="204"/>
      <c r="BB126" s="202"/>
      <c r="BC126" s="204"/>
      <c r="BD126" s="202"/>
      <c r="BE126" s="208"/>
      <c r="BF126" s="202"/>
      <c r="BG126" s="203">
        <f t="shared" si="7"/>
        <v>1</v>
      </c>
      <c r="BH126" s="202"/>
      <c r="BI126" s="204">
        <v>21</v>
      </c>
      <c r="BJ126" s="202"/>
      <c r="BK126" s="204">
        <v>18</v>
      </c>
      <c r="BL126" s="202"/>
      <c r="BM126" s="204">
        <v>18</v>
      </c>
      <c r="BN126" s="202"/>
      <c r="BO126" s="203">
        <f t="shared" si="8"/>
        <v>3</v>
      </c>
      <c r="BP126" s="202"/>
      <c r="BQ126" s="138"/>
      <c r="BR126" s="128"/>
      <c r="BS126" s="128"/>
      <c r="BT126" s="128"/>
      <c r="BU126" s="128"/>
      <c r="BV126" s="128"/>
      <c r="BW126" s="139"/>
      <c r="BX126" s="140"/>
      <c r="BY126" s="139"/>
      <c r="BZ126" s="139"/>
      <c r="CA126" s="134"/>
      <c r="CB126" s="134"/>
      <c r="CC126" s="134"/>
      <c r="CD126" s="134"/>
      <c r="CE126" s="134"/>
      <c r="CF126" s="134"/>
      <c r="CG126" s="134"/>
      <c r="CH126" s="134"/>
      <c r="CI126" s="134"/>
      <c r="CJ126" s="135"/>
      <c r="CK126" s="135"/>
    </row>
    <row r="127" spans="1:89" ht="14.25">
      <c r="A127" s="142"/>
      <c r="B127" s="30" t="s">
        <v>264</v>
      </c>
      <c r="C127" s="30" t="s">
        <v>4</v>
      </c>
      <c r="D127" s="137">
        <f t="shared" si="3"/>
        <v>5</v>
      </c>
      <c r="E127" s="207">
        <v>18</v>
      </c>
      <c r="F127" s="202"/>
      <c r="G127" s="207">
        <v>18</v>
      </c>
      <c r="H127" s="202"/>
      <c r="I127" s="207">
        <v>18</v>
      </c>
      <c r="J127" s="202"/>
      <c r="K127" s="207"/>
      <c r="L127" s="202"/>
      <c r="M127" s="207">
        <v>19</v>
      </c>
      <c r="N127" s="202"/>
      <c r="O127" s="201"/>
      <c r="P127" s="202"/>
      <c r="Q127" s="203">
        <f t="shared" si="4"/>
        <v>4</v>
      </c>
      <c r="R127" s="202"/>
      <c r="S127" s="207"/>
      <c r="T127" s="202"/>
      <c r="U127" s="207"/>
      <c r="V127" s="202"/>
      <c r="W127" s="207"/>
      <c r="X127" s="202"/>
      <c r="Y127" s="207"/>
      <c r="Z127" s="202"/>
      <c r="AA127" s="207"/>
      <c r="AB127" s="202"/>
      <c r="AC127" s="208"/>
      <c r="AD127" s="202"/>
      <c r="AE127" s="203">
        <f t="shared" si="5"/>
        <v>0</v>
      </c>
      <c r="AF127" s="202"/>
      <c r="AG127" s="204"/>
      <c r="AH127" s="202"/>
      <c r="AI127" s="204"/>
      <c r="AJ127" s="202"/>
      <c r="AK127" s="204">
        <v>12</v>
      </c>
      <c r="AL127" s="202"/>
      <c r="AM127" s="204"/>
      <c r="AN127" s="202"/>
      <c r="AO127" s="204"/>
      <c r="AP127" s="202"/>
      <c r="AQ127" s="208"/>
      <c r="AR127" s="202"/>
      <c r="AS127" s="203">
        <f t="shared" si="6"/>
        <v>1</v>
      </c>
      <c r="AT127" s="202"/>
      <c r="AU127" s="204"/>
      <c r="AV127" s="202"/>
      <c r="AW127" s="204"/>
      <c r="AX127" s="202"/>
      <c r="AY127" s="204"/>
      <c r="AZ127" s="202"/>
      <c r="BA127" s="204"/>
      <c r="BB127" s="202"/>
      <c r="BC127" s="204"/>
      <c r="BD127" s="202"/>
      <c r="BE127" s="208"/>
      <c r="BF127" s="202"/>
      <c r="BG127" s="203">
        <f t="shared" si="7"/>
        <v>0</v>
      </c>
      <c r="BH127" s="202"/>
      <c r="BI127" s="204"/>
      <c r="BJ127" s="202"/>
      <c r="BK127" s="204"/>
      <c r="BL127" s="202"/>
      <c r="BM127" s="204"/>
      <c r="BN127" s="202"/>
      <c r="BO127" s="203">
        <f t="shared" si="8"/>
        <v>0</v>
      </c>
      <c r="BP127" s="202"/>
      <c r="BQ127" s="138"/>
      <c r="BR127" s="128"/>
      <c r="BS127" s="128"/>
      <c r="BT127" s="128"/>
      <c r="BU127" s="128"/>
      <c r="BV127" s="128"/>
      <c r="BW127" s="139"/>
      <c r="BX127" s="140"/>
      <c r="BY127" s="139"/>
      <c r="BZ127" s="139"/>
      <c r="CA127" s="134"/>
      <c r="CB127" s="134"/>
      <c r="CC127" s="134"/>
      <c r="CD127" s="134"/>
      <c r="CE127" s="134"/>
      <c r="CF127" s="134"/>
      <c r="CG127" s="134"/>
      <c r="CH127" s="134"/>
      <c r="CI127" s="134"/>
      <c r="CJ127" s="135"/>
      <c r="CK127" s="135"/>
    </row>
    <row r="128" spans="1:89" ht="14.25">
      <c r="A128" s="136"/>
      <c r="B128" s="30" t="s">
        <v>401</v>
      </c>
      <c r="C128" s="30" t="s">
        <v>4</v>
      </c>
      <c r="D128" s="137">
        <f t="shared" si="3"/>
        <v>2</v>
      </c>
      <c r="E128" s="207">
        <v>21</v>
      </c>
      <c r="F128" s="202"/>
      <c r="G128" s="207"/>
      <c r="H128" s="202"/>
      <c r="I128" s="207"/>
      <c r="J128" s="202"/>
      <c r="K128" s="207"/>
      <c r="L128" s="202"/>
      <c r="M128" s="207"/>
      <c r="N128" s="202"/>
      <c r="O128" s="201"/>
      <c r="P128" s="202"/>
      <c r="Q128" s="203">
        <f t="shared" si="4"/>
        <v>1</v>
      </c>
      <c r="R128" s="202"/>
      <c r="S128" s="207">
        <v>21</v>
      </c>
      <c r="T128" s="202"/>
      <c r="U128" s="207"/>
      <c r="V128" s="202"/>
      <c r="W128" s="207"/>
      <c r="X128" s="202"/>
      <c r="Y128" s="207"/>
      <c r="Z128" s="202"/>
      <c r="AA128" s="207"/>
      <c r="AB128" s="202"/>
      <c r="AC128" s="208"/>
      <c r="AD128" s="202"/>
      <c r="AE128" s="203">
        <f t="shared" si="5"/>
        <v>1</v>
      </c>
      <c r="AF128" s="202"/>
      <c r="AG128" s="204"/>
      <c r="AH128" s="202"/>
      <c r="AI128" s="204"/>
      <c r="AJ128" s="202"/>
      <c r="AK128" s="204"/>
      <c r="AL128" s="202"/>
      <c r="AM128" s="204"/>
      <c r="AN128" s="202"/>
      <c r="AO128" s="204"/>
      <c r="AP128" s="202"/>
      <c r="AQ128" s="208"/>
      <c r="AR128" s="202"/>
      <c r="AS128" s="203">
        <f t="shared" si="6"/>
        <v>0</v>
      </c>
      <c r="AT128" s="202"/>
      <c r="AU128" s="204"/>
      <c r="AV128" s="202"/>
      <c r="AW128" s="204"/>
      <c r="AX128" s="202"/>
      <c r="AY128" s="204"/>
      <c r="AZ128" s="202"/>
      <c r="BA128" s="204"/>
      <c r="BB128" s="202"/>
      <c r="BC128" s="204"/>
      <c r="BD128" s="202"/>
      <c r="BE128" s="208"/>
      <c r="BF128" s="202"/>
      <c r="BG128" s="203">
        <f t="shared" si="7"/>
        <v>0</v>
      </c>
      <c r="BH128" s="202"/>
      <c r="BI128" s="204"/>
      <c r="BJ128" s="202"/>
      <c r="BK128" s="204"/>
      <c r="BL128" s="202"/>
      <c r="BM128" s="204"/>
      <c r="BN128" s="202"/>
      <c r="BO128" s="203">
        <f t="shared" si="8"/>
        <v>0</v>
      </c>
      <c r="BP128" s="202"/>
      <c r="BQ128" s="138"/>
      <c r="BR128" s="139"/>
      <c r="BS128" s="139"/>
      <c r="BT128" s="139"/>
      <c r="BU128" s="139"/>
      <c r="BV128" s="139"/>
      <c r="BW128" s="139"/>
      <c r="BX128" s="140"/>
      <c r="BY128" s="139"/>
      <c r="BZ128" s="139"/>
      <c r="CA128" s="139"/>
      <c r="CB128" s="139"/>
      <c r="CC128" s="139"/>
      <c r="CD128" s="139"/>
      <c r="CE128" s="139"/>
      <c r="CF128" s="139"/>
      <c r="CG128" s="139"/>
      <c r="CH128" s="139"/>
      <c r="CI128" s="139"/>
      <c r="CJ128" s="139"/>
      <c r="CK128" s="139"/>
    </row>
    <row r="129" spans="1:89" ht="14.25">
      <c r="A129" s="136"/>
      <c r="B129" s="30" t="s">
        <v>399</v>
      </c>
      <c r="C129" s="30" t="s">
        <v>4</v>
      </c>
      <c r="D129" s="137">
        <f t="shared" si="3"/>
        <v>1</v>
      </c>
      <c r="E129" s="207">
        <v>20</v>
      </c>
      <c r="F129" s="202"/>
      <c r="G129" s="207"/>
      <c r="H129" s="202"/>
      <c r="I129" s="207"/>
      <c r="J129" s="202"/>
      <c r="K129" s="207"/>
      <c r="L129" s="202"/>
      <c r="M129" s="207"/>
      <c r="N129" s="202"/>
      <c r="O129" s="201"/>
      <c r="P129" s="202"/>
      <c r="Q129" s="203">
        <f t="shared" si="4"/>
        <v>1</v>
      </c>
      <c r="R129" s="202"/>
      <c r="S129" s="207"/>
      <c r="T129" s="202"/>
      <c r="U129" s="207"/>
      <c r="V129" s="202"/>
      <c r="W129" s="207"/>
      <c r="X129" s="202"/>
      <c r="Y129" s="207"/>
      <c r="Z129" s="202"/>
      <c r="AA129" s="207"/>
      <c r="AB129" s="202"/>
      <c r="AC129" s="208"/>
      <c r="AD129" s="202"/>
      <c r="AE129" s="203">
        <f t="shared" si="5"/>
        <v>0</v>
      </c>
      <c r="AF129" s="202"/>
      <c r="AG129" s="204"/>
      <c r="AH129" s="202"/>
      <c r="AI129" s="204"/>
      <c r="AJ129" s="202"/>
      <c r="AK129" s="204"/>
      <c r="AL129" s="202"/>
      <c r="AM129" s="204"/>
      <c r="AN129" s="202"/>
      <c r="AO129" s="204"/>
      <c r="AP129" s="202"/>
      <c r="AQ129" s="208"/>
      <c r="AR129" s="202"/>
      <c r="AS129" s="203">
        <f t="shared" si="6"/>
        <v>0</v>
      </c>
      <c r="AT129" s="202"/>
      <c r="AU129" s="204"/>
      <c r="AV129" s="202"/>
      <c r="AW129" s="204"/>
      <c r="AX129" s="202"/>
      <c r="AY129" s="204"/>
      <c r="AZ129" s="202"/>
      <c r="BA129" s="204"/>
      <c r="BB129" s="202"/>
      <c r="BC129" s="204"/>
      <c r="BD129" s="202"/>
      <c r="BE129" s="208"/>
      <c r="BF129" s="202"/>
      <c r="BG129" s="203">
        <f t="shared" si="7"/>
        <v>0</v>
      </c>
      <c r="BH129" s="202"/>
      <c r="BI129" s="204"/>
      <c r="BJ129" s="202"/>
      <c r="BK129" s="204"/>
      <c r="BL129" s="202"/>
      <c r="BM129" s="204"/>
      <c r="BN129" s="202"/>
      <c r="BO129" s="203">
        <f t="shared" si="8"/>
        <v>0</v>
      </c>
      <c r="BP129" s="202"/>
      <c r="BQ129" s="138"/>
      <c r="BR129" s="139"/>
      <c r="BS129" s="139"/>
      <c r="BT129" s="139"/>
      <c r="BU129" s="139"/>
      <c r="BV129" s="139"/>
      <c r="BW129" s="139"/>
      <c r="BX129" s="140"/>
      <c r="BY129" s="139"/>
      <c r="BZ129" s="139"/>
      <c r="CA129" s="139"/>
      <c r="CB129" s="139"/>
      <c r="CC129" s="139"/>
      <c r="CD129" s="139"/>
      <c r="CE129" s="139"/>
      <c r="CF129" s="139"/>
      <c r="CG129" s="139"/>
      <c r="CH129" s="139"/>
      <c r="CI129" s="139"/>
      <c r="CJ129" s="139"/>
      <c r="CK129" s="139"/>
    </row>
    <row r="130" spans="1:89" ht="14.25">
      <c r="A130" s="142"/>
      <c r="B130" s="30" t="s">
        <v>266</v>
      </c>
      <c r="C130" s="30" t="s">
        <v>4</v>
      </c>
      <c r="D130" s="137">
        <f t="shared" si="3"/>
        <v>3</v>
      </c>
      <c r="E130" s="207">
        <v>12</v>
      </c>
      <c r="F130" s="202"/>
      <c r="G130" s="207">
        <v>18</v>
      </c>
      <c r="H130" s="202"/>
      <c r="I130" s="207"/>
      <c r="J130" s="202"/>
      <c r="K130" s="207"/>
      <c r="L130" s="202"/>
      <c r="M130" s="207"/>
      <c r="N130" s="202"/>
      <c r="O130" s="201"/>
      <c r="P130" s="202"/>
      <c r="Q130" s="203">
        <f t="shared" si="4"/>
        <v>2</v>
      </c>
      <c r="R130" s="202"/>
      <c r="S130" s="207"/>
      <c r="T130" s="202"/>
      <c r="U130" s="207"/>
      <c r="V130" s="202"/>
      <c r="W130" s="207">
        <v>17</v>
      </c>
      <c r="X130" s="202"/>
      <c r="Y130" s="207"/>
      <c r="Z130" s="202"/>
      <c r="AA130" s="207"/>
      <c r="AB130" s="202"/>
      <c r="AC130" s="208"/>
      <c r="AD130" s="202"/>
      <c r="AE130" s="203">
        <f t="shared" si="5"/>
        <v>1</v>
      </c>
      <c r="AF130" s="202"/>
      <c r="AG130" s="204"/>
      <c r="AH130" s="202"/>
      <c r="AI130" s="204"/>
      <c r="AJ130" s="202"/>
      <c r="AK130" s="204"/>
      <c r="AL130" s="202"/>
      <c r="AM130" s="204"/>
      <c r="AN130" s="202"/>
      <c r="AO130" s="204"/>
      <c r="AP130" s="202"/>
      <c r="AQ130" s="208"/>
      <c r="AR130" s="202"/>
      <c r="AS130" s="203">
        <f t="shared" si="6"/>
        <v>0</v>
      </c>
      <c r="AT130" s="202"/>
      <c r="AU130" s="204"/>
      <c r="AV130" s="202"/>
      <c r="AW130" s="204"/>
      <c r="AX130" s="202"/>
      <c r="AY130" s="204"/>
      <c r="AZ130" s="202"/>
      <c r="BA130" s="204"/>
      <c r="BB130" s="202"/>
      <c r="BC130" s="204"/>
      <c r="BD130" s="202"/>
      <c r="BE130" s="208"/>
      <c r="BF130" s="202"/>
      <c r="BG130" s="203">
        <f t="shared" si="7"/>
        <v>0</v>
      </c>
      <c r="BH130" s="202"/>
      <c r="BI130" s="204"/>
      <c r="BJ130" s="202"/>
      <c r="BK130" s="204"/>
      <c r="BL130" s="202"/>
      <c r="BM130" s="204"/>
      <c r="BN130" s="202"/>
      <c r="BO130" s="203">
        <f t="shared" si="8"/>
        <v>0</v>
      </c>
      <c r="BP130" s="202"/>
      <c r="BQ130" s="138"/>
      <c r="BR130" s="128"/>
      <c r="BS130" s="128"/>
      <c r="BT130" s="128"/>
      <c r="BU130" s="128"/>
      <c r="BV130" s="128"/>
      <c r="BW130" s="139"/>
      <c r="BX130" s="140"/>
      <c r="BY130" s="139"/>
      <c r="BZ130" s="139"/>
      <c r="CA130" s="134"/>
      <c r="CB130" s="134"/>
      <c r="CC130" s="134"/>
      <c r="CD130" s="134"/>
      <c r="CE130" s="134"/>
      <c r="CF130" s="134"/>
      <c r="CG130" s="134"/>
      <c r="CH130" s="134"/>
      <c r="CI130" s="134"/>
      <c r="CJ130" s="135"/>
      <c r="CK130" s="135"/>
    </row>
    <row r="131" spans="1:89" ht="14.25">
      <c r="A131" s="136"/>
      <c r="B131" s="30" t="s">
        <v>268</v>
      </c>
      <c r="C131" s="30" t="s">
        <v>4</v>
      </c>
      <c r="D131" s="137">
        <f t="shared" si="3"/>
        <v>19</v>
      </c>
      <c r="E131" s="207">
        <v>20</v>
      </c>
      <c r="F131" s="202"/>
      <c r="G131" s="207">
        <v>18</v>
      </c>
      <c r="H131" s="202"/>
      <c r="I131" s="207">
        <v>18</v>
      </c>
      <c r="J131" s="202"/>
      <c r="K131" s="207">
        <v>18</v>
      </c>
      <c r="L131" s="202"/>
      <c r="M131" s="207">
        <v>19</v>
      </c>
      <c r="N131" s="202"/>
      <c r="O131" s="201"/>
      <c r="P131" s="202"/>
      <c r="Q131" s="203">
        <f t="shared" si="4"/>
        <v>5</v>
      </c>
      <c r="R131" s="202"/>
      <c r="S131" s="207">
        <v>18</v>
      </c>
      <c r="T131" s="202"/>
      <c r="U131" s="207">
        <v>18</v>
      </c>
      <c r="V131" s="202"/>
      <c r="W131" s="207">
        <v>19</v>
      </c>
      <c r="X131" s="202"/>
      <c r="Y131" s="207">
        <v>19</v>
      </c>
      <c r="Z131" s="202"/>
      <c r="AA131" s="207"/>
      <c r="AB131" s="202"/>
      <c r="AC131" s="208"/>
      <c r="AD131" s="202"/>
      <c r="AE131" s="203">
        <f t="shared" si="5"/>
        <v>4</v>
      </c>
      <c r="AF131" s="202"/>
      <c r="AG131" s="204">
        <v>18</v>
      </c>
      <c r="AH131" s="202"/>
      <c r="AI131" s="204">
        <v>18</v>
      </c>
      <c r="AJ131" s="202"/>
      <c r="AK131" s="204">
        <v>19</v>
      </c>
      <c r="AL131" s="202"/>
      <c r="AM131" s="204">
        <v>18</v>
      </c>
      <c r="AN131" s="202"/>
      <c r="AO131" s="204">
        <v>19</v>
      </c>
      <c r="AP131" s="202"/>
      <c r="AQ131" s="208">
        <v>11</v>
      </c>
      <c r="AR131" s="202"/>
      <c r="AS131" s="203">
        <f t="shared" si="6"/>
        <v>5</v>
      </c>
      <c r="AT131" s="202"/>
      <c r="AU131" s="204"/>
      <c r="AV131" s="202"/>
      <c r="AW131" s="204"/>
      <c r="AX131" s="202"/>
      <c r="AY131" s="204">
        <v>18</v>
      </c>
      <c r="AZ131" s="202"/>
      <c r="BA131" s="204"/>
      <c r="BB131" s="202"/>
      <c r="BC131" s="204">
        <v>19</v>
      </c>
      <c r="BD131" s="202"/>
      <c r="BE131" s="208">
        <v>11</v>
      </c>
      <c r="BF131" s="202"/>
      <c r="BG131" s="203">
        <f t="shared" si="7"/>
        <v>2</v>
      </c>
      <c r="BH131" s="202"/>
      <c r="BI131" s="204">
        <v>19</v>
      </c>
      <c r="BJ131" s="202"/>
      <c r="BK131" s="204">
        <v>18</v>
      </c>
      <c r="BL131" s="202"/>
      <c r="BM131" s="204">
        <v>10</v>
      </c>
      <c r="BN131" s="202"/>
      <c r="BO131" s="203">
        <f t="shared" si="8"/>
        <v>3</v>
      </c>
      <c r="BP131" s="202"/>
      <c r="BQ131" s="138"/>
      <c r="BR131" s="139"/>
      <c r="BS131" s="139"/>
      <c r="BT131" s="139"/>
      <c r="BU131" s="139"/>
      <c r="BV131" s="139"/>
      <c r="BW131" s="139"/>
      <c r="BX131" s="140"/>
      <c r="BY131" s="139"/>
      <c r="BZ131" s="139"/>
      <c r="CA131" s="139"/>
      <c r="CB131" s="139"/>
      <c r="CC131" s="139"/>
      <c r="CD131" s="139"/>
      <c r="CE131" s="139"/>
      <c r="CF131" s="139"/>
      <c r="CG131" s="139"/>
      <c r="CH131" s="139"/>
      <c r="CI131" s="139"/>
      <c r="CJ131" s="139"/>
      <c r="CK131" s="139"/>
    </row>
    <row r="132" spans="1:89" ht="14.25">
      <c r="A132" s="142"/>
      <c r="B132" s="30" t="s">
        <v>270</v>
      </c>
      <c r="C132" s="30" t="s">
        <v>4</v>
      </c>
      <c r="D132" s="137">
        <f t="shared" si="3"/>
        <v>1</v>
      </c>
      <c r="E132" s="207"/>
      <c r="F132" s="202"/>
      <c r="G132" s="207"/>
      <c r="H132" s="202"/>
      <c r="I132" s="207">
        <v>10</v>
      </c>
      <c r="J132" s="202"/>
      <c r="K132" s="207"/>
      <c r="L132" s="202"/>
      <c r="M132" s="207"/>
      <c r="N132" s="202"/>
      <c r="O132" s="201"/>
      <c r="P132" s="202"/>
      <c r="Q132" s="203">
        <f t="shared" si="4"/>
        <v>1</v>
      </c>
      <c r="R132" s="202"/>
      <c r="S132" s="207"/>
      <c r="T132" s="202"/>
      <c r="U132" s="207"/>
      <c r="V132" s="202"/>
      <c r="W132" s="207"/>
      <c r="X132" s="202"/>
      <c r="Y132" s="207"/>
      <c r="Z132" s="202"/>
      <c r="AA132" s="207"/>
      <c r="AB132" s="202"/>
      <c r="AC132" s="208"/>
      <c r="AD132" s="202"/>
      <c r="AE132" s="203">
        <f t="shared" si="5"/>
        <v>0</v>
      </c>
      <c r="AF132" s="202"/>
      <c r="AG132" s="204"/>
      <c r="AH132" s="202"/>
      <c r="AI132" s="204"/>
      <c r="AJ132" s="202"/>
      <c r="AK132" s="204"/>
      <c r="AL132" s="202"/>
      <c r="AM132" s="204"/>
      <c r="AN132" s="202"/>
      <c r="AO132" s="204"/>
      <c r="AP132" s="202"/>
      <c r="AQ132" s="208"/>
      <c r="AR132" s="202"/>
      <c r="AS132" s="203">
        <f t="shared" si="6"/>
        <v>0</v>
      </c>
      <c r="AT132" s="202"/>
      <c r="AU132" s="204"/>
      <c r="AV132" s="202"/>
      <c r="AW132" s="204"/>
      <c r="AX132" s="202"/>
      <c r="AY132" s="204"/>
      <c r="AZ132" s="202"/>
      <c r="BA132" s="204"/>
      <c r="BB132" s="202"/>
      <c r="BC132" s="204"/>
      <c r="BD132" s="202"/>
      <c r="BE132" s="208"/>
      <c r="BF132" s="202"/>
      <c r="BG132" s="203">
        <f t="shared" si="7"/>
        <v>0</v>
      </c>
      <c r="BH132" s="202"/>
      <c r="BI132" s="204"/>
      <c r="BJ132" s="202"/>
      <c r="BK132" s="204"/>
      <c r="BL132" s="202"/>
      <c r="BM132" s="204"/>
      <c r="BN132" s="202"/>
      <c r="BO132" s="203">
        <f t="shared" si="8"/>
        <v>0</v>
      </c>
      <c r="BP132" s="202"/>
      <c r="BQ132" s="138"/>
      <c r="BR132" s="128"/>
      <c r="BS132" s="128"/>
      <c r="BT132" s="128"/>
      <c r="BU132" s="128"/>
      <c r="BV132" s="128"/>
      <c r="BW132" s="139"/>
      <c r="BX132" s="140"/>
      <c r="BY132" s="139"/>
      <c r="BZ132" s="139"/>
      <c r="CA132" s="134"/>
      <c r="CB132" s="134"/>
      <c r="CC132" s="134"/>
      <c r="CD132" s="134"/>
      <c r="CE132" s="134"/>
      <c r="CF132" s="134"/>
      <c r="CG132" s="134"/>
      <c r="CH132" s="134"/>
      <c r="CI132" s="134"/>
      <c r="CJ132" s="135"/>
      <c r="CK132" s="135"/>
    </row>
    <row r="133" spans="1:89" ht="14.25">
      <c r="A133" s="136"/>
      <c r="B133" s="30" t="s">
        <v>272</v>
      </c>
      <c r="C133" s="30" t="s">
        <v>4</v>
      </c>
      <c r="D133" s="137">
        <f t="shared" si="3"/>
        <v>2</v>
      </c>
      <c r="E133" s="207">
        <v>20</v>
      </c>
      <c r="F133" s="202"/>
      <c r="G133" s="207"/>
      <c r="H133" s="202"/>
      <c r="I133" s="207"/>
      <c r="J133" s="202"/>
      <c r="K133" s="207"/>
      <c r="L133" s="202"/>
      <c r="M133" s="207"/>
      <c r="N133" s="202"/>
      <c r="O133" s="201"/>
      <c r="P133" s="202"/>
      <c r="Q133" s="203">
        <f t="shared" si="4"/>
        <v>1</v>
      </c>
      <c r="R133" s="202"/>
      <c r="S133" s="207"/>
      <c r="T133" s="202"/>
      <c r="U133" s="207"/>
      <c r="V133" s="202"/>
      <c r="W133" s="207"/>
      <c r="X133" s="202"/>
      <c r="Y133" s="207"/>
      <c r="Z133" s="202"/>
      <c r="AA133" s="207"/>
      <c r="AB133" s="202"/>
      <c r="AC133" s="208"/>
      <c r="AD133" s="202"/>
      <c r="AE133" s="203">
        <f t="shared" si="5"/>
        <v>0</v>
      </c>
      <c r="AF133" s="202"/>
      <c r="AG133" s="204"/>
      <c r="AH133" s="202"/>
      <c r="AI133" s="204"/>
      <c r="AJ133" s="202"/>
      <c r="AK133" s="204"/>
      <c r="AL133" s="202"/>
      <c r="AM133" s="204"/>
      <c r="AN133" s="202"/>
      <c r="AO133" s="204"/>
      <c r="AP133" s="202"/>
      <c r="AQ133" s="208"/>
      <c r="AR133" s="202"/>
      <c r="AS133" s="203">
        <f t="shared" si="6"/>
        <v>0</v>
      </c>
      <c r="AT133" s="202"/>
      <c r="AU133" s="204"/>
      <c r="AV133" s="202"/>
      <c r="AW133" s="204"/>
      <c r="AX133" s="202"/>
      <c r="AY133" s="204"/>
      <c r="AZ133" s="202"/>
      <c r="BA133" s="204"/>
      <c r="BB133" s="202"/>
      <c r="BC133" s="204"/>
      <c r="BD133" s="202"/>
      <c r="BE133" s="208"/>
      <c r="BF133" s="202"/>
      <c r="BG133" s="203">
        <f t="shared" si="7"/>
        <v>0</v>
      </c>
      <c r="BH133" s="202"/>
      <c r="BI133" s="204"/>
      <c r="BJ133" s="202"/>
      <c r="BK133" s="204">
        <v>10</v>
      </c>
      <c r="BL133" s="202"/>
      <c r="BM133" s="204"/>
      <c r="BN133" s="202"/>
      <c r="BO133" s="203">
        <f t="shared" si="8"/>
        <v>1</v>
      </c>
      <c r="BP133" s="202"/>
      <c r="BQ133" s="138"/>
      <c r="BR133" s="139"/>
      <c r="BS133" s="139"/>
      <c r="BT133" s="139"/>
      <c r="BU133" s="139"/>
      <c r="BV133" s="139"/>
      <c r="BW133" s="139"/>
      <c r="BX133" s="140"/>
      <c r="BY133" s="139"/>
      <c r="BZ133" s="139"/>
      <c r="CA133" s="139"/>
      <c r="CB133" s="139"/>
      <c r="CC133" s="139"/>
      <c r="CD133" s="139"/>
      <c r="CE133" s="139"/>
      <c r="CF133" s="139"/>
      <c r="CG133" s="139"/>
      <c r="CH133" s="139"/>
      <c r="CI133" s="139"/>
      <c r="CJ133" s="139"/>
      <c r="CK133" s="139"/>
    </row>
    <row r="134" spans="1:89" ht="14.25">
      <c r="A134" s="142"/>
      <c r="B134" s="30" t="s">
        <v>274</v>
      </c>
      <c r="C134" s="30" t="s">
        <v>4</v>
      </c>
      <c r="D134" s="137">
        <f t="shared" si="3"/>
        <v>13</v>
      </c>
      <c r="E134" s="207">
        <v>20</v>
      </c>
      <c r="F134" s="202"/>
      <c r="G134" s="207">
        <v>21</v>
      </c>
      <c r="H134" s="202"/>
      <c r="I134" s="207">
        <v>20</v>
      </c>
      <c r="J134" s="202"/>
      <c r="K134" s="207"/>
      <c r="L134" s="202"/>
      <c r="M134" s="207"/>
      <c r="N134" s="202"/>
      <c r="O134" s="201"/>
      <c r="P134" s="202"/>
      <c r="Q134" s="203">
        <f t="shared" si="4"/>
        <v>3</v>
      </c>
      <c r="R134" s="202"/>
      <c r="S134" s="207">
        <v>21</v>
      </c>
      <c r="T134" s="202"/>
      <c r="U134" s="207"/>
      <c r="V134" s="202"/>
      <c r="W134" s="207">
        <v>20</v>
      </c>
      <c r="X134" s="202"/>
      <c r="Y134" s="207">
        <v>21</v>
      </c>
      <c r="Z134" s="202"/>
      <c r="AA134" s="207"/>
      <c r="AB134" s="202"/>
      <c r="AC134" s="208"/>
      <c r="AD134" s="202"/>
      <c r="AE134" s="203">
        <f t="shared" si="5"/>
        <v>3</v>
      </c>
      <c r="AF134" s="202"/>
      <c r="AG134" s="204">
        <v>21</v>
      </c>
      <c r="AH134" s="202"/>
      <c r="AI134" s="204"/>
      <c r="AJ134" s="202"/>
      <c r="AK134" s="204"/>
      <c r="AL134" s="202"/>
      <c r="AM134" s="204"/>
      <c r="AN134" s="202"/>
      <c r="AO134" s="204"/>
      <c r="AP134" s="202"/>
      <c r="AQ134" s="208"/>
      <c r="AR134" s="202"/>
      <c r="AS134" s="203">
        <f t="shared" si="6"/>
        <v>1</v>
      </c>
      <c r="AT134" s="202"/>
      <c r="AU134" s="204">
        <v>12</v>
      </c>
      <c r="AV134" s="202"/>
      <c r="AW134" s="204">
        <v>20</v>
      </c>
      <c r="AX134" s="202"/>
      <c r="AY134" s="204">
        <v>21</v>
      </c>
      <c r="AZ134" s="202"/>
      <c r="BA134" s="204"/>
      <c r="BB134" s="202"/>
      <c r="BC134" s="204">
        <v>21</v>
      </c>
      <c r="BD134" s="202"/>
      <c r="BE134" s="208"/>
      <c r="BF134" s="202"/>
      <c r="BG134" s="203">
        <f t="shared" si="7"/>
        <v>4</v>
      </c>
      <c r="BH134" s="202"/>
      <c r="BI134" s="204">
        <v>20</v>
      </c>
      <c r="BJ134" s="202"/>
      <c r="BK134" s="204">
        <v>21</v>
      </c>
      <c r="BL134" s="202"/>
      <c r="BM134" s="204"/>
      <c r="BN134" s="202"/>
      <c r="BO134" s="203">
        <f t="shared" si="8"/>
        <v>2</v>
      </c>
      <c r="BP134" s="202"/>
      <c r="BQ134" s="138"/>
      <c r="BR134" s="128"/>
      <c r="BS134" s="128"/>
      <c r="BT134" s="128"/>
      <c r="BU134" s="128"/>
      <c r="BV134" s="128"/>
      <c r="BW134" s="139"/>
      <c r="BX134" s="140"/>
      <c r="BY134" s="139"/>
      <c r="BZ134" s="139"/>
      <c r="CA134" s="134"/>
      <c r="CB134" s="134"/>
      <c r="CC134" s="134"/>
      <c r="CD134" s="134"/>
      <c r="CE134" s="134"/>
      <c r="CF134" s="134"/>
      <c r="CG134" s="134"/>
      <c r="CH134" s="134"/>
      <c r="CI134" s="134"/>
      <c r="CJ134" s="135"/>
      <c r="CK134" s="135"/>
    </row>
    <row r="135" spans="1:89" ht="14.25">
      <c r="A135" s="136"/>
      <c r="B135" s="30" t="s">
        <v>276</v>
      </c>
      <c r="C135" s="30" t="s">
        <v>4</v>
      </c>
      <c r="D135" s="137">
        <f t="shared" si="3"/>
        <v>8</v>
      </c>
      <c r="E135" s="207">
        <v>20</v>
      </c>
      <c r="F135" s="202"/>
      <c r="G135" s="207"/>
      <c r="H135" s="202"/>
      <c r="I135" s="207">
        <v>19</v>
      </c>
      <c r="J135" s="202"/>
      <c r="K135" s="207"/>
      <c r="L135" s="202"/>
      <c r="M135" s="207"/>
      <c r="N135" s="202"/>
      <c r="O135" s="201">
        <v>13</v>
      </c>
      <c r="P135" s="202"/>
      <c r="Q135" s="203">
        <f t="shared" si="4"/>
        <v>2</v>
      </c>
      <c r="R135" s="202"/>
      <c r="S135" s="207"/>
      <c r="T135" s="202"/>
      <c r="U135" s="207"/>
      <c r="V135" s="202"/>
      <c r="W135" s="207"/>
      <c r="X135" s="202"/>
      <c r="Y135" s="207"/>
      <c r="Z135" s="202"/>
      <c r="AA135" s="207">
        <v>19</v>
      </c>
      <c r="AB135" s="202"/>
      <c r="AC135" s="208"/>
      <c r="AD135" s="202"/>
      <c r="AE135" s="203">
        <f t="shared" si="5"/>
        <v>1</v>
      </c>
      <c r="AF135" s="202"/>
      <c r="AG135" s="204">
        <v>21</v>
      </c>
      <c r="AH135" s="202"/>
      <c r="AI135" s="204"/>
      <c r="AJ135" s="202"/>
      <c r="AK135" s="204">
        <v>20</v>
      </c>
      <c r="AL135" s="202"/>
      <c r="AM135" s="204">
        <v>19</v>
      </c>
      <c r="AN135" s="202"/>
      <c r="AO135" s="204">
        <v>19</v>
      </c>
      <c r="AP135" s="202"/>
      <c r="AQ135" s="208"/>
      <c r="AR135" s="202"/>
      <c r="AS135" s="203">
        <f t="shared" si="6"/>
        <v>4</v>
      </c>
      <c r="AT135" s="202"/>
      <c r="AU135" s="204"/>
      <c r="AV135" s="202"/>
      <c r="AW135" s="204"/>
      <c r="AX135" s="202"/>
      <c r="AY135" s="204"/>
      <c r="AZ135" s="202"/>
      <c r="BA135" s="204"/>
      <c r="BB135" s="202"/>
      <c r="BC135" s="204">
        <v>8</v>
      </c>
      <c r="BD135" s="202"/>
      <c r="BE135" s="208"/>
      <c r="BF135" s="202"/>
      <c r="BG135" s="203">
        <f t="shared" si="7"/>
        <v>1</v>
      </c>
      <c r="BH135" s="202"/>
      <c r="BI135" s="204"/>
      <c r="BJ135" s="202"/>
      <c r="BK135" s="204"/>
      <c r="BL135" s="202"/>
      <c r="BM135" s="204"/>
      <c r="BN135" s="202"/>
      <c r="BO135" s="203">
        <f t="shared" si="8"/>
        <v>0</v>
      </c>
      <c r="BP135" s="202"/>
      <c r="BQ135" s="138"/>
      <c r="BR135" s="139"/>
      <c r="BS135" s="139"/>
      <c r="BT135" s="139"/>
      <c r="BU135" s="139"/>
      <c r="BV135" s="139"/>
      <c r="BW135" s="139"/>
      <c r="BX135" s="140"/>
      <c r="BY135" s="139"/>
      <c r="BZ135" s="139"/>
      <c r="CA135" s="139"/>
      <c r="CB135" s="139"/>
      <c r="CC135" s="139"/>
      <c r="CD135" s="139"/>
      <c r="CE135" s="139"/>
      <c r="CF135" s="139"/>
      <c r="CG135" s="139"/>
      <c r="CH135" s="139"/>
      <c r="CI135" s="139"/>
      <c r="CJ135" s="139"/>
      <c r="CK135" s="139"/>
    </row>
    <row r="136" spans="1:89" ht="14.25">
      <c r="A136" s="142"/>
      <c r="B136" s="30" t="s">
        <v>278</v>
      </c>
      <c r="C136" s="30" t="s">
        <v>3</v>
      </c>
      <c r="D136" s="137">
        <f t="shared" si="3"/>
        <v>14</v>
      </c>
      <c r="E136" s="207">
        <v>21</v>
      </c>
      <c r="F136" s="202"/>
      <c r="G136" s="207"/>
      <c r="H136" s="202"/>
      <c r="I136" s="207"/>
      <c r="J136" s="202"/>
      <c r="K136" s="207"/>
      <c r="L136" s="202"/>
      <c r="M136" s="207"/>
      <c r="N136" s="202"/>
      <c r="O136" s="201"/>
      <c r="P136" s="202"/>
      <c r="Q136" s="203">
        <f t="shared" si="4"/>
        <v>1</v>
      </c>
      <c r="R136" s="202"/>
      <c r="S136" s="207"/>
      <c r="T136" s="202"/>
      <c r="U136" s="207">
        <v>10</v>
      </c>
      <c r="V136" s="202"/>
      <c r="W136" s="207">
        <v>8</v>
      </c>
      <c r="X136" s="202"/>
      <c r="Y136" s="207">
        <v>10</v>
      </c>
      <c r="Z136" s="202"/>
      <c r="AA136" s="207">
        <v>8</v>
      </c>
      <c r="AB136" s="202"/>
      <c r="AC136" s="208">
        <v>11</v>
      </c>
      <c r="AD136" s="202"/>
      <c r="AE136" s="203">
        <f t="shared" si="5"/>
        <v>4</v>
      </c>
      <c r="AF136" s="202"/>
      <c r="AG136" s="204">
        <v>8</v>
      </c>
      <c r="AH136" s="202"/>
      <c r="AI136" s="204">
        <v>8</v>
      </c>
      <c r="AJ136" s="202"/>
      <c r="AK136" s="204"/>
      <c r="AL136" s="202"/>
      <c r="AM136" s="204">
        <v>8</v>
      </c>
      <c r="AN136" s="202"/>
      <c r="AO136" s="204">
        <v>8</v>
      </c>
      <c r="AP136" s="202"/>
      <c r="AQ136" s="208"/>
      <c r="AR136" s="202"/>
      <c r="AS136" s="203">
        <f t="shared" si="6"/>
        <v>4</v>
      </c>
      <c r="AT136" s="202"/>
      <c r="AU136" s="204"/>
      <c r="AV136" s="202"/>
      <c r="AW136" s="204">
        <v>8</v>
      </c>
      <c r="AX136" s="202"/>
      <c r="AY136" s="204">
        <v>8</v>
      </c>
      <c r="AZ136" s="202"/>
      <c r="BA136" s="204">
        <v>11</v>
      </c>
      <c r="BB136" s="202"/>
      <c r="BC136" s="204"/>
      <c r="BD136" s="202"/>
      <c r="BE136" s="208">
        <v>11</v>
      </c>
      <c r="BF136" s="202"/>
      <c r="BG136" s="203">
        <f t="shared" si="7"/>
        <v>3</v>
      </c>
      <c r="BH136" s="202"/>
      <c r="BI136" s="204">
        <v>8</v>
      </c>
      <c r="BJ136" s="202"/>
      <c r="BK136" s="204">
        <v>10</v>
      </c>
      <c r="BL136" s="202"/>
      <c r="BM136" s="204"/>
      <c r="BN136" s="202"/>
      <c r="BO136" s="203">
        <f t="shared" si="8"/>
        <v>2</v>
      </c>
      <c r="BP136" s="202"/>
      <c r="BQ136" s="138"/>
      <c r="BR136" s="128"/>
      <c r="BS136" s="128"/>
      <c r="BT136" s="128"/>
      <c r="BU136" s="128"/>
      <c r="BV136" s="128"/>
      <c r="BW136" s="139"/>
      <c r="BX136" s="140"/>
      <c r="BY136" s="139"/>
      <c r="BZ136" s="139"/>
      <c r="CA136" s="134"/>
      <c r="CB136" s="134"/>
      <c r="CC136" s="134"/>
      <c r="CD136" s="134"/>
      <c r="CE136" s="134"/>
      <c r="CF136" s="134"/>
      <c r="CG136" s="134"/>
      <c r="CH136" s="134"/>
      <c r="CI136" s="134"/>
      <c r="CJ136" s="135"/>
      <c r="CK136" s="135"/>
    </row>
    <row r="137" spans="1:89" ht="14.25">
      <c r="A137" s="136"/>
      <c r="B137" s="30" t="s">
        <v>280</v>
      </c>
      <c r="C137" s="30" t="s">
        <v>3</v>
      </c>
      <c r="D137" s="137">
        <f t="shared" si="3"/>
        <v>11</v>
      </c>
      <c r="E137" s="207"/>
      <c r="F137" s="202"/>
      <c r="G137" s="207"/>
      <c r="H137" s="202"/>
      <c r="I137" s="207"/>
      <c r="J137" s="202"/>
      <c r="K137" s="207"/>
      <c r="L137" s="202"/>
      <c r="M137" s="207"/>
      <c r="N137" s="202"/>
      <c r="O137" s="201"/>
      <c r="P137" s="202"/>
      <c r="Q137" s="203">
        <f t="shared" si="4"/>
        <v>0</v>
      </c>
      <c r="R137" s="202"/>
      <c r="S137" s="207">
        <v>20</v>
      </c>
      <c r="T137" s="202"/>
      <c r="U137" s="207">
        <v>21</v>
      </c>
      <c r="V137" s="202"/>
      <c r="W137" s="207"/>
      <c r="X137" s="202"/>
      <c r="Y137" s="207">
        <v>20</v>
      </c>
      <c r="Z137" s="202"/>
      <c r="AA137" s="207">
        <v>19</v>
      </c>
      <c r="AB137" s="202"/>
      <c r="AC137" s="208"/>
      <c r="AD137" s="202"/>
      <c r="AE137" s="203">
        <f t="shared" si="5"/>
        <v>4</v>
      </c>
      <c r="AF137" s="202"/>
      <c r="AG137" s="204"/>
      <c r="AH137" s="202"/>
      <c r="AI137" s="204"/>
      <c r="AJ137" s="202"/>
      <c r="AK137" s="204">
        <v>20</v>
      </c>
      <c r="AL137" s="202"/>
      <c r="AM137" s="204">
        <v>21</v>
      </c>
      <c r="AN137" s="202"/>
      <c r="AO137" s="204">
        <v>20</v>
      </c>
      <c r="AP137" s="202"/>
      <c r="AQ137" s="208"/>
      <c r="AR137" s="202"/>
      <c r="AS137" s="203">
        <f t="shared" si="6"/>
        <v>3</v>
      </c>
      <c r="AT137" s="202"/>
      <c r="AU137" s="204">
        <v>20</v>
      </c>
      <c r="AV137" s="202"/>
      <c r="AW137" s="204"/>
      <c r="AX137" s="202"/>
      <c r="AY137" s="204"/>
      <c r="AZ137" s="202"/>
      <c r="BA137" s="204"/>
      <c r="BB137" s="202"/>
      <c r="BC137" s="204">
        <v>20</v>
      </c>
      <c r="BD137" s="202"/>
      <c r="BE137" s="208"/>
      <c r="BF137" s="202"/>
      <c r="BG137" s="203">
        <f t="shared" si="7"/>
        <v>2</v>
      </c>
      <c r="BH137" s="202"/>
      <c r="BI137" s="204">
        <v>20</v>
      </c>
      <c r="BJ137" s="202"/>
      <c r="BK137" s="204">
        <v>21</v>
      </c>
      <c r="BL137" s="202"/>
      <c r="BM137" s="204"/>
      <c r="BN137" s="202"/>
      <c r="BO137" s="203">
        <f t="shared" si="8"/>
        <v>2</v>
      </c>
      <c r="BP137" s="202"/>
      <c r="BQ137" s="138"/>
      <c r="BR137" s="139"/>
      <c r="BS137" s="139"/>
      <c r="BT137" s="139"/>
      <c r="BU137" s="139"/>
      <c r="BV137" s="139"/>
      <c r="BW137" s="139"/>
      <c r="BX137" s="140"/>
      <c r="BY137" s="139"/>
      <c r="BZ137" s="139"/>
      <c r="CA137" s="139"/>
      <c r="CB137" s="139"/>
      <c r="CC137" s="139"/>
      <c r="CD137" s="139"/>
      <c r="CE137" s="139"/>
      <c r="CF137" s="139"/>
      <c r="CG137" s="139"/>
      <c r="CH137" s="139"/>
      <c r="CI137" s="139"/>
      <c r="CJ137" s="139"/>
      <c r="CK137" s="139"/>
    </row>
    <row r="138" spans="1:89" ht="14.25">
      <c r="A138" s="136"/>
      <c r="B138" s="168" t="s">
        <v>404</v>
      </c>
      <c r="C138" s="168" t="s">
        <v>4</v>
      </c>
      <c r="D138" s="137">
        <f t="shared" si="3"/>
        <v>0</v>
      </c>
      <c r="E138" s="207"/>
      <c r="F138" s="202"/>
      <c r="G138" s="207"/>
      <c r="H138" s="202"/>
      <c r="I138" s="207"/>
      <c r="J138" s="202"/>
      <c r="K138" s="207"/>
      <c r="L138" s="202"/>
      <c r="M138" s="207"/>
      <c r="N138" s="202"/>
      <c r="O138" s="201"/>
      <c r="P138" s="202"/>
      <c r="Q138" s="203">
        <f t="shared" si="4"/>
        <v>0</v>
      </c>
      <c r="R138" s="202"/>
      <c r="S138" s="207"/>
      <c r="T138" s="202"/>
      <c r="U138" s="207"/>
      <c r="V138" s="202"/>
      <c r="W138" s="207"/>
      <c r="X138" s="202"/>
      <c r="Y138" s="207"/>
      <c r="Z138" s="202"/>
      <c r="AA138" s="207"/>
      <c r="AB138" s="202"/>
      <c r="AC138" s="208"/>
      <c r="AD138" s="202"/>
      <c r="AE138" s="203">
        <f t="shared" si="5"/>
        <v>0</v>
      </c>
      <c r="AF138" s="202"/>
      <c r="AG138" s="204"/>
      <c r="AH138" s="202"/>
      <c r="AI138" s="204"/>
      <c r="AJ138" s="202"/>
      <c r="AK138" s="204"/>
      <c r="AL138" s="202"/>
      <c r="AM138" s="204"/>
      <c r="AN138" s="202"/>
      <c r="AO138" s="204"/>
      <c r="AP138" s="202"/>
      <c r="AQ138" s="208"/>
      <c r="AR138" s="202"/>
      <c r="AS138" s="203">
        <f t="shared" si="6"/>
        <v>0</v>
      </c>
      <c r="AT138" s="202"/>
      <c r="AU138" s="204"/>
      <c r="AV138" s="202"/>
      <c r="AW138" s="204"/>
      <c r="AX138" s="202"/>
      <c r="AY138" s="204"/>
      <c r="AZ138" s="202"/>
      <c r="BA138" s="204"/>
      <c r="BB138" s="202"/>
      <c r="BC138" s="204"/>
      <c r="BD138" s="202"/>
      <c r="BE138" s="208"/>
      <c r="BF138" s="202"/>
      <c r="BG138" s="203">
        <f t="shared" si="7"/>
        <v>0</v>
      </c>
      <c r="BH138" s="202"/>
      <c r="BI138" s="204"/>
      <c r="BJ138" s="202"/>
      <c r="BK138" s="204"/>
      <c r="BL138" s="202"/>
      <c r="BM138" s="204"/>
      <c r="BN138" s="202"/>
      <c r="BO138" s="203">
        <f t="shared" si="8"/>
        <v>0</v>
      </c>
      <c r="BP138" s="202"/>
      <c r="BQ138" s="138"/>
      <c r="BR138" s="139"/>
      <c r="BS138" s="139"/>
      <c r="BT138" s="139"/>
      <c r="BU138" s="139"/>
      <c r="BV138" s="139"/>
      <c r="BW138" s="139"/>
      <c r="BX138" s="140"/>
      <c r="BY138" s="139"/>
      <c r="BZ138" s="139"/>
      <c r="CA138" s="139"/>
      <c r="CB138" s="139"/>
      <c r="CC138" s="139"/>
      <c r="CD138" s="139"/>
      <c r="CE138" s="139"/>
      <c r="CF138" s="139"/>
      <c r="CG138" s="139"/>
      <c r="CH138" s="139"/>
      <c r="CI138" s="139"/>
      <c r="CJ138" s="139"/>
      <c r="CK138" s="139"/>
    </row>
    <row r="139" spans="1:89" ht="14.25">
      <c r="A139" s="136"/>
      <c r="B139" s="168" t="s">
        <v>406</v>
      </c>
      <c r="C139" s="168" t="s">
        <v>4</v>
      </c>
      <c r="D139" s="137">
        <f t="shared" si="3"/>
        <v>0</v>
      </c>
      <c r="E139" s="207"/>
      <c r="F139" s="202"/>
      <c r="G139" s="207"/>
      <c r="H139" s="202"/>
      <c r="I139" s="207"/>
      <c r="J139" s="202"/>
      <c r="K139" s="207"/>
      <c r="L139" s="202"/>
      <c r="M139" s="207"/>
      <c r="N139" s="202"/>
      <c r="O139" s="201"/>
      <c r="P139" s="202"/>
      <c r="Q139" s="203">
        <f t="shared" si="4"/>
        <v>0</v>
      </c>
      <c r="R139" s="202"/>
      <c r="S139" s="207"/>
      <c r="T139" s="202"/>
      <c r="U139" s="207"/>
      <c r="V139" s="202"/>
      <c r="W139" s="207"/>
      <c r="X139" s="202"/>
      <c r="Y139" s="207"/>
      <c r="Z139" s="202"/>
      <c r="AA139" s="207"/>
      <c r="AB139" s="202"/>
      <c r="AC139" s="208"/>
      <c r="AD139" s="202"/>
      <c r="AE139" s="203">
        <f t="shared" si="5"/>
        <v>0</v>
      </c>
      <c r="AF139" s="202"/>
      <c r="AG139" s="204"/>
      <c r="AH139" s="202"/>
      <c r="AI139" s="204"/>
      <c r="AJ139" s="202"/>
      <c r="AK139" s="204"/>
      <c r="AL139" s="202"/>
      <c r="AM139" s="204"/>
      <c r="AN139" s="202"/>
      <c r="AO139" s="204"/>
      <c r="AP139" s="202"/>
      <c r="AQ139" s="208"/>
      <c r="AR139" s="202"/>
      <c r="AS139" s="203">
        <f t="shared" si="6"/>
        <v>0</v>
      </c>
      <c r="AT139" s="202"/>
      <c r="AU139" s="204"/>
      <c r="AV139" s="202"/>
      <c r="AW139" s="204"/>
      <c r="AX139" s="202"/>
      <c r="AY139" s="204"/>
      <c r="AZ139" s="202"/>
      <c r="BA139" s="204"/>
      <c r="BB139" s="202"/>
      <c r="BC139" s="204"/>
      <c r="BD139" s="202"/>
      <c r="BE139" s="208"/>
      <c r="BF139" s="202"/>
      <c r="BG139" s="203">
        <f t="shared" si="7"/>
        <v>0</v>
      </c>
      <c r="BH139" s="202"/>
      <c r="BI139" s="204"/>
      <c r="BJ139" s="202"/>
      <c r="BK139" s="204"/>
      <c r="BL139" s="202"/>
      <c r="BM139" s="204"/>
      <c r="BN139" s="202"/>
      <c r="BO139" s="203">
        <f t="shared" si="8"/>
        <v>0</v>
      </c>
      <c r="BP139" s="202"/>
      <c r="BQ139" s="138"/>
      <c r="BR139" s="139"/>
      <c r="BS139" s="139"/>
      <c r="BT139" s="139"/>
      <c r="BU139" s="139"/>
      <c r="BV139" s="139"/>
      <c r="BW139" s="139"/>
      <c r="BX139" s="140"/>
      <c r="BY139" s="139"/>
      <c r="BZ139" s="139"/>
      <c r="CA139" s="139"/>
      <c r="CB139" s="139"/>
      <c r="CC139" s="139"/>
      <c r="CD139" s="139"/>
      <c r="CE139" s="139"/>
      <c r="CF139" s="139"/>
      <c r="CG139" s="139"/>
      <c r="CH139" s="139"/>
      <c r="CI139" s="139"/>
      <c r="CJ139" s="139"/>
      <c r="CK139" s="139"/>
    </row>
    <row r="140" spans="1:89" ht="14.25">
      <c r="A140" s="136"/>
      <c r="B140" s="168" t="s">
        <v>408</v>
      </c>
      <c r="C140" s="168" t="s">
        <v>3</v>
      </c>
      <c r="D140" s="137">
        <f t="shared" si="3"/>
        <v>0</v>
      </c>
      <c r="E140" s="207"/>
      <c r="F140" s="202"/>
      <c r="G140" s="207"/>
      <c r="H140" s="202"/>
      <c r="I140" s="207"/>
      <c r="J140" s="202"/>
      <c r="K140" s="207"/>
      <c r="L140" s="202"/>
      <c r="M140" s="207"/>
      <c r="N140" s="202"/>
      <c r="O140" s="201"/>
      <c r="P140" s="202"/>
      <c r="Q140" s="203">
        <f t="shared" si="4"/>
        <v>0</v>
      </c>
      <c r="R140" s="202"/>
      <c r="S140" s="207"/>
      <c r="T140" s="202"/>
      <c r="U140" s="207"/>
      <c r="V140" s="202"/>
      <c r="W140" s="207"/>
      <c r="X140" s="202"/>
      <c r="Y140" s="207"/>
      <c r="Z140" s="202"/>
      <c r="AA140" s="207"/>
      <c r="AB140" s="202"/>
      <c r="AC140" s="208"/>
      <c r="AD140" s="202"/>
      <c r="AE140" s="203">
        <f t="shared" si="5"/>
        <v>0</v>
      </c>
      <c r="AF140" s="202"/>
      <c r="AG140" s="204"/>
      <c r="AH140" s="202"/>
      <c r="AI140" s="204"/>
      <c r="AJ140" s="202"/>
      <c r="AK140" s="204"/>
      <c r="AL140" s="202"/>
      <c r="AM140" s="204"/>
      <c r="AN140" s="202"/>
      <c r="AO140" s="204"/>
      <c r="AP140" s="202"/>
      <c r="AQ140" s="208"/>
      <c r="AR140" s="202"/>
      <c r="AS140" s="203">
        <f t="shared" si="6"/>
        <v>0</v>
      </c>
      <c r="AT140" s="202"/>
      <c r="AU140" s="204"/>
      <c r="AV140" s="202"/>
      <c r="AW140" s="204"/>
      <c r="AX140" s="202"/>
      <c r="AY140" s="204"/>
      <c r="AZ140" s="202"/>
      <c r="BA140" s="204"/>
      <c r="BB140" s="202"/>
      <c r="BC140" s="204"/>
      <c r="BD140" s="202"/>
      <c r="BE140" s="208"/>
      <c r="BF140" s="202"/>
      <c r="BG140" s="203">
        <f t="shared" si="7"/>
        <v>0</v>
      </c>
      <c r="BH140" s="202"/>
      <c r="BI140" s="204"/>
      <c r="BJ140" s="202"/>
      <c r="BK140" s="204"/>
      <c r="BL140" s="202"/>
      <c r="BM140" s="204"/>
      <c r="BN140" s="202"/>
      <c r="BO140" s="203">
        <f t="shared" si="8"/>
        <v>0</v>
      </c>
      <c r="BP140" s="202"/>
      <c r="BQ140" s="138"/>
      <c r="BR140" s="139"/>
      <c r="BS140" s="139"/>
      <c r="BT140" s="139"/>
      <c r="BU140" s="139"/>
      <c r="BV140" s="139"/>
      <c r="BW140" s="139"/>
      <c r="BX140" s="140"/>
      <c r="BY140" s="139"/>
      <c r="BZ140" s="139"/>
      <c r="CA140" s="139"/>
      <c r="CB140" s="139"/>
      <c r="CC140" s="139"/>
      <c r="CD140" s="139"/>
      <c r="CE140" s="139"/>
      <c r="CF140" s="139"/>
      <c r="CG140" s="139"/>
      <c r="CH140" s="139"/>
      <c r="CI140" s="139"/>
      <c r="CJ140" s="139"/>
      <c r="CK140" s="139"/>
    </row>
    <row r="141" spans="1:89" ht="14.25">
      <c r="A141" s="136"/>
      <c r="B141" s="30" t="s">
        <v>282</v>
      </c>
      <c r="C141" s="30" t="s">
        <v>4</v>
      </c>
      <c r="D141" s="137">
        <f t="shared" si="3"/>
        <v>12</v>
      </c>
      <c r="E141" s="207"/>
      <c r="F141" s="202"/>
      <c r="G141" s="207"/>
      <c r="H141" s="202"/>
      <c r="I141" s="207"/>
      <c r="J141" s="202"/>
      <c r="K141" s="207"/>
      <c r="L141" s="202"/>
      <c r="M141" s="207"/>
      <c r="N141" s="202"/>
      <c r="O141" s="201"/>
      <c r="P141" s="202"/>
      <c r="Q141" s="203">
        <f t="shared" si="4"/>
        <v>0</v>
      </c>
      <c r="R141" s="202"/>
      <c r="S141" s="207">
        <v>21</v>
      </c>
      <c r="T141" s="202"/>
      <c r="U141" s="207">
        <v>20</v>
      </c>
      <c r="V141" s="202"/>
      <c r="W141" s="207">
        <v>21</v>
      </c>
      <c r="X141" s="202"/>
      <c r="Y141" s="207">
        <v>21</v>
      </c>
      <c r="Z141" s="202"/>
      <c r="AA141" s="207"/>
      <c r="AB141" s="202"/>
      <c r="AC141" s="208"/>
      <c r="AD141" s="202"/>
      <c r="AE141" s="203">
        <f t="shared" si="5"/>
        <v>4</v>
      </c>
      <c r="AF141" s="202"/>
      <c r="AG141" s="204">
        <v>20</v>
      </c>
      <c r="AH141" s="202"/>
      <c r="AI141" s="204">
        <v>20</v>
      </c>
      <c r="AJ141" s="202"/>
      <c r="AK141" s="204">
        <v>21</v>
      </c>
      <c r="AL141" s="202"/>
      <c r="AM141" s="204">
        <v>21</v>
      </c>
      <c r="AN141" s="202"/>
      <c r="AO141" s="204">
        <v>21</v>
      </c>
      <c r="AP141" s="202"/>
      <c r="AQ141" s="208"/>
      <c r="AR141" s="202"/>
      <c r="AS141" s="203">
        <f t="shared" si="6"/>
        <v>5</v>
      </c>
      <c r="AT141" s="202"/>
      <c r="AU141" s="204">
        <v>20</v>
      </c>
      <c r="AV141" s="202"/>
      <c r="AW141" s="204"/>
      <c r="AX141" s="202"/>
      <c r="AY141" s="204"/>
      <c r="AZ141" s="202"/>
      <c r="BA141" s="204"/>
      <c r="BB141" s="202"/>
      <c r="BC141" s="204"/>
      <c r="BD141" s="202"/>
      <c r="BE141" s="208"/>
      <c r="BF141" s="202"/>
      <c r="BG141" s="203">
        <f t="shared" si="7"/>
        <v>1</v>
      </c>
      <c r="BH141" s="202"/>
      <c r="BI141" s="204"/>
      <c r="BJ141" s="202"/>
      <c r="BK141" s="204">
        <v>17</v>
      </c>
      <c r="BL141" s="202"/>
      <c r="BM141" s="204">
        <v>12</v>
      </c>
      <c r="BN141" s="202"/>
      <c r="BO141" s="203">
        <f t="shared" si="8"/>
        <v>2</v>
      </c>
      <c r="BP141" s="202"/>
      <c r="BQ141" s="138"/>
      <c r="BR141" s="139"/>
      <c r="BS141" s="139"/>
      <c r="BT141" s="139"/>
      <c r="BU141" s="139"/>
      <c r="BV141" s="139"/>
      <c r="BW141" s="139"/>
      <c r="BX141" s="140"/>
      <c r="BY141" s="139"/>
      <c r="BZ141" s="139"/>
      <c r="CA141" s="139"/>
      <c r="CB141" s="139"/>
      <c r="CC141" s="139"/>
      <c r="CD141" s="139"/>
      <c r="CE141" s="139"/>
      <c r="CF141" s="139"/>
      <c r="CG141" s="139"/>
      <c r="CH141" s="139"/>
      <c r="CI141" s="139"/>
      <c r="CJ141" s="139"/>
      <c r="CK141" s="139"/>
    </row>
    <row r="142" spans="1:89" ht="14.25">
      <c r="A142" s="136"/>
      <c r="B142" s="30" t="s">
        <v>284</v>
      </c>
      <c r="C142" s="30" t="s">
        <v>4</v>
      </c>
      <c r="D142" s="137">
        <f t="shared" si="3"/>
        <v>6</v>
      </c>
      <c r="E142" s="207"/>
      <c r="F142" s="202"/>
      <c r="G142" s="207"/>
      <c r="H142" s="202"/>
      <c r="I142" s="207"/>
      <c r="J142" s="202"/>
      <c r="K142" s="207"/>
      <c r="L142" s="202"/>
      <c r="M142" s="207"/>
      <c r="N142" s="202"/>
      <c r="O142" s="201"/>
      <c r="P142" s="202"/>
      <c r="Q142" s="203">
        <f t="shared" si="4"/>
        <v>0</v>
      </c>
      <c r="R142" s="202"/>
      <c r="S142" s="207"/>
      <c r="T142" s="202"/>
      <c r="U142" s="207"/>
      <c r="V142" s="202"/>
      <c r="W142" s="207"/>
      <c r="X142" s="202"/>
      <c r="Y142" s="207"/>
      <c r="Z142" s="202"/>
      <c r="AA142" s="207">
        <v>17</v>
      </c>
      <c r="AB142" s="202"/>
      <c r="AC142" s="208"/>
      <c r="AD142" s="202"/>
      <c r="AE142" s="203">
        <f t="shared" si="5"/>
        <v>1</v>
      </c>
      <c r="AF142" s="202"/>
      <c r="AG142" s="204">
        <v>20</v>
      </c>
      <c r="AH142" s="202"/>
      <c r="AI142" s="204">
        <v>20</v>
      </c>
      <c r="AJ142" s="202"/>
      <c r="AK142" s="204"/>
      <c r="AL142" s="202"/>
      <c r="AM142" s="204">
        <v>20</v>
      </c>
      <c r="AN142" s="202"/>
      <c r="AO142" s="204">
        <v>20</v>
      </c>
      <c r="AP142" s="202"/>
      <c r="AQ142" s="208"/>
      <c r="AR142" s="202"/>
      <c r="AS142" s="203">
        <f t="shared" si="6"/>
        <v>4</v>
      </c>
      <c r="AT142" s="202"/>
      <c r="AU142" s="204"/>
      <c r="AV142" s="202"/>
      <c r="AW142" s="204"/>
      <c r="AX142" s="202"/>
      <c r="AY142" s="204"/>
      <c r="AZ142" s="202"/>
      <c r="BA142" s="204"/>
      <c r="BB142" s="202"/>
      <c r="BC142" s="204"/>
      <c r="BD142" s="202"/>
      <c r="BE142" s="208"/>
      <c r="BF142" s="202"/>
      <c r="BG142" s="203">
        <f t="shared" si="7"/>
        <v>0</v>
      </c>
      <c r="BH142" s="202"/>
      <c r="BI142" s="204">
        <v>20</v>
      </c>
      <c r="BJ142" s="202"/>
      <c r="BK142" s="204"/>
      <c r="BL142" s="202"/>
      <c r="BM142" s="204"/>
      <c r="BN142" s="202"/>
      <c r="BO142" s="203">
        <f t="shared" si="8"/>
        <v>1</v>
      </c>
      <c r="BP142" s="202"/>
      <c r="BQ142" s="138"/>
      <c r="BR142" s="139"/>
      <c r="BS142" s="139"/>
      <c r="BT142" s="139"/>
      <c r="BU142" s="139"/>
      <c r="BV142" s="139"/>
      <c r="BW142" s="139"/>
      <c r="BX142" s="140"/>
      <c r="BY142" s="139"/>
      <c r="BZ142" s="139"/>
      <c r="CA142" s="139"/>
      <c r="CB142" s="139"/>
      <c r="CC142" s="139"/>
      <c r="CD142" s="139"/>
      <c r="CE142" s="139"/>
      <c r="CF142" s="139"/>
      <c r="CG142" s="139"/>
      <c r="CH142" s="139"/>
      <c r="CI142" s="139"/>
      <c r="CJ142" s="139"/>
      <c r="CK142" s="139"/>
    </row>
    <row r="143" spans="1:89" ht="14.25">
      <c r="A143" s="136"/>
      <c r="B143" s="30" t="s">
        <v>286</v>
      </c>
      <c r="C143" s="30" t="s">
        <v>3</v>
      </c>
      <c r="D143" s="137">
        <f t="shared" si="3"/>
        <v>14</v>
      </c>
      <c r="E143" s="207"/>
      <c r="F143" s="202"/>
      <c r="G143" s="207"/>
      <c r="H143" s="202"/>
      <c r="I143" s="207"/>
      <c r="J143" s="202"/>
      <c r="K143" s="207"/>
      <c r="L143" s="202"/>
      <c r="M143" s="207"/>
      <c r="N143" s="202"/>
      <c r="O143" s="201"/>
      <c r="P143" s="202"/>
      <c r="Q143" s="203">
        <f t="shared" si="4"/>
        <v>0</v>
      </c>
      <c r="R143" s="202"/>
      <c r="S143" s="207"/>
      <c r="T143" s="202"/>
      <c r="U143" s="207">
        <v>10</v>
      </c>
      <c r="V143" s="202"/>
      <c r="W143" s="207">
        <v>10</v>
      </c>
      <c r="X143" s="202"/>
      <c r="Y143" s="207">
        <v>10</v>
      </c>
      <c r="Z143" s="202"/>
      <c r="AA143" s="207">
        <v>10</v>
      </c>
      <c r="AB143" s="202"/>
      <c r="AC143" s="208"/>
      <c r="AD143" s="202"/>
      <c r="AE143" s="203">
        <f t="shared" si="5"/>
        <v>4</v>
      </c>
      <c r="AF143" s="202"/>
      <c r="AG143" s="204"/>
      <c r="AH143" s="202"/>
      <c r="AI143" s="204">
        <v>10</v>
      </c>
      <c r="AJ143" s="202"/>
      <c r="AK143" s="204">
        <v>10</v>
      </c>
      <c r="AL143" s="202"/>
      <c r="AM143" s="204">
        <v>10</v>
      </c>
      <c r="AN143" s="202"/>
      <c r="AO143" s="204">
        <v>10</v>
      </c>
      <c r="AP143" s="202"/>
      <c r="AQ143" s="208"/>
      <c r="AR143" s="202"/>
      <c r="AS143" s="203">
        <f t="shared" si="6"/>
        <v>4</v>
      </c>
      <c r="AT143" s="202"/>
      <c r="AU143" s="204">
        <v>10</v>
      </c>
      <c r="AV143" s="202"/>
      <c r="AW143" s="204">
        <v>10</v>
      </c>
      <c r="AX143" s="202"/>
      <c r="AY143" s="204">
        <v>10</v>
      </c>
      <c r="AZ143" s="202"/>
      <c r="BA143" s="204">
        <v>11</v>
      </c>
      <c r="BB143" s="202"/>
      <c r="BC143" s="204"/>
      <c r="BD143" s="202"/>
      <c r="BE143" s="208"/>
      <c r="BF143" s="202"/>
      <c r="BG143" s="203">
        <f t="shared" si="7"/>
        <v>4</v>
      </c>
      <c r="BH143" s="202"/>
      <c r="BI143" s="235" t="s">
        <v>446</v>
      </c>
      <c r="BJ143" s="202"/>
      <c r="BK143" s="204">
        <v>20</v>
      </c>
      <c r="BL143" s="202"/>
      <c r="BM143" s="204"/>
      <c r="BN143" s="202"/>
      <c r="BO143" s="203">
        <f t="shared" si="8"/>
        <v>2</v>
      </c>
      <c r="BP143" s="202"/>
      <c r="BQ143" s="138"/>
      <c r="BR143" s="139"/>
      <c r="BS143" s="139"/>
      <c r="BT143" s="139"/>
      <c r="BU143" s="139"/>
      <c r="BV143" s="139"/>
      <c r="BW143" s="139"/>
      <c r="BX143" s="140"/>
      <c r="BY143" s="139"/>
      <c r="BZ143" s="139"/>
      <c r="CA143" s="139"/>
      <c r="CB143" s="139"/>
      <c r="CC143" s="139"/>
      <c r="CD143" s="139"/>
      <c r="CE143" s="139"/>
      <c r="CF143" s="139"/>
      <c r="CG143" s="139"/>
      <c r="CH143" s="139"/>
      <c r="CI143" s="139"/>
      <c r="CJ143" s="139"/>
      <c r="CK143" s="139"/>
    </row>
    <row r="144" spans="1:89" ht="14.25">
      <c r="A144" s="136"/>
      <c r="B144" s="30" t="s">
        <v>288</v>
      </c>
      <c r="C144" s="30" t="s">
        <v>3</v>
      </c>
      <c r="D144" s="137">
        <f t="shared" si="3"/>
        <v>12</v>
      </c>
      <c r="E144" s="207"/>
      <c r="F144" s="202"/>
      <c r="G144" s="207"/>
      <c r="H144" s="202"/>
      <c r="I144" s="207"/>
      <c r="J144" s="202"/>
      <c r="K144" s="207"/>
      <c r="L144" s="202"/>
      <c r="M144" s="207"/>
      <c r="N144" s="202"/>
      <c r="O144" s="201"/>
      <c r="P144" s="202"/>
      <c r="Q144" s="203">
        <f t="shared" si="4"/>
        <v>0</v>
      </c>
      <c r="R144" s="202"/>
      <c r="S144" s="207"/>
      <c r="T144" s="202"/>
      <c r="U144" s="207"/>
      <c r="V144" s="202"/>
      <c r="W144" s="207"/>
      <c r="X144" s="202"/>
      <c r="Y144" s="207">
        <v>10</v>
      </c>
      <c r="Z144" s="202"/>
      <c r="AA144" s="207">
        <v>10</v>
      </c>
      <c r="AB144" s="202"/>
      <c r="AC144" s="208"/>
      <c r="AD144" s="202"/>
      <c r="AE144" s="203">
        <f t="shared" si="5"/>
        <v>2</v>
      </c>
      <c r="AF144" s="202"/>
      <c r="AG144" s="204"/>
      <c r="AH144" s="202"/>
      <c r="AI144" s="204">
        <v>10</v>
      </c>
      <c r="AJ144" s="202"/>
      <c r="AK144" s="204">
        <v>10</v>
      </c>
      <c r="AL144" s="202"/>
      <c r="AM144" s="204">
        <v>10</v>
      </c>
      <c r="AN144" s="202"/>
      <c r="AO144" s="204">
        <v>10</v>
      </c>
      <c r="AP144" s="202"/>
      <c r="AQ144" s="208"/>
      <c r="AR144" s="202"/>
      <c r="AS144" s="203">
        <f t="shared" si="6"/>
        <v>4</v>
      </c>
      <c r="AT144" s="202"/>
      <c r="AU144" s="204"/>
      <c r="AV144" s="202"/>
      <c r="AW144" s="204">
        <v>10</v>
      </c>
      <c r="AX144" s="202"/>
      <c r="AY144" s="204">
        <v>10</v>
      </c>
      <c r="AZ144" s="202"/>
      <c r="BA144" s="204">
        <v>11</v>
      </c>
      <c r="BB144" s="202"/>
      <c r="BC144" s="204">
        <v>10</v>
      </c>
      <c r="BD144" s="202"/>
      <c r="BE144" s="208"/>
      <c r="BF144" s="202"/>
      <c r="BG144" s="203">
        <f t="shared" si="7"/>
        <v>4</v>
      </c>
      <c r="BH144" s="202"/>
      <c r="BI144" s="204">
        <v>10</v>
      </c>
      <c r="BJ144" s="202"/>
      <c r="BK144" s="204">
        <v>10</v>
      </c>
      <c r="BL144" s="202"/>
      <c r="BM144" s="204"/>
      <c r="BN144" s="202"/>
      <c r="BO144" s="203">
        <f t="shared" si="8"/>
        <v>2</v>
      </c>
      <c r="BP144" s="202"/>
      <c r="BQ144" s="138"/>
      <c r="BR144" s="139"/>
      <c r="BS144" s="139"/>
      <c r="BT144" s="139"/>
      <c r="BU144" s="139"/>
      <c r="BV144" s="139"/>
      <c r="BW144" s="139"/>
      <c r="BX144" s="140"/>
      <c r="BY144" s="139"/>
      <c r="BZ144" s="139"/>
      <c r="CA144" s="139"/>
      <c r="CB144" s="139"/>
      <c r="CC144" s="139"/>
      <c r="CD144" s="139"/>
      <c r="CE144" s="139"/>
      <c r="CF144" s="139"/>
      <c r="CG144" s="139"/>
      <c r="CH144" s="139"/>
      <c r="CI144" s="139"/>
      <c r="CJ144" s="139"/>
      <c r="CK144" s="139"/>
    </row>
    <row r="145" spans="1:89" ht="14.25">
      <c r="A145" s="136"/>
      <c r="B145" s="30" t="s">
        <v>411</v>
      </c>
      <c r="C145" s="30" t="s">
        <v>4</v>
      </c>
      <c r="D145" s="137">
        <f t="shared" si="3"/>
        <v>3</v>
      </c>
      <c r="E145" s="207"/>
      <c r="F145" s="202"/>
      <c r="G145" s="207"/>
      <c r="H145" s="202"/>
      <c r="I145" s="207"/>
      <c r="J145" s="202"/>
      <c r="K145" s="207"/>
      <c r="L145" s="202"/>
      <c r="M145" s="207"/>
      <c r="N145" s="202"/>
      <c r="O145" s="201"/>
      <c r="P145" s="202"/>
      <c r="Q145" s="203">
        <f t="shared" si="4"/>
        <v>0</v>
      </c>
      <c r="R145" s="202"/>
      <c r="S145" s="207"/>
      <c r="T145" s="202"/>
      <c r="U145" s="207"/>
      <c r="V145" s="202"/>
      <c r="W145" s="207"/>
      <c r="X145" s="202"/>
      <c r="Y145" s="207"/>
      <c r="Z145" s="202"/>
      <c r="AA145" s="207"/>
      <c r="AB145" s="202"/>
      <c r="AC145" s="208"/>
      <c r="AD145" s="202"/>
      <c r="AE145" s="203">
        <f t="shared" si="5"/>
        <v>0</v>
      </c>
      <c r="AF145" s="202"/>
      <c r="AG145" s="204"/>
      <c r="AH145" s="202"/>
      <c r="AI145" s="204">
        <v>12</v>
      </c>
      <c r="AJ145" s="202"/>
      <c r="AK145" s="204"/>
      <c r="AL145" s="202"/>
      <c r="AM145" s="204"/>
      <c r="AN145" s="202"/>
      <c r="AO145" s="204"/>
      <c r="AP145" s="202"/>
      <c r="AQ145" s="208"/>
      <c r="AR145" s="202"/>
      <c r="AS145" s="203">
        <f t="shared" si="6"/>
        <v>1</v>
      </c>
      <c r="AT145" s="202"/>
      <c r="AU145" s="204"/>
      <c r="AV145" s="202"/>
      <c r="AW145" s="204"/>
      <c r="AX145" s="202"/>
      <c r="AY145" s="204"/>
      <c r="AZ145" s="202"/>
      <c r="BA145" s="204"/>
      <c r="BB145" s="202"/>
      <c r="BC145" s="204">
        <v>20</v>
      </c>
      <c r="BD145" s="202"/>
      <c r="BE145" s="208"/>
      <c r="BF145" s="202"/>
      <c r="BG145" s="203">
        <f t="shared" si="7"/>
        <v>1</v>
      </c>
      <c r="BH145" s="202"/>
      <c r="BI145" s="204"/>
      <c r="BJ145" s="202"/>
      <c r="BK145" s="204">
        <v>10</v>
      </c>
      <c r="BL145" s="202"/>
      <c r="BM145" s="204"/>
      <c r="BN145" s="202"/>
      <c r="BO145" s="203">
        <f t="shared" si="8"/>
        <v>1</v>
      </c>
      <c r="BP145" s="202"/>
      <c r="BQ145" s="138"/>
      <c r="BR145" s="139"/>
      <c r="BS145" s="139"/>
      <c r="BT145" s="139"/>
      <c r="BU145" s="139"/>
      <c r="BV145" s="139"/>
      <c r="BW145" s="139"/>
      <c r="BX145" s="140"/>
      <c r="BY145" s="139"/>
      <c r="BZ145" s="139"/>
      <c r="CA145" s="139"/>
      <c r="CB145" s="139"/>
      <c r="CC145" s="139"/>
      <c r="CD145" s="139"/>
      <c r="CE145" s="139"/>
      <c r="CF145" s="139"/>
      <c r="CG145" s="139"/>
      <c r="CH145" s="139"/>
      <c r="CI145" s="139"/>
      <c r="CJ145" s="139"/>
      <c r="CK145" s="139"/>
    </row>
    <row r="146" spans="1:89" ht="14.25">
      <c r="A146" s="142"/>
      <c r="B146" s="30" t="s">
        <v>292</v>
      </c>
      <c r="C146" s="30" t="s">
        <v>4</v>
      </c>
      <c r="D146" s="137">
        <f t="shared" si="3"/>
        <v>6</v>
      </c>
      <c r="E146" s="207"/>
      <c r="F146" s="202"/>
      <c r="G146" s="207"/>
      <c r="H146" s="202"/>
      <c r="I146" s="207"/>
      <c r="J146" s="202"/>
      <c r="K146" s="207"/>
      <c r="L146" s="202"/>
      <c r="M146" s="207"/>
      <c r="N146" s="202"/>
      <c r="O146" s="201"/>
      <c r="P146" s="202"/>
      <c r="Q146" s="203">
        <f t="shared" si="4"/>
        <v>0</v>
      </c>
      <c r="R146" s="202"/>
      <c r="S146" s="207"/>
      <c r="T146" s="202"/>
      <c r="U146" s="207"/>
      <c r="V146" s="202"/>
      <c r="W146" s="207"/>
      <c r="X146" s="202"/>
      <c r="Y146" s="207"/>
      <c r="Z146" s="202"/>
      <c r="AA146" s="207"/>
      <c r="AB146" s="202"/>
      <c r="AC146" s="208"/>
      <c r="AD146" s="202"/>
      <c r="AE146" s="203">
        <f t="shared" si="5"/>
        <v>0</v>
      </c>
      <c r="AF146" s="202"/>
      <c r="AG146" s="204">
        <v>12</v>
      </c>
      <c r="AH146" s="202"/>
      <c r="AI146" s="204"/>
      <c r="AJ146" s="202"/>
      <c r="AK146" s="204"/>
      <c r="AL146" s="202"/>
      <c r="AM146" s="204">
        <v>12</v>
      </c>
      <c r="AN146" s="202"/>
      <c r="AO146" s="204">
        <v>12</v>
      </c>
      <c r="AP146" s="202"/>
      <c r="AQ146" s="208"/>
      <c r="AR146" s="202"/>
      <c r="AS146" s="203">
        <f t="shared" si="6"/>
        <v>3</v>
      </c>
      <c r="AT146" s="202"/>
      <c r="AU146" s="204"/>
      <c r="AV146" s="202"/>
      <c r="AW146" s="204">
        <v>19</v>
      </c>
      <c r="AX146" s="202"/>
      <c r="AY146" s="204">
        <v>18</v>
      </c>
      <c r="AZ146" s="202"/>
      <c r="BA146" s="204"/>
      <c r="BB146" s="202"/>
      <c r="BC146" s="204"/>
      <c r="BD146" s="202"/>
      <c r="BE146" s="208"/>
      <c r="BF146" s="202"/>
      <c r="BG146" s="203">
        <f t="shared" si="7"/>
        <v>2</v>
      </c>
      <c r="BH146" s="202"/>
      <c r="BI146" s="204"/>
      <c r="BJ146" s="202"/>
      <c r="BK146" s="204">
        <v>20</v>
      </c>
      <c r="BL146" s="202"/>
      <c r="BM146" s="204"/>
      <c r="BN146" s="202"/>
      <c r="BO146" s="203">
        <f t="shared" si="8"/>
        <v>1</v>
      </c>
      <c r="BP146" s="202"/>
      <c r="BQ146" s="138"/>
      <c r="BR146" s="128"/>
      <c r="BS146" s="128"/>
      <c r="BT146" s="128"/>
      <c r="BU146" s="128"/>
      <c r="BV146" s="128"/>
      <c r="BW146" s="139"/>
      <c r="BX146" s="140"/>
      <c r="BY146" s="139"/>
      <c r="BZ146" s="139"/>
      <c r="CA146" s="134"/>
      <c r="CB146" s="134"/>
      <c r="CC146" s="134"/>
      <c r="CD146" s="134"/>
      <c r="CE146" s="134"/>
      <c r="CF146" s="134"/>
      <c r="CG146" s="134"/>
      <c r="CH146" s="134"/>
      <c r="CI146" s="134"/>
      <c r="CJ146" s="135"/>
      <c r="CK146" s="135"/>
    </row>
    <row r="147" spans="1:89" ht="14.25">
      <c r="A147" s="136"/>
      <c r="B147" s="30" t="s">
        <v>294</v>
      </c>
      <c r="C147" s="30" t="s">
        <v>4</v>
      </c>
      <c r="D147" s="137">
        <f t="shared" si="3"/>
        <v>9</v>
      </c>
      <c r="E147" s="207"/>
      <c r="F147" s="202"/>
      <c r="G147" s="207"/>
      <c r="H147" s="202"/>
      <c r="I147" s="207"/>
      <c r="J147" s="202"/>
      <c r="K147" s="207"/>
      <c r="L147" s="202"/>
      <c r="M147" s="207"/>
      <c r="N147" s="202"/>
      <c r="O147" s="201"/>
      <c r="P147" s="202"/>
      <c r="Q147" s="203">
        <f t="shared" si="4"/>
        <v>0</v>
      </c>
      <c r="R147" s="202"/>
      <c r="S147" s="207"/>
      <c r="T147" s="202"/>
      <c r="U147" s="207"/>
      <c r="V147" s="202"/>
      <c r="W147" s="207"/>
      <c r="X147" s="202"/>
      <c r="Y147" s="207"/>
      <c r="Z147" s="202"/>
      <c r="AA147" s="207"/>
      <c r="AB147" s="202"/>
      <c r="AC147" s="208"/>
      <c r="AD147" s="202"/>
      <c r="AE147" s="203">
        <f t="shared" si="5"/>
        <v>0</v>
      </c>
      <c r="AF147" s="202"/>
      <c r="AG147" s="204">
        <v>10</v>
      </c>
      <c r="AH147" s="202"/>
      <c r="AI147" s="204">
        <v>10</v>
      </c>
      <c r="AJ147" s="202"/>
      <c r="AK147" s="204">
        <v>10</v>
      </c>
      <c r="AL147" s="202"/>
      <c r="AM147" s="204">
        <v>12</v>
      </c>
      <c r="AN147" s="202"/>
      <c r="AO147" s="204">
        <v>12</v>
      </c>
      <c r="AP147" s="202"/>
      <c r="AQ147" s="208"/>
      <c r="AR147" s="202"/>
      <c r="AS147" s="203">
        <f t="shared" si="6"/>
        <v>5</v>
      </c>
      <c r="AT147" s="202"/>
      <c r="AU147" s="204">
        <v>17</v>
      </c>
      <c r="AV147" s="202"/>
      <c r="AW147" s="204"/>
      <c r="AX147" s="202"/>
      <c r="AY147" s="204">
        <v>10</v>
      </c>
      <c r="AZ147" s="202"/>
      <c r="BA147" s="204"/>
      <c r="BB147" s="202"/>
      <c r="BC147" s="204">
        <v>10</v>
      </c>
      <c r="BD147" s="202"/>
      <c r="BE147" s="208"/>
      <c r="BF147" s="202"/>
      <c r="BG147" s="203">
        <f t="shared" si="7"/>
        <v>3</v>
      </c>
      <c r="BH147" s="202"/>
      <c r="BI147" s="204">
        <v>12</v>
      </c>
      <c r="BJ147" s="202"/>
      <c r="BK147" s="204"/>
      <c r="BL147" s="202"/>
      <c r="BM147" s="204"/>
      <c r="BN147" s="202"/>
      <c r="BO147" s="203">
        <f t="shared" si="8"/>
        <v>1</v>
      </c>
      <c r="BP147" s="202"/>
      <c r="BQ147" s="138"/>
      <c r="BR147" s="139"/>
      <c r="BS147" s="139"/>
      <c r="BT147" s="139"/>
      <c r="BU147" s="139"/>
      <c r="BV147" s="139"/>
      <c r="BW147" s="139"/>
      <c r="BX147" s="140"/>
      <c r="BY147" s="139"/>
      <c r="BZ147" s="139"/>
      <c r="CA147" s="139"/>
      <c r="CB147" s="139"/>
      <c r="CC147" s="139"/>
      <c r="CD147" s="139"/>
      <c r="CE147" s="139"/>
      <c r="CF147" s="139"/>
      <c r="CG147" s="139"/>
      <c r="CH147" s="139"/>
      <c r="CI147" s="139"/>
      <c r="CJ147" s="139"/>
      <c r="CK147" s="139"/>
    </row>
    <row r="148" spans="1:89" ht="14.25">
      <c r="A148" s="136"/>
      <c r="B148" s="30" t="s">
        <v>296</v>
      </c>
      <c r="C148" s="30" t="s">
        <v>4</v>
      </c>
      <c r="D148" s="137">
        <f t="shared" si="3"/>
        <v>0</v>
      </c>
      <c r="E148" s="207"/>
      <c r="F148" s="202"/>
      <c r="G148" s="207"/>
      <c r="H148" s="202"/>
      <c r="I148" s="207"/>
      <c r="J148" s="202"/>
      <c r="K148" s="207"/>
      <c r="L148" s="202"/>
      <c r="M148" s="207"/>
      <c r="N148" s="202"/>
      <c r="O148" s="201"/>
      <c r="P148" s="202"/>
      <c r="Q148" s="203">
        <f t="shared" si="4"/>
        <v>0</v>
      </c>
      <c r="R148" s="202"/>
      <c r="S148" s="207"/>
      <c r="T148" s="202"/>
      <c r="U148" s="207"/>
      <c r="V148" s="202"/>
      <c r="W148" s="207"/>
      <c r="X148" s="202"/>
      <c r="Y148" s="207"/>
      <c r="Z148" s="202"/>
      <c r="AA148" s="207"/>
      <c r="AB148" s="202"/>
      <c r="AC148" s="208"/>
      <c r="AD148" s="202"/>
      <c r="AE148" s="203">
        <f t="shared" si="5"/>
        <v>0</v>
      </c>
      <c r="AF148" s="202"/>
      <c r="AG148" s="204"/>
      <c r="AH148" s="202"/>
      <c r="AI148" s="204"/>
      <c r="AJ148" s="202"/>
      <c r="AK148" s="204"/>
      <c r="AL148" s="202"/>
      <c r="AM148" s="204"/>
      <c r="AN148" s="202"/>
      <c r="AO148" s="204"/>
      <c r="AP148" s="202"/>
      <c r="AQ148" s="208"/>
      <c r="AR148" s="202"/>
      <c r="AS148" s="203">
        <f t="shared" si="6"/>
        <v>0</v>
      </c>
      <c r="AT148" s="202"/>
      <c r="AU148" s="204"/>
      <c r="AV148" s="202"/>
      <c r="AW148" s="204"/>
      <c r="AX148" s="202"/>
      <c r="AY148" s="204"/>
      <c r="AZ148" s="202"/>
      <c r="BA148" s="204"/>
      <c r="BB148" s="202"/>
      <c r="BC148" s="204"/>
      <c r="BD148" s="202"/>
      <c r="BE148" s="208"/>
      <c r="BF148" s="202"/>
      <c r="BG148" s="203">
        <f t="shared" si="7"/>
        <v>0</v>
      </c>
      <c r="BH148" s="202"/>
      <c r="BI148" s="204"/>
      <c r="BJ148" s="202"/>
      <c r="BK148" s="204"/>
      <c r="BL148" s="202"/>
      <c r="BM148" s="204"/>
      <c r="BN148" s="202"/>
      <c r="BO148" s="203">
        <f t="shared" si="8"/>
        <v>0</v>
      </c>
      <c r="BP148" s="202"/>
      <c r="BQ148" s="138"/>
      <c r="BR148" s="139"/>
      <c r="BS148" s="139"/>
      <c r="BT148" s="139"/>
      <c r="BU148" s="139"/>
      <c r="BV148" s="139"/>
      <c r="BW148" s="139"/>
      <c r="BX148" s="140"/>
      <c r="BY148" s="139"/>
      <c r="BZ148" s="139"/>
      <c r="CA148" s="139"/>
      <c r="CB148" s="139"/>
      <c r="CC148" s="139"/>
      <c r="CD148" s="139"/>
      <c r="CE148" s="139"/>
      <c r="CF148" s="139"/>
      <c r="CG148" s="139"/>
      <c r="CH148" s="139"/>
      <c r="CI148" s="139"/>
      <c r="CJ148" s="139"/>
      <c r="CK148" s="139"/>
    </row>
    <row r="149" spans="1:89" ht="14.25">
      <c r="A149" s="142"/>
      <c r="B149" s="30" t="s">
        <v>298</v>
      </c>
      <c r="C149" s="30" t="s">
        <v>4</v>
      </c>
      <c r="D149" s="137">
        <f t="shared" si="3"/>
        <v>1</v>
      </c>
      <c r="E149" s="207"/>
      <c r="F149" s="202"/>
      <c r="G149" s="207"/>
      <c r="H149" s="202"/>
      <c r="I149" s="207"/>
      <c r="J149" s="202"/>
      <c r="K149" s="207"/>
      <c r="L149" s="202"/>
      <c r="M149" s="207"/>
      <c r="N149" s="202"/>
      <c r="O149" s="201"/>
      <c r="P149" s="202"/>
      <c r="Q149" s="203">
        <f t="shared" si="4"/>
        <v>0</v>
      </c>
      <c r="R149" s="202"/>
      <c r="S149" s="207"/>
      <c r="T149" s="202"/>
      <c r="U149" s="207"/>
      <c r="V149" s="202"/>
      <c r="W149" s="207"/>
      <c r="X149" s="202"/>
      <c r="Y149" s="207"/>
      <c r="Z149" s="202"/>
      <c r="AA149" s="207"/>
      <c r="AB149" s="202"/>
      <c r="AC149" s="208"/>
      <c r="AD149" s="202"/>
      <c r="AE149" s="203">
        <f t="shared" si="5"/>
        <v>0</v>
      </c>
      <c r="AF149" s="202"/>
      <c r="AG149" s="204">
        <v>18</v>
      </c>
      <c r="AH149" s="202"/>
      <c r="AI149" s="204"/>
      <c r="AJ149" s="202"/>
      <c r="AK149" s="204"/>
      <c r="AL149" s="202"/>
      <c r="AM149" s="204"/>
      <c r="AN149" s="202"/>
      <c r="AO149" s="204"/>
      <c r="AP149" s="202"/>
      <c r="AQ149" s="208"/>
      <c r="AR149" s="202"/>
      <c r="AS149" s="203">
        <f t="shared" si="6"/>
        <v>1</v>
      </c>
      <c r="AT149" s="202"/>
      <c r="AU149" s="204"/>
      <c r="AV149" s="202"/>
      <c r="AW149" s="204"/>
      <c r="AX149" s="202"/>
      <c r="AY149" s="204"/>
      <c r="AZ149" s="202"/>
      <c r="BA149" s="204"/>
      <c r="BB149" s="202"/>
      <c r="BC149" s="204"/>
      <c r="BD149" s="202"/>
      <c r="BE149" s="208"/>
      <c r="BF149" s="202"/>
      <c r="BG149" s="203">
        <f t="shared" si="7"/>
        <v>0</v>
      </c>
      <c r="BH149" s="202"/>
      <c r="BI149" s="204"/>
      <c r="BJ149" s="202"/>
      <c r="BK149" s="204"/>
      <c r="BL149" s="202"/>
      <c r="BM149" s="204"/>
      <c r="BN149" s="202"/>
      <c r="BO149" s="203">
        <f t="shared" si="8"/>
        <v>0</v>
      </c>
      <c r="BP149" s="202"/>
      <c r="BQ149" s="138"/>
      <c r="BR149" s="128"/>
      <c r="BS149" s="128"/>
      <c r="BT149" s="128"/>
      <c r="BU149" s="128"/>
      <c r="BV149" s="128"/>
      <c r="BW149" s="139"/>
      <c r="BX149" s="140"/>
      <c r="BY149" s="139"/>
      <c r="BZ149" s="139"/>
      <c r="CA149" s="134"/>
      <c r="CB149" s="134"/>
      <c r="CC149" s="134"/>
      <c r="CD149" s="134"/>
      <c r="CE149" s="134"/>
      <c r="CF149" s="134"/>
      <c r="CG149" s="134"/>
      <c r="CH149" s="134"/>
      <c r="CI149" s="134"/>
      <c r="CJ149" s="135"/>
      <c r="CK149" s="135"/>
    </row>
    <row r="150" spans="1:89" ht="14.25">
      <c r="A150" s="142"/>
      <c r="B150" s="30" t="s">
        <v>415</v>
      </c>
      <c r="C150" s="30" t="s">
        <v>4</v>
      </c>
      <c r="D150" s="137">
        <f t="shared" si="3"/>
        <v>2</v>
      </c>
      <c r="E150" s="207"/>
      <c r="F150" s="202"/>
      <c r="G150" s="207"/>
      <c r="H150" s="202"/>
      <c r="I150" s="207"/>
      <c r="J150" s="202"/>
      <c r="K150" s="207"/>
      <c r="L150" s="202"/>
      <c r="M150" s="207"/>
      <c r="N150" s="202"/>
      <c r="O150" s="201"/>
      <c r="P150" s="202"/>
      <c r="Q150" s="203">
        <f t="shared" si="4"/>
        <v>0</v>
      </c>
      <c r="R150" s="202"/>
      <c r="S150" s="207"/>
      <c r="T150" s="202"/>
      <c r="U150" s="207"/>
      <c r="V150" s="202"/>
      <c r="W150" s="207"/>
      <c r="X150" s="202"/>
      <c r="Y150" s="207"/>
      <c r="Z150" s="202"/>
      <c r="AA150" s="207"/>
      <c r="AB150" s="202"/>
      <c r="AC150" s="208"/>
      <c r="AD150" s="202"/>
      <c r="AE150" s="203">
        <f t="shared" si="5"/>
        <v>0</v>
      </c>
      <c r="AF150" s="202"/>
      <c r="AG150" s="204">
        <v>21</v>
      </c>
      <c r="AH150" s="202"/>
      <c r="AI150" s="204"/>
      <c r="AJ150" s="202"/>
      <c r="AK150" s="204"/>
      <c r="AL150" s="202"/>
      <c r="AM150" s="204">
        <v>19</v>
      </c>
      <c r="AN150" s="202"/>
      <c r="AO150" s="204"/>
      <c r="AP150" s="202"/>
      <c r="AQ150" s="208"/>
      <c r="AR150" s="202"/>
      <c r="AS150" s="203">
        <f t="shared" si="6"/>
        <v>2</v>
      </c>
      <c r="AT150" s="202"/>
      <c r="AU150" s="204"/>
      <c r="AV150" s="202"/>
      <c r="AW150" s="204"/>
      <c r="AX150" s="202"/>
      <c r="AY150" s="204"/>
      <c r="AZ150" s="202"/>
      <c r="BA150" s="204"/>
      <c r="BB150" s="202"/>
      <c r="BC150" s="204"/>
      <c r="BD150" s="202"/>
      <c r="BE150" s="208"/>
      <c r="BF150" s="202"/>
      <c r="BG150" s="203">
        <f t="shared" si="7"/>
        <v>0</v>
      </c>
      <c r="BH150" s="202"/>
      <c r="BI150" s="204"/>
      <c r="BJ150" s="202"/>
      <c r="BK150" s="204"/>
      <c r="BL150" s="202"/>
      <c r="BM150" s="204"/>
      <c r="BN150" s="202"/>
      <c r="BO150" s="203">
        <f t="shared" si="8"/>
        <v>0</v>
      </c>
      <c r="BP150" s="202"/>
      <c r="BQ150" s="138"/>
      <c r="BR150" s="128"/>
      <c r="BS150" s="128"/>
      <c r="BT150" s="128"/>
      <c r="BU150" s="128"/>
      <c r="BV150" s="128"/>
      <c r="BW150" s="139"/>
      <c r="BX150" s="140"/>
      <c r="BY150" s="139"/>
      <c r="BZ150" s="139"/>
      <c r="CA150" s="134"/>
      <c r="CB150" s="134"/>
      <c r="CC150" s="134"/>
      <c r="CD150" s="134"/>
      <c r="CE150" s="134"/>
      <c r="CF150" s="134"/>
      <c r="CG150" s="134"/>
      <c r="CH150" s="134"/>
      <c r="CI150" s="134"/>
      <c r="CJ150" s="135"/>
      <c r="CK150" s="135"/>
    </row>
    <row r="151" spans="1:89" ht="14.25">
      <c r="A151" s="142"/>
      <c r="B151" s="30" t="s">
        <v>300</v>
      </c>
      <c r="C151" s="30" t="s">
        <v>4</v>
      </c>
      <c r="D151" s="137">
        <f t="shared" si="3"/>
        <v>9</v>
      </c>
      <c r="E151" s="207"/>
      <c r="F151" s="202"/>
      <c r="G151" s="207"/>
      <c r="H151" s="202"/>
      <c r="I151" s="207"/>
      <c r="J151" s="202"/>
      <c r="K151" s="207"/>
      <c r="L151" s="202"/>
      <c r="M151" s="207"/>
      <c r="N151" s="202"/>
      <c r="O151" s="201"/>
      <c r="P151" s="202"/>
      <c r="Q151" s="203">
        <f t="shared" si="4"/>
        <v>0</v>
      </c>
      <c r="R151" s="202"/>
      <c r="S151" s="207"/>
      <c r="T151" s="202"/>
      <c r="U151" s="207"/>
      <c r="V151" s="202"/>
      <c r="W151" s="207"/>
      <c r="X151" s="202"/>
      <c r="Y151" s="207"/>
      <c r="Z151" s="202"/>
      <c r="AA151" s="207"/>
      <c r="AB151" s="202"/>
      <c r="AC151" s="208">
        <v>13</v>
      </c>
      <c r="AD151" s="202"/>
      <c r="AE151" s="203">
        <f t="shared" si="5"/>
        <v>0</v>
      </c>
      <c r="AF151" s="202"/>
      <c r="AG151" s="204">
        <v>19</v>
      </c>
      <c r="AH151" s="202"/>
      <c r="AI151" s="204">
        <v>18</v>
      </c>
      <c r="AJ151" s="202"/>
      <c r="AK151" s="204">
        <v>18</v>
      </c>
      <c r="AL151" s="202"/>
      <c r="AM151" s="204"/>
      <c r="AN151" s="202"/>
      <c r="AO151" s="204"/>
      <c r="AP151" s="202"/>
      <c r="AQ151" s="208">
        <v>13</v>
      </c>
      <c r="AR151" s="202"/>
      <c r="AS151" s="203">
        <f t="shared" si="6"/>
        <v>3</v>
      </c>
      <c r="AT151" s="202"/>
      <c r="AU151" s="204">
        <v>10</v>
      </c>
      <c r="AV151" s="202"/>
      <c r="AW151" s="204">
        <v>18</v>
      </c>
      <c r="AX151" s="202"/>
      <c r="AY151" s="204"/>
      <c r="AZ151" s="202"/>
      <c r="BA151" s="204">
        <v>13</v>
      </c>
      <c r="BB151" s="202"/>
      <c r="BC151" s="204">
        <v>18</v>
      </c>
      <c r="BD151" s="202"/>
      <c r="BE151" s="208">
        <v>11</v>
      </c>
      <c r="BF151" s="202"/>
      <c r="BG151" s="203">
        <f t="shared" si="7"/>
        <v>4</v>
      </c>
      <c r="BH151" s="202"/>
      <c r="BI151" s="204">
        <v>12</v>
      </c>
      <c r="BJ151" s="202"/>
      <c r="BK151" s="204">
        <v>18</v>
      </c>
      <c r="BL151" s="202"/>
      <c r="BM151" s="204"/>
      <c r="BN151" s="202"/>
      <c r="BO151" s="203">
        <f t="shared" si="8"/>
        <v>2</v>
      </c>
      <c r="BP151" s="202"/>
      <c r="BQ151" s="138"/>
      <c r="BR151" s="128"/>
      <c r="BS151" s="128"/>
      <c r="BT151" s="128"/>
      <c r="BU151" s="128"/>
      <c r="BV151" s="128"/>
      <c r="BW151" s="139"/>
      <c r="BX151" s="140"/>
      <c r="BY151" s="139"/>
      <c r="BZ151" s="139"/>
      <c r="CA151" s="134"/>
      <c r="CB151" s="134"/>
      <c r="CC151" s="134"/>
      <c r="CD151" s="134"/>
      <c r="CE151" s="134"/>
      <c r="CF151" s="134"/>
      <c r="CG151" s="134"/>
      <c r="CH151" s="134"/>
      <c r="CI151" s="134"/>
      <c r="CJ151" s="135"/>
      <c r="CK151" s="135"/>
    </row>
    <row r="152" spans="1:89" ht="14.25">
      <c r="A152" s="142"/>
      <c r="B152" s="30" t="s">
        <v>302</v>
      </c>
      <c r="C152" s="30" t="s">
        <v>4</v>
      </c>
      <c r="D152" s="137">
        <f t="shared" si="3"/>
        <v>7</v>
      </c>
      <c r="E152" s="207"/>
      <c r="F152" s="202"/>
      <c r="G152" s="207"/>
      <c r="H152" s="202"/>
      <c r="I152" s="207"/>
      <c r="J152" s="202"/>
      <c r="K152" s="207"/>
      <c r="L152" s="202"/>
      <c r="M152" s="207"/>
      <c r="N152" s="202"/>
      <c r="O152" s="201"/>
      <c r="P152" s="202"/>
      <c r="Q152" s="203">
        <f t="shared" si="4"/>
        <v>0</v>
      </c>
      <c r="R152" s="202"/>
      <c r="S152" s="207"/>
      <c r="T152" s="202"/>
      <c r="U152" s="207"/>
      <c r="V152" s="202"/>
      <c r="W152" s="207"/>
      <c r="X152" s="202"/>
      <c r="Y152" s="207"/>
      <c r="Z152" s="202"/>
      <c r="AA152" s="207"/>
      <c r="AB152" s="202"/>
      <c r="AC152" s="208"/>
      <c r="AD152" s="202"/>
      <c r="AE152" s="203">
        <f t="shared" si="5"/>
        <v>0</v>
      </c>
      <c r="AF152" s="202"/>
      <c r="AG152" s="204"/>
      <c r="AH152" s="202"/>
      <c r="AI152" s="204"/>
      <c r="AJ152" s="202"/>
      <c r="AK152" s="204">
        <v>18</v>
      </c>
      <c r="AL152" s="202"/>
      <c r="AM152" s="204">
        <v>19</v>
      </c>
      <c r="AN152" s="202"/>
      <c r="AO152" s="204"/>
      <c r="AP152" s="202"/>
      <c r="AQ152" s="208"/>
      <c r="AR152" s="202"/>
      <c r="AS152" s="203">
        <f t="shared" si="6"/>
        <v>2</v>
      </c>
      <c r="AT152" s="202"/>
      <c r="AU152" s="204">
        <v>18</v>
      </c>
      <c r="AV152" s="202"/>
      <c r="AW152" s="204">
        <v>18</v>
      </c>
      <c r="AX152" s="202"/>
      <c r="AY152" s="204"/>
      <c r="AZ152" s="202"/>
      <c r="BA152" s="204"/>
      <c r="BB152" s="202"/>
      <c r="BC152" s="204">
        <v>18</v>
      </c>
      <c r="BD152" s="202"/>
      <c r="BE152" s="208"/>
      <c r="BF152" s="202"/>
      <c r="BG152" s="203">
        <f t="shared" si="7"/>
        <v>3</v>
      </c>
      <c r="BH152" s="202"/>
      <c r="BI152" s="204"/>
      <c r="BJ152" s="202"/>
      <c r="BK152" s="204">
        <v>18</v>
      </c>
      <c r="BL152" s="202"/>
      <c r="BM152" s="204">
        <v>12</v>
      </c>
      <c r="BN152" s="202"/>
      <c r="BO152" s="203">
        <f t="shared" si="8"/>
        <v>2</v>
      </c>
      <c r="BP152" s="202"/>
      <c r="BQ152" s="138"/>
      <c r="BR152" s="128"/>
      <c r="BS152" s="128"/>
      <c r="BT152" s="128"/>
      <c r="BU152" s="128"/>
      <c r="BV152" s="128"/>
      <c r="BW152" s="139"/>
      <c r="BX152" s="140"/>
      <c r="BY152" s="139"/>
      <c r="BZ152" s="139"/>
      <c r="CA152" s="134"/>
      <c r="CB152" s="134"/>
      <c r="CC152" s="134"/>
      <c r="CD152" s="134"/>
      <c r="CE152" s="134"/>
      <c r="CF152" s="134"/>
      <c r="CG152" s="134"/>
      <c r="CH152" s="134"/>
      <c r="CI152" s="134"/>
      <c r="CJ152" s="135"/>
      <c r="CK152" s="135"/>
    </row>
    <row r="153" spans="1:89" ht="14.25">
      <c r="A153" s="142"/>
      <c r="B153" s="30" t="s">
        <v>304</v>
      </c>
      <c r="C153" s="30" t="s">
        <v>4</v>
      </c>
      <c r="D153" s="137">
        <f t="shared" si="3"/>
        <v>5</v>
      </c>
      <c r="E153" s="207"/>
      <c r="F153" s="202"/>
      <c r="G153" s="207"/>
      <c r="H153" s="202"/>
      <c r="I153" s="207"/>
      <c r="J153" s="202"/>
      <c r="K153" s="207"/>
      <c r="L153" s="202"/>
      <c r="M153" s="207"/>
      <c r="N153" s="202"/>
      <c r="O153" s="201"/>
      <c r="P153" s="202"/>
      <c r="Q153" s="203">
        <f t="shared" si="4"/>
        <v>0</v>
      </c>
      <c r="R153" s="202"/>
      <c r="S153" s="207"/>
      <c r="T153" s="202"/>
      <c r="U153" s="207"/>
      <c r="V153" s="202"/>
      <c r="W153" s="207"/>
      <c r="X153" s="202"/>
      <c r="Y153" s="207"/>
      <c r="Z153" s="202"/>
      <c r="AA153" s="207"/>
      <c r="AB153" s="202"/>
      <c r="AC153" s="208"/>
      <c r="AD153" s="202"/>
      <c r="AE153" s="203">
        <f t="shared" si="5"/>
        <v>0</v>
      </c>
      <c r="AF153" s="202"/>
      <c r="AG153" s="204"/>
      <c r="AH153" s="202"/>
      <c r="AI153" s="204"/>
      <c r="AJ153" s="202"/>
      <c r="AK153" s="204">
        <v>21</v>
      </c>
      <c r="AL153" s="202"/>
      <c r="AM153" s="204"/>
      <c r="AN153" s="202"/>
      <c r="AO153" s="204"/>
      <c r="AP153" s="202"/>
      <c r="AQ153" s="208"/>
      <c r="AR153" s="202"/>
      <c r="AS153" s="203">
        <f t="shared" si="6"/>
        <v>1</v>
      </c>
      <c r="AT153" s="202"/>
      <c r="AU153" s="204"/>
      <c r="AV153" s="202"/>
      <c r="AW153" s="204">
        <v>12</v>
      </c>
      <c r="AX153" s="202"/>
      <c r="AY153" s="204"/>
      <c r="AZ153" s="202"/>
      <c r="BA153" s="204"/>
      <c r="BB153" s="202"/>
      <c r="BC153" s="204">
        <v>21</v>
      </c>
      <c r="BD153" s="202"/>
      <c r="BE153" s="208"/>
      <c r="BF153" s="202"/>
      <c r="BG153" s="203">
        <f t="shared" si="7"/>
        <v>2</v>
      </c>
      <c r="BH153" s="202"/>
      <c r="BI153" s="204">
        <v>18</v>
      </c>
      <c r="BJ153" s="202"/>
      <c r="BK153" s="204">
        <v>19</v>
      </c>
      <c r="BL153" s="202"/>
      <c r="BM153" s="204"/>
      <c r="BN153" s="202"/>
      <c r="BO153" s="203">
        <f t="shared" si="8"/>
        <v>2</v>
      </c>
      <c r="BP153" s="202"/>
      <c r="BQ153" s="138"/>
      <c r="BR153" s="128"/>
      <c r="BS153" s="128"/>
      <c r="BT153" s="128"/>
      <c r="BU153" s="128"/>
      <c r="BV153" s="128"/>
      <c r="BW153" s="139"/>
      <c r="BX153" s="140"/>
      <c r="BY153" s="139"/>
      <c r="BZ153" s="139"/>
      <c r="CA153" s="134"/>
      <c r="CB153" s="134"/>
      <c r="CC153" s="134"/>
      <c r="CD153" s="134"/>
      <c r="CE153" s="134"/>
      <c r="CF153" s="134"/>
      <c r="CG153" s="134"/>
      <c r="CH153" s="134"/>
      <c r="CI153" s="134"/>
      <c r="CJ153" s="92"/>
      <c r="CK153" s="92"/>
    </row>
    <row r="154" spans="1:89" ht="14.25">
      <c r="A154" s="142"/>
      <c r="B154" s="30" t="s">
        <v>306</v>
      </c>
      <c r="C154" s="30" t="s">
        <v>4</v>
      </c>
      <c r="D154" s="137">
        <f t="shared" si="3"/>
        <v>6</v>
      </c>
      <c r="E154" s="207"/>
      <c r="F154" s="202"/>
      <c r="G154" s="207"/>
      <c r="H154" s="202"/>
      <c r="I154" s="207"/>
      <c r="J154" s="202"/>
      <c r="K154" s="207"/>
      <c r="L154" s="202"/>
      <c r="M154" s="207"/>
      <c r="N154" s="202"/>
      <c r="O154" s="201"/>
      <c r="P154" s="202"/>
      <c r="Q154" s="203">
        <f t="shared" si="4"/>
        <v>0</v>
      </c>
      <c r="R154" s="202"/>
      <c r="S154" s="207"/>
      <c r="T154" s="202"/>
      <c r="U154" s="207"/>
      <c r="V154" s="202"/>
      <c r="W154" s="207"/>
      <c r="X154" s="202"/>
      <c r="Y154" s="207"/>
      <c r="Z154" s="202"/>
      <c r="AA154" s="207"/>
      <c r="AB154" s="202"/>
      <c r="AC154" s="208"/>
      <c r="AD154" s="202"/>
      <c r="AE154" s="203">
        <f t="shared" si="5"/>
        <v>0</v>
      </c>
      <c r="AF154" s="202"/>
      <c r="AG154" s="204"/>
      <c r="AH154" s="202"/>
      <c r="AI154" s="204"/>
      <c r="AJ154" s="202"/>
      <c r="AK154" s="204">
        <v>17</v>
      </c>
      <c r="AL154" s="202"/>
      <c r="AM154" s="204">
        <v>17</v>
      </c>
      <c r="AN154" s="202"/>
      <c r="AO154" s="204">
        <v>17</v>
      </c>
      <c r="AP154" s="202"/>
      <c r="AQ154" s="208"/>
      <c r="AR154" s="202"/>
      <c r="AS154" s="203">
        <f t="shared" si="6"/>
        <v>3</v>
      </c>
      <c r="AT154" s="202"/>
      <c r="AU154" s="204">
        <v>17</v>
      </c>
      <c r="AV154" s="202"/>
      <c r="AW154" s="204">
        <v>12</v>
      </c>
      <c r="AX154" s="202"/>
      <c r="AY154" s="204"/>
      <c r="AZ154" s="202"/>
      <c r="BA154" s="204"/>
      <c r="BB154" s="202"/>
      <c r="BC154" s="204">
        <v>17</v>
      </c>
      <c r="BD154" s="202"/>
      <c r="BE154" s="208"/>
      <c r="BF154" s="202"/>
      <c r="BG154" s="203">
        <f t="shared" si="7"/>
        <v>3</v>
      </c>
      <c r="BH154" s="202"/>
      <c r="BI154" s="204"/>
      <c r="BJ154" s="202"/>
      <c r="BK154" s="204"/>
      <c r="BL154" s="202"/>
      <c r="BM154" s="204"/>
      <c r="BN154" s="202"/>
      <c r="BO154" s="203">
        <f t="shared" si="8"/>
        <v>0</v>
      </c>
      <c r="BP154" s="202"/>
      <c r="BQ154" s="138"/>
      <c r="BR154" s="128"/>
      <c r="BS154" s="128"/>
      <c r="BT154" s="128"/>
      <c r="BU154" s="128"/>
      <c r="BV154" s="128"/>
      <c r="BW154" s="139"/>
      <c r="BX154" s="140"/>
      <c r="BY154" s="139"/>
      <c r="BZ154" s="139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92"/>
      <c r="CK154" s="92"/>
    </row>
    <row r="155" spans="1:89" ht="14.25">
      <c r="A155" s="142"/>
      <c r="B155" s="30" t="s">
        <v>310</v>
      </c>
      <c r="C155" s="30" t="s">
        <v>4</v>
      </c>
      <c r="D155" s="137">
        <f t="shared" si="3"/>
        <v>6</v>
      </c>
      <c r="E155" s="207"/>
      <c r="F155" s="202"/>
      <c r="G155" s="207"/>
      <c r="H155" s="202"/>
      <c r="I155" s="207"/>
      <c r="J155" s="202"/>
      <c r="K155" s="207"/>
      <c r="L155" s="202"/>
      <c r="M155" s="207"/>
      <c r="N155" s="202"/>
      <c r="O155" s="201"/>
      <c r="P155" s="202"/>
      <c r="Q155" s="203">
        <f t="shared" si="4"/>
        <v>0</v>
      </c>
      <c r="R155" s="202"/>
      <c r="S155" s="207"/>
      <c r="T155" s="202"/>
      <c r="U155" s="207"/>
      <c r="V155" s="202"/>
      <c r="W155" s="207"/>
      <c r="X155" s="202"/>
      <c r="Y155" s="207"/>
      <c r="Z155" s="202"/>
      <c r="AA155" s="207"/>
      <c r="AB155" s="202"/>
      <c r="AC155" s="208"/>
      <c r="AD155" s="202"/>
      <c r="AE155" s="203">
        <f t="shared" si="5"/>
        <v>0</v>
      </c>
      <c r="AF155" s="202"/>
      <c r="AG155" s="204"/>
      <c r="AH155" s="202"/>
      <c r="AI155" s="204"/>
      <c r="AJ155" s="202"/>
      <c r="AK155" s="204"/>
      <c r="AL155" s="202"/>
      <c r="AM155" s="204"/>
      <c r="AN155" s="202"/>
      <c r="AO155" s="204"/>
      <c r="AP155" s="202"/>
      <c r="AQ155" s="208"/>
      <c r="AR155" s="202"/>
      <c r="AS155" s="203">
        <f t="shared" si="6"/>
        <v>0</v>
      </c>
      <c r="AT155" s="202"/>
      <c r="AU155" s="204"/>
      <c r="AV155" s="202"/>
      <c r="AW155" s="204">
        <v>8</v>
      </c>
      <c r="AX155" s="202"/>
      <c r="AY155" s="204">
        <v>8</v>
      </c>
      <c r="AZ155" s="202"/>
      <c r="BA155" s="204">
        <v>11</v>
      </c>
      <c r="BB155" s="202"/>
      <c r="BC155" s="204"/>
      <c r="BD155" s="202"/>
      <c r="BE155" s="208">
        <v>11</v>
      </c>
      <c r="BF155" s="202"/>
      <c r="BG155" s="203">
        <f t="shared" si="7"/>
        <v>3</v>
      </c>
      <c r="BH155" s="202"/>
      <c r="BI155" s="204">
        <v>8</v>
      </c>
      <c r="BJ155" s="202"/>
      <c r="BK155" s="204">
        <v>8</v>
      </c>
      <c r="BL155" s="202"/>
      <c r="BM155" s="204">
        <v>8</v>
      </c>
      <c r="BN155" s="202"/>
      <c r="BO155" s="203">
        <f t="shared" si="8"/>
        <v>3</v>
      </c>
      <c r="BP155" s="202"/>
      <c r="BQ155" s="138"/>
      <c r="BR155" s="128"/>
      <c r="BS155" s="128"/>
      <c r="BT155" s="128"/>
      <c r="BU155" s="128"/>
      <c r="BV155" s="128"/>
      <c r="BW155" s="139"/>
      <c r="BX155" s="140"/>
      <c r="BY155" s="139"/>
      <c r="BZ155" s="139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92"/>
      <c r="CK155" s="92"/>
    </row>
    <row r="156" spans="1:89" ht="14.25">
      <c r="A156" s="142"/>
      <c r="B156" s="30" t="s">
        <v>308</v>
      </c>
      <c r="C156" s="30" t="s">
        <v>3</v>
      </c>
      <c r="D156" s="137">
        <f t="shared" si="3"/>
        <v>5</v>
      </c>
      <c r="E156" s="207"/>
      <c r="F156" s="202"/>
      <c r="G156" s="207"/>
      <c r="H156" s="202"/>
      <c r="I156" s="207"/>
      <c r="J156" s="202"/>
      <c r="K156" s="207"/>
      <c r="L156" s="202"/>
      <c r="M156" s="207"/>
      <c r="N156" s="202"/>
      <c r="O156" s="201"/>
      <c r="P156" s="202"/>
      <c r="Q156" s="203">
        <f t="shared" si="4"/>
        <v>0</v>
      </c>
      <c r="R156" s="202"/>
      <c r="S156" s="207"/>
      <c r="T156" s="202"/>
      <c r="U156" s="207"/>
      <c r="V156" s="202"/>
      <c r="W156" s="207"/>
      <c r="X156" s="202"/>
      <c r="Y156" s="207"/>
      <c r="Z156" s="202"/>
      <c r="AA156" s="207"/>
      <c r="AB156" s="202"/>
      <c r="AC156" s="208"/>
      <c r="AD156" s="202"/>
      <c r="AE156" s="203">
        <f t="shared" si="5"/>
        <v>0</v>
      </c>
      <c r="AF156" s="202"/>
      <c r="AG156" s="204"/>
      <c r="AH156" s="202"/>
      <c r="AI156" s="204"/>
      <c r="AJ156" s="202"/>
      <c r="AK156" s="204"/>
      <c r="AL156" s="202"/>
      <c r="AM156" s="204"/>
      <c r="AN156" s="202"/>
      <c r="AO156" s="204"/>
      <c r="AP156" s="202"/>
      <c r="AQ156" s="208">
        <v>13</v>
      </c>
      <c r="AR156" s="202"/>
      <c r="AS156" s="203">
        <f t="shared" si="6"/>
        <v>0</v>
      </c>
      <c r="AT156" s="202"/>
      <c r="AU156" s="204">
        <v>17</v>
      </c>
      <c r="AV156" s="202"/>
      <c r="AW156" s="204">
        <v>12</v>
      </c>
      <c r="AX156" s="202"/>
      <c r="AY156" s="204"/>
      <c r="AZ156" s="202"/>
      <c r="BA156" s="204">
        <v>11</v>
      </c>
      <c r="BB156" s="202"/>
      <c r="BC156" s="204">
        <v>10</v>
      </c>
      <c r="BD156" s="202"/>
      <c r="BE156" s="208"/>
      <c r="BF156" s="202"/>
      <c r="BG156" s="203">
        <f t="shared" si="7"/>
        <v>4</v>
      </c>
      <c r="BH156" s="202"/>
      <c r="BI156" s="204"/>
      <c r="BJ156" s="202"/>
      <c r="BK156" s="204">
        <v>10</v>
      </c>
      <c r="BL156" s="202"/>
      <c r="BM156" s="204"/>
      <c r="BN156" s="202"/>
      <c r="BO156" s="203">
        <f t="shared" si="8"/>
        <v>1</v>
      </c>
      <c r="BP156" s="202"/>
      <c r="BQ156" s="138"/>
      <c r="BR156" s="128"/>
      <c r="BS156" s="128"/>
      <c r="BT156" s="128"/>
      <c r="BU156" s="128"/>
      <c r="BV156" s="128"/>
      <c r="BW156" s="139"/>
      <c r="BX156" s="140"/>
      <c r="BY156" s="139"/>
      <c r="BZ156" s="139"/>
      <c r="CA156" s="134"/>
      <c r="CB156" s="134"/>
      <c r="CC156" s="134"/>
      <c r="CD156" s="134"/>
      <c r="CE156" s="134"/>
      <c r="CF156" s="134"/>
      <c r="CG156" s="134"/>
      <c r="CH156" s="134"/>
      <c r="CI156" s="134"/>
      <c r="CJ156" s="92"/>
      <c r="CK156" s="92"/>
    </row>
    <row r="157" spans="1:89" ht="14.25">
      <c r="A157" s="142"/>
      <c r="B157" s="30" t="s">
        <v>312</v>
      </c>
      <c r="C157" s="30" t="s">
        <v>4</v>
      </c>
      <c r="D157" s="137">
        <f t="shared" si="3"/>
        <v>4</v>
      </c>
      <c r="E157" s="207"/>
      <c r="F157" s="202"/>
      <c r="G157" s="207"/>
      <c r="H157" s="202"/>
      <c r="I157" s="207"/>
      <c r="J157" s="202"/>
      <c r="K157" s="207"/>
      <c r="L157" s="202"/>
      <c r="M157" s="207"/>
      <c r="N157" s="202"/>
      <c r="O157" s="201"/>
      <c r="P157" s="202"/>
      <c r="Q157" s="203">
        <f t="shared" si="4"/>
        <v>0</v>
      </c>
      <c r="R157" s="202"/>
      <c r="S157" s="207"/>
      <c r="T157" s="202"/>
      <c r="U157" s="207"/>
      <c r="V157" s="202"/>
      <c r="W157" s="207"/>
      <c r="X157" s="202"/>
      <c r="Y157" s="207"/>
      <c r="Z157" s="202"/>
      <c r="AA157" s="207"/>
      <c r="AB157" s="202"/>
      <c r="AC157" s="208"/>
      <c r="AD157" s="202"/>
      <c r="AE157" s="203">
        <f t="shared" si="5"/>
        <v>0</v>
      </c>
      <c r="AF157" s="202"/>
      <c r="AG157" s="204"/>
      <c r="AH157" s="202"/>
      <c r="AI157" s="204"/>
      <c r="AJ157" s="202"/>
      <c r="AK157" s="204"/>
      <c r="AL157" s="202"/>
      <c r="AM157" s="204"/>
      <c r="AN157" s="202"/>
      <c r="AO157" s="204"/>
      <c r="AP157" s="202"/>
      <c r="AQ157" s="208"/>
      <c r="AR157" s="202"/>
      <c r="AS157" s="203">
        <f t="shared" si="6"/>
        <v>0</v>
      </c>
      <c r="AT157" s="202"/>
      <c r="AU157" s="204"/>
      <c r="AV157" s="202"/>
      <c r="AW157" s="204"/>
      <c r="AX157" s="202"/>
      <c r="AY157" s="204">
        <v>17</v>
      </c>
      <c r="AZ157" s="202"/>
      <c r="BA157" s="204"/>
      <c r="BB157" s="202"/>
      <c r="BC157" s="204">
        <v>17</v>
      </c>
      <c r="BD157" s="202"/>
      <c r="BE157" s="208"/>
      <c r="BF157" s="202"/>
      <c r="BG157" s="203">
        <f t="shared" si="7"/>
        <v>2</v>
      </c>
      <c r="BH157" s="202"/>
      <c r="BI157" s="204">
        <v>7</v>
      </c>
      <c r="BJ157" s="202"/>
      <c r="BK157" s="204">
        <v>17</v>
      </c>
      <c r="BL157" s="202"/>
      <c r="BM157" s="204"/>
      <c r="BN157" s="202"/>
      <c r="BO157" s="203">
        <f t="shared" si="8"/>
        <v>2</v>
      </c>
      <c r="BP157" s="202"/>
      <c r="BQ157" s="138"/>
      <c r="BR157" s="128"/>
      <c r="BS157" s="128"/>
      <c r="BT157" s="128"/>
      <c r="BU157" s="128"/>
      <c r="BV157" s="128"/>
      <c r="BW157" s="139"/>
      <c r="BX157" s="140"/>
      <c r="BY157" s="139"/>
      <c r="BZ157" s="139"/>
      <c r="CA157" s="134"/>
      <c r="CB157" s="134"/>
      <c r="CC157" s="134"/>
      <c r="CD157" s="134"/>
      <c r="CE157" s="134"/>
      <c r="CF157" s="134"/>
      <c r="CG157" s="134"/>
      <c r="CH157" s="134"/>
      <c r="CI157" s="134"/>
      <c r="CJ157" s="92"/>
      <c r="CK157" s="92"/>
    </row>
    <row r="158" spans="1:89" ht="14.25">
      <c r="A158" s="142"/>
      <c r="B158" s="30" t="s">
        <v>418</v>
      </c>
      <c r="C158" s="30" t="s">
        <v>3</v>
      </c>
      <c r="D158" s="137">
        <f t="shared" si="3"/>
        <v>0</v>
      </c>
      <c r="E158" s="207"/>
      <c r="F158" s="202"/>
      <c r="G158" s="207"/>
      <c r="H158" s="202"/>
      <c r="I158" s="207"/>
      <c r="J158" s="202"/>
      <c r="K158" s="207"/>
      <c r="L158" s="202"/>
      <c r="M158" s="207"/>
      <c r="N158" s="202"/>
      <c r="O158" s="201"/>
      <c r="P158" s="202"/>
      <c r="Q158" s="203">
        <f t="shared" si="4"/>
        <v>0</v>
      </c>
      <c r="R158" s="202"/>
      <c r="S158" s="207"/>
      <c r="T158" s="202"/>
      <c r="U158" s="207"/>
      <c r="V158" s="202"/>
      <c r="W158" s="207"/>
      <c r="X158" s="202"/>
      <c r="Y158" s="207"/>
      <c r="Z158" s="202"/>
      <c r="AA158" s="207"/>
      <c r="AB158" s="202"/>
      <c r="AC158" s="208"/>
      <c r="AD158" s="202"/>
      <c r="AE158" s="203">
        <f t="shared" si="5"/>
        <v>0</v>
      </c>
      <c r="AF158" s="202"/>
      <c r="AG158" s="204"/>
      <c r="AH158" s="202"/>
      <c r="AI158" s="204"/>
      <c r="AJ158" s="202"/>
      <c r="AK158" s="204"/>
      <c r="AL158" s="202"/>
      <c r="AM158" s="204"/>
      <c r="AN158" s="202"/>
      <c r="AO158" s="204"/>
      <c r="AP158" s="202"/>
      <c r="AQ158" s="208"/>
      <c r="AR158" s="202"/>
      <c r="AS158" s="203">
        <f t="shared" si="6"/>
        <v>0</v>
      </c>
      <c r="AT158" s="202"/>
      <c r="AU158" s="204"/>
      <c r="AV158" s="202"/>
      <c r="AW158" s="204"/>
      <c r="AX158" s="202"/>
      <c r="AY158" s="204"/>
      <c r="AZ158" s="202"/>
      <c r="BA158" s="204"/>
      <c r="BB158" s="202"/>
      <c r="BC158" s="204"/>
      <c r="BD158" s="202"/>
      <c r="BE158" s="208"/>
      <c r="BF158" s="202"/>
      <c r="BG158" s="203">
        <f t="shared" si="7"/>
        <v>0</v>
      </c>
      <c r="BH158" s="202"/>
      <c r="BI158" s="204"/>
      <c r="BJ158" s="202"/>
      <c r="BK158" s="204"/>
      <c r="BL158" s="202"/>
      <c r="BM158" s="204"/>
      <c r="BN158" s="202"/>
      <c r="BO158" s="203">
        <f t="shared" si="8"/>
        <v>0</v>
      </c>
      <c r="BP158" s="202"/>
      <c r="BQ158" s="138"/>
      <c r="BR158" s="128"/>
      <c r="BS158" s="128"/>
      <c r="BT158" s="128"/>
      <c r="BU158" s="128"/>
      <c r="BV158" s="128"/>
      <c r="BW158" s="139"/>
      <c r="BX158" s="140"/>
      <c r="BY158" s="139"/>
      <c r="BZ158" s="139"/>
      <c r="CA158" s="134"/>
      <c r="CB158" s="134"/>
      <c r="CC158" s="134"/>
      <c r="CD158" s="134"/>
      <c r="CE158" s="134"/>
      <c r="CF158" s="134"/>
      <c r="CG158" s="134"/>
      <c r="CH158" s="134"/>
      <c r="CI158" s="134"/>
      <c r="CJ158" s="92"/>
      <c r="CK158" s="92"/>
    </row>
    <row r="159" spans="1:89" ht="14.25">
      <c r="A159" s="142"/>
      <c r="B159" s="198" t="s">
        <v>316</v>
      </c>
      <c r="C159" s="198" t="s">
        <v>4</v>
      </c>
      <c r="D159" s="137">
        <f t="shared" si="3"/>
        <v>0</v>
      </c>
      <c r="E159" s="207"/>
      <c r="F159" s="202"/>
      <c r="G159" s="207"/>
      <c r="H159" s="202"/>
      <c r="I159" s="207"/>
      <c r="J159" s="202"/>
      <c r="K159" s="207"/>
      <c r="L159" s="202"/>
      <c r="M159" s="207"/>
      <c r="N159" s="202"/>
      <c r="O159" s="201"/>
      <c r="P159" s="202"/>
      <c r="Q159" s="203">
        <f t="shared" si="4"/>
        <v>0</v>
      </c>
      <c r="R159" s="202"/>
      <c r="S159" s="207"/>
      <c r="T159" s="202"/>
      <c r="U159" s="207"/>
      <c r="V159" s="202"/>
      <c r="W159" s="207"/>
      <c r="X159" s="202"/>
      <c r="Y159" s="207"/>
      <c r="Z159" s="202"/>
      <c r="AA159" s="207"/>
      <c r="AB159" s="202"/>
      <c r="AC159" s="208"/>
      <c r="AD159" s="202"/>
      <c r="AE159" s="203">
        <f t="shared" si="5"/>
        <v>0</v>
      </c>
      <c r="AF159" s="202"/>
      <c r="AG159" s="204"/>
      <c r="AH159" s="202"/>
      <c r="AI159" s="204"/>
      <c r="AJ159" s="202"/>
      <c r="AK159" s="204"/>
      <c r="AL159" s="202"/>
      <c r="AM159" s="204"/>
      <c r="AN159" s="202"/>
      <c r="AO159" s="204"/>
      <c r="AP159" s="202"/>
      <c r="AQ159" s="208"/>
      <c r="AR159" s="202"/>
      <c r="AS159" s="203">
        <f t="shared" si="6"/>
        <v>0</v>
      </c>
      <c r="AT159" s="202"/>
      <c r="AU159" s="204"/>
      <c r="AV159" s="202"/>
      <c r="AW159" s="204"/>
      <c r="AX159" s="202"/>
      <c r="AY159" s="204"/>
      <c r="AZ159" s="202"/>
      <c r="BA159" s="204"/>
      <c r="BB159" s="202"/>
      <c r="BC159" s="204"/>
      <c r="BD159" s="202"/>
      <c r="BE159" s="208"/>
      <c r="BF159" s="202"/>
      <c r="BG159" s="203">
        <f t="shared" si="7"/>
        <v>0</v>
      </c>
      <c r="BH159" s="202"/>
      <c r="BI159" s="204"/>
      <c r="BJ159" s="202"/>
      <c r="BK159" s="204"/>
      <c r="BL159" s="202"/>
      <c r="BM159" s="204"/>
      <c r="BN159" s="202"/>
      <c r="BO159" s="203">
        <f t="shared" si="8"/>
        <v>0</v>
      </c>
      <c r="BP159" s="202"/>
      <c r="BQ159" s="138"/>
      <c r="BR159" s="128"/>
      <c r="BS159" s="128"/>
      <c r="BT159" s="128"/>
      <c r="BU159" s="128"/>
      <c r="BV159" s="128"/>
      <c r="BW159" s="139"/>
      <c r="BX159" s="140"/>
      <c r="BY159" s="139"/>
      <c r="BZ159" s="139"/>
      <c r="CA159" s="134"/>
      <c r="CB159" s="134"/>
      <c r="CC159" s="134"/>
      <c r="CD159" s="134"/>
      <c r="CE159" s="134"/>
      <c r="CF159" s="134"/>
      <c r="CG159" s="134"/>
      <c r="CH159" s="134"/>
      <c r="CI159" s="134"/>
      <c r="CJ159" s="92"/>
      <c r="CK159" s="92"/>
    </row>
    <row r="160" spans="1:89" ht="14.25">
      <c r="A160" s="142"/>
      <c r="B160" s="198" t="s">
        <v>318</v>
      </c>
      <c r="C160" s="198" t="s">
        <v>4</v>
      </c>
      <c r="D160" s="137">
        <f t="shared" si="3"/>
        <v>1</v>
      </c>
      <c r="E160" s="207"/>
      <c r="F160" s="202"/>
      <c r="G160" s="207"/>
      <c r="H160" s="202"/>
      <c r="I160" s="207"/>
      <c r="J160" s="202"/>
      <c r="K160" s="207"/>
      <c r="L160" s="202"/>
      <c r="M160" s="207"/>
      <c r="N160" s="202"/>
      <c r="O160" s="201"/>
      <c r="P160" s="202"/>
      <c r="Q160" s="203">
        <f t="shared" si="4"/>
        <v>0</v>
      </c>
      <c r="R160" s="202"/>
      <c r="S160" s="207"/>
      <c r="T160" s="202"/>
      <c r="U160" s="207"/>
      <c r="V160" s="202"/>
      <c r="W160" s="207"/>
      <c r="X160" s="202"/>
      <c r="Y160" s="207"/>
      <c r="Z160" s="202"/>
      <c r="AA160" s="207"/>
      <c r="AB160" s="202"/>
      <c r="AC160" s="208"/>
      <c r="AD160" s="202"/>
      <c r="AE160" s="203">
        <f t="shared" si="5"/>
        <v>0</v>
      </c>
      <c r="AF160" s="202"/>
      <c r="AG160" s="204"/>
      <c r="AH160" s="202"/>
      <c r="AI160" s="204"/>
      <c r="AJ160" s="202"/>
      <c r="AK160" s="204"/>
      <c r="AL160" s="202"/>
      <c r="AM160" s="204"/>
      <c r="AN160" s="202"/>
      <c r="AO160" s="204"/>
      <c r="AP160" s="202"/>
      <c r="AQ160" s="208"/>
      <c r="AR160" s="202"/>
      <c r="AS160" s="203">
        <f t="shared" si="6"/>
        <v>0</v>
      </c>
      <c r="AT160" s="202"/>
      <c r="AU160" s="204"/>
      <c r="AV160" s="202"/>
      <c r="AW160" s="204"/>
      <c r="AX160" s="202"/>
      <c r="AY160" s="204"/>
      <c r="AZ160" s="202"/>
      <c r="BA160" s="204"/>
      <c r="BB160" s="202"/>
      <c r="BC160" s="204"/>
      <c r="BD160" s="202"/>
      <c r="BE160" s="208"/>
      <c r="BF160" s="202"/>
      <c r="BG160" s="203">
        <f t="shared" si="7"/>
        <v>0</v>
      </c>
      <c r="BH160" s="202"/>
      <c r="BI160" s="204"/>
      <c r="BJ160" s="202"/>
      <c r="BK160" s="204">
        <v>12</v>
      </c>
      <c r="BL160" s="202"/>
      <c r="BM160" s="204"/>
      <c r="BN160" s="202"/>
      <c r="BO160" s="203">
        <f t="shared" si="8"/>
        <v>1</v>
      </c>
      <c r="BP160" s="202"/>
      <c r="BQ160" s="138"/>
      <c r="BR160" s="128"/>
      <c r="BS160" s="128"/>
      <c r="BT160" s="128"/>
      <c r="BU160" s="128"/>
      <c r="BV160" s="128"/>
      <c r="BW160" s="139"/>
      <c r="BX160" s="140"/>
      <c r="BY160" s="139"/>
      <c r="BZ160" s="139"/>
      <c r="CA160" s="134"/>
      <c r="CB160" s="134"/>
      <c r="CC160" s="134"/>
      <c r="CD160" s="134"/>
      <c r="CE160" s="134"/>
      <c r="CF160" s="134"/>
      <c r="CG160" s="134"/>
      <c r="CH160" s="134"/>
      <c r="CI160" s="134"/>
      <c r="CJ160" s="92"/>
      <c r="CK160" s="92"/>
    </row>
    <row r="161" spans="1:89" ht="14.25">
      <c r="A161" s="142"/>
      <c r="B161" s="198" t="s">
        <v>314</v>
      </c>
      <c r="C161" s="198" t="s">
        <v>3</v>
      </c>
      <c r="D161" s="137">
        <f t="shared" si="3"/>
        <v>2</v>
      </c>
      <c r="E161" s="207"/>
      <c r="F161" s="202"/>
      <c r="G161" s="207"/>
      <c r="H161" s="202"/>
      <c r="I161" s="207"/>
      <c r="J161" s="202"/>
      <c r="K161" s="207"/>
      <c r="L161" s="202"/>
      <c r="M161" s="207"/>
      <c r="N161" s="202"/>
      <c r="O161" s="201"/>
      <c r="P161" s="202"/>
      <c r="Q161" s="203">
        <f t="shared" si="4"/>
        <v>0</v>
      </c>
      <c r="R161" s="202"/>
      <c r="S161" s="207"/>
      <c r="T161" s="202"/>
      <c r="U161" s="207"/>
      <c r="V161" s="202"/>
      <c r="W161" s="207"/>
      <c r="X161" s="202"/>
      <c r="Y161" s="207"/>
      <c r="Z161" s="202"/>
      <c r="AA161" s="207"/>
      <c r="AB161" s="202"/>
      <c r="AC161" s="208"/>
      <c r="AD161" s="202"/>
      <c r="AE161" s="203">
        <f t="shared" si="5"/>
        <v>0</v>
      </c>
      <c r="AF161" s="202"/>
      <c r="AG161" s="204"/>
      <c r="AH161" s="202"/>
      <c r="AI161" s="204"/>
      <c r="AJ161" s="202"/>
      <c r="AK161" s="204"/>
      <c r="AL161" s="202"/>
      <c r="AM161" s="204"/>
      <c r="AN161" s="202"/>
      <c r="AO161" s="204"/>
      <c r="AP161" s="202"/>
      <c r="AQ161" s="208"/>
      <c r="AR161" s="202"/>
      <c r="AS161" s="203">
        <f t="shared" si="6"/>
        <v>0</v>
      </c>
      <c r="AT161" s="202"/>
      <c r="AU161" s="204"/>
      <c r="AV161" s="202"/>
      <c r="AW161" s="204"/>
      <c r="AX161" s="202"/>
      <c r="AY161" s="204">
        <v>12</v>
      </c>
      <c r="AZ161" s="202"/>
      <c r="BA161" s="204"/>
      <c r="BB161" s="202"/>
      <c r="BC161" s="204"/>
      <c r="BD161" s="202"/>
      <c r="BE161" s="208">
        <v>13</v>
      </c>
      <c r="BF161" s="202"/>
      <c r="BG161" s="203">
        <f t="shared" si="7"/>
        <v>1</v>
      </c>
      <c r="BH161" s="202"/>
      <c r="BI161" s="204"/>
      <c r="BJ161" s="202"/>
      <c r="BK161" s="204">
        <v>12</v>
      </c>
      <c r="BL161" s="202"/>
      <c r="BM161" s="204"/>
      <c r="BN161" s="202"/>
      <c r="BO161" s="203">
        <f t="shared" si="8"/>
        <v>1</v>
      </c>
      <c r="BP161" s="202"/>
      <c r="BQ161" s="138"/>
      <c r="BR161" s="128"/>
      <c r="BS161" s="128"/>
      <c r="BT161" s="128"/>
      <c r="BU161" s="128"/>
      <c r="BV161" s="128"/>
      <c r="BW161" s="139"/>
      <c r="BX161" s="140"/>
      <c r="BY161" s="139"/>
      <c r="BZ161" s="139"/>
      <c r="CA161" s="134"/>
      <c r="CB161" s="134"/>
      <c r="CC161" s="134"/>
      <c r="CD161" s="134"/>
      <c r="CE161" s="134"/>
      <c r="CF161" s="134"/>
      <c r="CG161" s="92"/>
      <c r="CH161" s="92"/>
      <c r="CI161" s="92"/>
      <c r="CJ161" s="92"/>
      <c r="CK161" s="92"/>
    </row>
    <row r="162" spans="1:89" ht="14.25">
      <c r="A162" s="142"/>
      <c r="B162" s="198" t="s">
        <v>320</v>
      </c>
      <c r="C162" s="198" t="s">
        <v>4</v>
      </c>
      <c r="D162" s="137">
        <f t="shared" si="3"/>
        <v>0</v>
      </c>
      <c r="E162" s="207"/>
      <c r="F162" s="202"/>
      <c r="G162" s="207"/>
      <c r="H162" s="202"/>
      <c r="I162" s="207"/>
      <c r="J162" s="202"/>
      <c r="K162" s="207"/>
      <c r="L162" s="202"/>
      <c r="M162" s="207"/>
      <c r="N162" s="202"/>
      <c r="O162" s="201"/>
      <c r="P162" s="202"/>
      <c r="Q162" s="203">
        <f t="shared" si="4"/>
        <v>0</v>
      </c>
      <c r="R162" s="202"/>
      <c r="S162" s="207"/>
      <c r="T162" s="202"/>
      <c r="U162" s="207"/>
      <c r="V162" s="202"/>
      <c r="W162" s="207"/>
      <c r="X162" s="202"/>
      <c r="Y162" s="207"/>
      <c r="Z162" s="202"/>
      <c r="AA162" s="207"/>
      <c r="AB162" s="202"/>
      <c r="AC162" s="208"/>
      <c r="AD162" s="202"/>
      <c r="AE162" s="203">
        <f t="shared" si="5"/>
        <v>0</v>
      </c>
      <c r="AF162" s="202"/>
      <c r="AG162" s="204"/>
      <c r="AH162" s="202"/>
      <c r="AI162" s="204"/>
      <c r="AJ162" s="202"/>
      <c r="AK162" s="204"/>
      <c r="AL162" s="202"/>
      <c r="AM162" s="204"/>
      <c r="AN162" s="202"/>
      <c r="AO162" s="204"/>
      <c r="AP162" s="202"/>
      <c r="AQ162" s="208"/>
      <c r="AR162" s="202"/>
      <c r="AS162" s="203">
        <f t="shared" si="6"/>
        <v>0</v>
      </c>
      <c r="AT162" s="202"/>
      <c r="AU162" s="204"/>
      <c r="AV162" s="202"/>
      <c r="AW162" s="204"/>
      <c r="AX162" s="202"/>
      <c r="AY162" s="204"/>
      <c r="AZ162" s="202"/>
      <c r="BA162" s="204"/>
      <c r="BB162" s="202"/>
      <c r="BC162" s="204"/>
      <c r="BD162" s="202"/>
      <c r="BE162" s="208"/>
      <c r="BF162" s="202"/>
      <c r="BG162" s="203">
        <f t="shared" si="7"/>
        <v>0</v>
      </c>
      <c r="BH162" s="202"/>
      <c r="BI162" s="204"/>
      <c r="BJ162" s="202"/>
      <c r="BK162" s="204"/>
      <c r="BL162" s="202"/>
      <c r="BM162" s="204"/>
      <c r="BN162" s="202"/>
      <c r="BO162" s="203">
        <f t="shared" si="8"/>
        <v>0</v>
      </c>
      <c r="BP162" s="202"/>
      <c r="BQ162" s="138"/>
      <c r="BR162" s="128"/>
      <c r="BS162" s="128"/>
      <c r="BT162" s="128"/>
      <c r="BU162" s="128"/>
      <c r="BV162" s="128"/>
      <c r="BW162" s="139"/>
      <c r="BX162" s="140"/>
      <c r="BY162" s="139"/>
      <c r="BZ162" s="139"/>
      <c r="CA162" s="134"/>
      <c r="CB162" s="134"/>
      <c r="CC162" s="134"/>
      <c r="CD162" s="134"/>
      <c r="CE162" s="134"/>
      <c r="CF162" s="134"/>
      <c r="CG162" s="92"/>
      <c r="CH162" s="92"/>
      <c r="CI162" s="92"/>
      <c r="CJ162" s="92"/>
      <c r="CK162" s="92"/>
    </row>
    <row r="163" spans="1:89" ht="14.25">
      <c r="A163" s="142"/>
      <c r="B163" s="198" t="s">
        <v>324</v>
      </c>
      <c r="C163" s="198" t="s">
        <v>4</v>
      </c>
      <c r="D163" s="137">
        <f t="shared" si="3"/>
        <v>0</v>
      </c>
      <c r="E163" s="207"/>
      <c r="F163" s="202"/>
      <c r="G163" s="207"/>
      <c r="H163" s="202"/>
      <c r="I163" s="207"/>
      <c r="J163" s="202"/>
      <c r="K163" s="207"/>
      <c r="L163" s="202"/>
      <c r="M163" s="207"/>
      <c r="N163" s="202"/>
      <c r="O163" s="201"/>
      <c r="P163" s="202"/>
      <c r="Q163" s="203">
        <f t="shared" si="4"/>
        <v>0</v>
      </c>
      <c r="R163" s="202"/>
      <c r="S163" s="207"/>
      <c r="T163" s="202"/>
      <c r="U163" s="207"/>
      <c r="V163" s="202"/>
      <c r="W163" s="207"/>
      <c r="X163" s="202"/>
      <c r="Y163" s="207"/>
      <c r="Z163" s="202"/>
      <c r="AA163" s="207"/>
      <c r="AB163" s="202"/>
      <c r="AC163" s="208"/>
      <c r="AD163" s="202"/>
      <c r="AE163" s="203">
        <f t="shared" si="5"/>
        <v>0</v>
      </c>
      <c r="AF163" s="202"/>
      <c r="AG163" s="204"/>
      <c r="AH163" s="202"/>
      <c r="AI163" s="204"/>
      <c r="AJ163" s="202"/>
      <c r="AK163" s="204"/>
      <c r="AL163" s="202"/>
      <c r="AM163" s="204"/>
      <c r="AN163" s="202"/>
      <c r="AO163" s="204"/>
      <c r="AP163" s="202"/>
      <c r="AQ163" s="208"/>
      <c r="AR163" s="202"/>
      <c r="AS163" s="203">
        <f t="shared" si="6"/>
        <v>0</v>
      </c>
      <c r="AT163" s="202"/>
      <c r="AU163" s="204"/>
      <c r="AV163" s="202"/>
      <c r="AW163" s="204"/>
      <c r="AX163" s="202"/>
      <c r="AY163" s="204"/>
      <c r="AZ163" s="202"/>
      <c r="BA163" s="204"/>
      <c r="BB163" s="202"/>
      <c r="BC163" s="204"/>
      <c r="BD163" s="202"/>
      <c r="BE163" s="208"/>
      <c r="BF163" s="202"/>
      <c r="BG163" s="203">
        <f t="shared" si="7"/>
        <v>0</v>
      </c>
      <c r="BH163" s="202"/>
      <c r="BI163" s="204"/>
      <c r="BJ163" s="202"/>
      <c r="BK163" s="204"/>
      <c r="BL163" s="202"/>
      <c r="BM163" s="204"/>
      <c r="BN163" s="202"/>
      <c r="BO163" s="203">
        <f t="shared" si="8"/>
        <v>0</v>
      </c>
      <c r="BP163" s="202"/>
      <c r="BQ163" s="138"/>
      <c r="BR163" s="128"/>
      <c r="BS163" s="128"/>
      <c r="BT163" s="128"/>
      <c r="BU163" s="128"/>
      <c r="BV163" s="128"/>
      <c r="BW163" s="139"/>
      <c r="BX163" s="140"/>
      <c r="BY163" s="139"/>
      <c r="BZ163" s="139"/>
      <c r="CA163" s="134"/>
      <c r="CB163" s="134"/>
      <c r="CC163" s="134"/>
      <c r="CD163" s="134"/>
      <c r="CE163" s="134"/>
      <c r="CF163" s="134"/>
      <c r="CG163" s="92"/>
      <c r="CH163" s="92"/>
      <c r="CI163" s="92"/>
      <c r="CJ163" s="92"/>
      <c r="CK163" s="92"/>
    </row>
    <row r="164" spans="1:89" ht="14.25">
      <c r="A164" s="142"/>
      <c r="B164" s="198" t="s">
        <v>331</v>
      </c>
      <c r="C164" s="198" t="s">
        <v>4</v>
      </c>
      <c r="D164" s="137">
        <f t="shared" si="3"/>
        <v>0</v>
      </c>
      <c r="E164" s="207"/>
      <c r="F164" s="202"/>
      <c r="G164" s="207"/>
      <c r="H164" s="202"/>
      <c r="I164" s="207"/>
      <c r="J164" s="202"/>
      <c r="K164" s="207"/>
      <c r="L164" s="202"/>
      <c r="M164" s="207"/>
      <c r="N164" s="202"/>
      <c r="O164" s="201"/>
      <c r="P164" s="202"/>
      <c r="Q164" s="203">
        <f t="shared" si="4"/>
        <v>0</v>
      </c>
      <c r="R164" s="202"/>
      <c r="S164" s="207"/>
      <c r="T164" s="202"/>
      <c r="U164" s="207"/>
      <c r="V164" s="202"/>
      <c r="W164" s="207"/>
      <c r="X164" s="202"/>
      <c r="Y164" s="207"/>
      <c r="Z164" s="202"/>
      <c r="AA164" s="207"/>
      <c r="AB164" s="202"/>
      <c r="AC164" s="208"/>
      <c r="AD164" s="202"/>
      <c r="AE164" s="203">
        <f t="shared" si="5"/>
        <v>0</v>
      </c>
      <c r="AF164" s="202"/>
      <c r="AG164" s="204"/>
      <c r="AH164" s="202"/>
      <c r="AI164" s="204"/>
      <c r="AJ164" s="202"/>
      <c r="AK164" s="204"/>
      <c r="AL164" s="202"/>
      <c r="AM164" s="204"/>
      <c r="AN164" s="202"/>
      <c r="AO164" s="204"/>
      <c r="AP164" s="202"/>
      <c r="AQ164" s="208"/>
      <c r="AR164" s="202"/>
      <c r="AS164" s="203">
        <f t="shared" si="6"/>
        <v>0</v>
      </c>
      <c r="AT164" s="202"/>
      <c r="AU164" s="204"/>
      <c r="AV164" s="202"/>
      <c r="AW164" s="204"/>
      <c r="AX164" s="202"/>
      <c r="AY164" s="204"/>
      <c r="AZ164" s="202"/>
      <c r="BA164" s="204"/>
      <c r="BB164" s="202"/>
      <c r="BC164" s="204"/>
      <c r="BD164" s="202"/>
      <c r="BE164" s="208"/>
      <c r="BF164" s="202"/>
      <c r="BG164" s="203">
        <f t="shared" si="7"/>
        <v>0</v>
      </c>
      <c r="BH164" s="202"/>
      <c r="BI164" s="204"/>
      <c r="BJ164" s="202"/>
      <c r="BK164" s="204"/>
      <c r="BL164" s="202"/>
      <c r="BM164" s="204"/>
      <c r="BN164" s="202"/>
      <c r="BO164" s="203">
        <f t="shared" si="8"/>
        <v>0</v>
      </c>
      <c r="BP164" s="202"/>
      <c r="BQ164" s="138"/>
      <c r="BR164" s="128"/>
      <c r="BS164" s="128"/>
      <c r="BT164" s="128"/>
      <c r="BU164" s="128"/>
      <c r="BV164" s="128"/>
      <c r="BW164" s="139"/>
      <c r="BX164" s="140"/>
      <c r="BY164" s="139"/>
      <c r="BZ164" s="139"/>
      <c r="CA164" s="134"/>
      <c r="CB164" s="134"/>
      <c r="CC164" s="134"/>
      <c r="CD164" s="134"/>
      <c r="CE164" s="134"/>
      <c r="CF164" s="134"/>
      <c r="CG164" s="92"/>
      <c r="CH164" s="92"/>
      <c r="CI164" s="92"/>
      <c r="CJ164" s="92"/>
      <c r="CK164" s="92"/>
    </row>
    <row r="165" spans="1:89" ht="14.25">
      <c r="A165" s="142"/>
      <c r="B165" s="198" t="s">
        <v>326</v>
      </c>
      <c r="C165" s="198" t="s">
        <v>4</v>
      </c>
      <c r="D165" s="137">
        <f t="shared" si="3"/>
        <v>1</v>
      </c>
      <c r="E165" s="207"/>
      <c r="F165" s="202"/>
      <c r="G165" s="207"/>
      <c r="H165" s="202"/>
      <c r="I165" s="207"/>
      <c r="J165" s="202"/>
      <c r="K165" s="207"/>
      <c r="L165" s="202"/>
      <c r="M165" s="207"/>
      <c r="N165" s="202"/>
      <c r="O165" s="201"/>
      <c r="P165" s="202"/>
      <c r="Q165" s="203">
        <f t="shared" si="4"/>
        <v>0</v>
      </c>
      <c r="R165" s="202"/>
      <c r="S165" s="207"/>
      <c r="T165" s="202"/>
      <c r="U165" s="207"/>
      <c r="V165" s="202"/>
      <c r="W165" s="207"/>
      <c r="X165" s="202"/>
      <c r="Y165" s="207"/>
      <c r="Z165" s="202"/>
      <c r="AA165" s="207"/>
      <c r="AB165" s="202"/>
      <c r="AC165" s="208"/>
      <c r="AD165" s="202"/>
      <c r="AE165" s="203">
        <f t="shared" si="5"/>
        <v>0</v>
      </c>
      <c r="AF165" s="202"/>
      <c r="AG165" s="204"/>
      <c r="AH165" s="202"/>
      <c r="AI165" s="204"/>
      <c r="AJ165" s="202"/>
      <c r="AK165" s="204"/>
      <c r="AL165" s="202"/>
      <c r="AM165" s="204"/>
      <c r="AN165" s="202"/>
      <c r="AO165" s="204"/>
      <c r="AP165" s="202"/>
      <c r="AQ165" s="208"/>
      <c r="AR165" s="202"/>
      <c r="AS165" s="203">
        <f t="shared" si="6"/>
        <v>0</v>
      </c>
      <c r="AT165" s="202"/>
      <c r="AU165" s="204"/>
      <c r="AV165" s="202"/>
      <c r="AW165" s="204"/>
      <c r="AX165" s="202"/>
      <c r="AY165" s="204"/>
      <c r="AZ165" s="202"/>
      <c r="BA165" s="204"/>
      <c r="BB165" s="202"/>
      <c r="BC165" s="204"/>
      <c r="BD165" s="202"/>
      <c r="BE165" s="208"/>
      <c r="BF165" s="202"/>
      <c r="BG165" s="203">
        <f t="shared" si="7"/>
        <v>0</v>
      </c>
      <c r="BH165" s="202"/>
      <c r="BI165" s="204"/>
      <c r="BJ165" s="202"/>
      <c r="BK165" s="204"/>
      <c r="BL165" s="202"/>
      <c r="BM165" s="204">
        <v>10</v>
      </c>
      <c r="BN165" s="202"/>
      <c r="BO165" s="203">
        <f t="shared" si="8"/>
        <v>1</v>
      </c>
      <c r="BP165" s="202"/>
      <c r="BQ165" s="138"/>
      <c r="BR165" s="128"/>
      <c r="BS165" s="128"/>
      <c r="BT165" s="128"/>
      <c r="BU165" s="128"/>
      <c r="BV165" s="128"/>
      <c r="BW165" s="139"/>
      <c r="BX165" s="140"/>
      <c r="BY165" s="139"/>
      <c r="BZ165" s="139"/>
      <c r="CA165" s="134"/>
      <c r="CB165" s="134"/>
      <c r="CC165" s="134"/>
      <c r="CD165" s="134"/>
      <c r="CE165" s="134"/>
      <c r="CF165" s="134"/>
      <c r="CG165" s="92"/>
      <c r="CH165" s="92"/>
      <c r="CI165" s="92"/>
      <c r="CJ165" s="92"/>
      <c r="CK165" s="92"/>
    </row>
    <row r="166" spans="1:89" ht="14.25">
      <c r="A166" s="142"/>
      <c r="B166" s="198" t="s">
        <v>212</v>
      </c>
      <c r="C166" s="198" t="s">
        <v>4</v>
      </c>
      <c r="D166" s="137">
        <f t="shared" si="3"/>
        <v>0</v>
      </c>
      <c r="E166" s="207"/>
      <c r="F166" s="202"/>
      <c r="G166" s="207"/>
      <c r="H166" s="202"/>
      <c r="I166" s="207"/>
      <c r="J166" s="202"/>
      <c r="K166" s="207"/>
      <c r="L166" s="202"/>
      <c r="M166" s="207"/>
      <c r="N166" s="202"/>
      <c r="O166" s="201"/>
      <c r="P166" s="202"/>
      <c r="Q166" s="203">
        <f t="shared" si="4"/>
        <v>0</v>
      </c>
      <c r="R166" s="202"/>
      <c r="S166" s="207"/>
      <c r="T166" s="202"/>
      <c r="U166" s="207"/>
      <c r="V166" s="202"/>
      <c r="W166" s="207"/>
      <c r="X166" s="202"/>
      <c r="Y166" s="207"/>
      <c r="Z166" s="202"/>
      <c r="AA166" s="207"/>
      <c r="AB166" s="202"/>
      <c r="AC166" s="208"/>
      <c r="AD166" s="202"/>
      <c r="AE166" s="203">
        <f t="shared" si="5"/>
        <v>0</v>
      </c>
      <c r="AF166" s="202"/>
      <c r="AG166" s="204"/>
      <c r="AH166" s="202"/>
      <c r="AI166" s="204"/>
      <c r="AJ166" s="202"/>
      <c r="AK166" s="204"/>
      <c r="AL166" s="202"/>
      <c r="AM166" s="204"/>
      <c r="AN166" s="202"/>
      <c r="AO166" s="204"/>
      <c r="AP166" s="202"/>
      <c r="AQ166" s="208"/>
      <c r="AR166" s="202"/>
      <c r="AS166" s="203">
        <f t="shared" si="6"/>
        <v>0</v>
      </c>
      <c r="AT166" s="202"/>
      <c r="AU166" s="204"/>
      <c r="AV166" s="202"/>
      <c r="AW166" s="204"/>
      <c r="AX166" s="202"/>
      <c r="AY166" s="204"/>
      <c r="AZ166" s="202"/>
      <c r="BA166" s="204"/>
      <c r="BB166" s="202"/>
      <c r="BC166" s="204"/>
      <c r="BD166" s="202"/>
      <c r="BE166" s="208"/>
      <c r="BF166" s="202"/>
      <c r="BG166" s="203">
        <f t="shared" si="7"/>
        <v>0</v>
      </c>
      <c r="BH166" s="202"/>
      <c r="BI166" s="204"/>
      <c r="BJ166" s="202"/>
      <c r="BK166" s="204"/>
      <c r="BL166" s="202"/>
      <c r="BM166" s="204"/>
      <c r="BN166" s="202"/>
      <c r="BO166" s="203">
        <f t="shared" si="8"/>
        <v>0</v>
      </c>
      <c r="BP166" s="202"/>
      <c r="BQ166" s="138"/>
      <c r="BR166" s="128"/>
      <c r="BS166" s="128"/>
      <c r="BT166" s="128"/>
      <c r="BU166" s="128"/>
      <c r="BV166" s="128"/>
      <c r="BW166" s="139"/>
      <c r="BX166" s="140"/>
      <c r="BY166" s="139"/>
      <c r="BZ166" s="139"/>
      <c r="CA166" s="134"/>
      <c r="CB166" s="134"/>
      <c r="CC166" s="134"/>
      <c r="CD166" s="134"/>
      <c r="CE166" s="134"/>
      <c r="CF166" s="134"/>
      <c r="CG166" s="92"/>
      <c r="CH166" s="92"/>
      <c r="CI166" s="92"/>
      <c r="CJ166" s="92"/>
      <c r="CK166" s="92"/>
    </row>
    <row r="167" spans="1:89" ht="14.25">
      <c r="A167" s="142"/>
      <c r="B167" s="198" t="s">
        <v>335</v>
      </c>
      <c r="C167" s="198" t="s">
        <v>4</v>
      </c>
      <c r="D167" s="137">
        <f t="shared" si="3"/>
        <v>0</v>
      </c>
      <c r="E167" s="207"/>
      <c r="F167" s="202"/>
      <c r="G167" s="207"/>
      <c r="H167" s="202"/>
      <c r="I167" s="207"/>
      <c r="J167" s="202"/>
      <c r="K167" s="207"/>
      <c r="L167" s="202"/>
      <c r="M167" s="207"/>
      <c r="N167" s="202"/>
      <c r="O167" s="201"/>
      <c r="P167" s="202"/>
      <c r="Q167" s="203">
        <f t="shared" si="4"/>
        <v>0</v>
      </c>
      <c r="R167" s="202"/>
      <c r="S167" s="207"/>
      <c r="T167" s="202"/>
      <c r="U167" s="207"/>
      <c r="V167" s="202"/>
      <c r="W167" s="207"/>
      <c r="X167" s="202"/>
      <c r="Y167" s="207"/>
      <c r="Z167" s="202"/>
      <c r="AA167" s="207"/>
      <c r="AB167" s="202"/>
      <c r="AC167" s="208"/>
      <c r="AD167" s="202"/>
      <c r="AE167" s="203">
        <f t="shared" si="5"/>
        <v>0</v>
      </c>
      <c r="AF167" s="202"/>
      <c r="AG167" s="204"/>
      <c r="AH167" s="202"/>
      <c r="AI167" s="204"/>
      <c r="AJ167" s="202"/>
      <c r="AK167" s="204"/>
      <c r="AL167" s="202"/>
      <c r="AM167" s="204"/>
      <c r="AN167" s="202"/>
      <c r="AO167" s="204"/>
      <c r="AP167" s="202"/>
      <c r="AQ167" s="208"/>
      <c r="AR167" s="202"/>
      <c r="AS167" s="203">
        <f t="shared" si="6"/>
        <v>0</v>
      </c>
      <c r="AT167" s="202"/>
      <c r="AU167" s="204"/>
      <c r="AV167" s="202"/>
      <c r="AW167" s="204"/>
      <c r="AX167" s="202"/>
      <c r="AY167" s="204"/>
      <c r="AZ167" s="202"/>
      <c r="BA167" s="204"/>
      <c r="BB167" s="202"/>
      <c r="BC167" s="204"/>
      <c r="BD167" s="202"/>
      <c r="BE167" s="208"/>
      <c r="BF167" s="202"/>
      <c r="BG167" s="203">
        <f t="shared" si="7"/>
        <v>0</v>
      </c>
      <c r="BH167" s="202"/>
      <c r="BI167" s="204"/>
      <c r="BJ167" s="202"/>
      <c r="BK167" s="204"/>
      <c r="BL167" s="202"/>
      <c r="BM167" s="204"/>
      <c r="BN167" s="202"/>
      <c r="BO167" s="203">
        <f t="shared" si="8"/>
        <v>0</v>
      </c>
      <c r="BP167" s="202"/>
      <c r="BQ167" s="138"/>
      <c r="BR167" s="128"/>
      <c r="BS167" s="128"/>
      <c r="BT167" s="128"/>
      <c r="BU167" s="128"/>
      <c r="BV167" s="128"/>
      <c r="BW167" s="139"/>
      <c r="BX167" s="140"/>
      <c r="BY167" s="139"/>
      <c r="BZ167" s="139"/>
      <c r="CA167" s="134"/>
      <c r="CB167" s="134"/>
      <c r="CC167" s="134"/>
      <c r="CD167" s="134"/>
      <c r="CE167" s="134"/>
      <c r="CF167" s="134"/>
      <c r="CG167" s="92"/>
      <c r="CH167" s="92"/>
      <c r="CI167" s="92"/>
      <c r="CJ167" s="92"/>
      <c r="CK167" s="92"/>
    </row>
    <row r="168" spans="1:89" ht="14.25">
      <c r="A168" s="142"/>
      <c r="B168" s="198" t="s">
        <v>333</v>
      </c>
      <c r="C168" s="198" t="s">
        <v>4</v>
      </c>
      <c r="D168" s="137">
        <f t="shared" si="3"/>
        <v>0</v>
      </c>
      <c r="E168" s="207"/>
      <c r="F168" s="202"/>
      <c r="G168" s="207"/>
      <c r="H168" s="202"/>
      <c r="I168" s="207"/>
      <c r="J168" s="202"/>
      <c r="K168" s="207"/>
      <c r="L168" s="202"/>
      <c r="M168" s="207"/>
      <c r="N168" s="202"/>
      <c r="O168" s="201"/>
      <c r="P168" s="202"/>
      <c r="Q168" s="203">
        <f t="shared" si="4"/>
        <v>0</v>
      </c>
      <c r="R168" s="202"/>
      <c r="S168" s="207"/>
      <c r="T168" s="202"/>
      <c r="U168" s="207"/>
      <c r="V168" s="202"/>
      <c r="W168" s="207"/>
      <c r="X168" s="202"/>
      <c r="Y168" s="207"/>
      <c r="Z168" s="202"/>
      <c r="AA168" s="207"/>
      <c r="AB168" s="202"/>
      <c r="AC168" s="208"/>
      <c r="AD168" s="202"/>
      <c r="AE168" s="203">
        <f t="shared" si="5"/>
        <v>0</v>
      </c>
      <c r="AF168" s="202"/>
      <c r="AG168" s="204"/>
      <c r="AH168" s="202"/>
      <c r="AI168" s="204"/>
      <c r="AJ168" s="202"/>
      <c r="AK168" s="204"/>
      <c r="AL168" s="202"/>
      <c r="AM168" s="204"/>
      <c r="AN168" s="202"/>
      <c r="AO168" s="204"/>
      <c r="AP168" s="202"/>
      <c r="AQ168" s="208"/>
      <c r="AR168" s="202"/>
      <c r="AS168" s="203">
        <f t="shared" si="6"/>
        <v>0</v>
      </c>
      <c r="AT168" s="202"/>
      <c r="AU168" s="204"/>
      <c r="AV168" s="202"/>
      <c r="AW168" s="204"/>
      <c r="AX168" s="202"/>
      <c r="AY168" s="204"/>
      <c r="AZ168" s="202"/>
      <c r="BA168" s="204"/>
      <c r="BB168" s="202"/>
      <c r="BC168" s="204"/>
      <c r="BD168" s="202"/>
      <c r="BE168" s="208"/>
      <c r="BF168" s="202"/>
      <c r="BG168" s="203">
        <f t="shared" si="7"/>
        <v>0</v>
      </c>
      <c r="BH168" s="202"/>
      <c r="BI168" s="204"/>
      <c r="BJ168" s="202"/>
      <c r="BK168" s="204"/>
      <c r="BL168" s="202"/>
      <c r="BM168" s="204"/>
      <c r="BN168" s="202"/>
      <c r="BO168" s="203">
        <f t="shared" si="8"/>
        <v>0</v>
      </c>
      <c r="BP168" s="202"/>
      <c r="BQ168" s="138"/>
      <c r="BR168" s="128"/>
      <c r="BS168" s="128"/>
      <c r="BT168" s="128"/>
      <c r="BU168" s="128"/>
      <c r="BV168" s="128"/>
      <c r="BW168" s="139"/>
      <c r="BX168" s="140"/>
      <c r="BY168" s="139"/>
      <c r="BZ168" s="139"/>
      <c r="CA168" s="134"/>
      <c r="CB168" s="134"/>
      <c r="CC168" s="134"/>
      <c r="CD168" s="134"/>
      <c r="CE168" s="134"/>
      <c r="CF168" s="134"/>
      <c r="CG168" s="92"/>
      <c r="CH168" s="92"/>
      <c r="CI168" s="92"/>
      <c r="CJ168" s="92"/>
      <c r="CK168" s="92"/>
    </row>
    <row r="169" spans="1:89" ht="14.25">
      <c r="A169" s="142"/>
      <c r="B169" s="198" t="s">
        <v>337</v>
      </c>
      <c r="C169" s="198" t="s">
        <v>3</v>
      </c>
      <c r="D169" s="137">
        <f t="shared" si="3"/>
        <v>0</v>
      </c>
      <c r="E169" s="207"/>
      <c r="F169" s="202"/>
      <c r="G169" s="207"/>
      <c r="H169" s="202"/>
      <c r="I169" s="207"/>
      <c r="J169" s="202"/>
      <c r="K169" s="207"/>
      <c r="L169" s="202"/>
      <c r="M169" s="207"/>
      <c r="N169" s="202"/>
      <c r="O169" s="201"/>
      <c r="P169" s="202"/>
      <c r="Q169" s="203">
        <f t="shared" si="4"/>
        <v>0</v>
      </c>
      <c r="R169" s="202"/>
      <c r="S169" s="207"/>
      <c r="T169" s="202"/>
      <c r="U169" s="207"/>
      <c r="V169" s="202"/>
      <c r="W169" s="207"/>
      <c r="X169" s="202"/>
      <c r="Y169" s="207"/>
      <c r="Z169" s="202"/>
      <c r="AA169" s="207"/>
      <c r="AB169" s="202"/>
      <c r="AC169" s="208"/>
      <c r="AD169" s="202"/>
      <c r="AE169" s="203">
        <f t="shared" si="5"/>
        <v>0</v>
      </c>
      <c r="AF169" s="202"/>
      <c r="AG169" s="204"/>
      <c r="AH169" s="202"/>
      <c r="AI169" s="204"/>
      <c r="AJ169" s="202"/>
      <c r="AK169" s="204"/>
      <c r="AL169" s="202"/>
      <c r="AM169" s="204"/>
      <c r="AN169" s="202"/>
      <c r="AO169" s="204"/>
      <c r="AP169" s="202"/>
      <c r="AQ169" s="208"/>
      <c r="AR169" s="202"/>
      <c r="AS169" s="203">
        <f t="shared" si="6"/>
        <v>0</v>
      </c>
      <c r="AT169" s="202"/>
      <c r="AU169" s="204"/>
      <c r="AV169" s="202"/>
      <c r="AW169" s="204"/>
      <c r="AX169" s="202"/>
      <c r="AY169" s="204"/>
      <c r="AZ169" s="202"/>
      <c r="BA169" s="204"/>
      <c r="BB169" s="202"/>
      <c r="BC169" s="204"/>
      <c r="BD169" s="202"/>
      <c r="BE169" s="208"/>
      <c r="BF169" s="202"/>
      <c r="BG169" s="203">
        <f t="shared" si="7"/>
        <v>0</v>
      </c>
      <c r="BH169" s="202"/>
      <c r="BI169" s="204"/>
      <c r="BJ169" s="202"/>
      <c r="BK169" s="204"/>
      <c r="BL169" s="202"/>
      <c r="BM169" s="204"/>
      <c r="BN169" s="202"/>
      <c r="BO169" s="203">
        <f t="shared" si="8"/>
        <v>0</v>
      </c>
      <c r="BP169" s="202"/>
      <c r="BQ169" s="138"/>
      <c r="BR169" s="128"/>
      <c r="BS169" s="128"/>
      <c r="BT169" s="128"/>
      <c r="BU169" s="128"/>
      <c r="BV169" s="128"/>
      <c r="BW169" s="139"/>
      <c r="BX169" s="140"/>
      <c r="BY169" s="139"/>
      <c r="BZ169" s="139"/>
      <c r="CA169" s="134"/>
      <c r="CB169" s="134"/>
      <c r="CC169" s="134"/>
      <c r="CD169" s="134"/>
      <c r="CE169" s="134"/>
      <c r="CF169" s="134"/>
      <c r="CG169" s="92"/>
      <c r="CH169" s="92"/>
      <c r="CI169" s="92"/>
      <c r="CJ169" s="92"/>
      <c r="CK169" s="92"/>
    </row>
    <row r="170" spans="1:89" ht="14.25">
      <c r="A170" s="142"/>
      <c r="B170" s="198" t="s">
        <v>339</v>
      </c>
      <c r="C170" s="198" t="s">
        <v>4</v>
      </c>
      <c r="D170" s="137">
        <f t="shared" si="3"/>
        <v>0</v>
      </c>
      <c r="E170" s="207"/>
      <c r="F170" s="202"/>
      <c r="G170" s="207"/>
      <c r="H170" s="202"/>
      <c r="I170" s="207"/>
      <c r="J170" s="202"/>
      <c r="K170" s="207"/>
      <c r="L170" s="202"/>
      <c r="M170" s="207"/>
      <c r="N170" s="202"/>
      <c r="O170" s="201"/>
      <c r="P170" s="202"/>
      <c r="Q170" s="203">
        <f t="shared" si="4"/>
        <v>0</v>
      </c>
      <c r="R170" s="202"/>
      <c r="S170" s="207"/>
      <c r="T170" s="202"/>
      <c r="U170" s="207"/>
      <c r="V170" s="202"/>
      <c r="W170" s="207"/>
      <c r="X170" s="202"/>
      <c r="Y170" s="207"/>
      <c r="Z170" s="202"/>
      <c r="AA170" s="207"/>
      <c r="AB170" s="202"/>
      <c r="AC170" s="208"/>
      <c r="AD170" s="202"/>
      <c r="AE170" s="203">
        <f t="shared" si="5"/>
        <v>0</v>
      </c>
      <c r="AF170" s="202"/>
      <c r="AG170" s="204"/>
      <c r="AH170" s="202"/>
      <c r="AI170" s="204"/>
      <c r="AJ170" s="202"/>
      <c r="AK170" s="204"/>
      <c r="AL170" s="202"/>
      <c r="AM170" s="204"/>
      <c r="AN170" s="202"/>
      <c r="AO170" s="204"/>
      <c r="AP170" s="202"/>
      <c r="AQ170" s="208"/>
      <c r="AR170" s="202"/>
      <c r="AS170" s="203">
        <f t="shared" si="6"/>
        <v>0</v>
      </c>
      <c r="AT170" s="202"/>
      <c r="AU170" s="204"/>
      <c r="AV170" s="202"/>
      <c r="AW170" s="204"/>
      <c r="AX170" s="202"/>
      <c r="AY170" s="204"/>
      <c r="AZ170" s="202"/>
      <c r="BA170" s="204"/>
      <c r="BB170" s="202"/>
      <c r="BC170" s="204"/>
      <c r="BD170" s="202"/>
      <c r="BE170" s="208"/>
      <c r="BF170" s="202"/>
      <c r="BG170" s="203">
        <f t="shared" si="7"/>
        <v>0</v>
      </c>
      <c r="BH170" s="202"/>
      <c r="BI170" s="204"/>
      <c r="BJ170" s="202"/>
      <c r="BK170" s="204"/>
      <c r="BL170" s="202"/>
      <c r="BM170" s="204"/>
      <c r="BN170" s="202"/>
      <c r="BO170" s="203">
        <f t="shared" si="8"/>
        <v>0</v>
      </c>
      <c r="BP170" s="202"/>
      <c r="BQ170" s="138"/>
      <c r="BR170" s="128"/>
      <c r="BS170" s="128"/>
      <c r="BT170" s="128"/>
      <c r="BU170" s="128"/>
      <c r="BV170" s="128"/>
      <c r="BW170" s="139"/>
      <c r="BX170" s="140"/>
      <c r="BY170" s="139"/>
      <c r="BZ170" s="139"/>
      <c r="CA170" s="134"/>
      <c r="CB170" s="134"/>
      <c r="CC170" s="134"/>
      <c r="CD170" s="134"/>
      <c r="CE170" s="134"/>
      <c r="CF170" s="134"/>
      <c r="CG170" s="92"/>
      <c r="CH170" s="92"/>
      <c r="CI170" s="92"/>
      <c r="CJ170" s="92"/>
      <c r="CK170" s="92"/>
    </row>
    <row r="171" spans="1:89" ht="14.25">
      <c r="A171" s="142"/>
      <c r="B171" s="46" t="s">
        <v>428</v>
      </c>
      <c r="C171" s="30" t="s">
        <v>3</v>
      </c>
      <c r="D171" s="137">
        <f t="shared" si="3"/>
        <v>15</v>
      </c>
      <c r="E171" s="207">
        <v>10</v>
      </c>
      <c r="F171" s="202"/>
      <c r="G171" s="207"/>
      <c r="H171" s="202"/>
      <c r="I171" s="207"/>
      <c r="J171" s="202"/>
      <c r="K171" s="207">
        <v>10</v>
      </c>
      <c r="L171" s="202"/>
      <c r="M171" s="207"/>
      <c r="N171" s="202"/>
      <c r="O171" s="201">
        <v>11</v>
      </c>
      <c r="P171" s="202"/>
      <c r="Q171" s="203">
        <f t="shared" si="4"/>
        <v>2</v>
      </c>
      <c r="R171" s="202"/>
      <c r="S171" s="207">
        <v>10</v>
      </c>
      <c r="T171" s="202"/>
      <c r="U171" s="207">
        <v>19</v>
      </c>
      <c r="V171" s="202"/>
      <c r="W171" s="207"/>
      <c r="X171" s="202"/>
      <c r="Y171" s="207">
        <v>18</v>
      </c>
      <c r="Z171" s="202"/>
      <c r="AA171" s="207"/>
      <c r="AB171" s="202"/>
      <c r="AC171" s="208">
        <v>11</v>
      </c>
      <c r="AD171" s="202"/>
      <c r="AE171" s="203">
        <f t="shared" si="5"/>
        <v>3</v>
      </c>
      <c r="AF171" s="202"/>
      <c r="AG171" s="204">
        <v>19</v>
      </c>
      <c r="AH171" s="202"/>
      <c r="AI171" s="204"/>
      <c r="AJ171" s="202"/>
      <c r="AK171" s="204">
        <v>17</v>
      </c>
      <c r="AL171" s="202"/>
      <c r="AM171" s="204">
        <v>19</v>
      </c>
      <c r="AN171" s="202"/>
      <c r="AO171" s="204"/>
      <c r="AP171" s="202"/>
      <c r="AQ171" s="208"/>
      <c r="AR171" s="202"/>
      <c r="AS171" s="203">
        <f t="shared" si="6"/>
        <v>3</v>
      </c>
      <c r="AT171" s="202"/>
      <c r="AU171" s="204">
        <v>19</v>
      </c>
      <c r="AV171" s="202"/>
      <c r="AW171" s="204">
        <v>19</v>
      </c>
      <c r="AX171" s="202"/>
      <c r="AY171" s="204">
        <v>17</v>
      </c>
      <c r="AZ171" s="202"/>
      <c r="BA171" s="204"/>
      <c r="BB171" s="202"/>
      <c r="BC171" s="204">
        <v>19</v>
      </c>
      <c r="BD171" s="202"/>
      <c r="BE171" s="208">
        <v>13</v>
      </c>
      <c r="BF171" s="202"/>
      <c r="BG171" s="203">
        <f t="shared" si="7"/>
        <v>4</v>
      </c>
      <c r="BH171" s="202"/>
      <c r="BI171" s="204">
        <v>19</v>
      </c>
      <c r="BJ171" s="202"/>
      <c r="BK171" s="204">
        <v>19</v>
      </c>
      <c r="BL171" s="202"/>
      <c r="BM171" s="204">
        <v>18</v>
      </c>
      <c r="BN171" s="202"/>
      <c r="BO171" s="203">
        <f t="shared" si="8"/>
        <v>3</v>
      </c>
      <c r="BP171" s="202"/>
      <c r="BQ171" s="138"/>
      <c r="BR171" s="128"/>
      <c r="BS171" s="128"/>
      <c r="BT171" s="128"/>
      <c r="BU171" s="128"/>
      <c r="BV171" s="128"/>
      <c r="BW171" s="139"/>
      <c r="BX171" s="140"/>
      <c r="BY171" s="139"/>
      <c r="BZ171" s="139"/>
      <c r="CA171" s="134"/>
      <c r="CB171" s="134"/>
      <c r="CC171" s="134"/>
      <c r="CD171" s="134"/>
      <c r="CE171" s="134"/>
      <c r="CF171" s="134"/>
      <c r="CG171" s="92"/>
      <c r="CH171" s="92"/>
      <c r="CI171" s="92"/>
      <c r="CJ171" s="92"/>
      <c r="CK171" s="92"/>
    </row>
    <row r="172" spans="1:89" ht="14.25">
      <c r="A172" s="142"/>
      <c r="B172" s="46" t="s">
        <v>424</v>
      </c>
      <c r="C172" s="30" t="s">
        <v>4</v>
      </c>
      <c r="D172" s="137">
        <f t="shared" si="3"/>
        <v>14</v>
      </c>
      <c r="E172" s="207">
        <v>10</v>
      </c>
      <c r="F172" s="202"/>
      <c r="G172" s="207">
        <v>10</v>
      </c>
      <c r="H172" s="202"/>
      <c r="I172" s="207"/>
      <c r="J172" s="202"/>
      <c r="K172" s="207">
        <v>10</v>
      </c>
      <c r="L172" s="202"/>
      <c r="M172" s="207"/>
      <c r="N172" s="202"/>
      <c r="O172" s="201">
        <v>11</v>
      </c>
      <c r="P172" s="202"/>
      <c r="Q172" s="203">
        <f t="shared" si="4"/>
        <v>3</v>
      </c>
      <c r="R172" s="202"/>
      <c r="S172" s="207">
        <v>10</v>
      </c>
      <c r="T172" s="202"/>
      <c r="U172" s="207"/>
      <c r="V172" s="202"/>
      <c r="W172" s="207"/>
      <c r="X172" s="202"/>
      <c r="Y172" s="207">
        <v>18</v>
      </c>
      <c r="Z172" s="202"/>
      <c r="AA172" s="207"/>
      <c r="AB172" s="202"/>
      <c r="AC172" s="208">
        <v>11</v>
      </c>
      <c r="AD172" s="202"/>
      <c r="AE172" s="203">
        <f t="shared" si="5"/>
        <v>2</v>
      </c>
      <c r="AF172" s="202"/>
      <c r="AG172" s="204">
        <v>19</v>
      </c>
      <c r="AH172" s="202"/>
      <c r="AI172" s="204"/>
      <c r="AJ172" s="202"/>
      <c r="AK172" s="204">
        <v>17</v>
      </c>
      <c r="AL172" s="202"/>
      <c r="AM172" s="204"/>
      <c r="AN172" s="202"/>
      <c r="AO172" s="204"/>
      <c r="AP172" s="202"/>
      <c r="AQ172" s="208"/>
      <c r="AR172" s="202"/>
      <c r="AS172" s="203">
        <f t="shared" si="6"/>
        <v>2</v>
      </c>
      <c r="AT172" s="202"/>
      <c r="AU172" s="204">
        <v>19</v>
      </c>
      <c r="AV172" s="202"/>
      <c r="AW172" s="204">
        <v>19</v>
      </c>
      <c r="AX172" s="202"/>
      <c r="AY172" s="204">
        <v>17</v>
      </c>
      <c r="AZ172" s="202"/>
      <c r="BA172" s="204"/>
      <c r="BB172" s="202"/>
      <c r="BC172" s="204">
        <v>19</v>
      </c>
      <c r="BD172" s="202"/>
      <c r="BE172" s="208"/>
      <c r="BF172" s="202"/>
      <c r="BG172" s="203">
        <f t="shared" si="7"/>
        <v>4</v>
      </c>
      <c r="BH172" s="202"/>
      <c r="BI172" s="204">
        <v>19</v>
      </c>
      <c r="BJ172" s="202"/>
      <c r="BK172" s="204">
        <v>19</v>
      </c>
      <c r="BL172" s="202"/>
      <c r="BM172" s="204">
        <v>18</v>
      </c>
      <c r="BN172" s="202"/>
      <c r="BO172" s="203">
        <f t="shared" si="8"/>
        <v>3</v>
      </c>
      <c r="BP172" s="202"/>
      <c r="BQ172" s="138"/>
      <c r="BR172" s="128"/>
      <c r="BS172" s="128"/>
      <c r="BT172" s="128"/>
      <c r="BU172" s="128"/>
      <c r="BV172" s="128"/>
      <c r="BW172" s="139"/>
      <c r="BX172" s="140"/>
      <c r="BY172" s="139"/>
      <c r="BZ172" s="139"/>
      <c r="CA172" s="134"/>
      <c r="CB172" s="134"/>
      <c r="CC172" s="134"/>
      <c r="CD172" s="134"/>
      <c r="CE172" s="134"/>
      <c r="CF172" s="134"/>
      <c r="CG172" s="92"/>
      <c r="CH172" s="92"/>
      <c r="CI172" s="92"/>
      <c r="CJ172" s="92"/>
      <c r="CK172" s="92"/>
    </row>
    <row r="173" spans="1:89" ht="14.25">
      <c r="A173" s="142"/>
      <c r="B173" s="46" t="s">
        <v>387</v>
      </c>
      <c r="C173" s="30" t="s">
        <v>3</v>
      </c>
      <c r="D173" s="137">
        <f t="shared" si="3"/>
        <v>6</v>
      </c>
      <c r="E173" s="207"/>
      <c r="F173" s="202"/>
      <c r="G173" s="207">
        <v>18</v>
      </c>
      <c r="H173" s="202"/>
      <c r="I173" s="207"/>
      <c r="J173" s="202"/>
      <c r="K173" s="207"/>
      <c r="L173" s="202"/>
      <c r="M173" s="207"/>
      <c r="N173" s="202"/>
      <c r="O173" s="201"/>
      <c r="P173" s="202"/>
      <c r="Q173" s="203">
        <f t="shared" si="4"/>
        <v>1</v>
      </c>
      <c r="R173" s="202"/>
      <c r="S173" s="207"/>
      <c r="T173" s="202"/>
      <c r="U173" s="207"/>
      <c r="V173" s="202"/>
      <c r="W173" s="207">
        <v>18</v>
      </c>
      <c r="X173" s="202"/>
      <c r="Y173" s="207">
        <v>19</v>
      </c>
      <c r="Z173" s="202"/>
      <c r="AA173" s="207">
        <v>17</v>
      </c>
      <c r="AB173" s="202"/>
      <c r="AC173" s="208"/>
      <c r="AD173" s="202"/>
      <c r="AE173" s="203">
        <f t="shared" si="5"/>
        <v>3</v>
      </c>
      <c r="AF173" s="202"/>
      <c r="AG173" s="204"/>
      <c r="AH173" s="202"/>
      <c r="AI173" s="204"/>
      <c r="AJ173" s="202"/>
      <c r="AK173" s="204">
        <v>19</v>
      </c>
      <c r="AL173" s="202"/>
      <c r="AM173" s="204"/>
      <c r="AN173" s="202"/>
      <c r="AO173" s="204"/>
      <c r="AP173" s="202"/>
      <c r="AQ173" s="208"/>
      <c r="AR173" s="202"/>
      <c r="AS173" s="203">
        <f t="shared" si="6"/>
        <v>1</v>
      </c>
      <c r="AT173" s="202"/>
      <c r="AU173" s="204">
        <v>19</v>
      </c>
      <c r="AV173" s="202"/>
      <c r="AW173" s="204"/>
      <c r="AX173" s="202"/>
      <c r="AY173" s="204"/>
      <c r="AZ173" s="202"/>
      <c r="BA173" s="204"/>
      <c r="BB173" s="202"/>
      <c r="BC173" s="204"/>
      <c r="BD173" s="202"/>
      <c r="BE173" s="208"/>
      <c r="BF173" s="202"/>
      <c r="BG173" s="203">
        <f t="shared" si="7"/>
        <v>1</v>
      </c>
      <c r="BH173" s="202"/>
      <c r="BI173" s="204"/>
      <c r="BJ173" s="202"/>
      <c r="BK173" s="204"/>
      <c r="BL173" s="202"/>
      <c r="BM173" s="204"/>
      <c r="BN173" s="202"/>
      <c r="BO173" s="203">
        <f t="shared" si="8"/>
        <v>0</v>
      </c>
      <c r="BP173" s="202"/>
      <c r="BQ173" s="138"/>
      <c r="BR173" s="128"/>
      <c r="BS173" s="128"/>
      <c r="BT173" s="128"/>
      <c r="BU173" s="128"/>
      <c r="BV173" s="128"/>
      <c r="BW173" s="139"/>
      <c r="BX173" s="140"/>
      <c r="BY173" s="139"/>
      <c r="BZ173" s="139"/>
      <c r="CA173" s="134"/>
      <c r="CB173" s="134"/>
      <c r="CC173" s="134"/>
      <c r="CD173" s="134"/>
      <c r="CE173" s="134"/>
      <c r="CF173" s="134"/>
      <c r="CG173" s="92"/>
      <c r="CH173" s="92"/>
      <c r="CI173" s="92"/>
      <c r="CJ173" s="92"/>
      <c r="CK173" s="92"/>
    </row>
    <row r="174" spans="1:89" ht="14.25">
      <c r="A174" s="142"/>
      <c r="B174" s="46" t="s">
        <v>396</v>
      </c>
      <c r="C174" s="30" t="s">
        <v>4</v>
      </c>
      <c r="D174" s="137">
        <f t="shared" si="3"/>
        <v>11</v>
      </c>
      <c r="E174" s="207"/>
      <c r="F174" s="202"/>
      <c r="G174" s="207"/>
      <c r="H174" s="202"/>
      <c r="I174" s="207"/>
      <c r="J174" s="202"/>
      <c r="K174" s="207"/>
      <c r="L174" s="202"/>
      <c r="M174" s="207"/>
      <c r="N174" s="202"/>
      <c r="O174" s="201"/>
      <c r="P174" s="202"/>
      <c r="Q174" s="203">
        <f t="shared" si="4"/>
        <v>0</v>
      </c>
      <c r="R174" s="202"/>
      <c r="S174" s="207">
        <v>10</v>
      </c>
      <c r="T174" s="202"/>
      <c r="U174" s="207"/>
      <c r="V174" s="202"/>
      <c r="W174" s="207">
        <v>10</v>
      </c>
      <c r="X174" s="202"/>
      <c r="Y174" s="207"/>
      <c r="Z174" s="202"/>
      <c r="AA174" s="207"/>
      <c r="AB174" s="202"/>
      <c r="AC174" s="208"/>
      <c r="AD174" s="202"/>
      <c r="AE174" s="203">
        <f t="shared" si="5"/>
        <v>2</v>
      </c>
      <c r="AF174" s="202"/>
      <c r="AG174" s="204">
        <v>10</v>
      </c>
      <c r="AH174" s="202"/>
      <c r="AI174" s="204">
        <v>10</v>
      </c>
      <c r="AJ174" s="202"/>
      <c r="AK174" s="204">
        <v>10</v>
      </c>
      <c r="AL174" s="202"/>
      <c r="AM174" s="204"/>
      <c r="AN174" s="202"/>
      <c r="AO174" s="204">
        <v>10</v>
      </c>
      <c r="AP174" s="202"/>
      <c r="AQ174" s="208"/>
      <c r="AR174" s="202"/>
      <c r="AS174" s="203">
        <f t="shared" si="6"/>
        <v>4</v>
      </c>
      <c r="AT174" s="202"/>
      <c r="AU174" s="204"/>
      <c r="AV174" s="202"/>
      <c r="AW174" s="204">
        <v>10</v>
      </c>
      <c r="AX174" s="202"/>
      <c r="AY174" s="204">
        <v>10</v>
      </c>
      <c r="AZ174" s="202"/>
      <c r="BA174" s="204"/>
      <c r="BB174" s="202"/>
      <c r="BC174" s="204">
        <v>10</v>
      </c>
      <c r="BD174" s="202"/>
      <c r="BE174" s="208"/>
      <c r="BF174" s="202"/>
      <c r="BG174" s="203">
        <f t="shared" si="7"/>
        <v>3</v>
      </c>
      <c r="BH174" s="202"/>
      <c r="BI174" s="204"/>
      <c r="BJ174" s="202"/>
      <c r="BK174" s="204">
        <v>10</v>
      </c>
      <c r="BL174" s="202"/>
      <c r="BM174" s="204">
        <v>10</v>
      </c>
      <c r="BN174" s="202"/>
      <c r="BO174" s="203">
        <f t="shared" si="8"/>
        <v>2</v>
      </c>
      <c r="BP174" s="202"/>
      <c r="BQ174" s="138"/>
      <c r="BR174" s="128"/>
      <c r="BS174" s="128"/>
      <c r="BT174" s="128"/>
      <c r="BU174" s="128"/>
      <c r="BV174" s="128"/>
      <c r="BW174" s="139"/>
      <c r="BX174" s="140"/>
      <c r="BY174" s="139"/>
      <c r="BZ174" s="139"/>
      <c r="CA174" s="134"/>
      <c r="CB174" s="134"/>
      <c r="CC174" s="134"/>
      <c r="CD174" s="134"/>
      <c r="CE174" s="134"/>
      <c r="CF174" s="134"/>
      <c r="CG174" s="92"/>
      <c r="CH174" s="92"/>
      <c r="CI174" s="92"/>
      <c r="CJ174" s="92"/>
      <c r="CK174" s="92"/>
    </row>
    <row r="175" spans="1:89" ht="14.25">
      <c r="A175" s="142"/>
      <c r="B175" s="46" t="s">
        <v>290</v>
      </c>
      <c r="C175" s="30" t="s">
        <v>3</v>
      </c>
      <c r="D175" s="137">
        <f t="shared" si="3"/>
        <v>5</v>
      </c>
      <c r="E175" s="207"/>
      <c r="F175" s="202"/>
      <c r="G175" s="207"/>
      <c r="H175" s="202"/>
      <c r="I175" s="207"/>
      <c r="J175" s="202"/>
      <c r="K175" s="207"/>
      <c r="L175" s="202"/>
      <c r="M175" s="207"/>
      <c r="N175" s="202"/>
      <c r="O175" s="201"/>
      <c r="P175" s="202"/>
      <c r="Q175" s="203">
        <f t="shared" si="4"/>
        <v>0</v>
      </c>
      <c r="R175" s="202"/>
      <c r="S175" s="207"/>
      <c r="T175" s="202"/>
      <c r="U175" s="207"/>
      <c r="V175" s="202"/>
      <c r="W175" s="207"/>
      <c r="X175" s="202"/>
      <c r="Y175" s="207"/>
      <c r="Z175" s="202"/>
      <c r="AA175" s="207"/>
      <c r="AB175" s="202"/>
      <c r="AC175" s="208"/>
      <c r="AD175" s="202"/>
      <c r="AE175" s="203">
        <f t="shared" si="5"/>
        <v>0</v>
      </c>
      <c r="AF175" s="202"/>
      <c r="AG175" s="204"/>
      <c r="AH175" s="202"/>
      <c r="AI175" s="204"/>
      <c r="AJ175" s="202"/>
      <c r="AK175" s="204"/>
      <c r="AL175" s="202"/>
      <c r="AM175" s="204"/>
      <c r="AN175" s="202"/>
      <c r="AO175" s="204">
        <v>7</v>
      </c>
      <c r="AP175" s="202"/>
      <c r="AQ175" s="208"/>
      <c r="AR175" s="202"/>
      <c r="AS175" s="203">
        <f t="shared" si="6"/>
        <v>1</v>
      </c>
      <c r="AT175" s="202"/>
      <c r="AU175" s="204">
        <v>7</v>
      </c>
      <c r="AV175" s="202"/>
      <c r="AW175" s="204"/>
      <c r="AX175" s="202"/>
      <c r="AY175" s="204">
        <v>7</v>
      </c>
      <c r="AZ175" s="202"/>
      <c r="BA175" s="204"/>
      <c r="BB175" s="202"/>
      <c r="BC175" s="204">
        <v>7</v>
      </c>
      <c r="BD175" s="202"/>
      <c r="BE175" s="208"/>
      <c r="BF175" s="202"/>
      <c r="BG175" s="203">
        <f t="shared" si="7"/>
        <v>3</v>
      </c>
      <c r="BH175" s="202"/>
      <c r="BI175" s="204">
        <v>7</v>
      </c>
      <c r="BJ175" s="202"/>
      <c r="BK175" s="204"/>
      <c r="BL175" s="202"/>
      <c r="BM175" s="204"/>
      <c r="BN175" s="202"/>
      <c r="BO175" s="203">
        <f t="shared" si="8"/>
        <v>1</v>
      </c>
      <c r="BP175" s="202"/>
      <c r="BQ175" s="138"/>
      <c r="BR175" s="128"/>
      <c r="BS175" s="128"/>
      <c r="BT175" s="128"/>
      <c r="BU175" s="128"/>
      <c r="BV175" s="128"/>
      <c r="BW175" s="139"/>
      <c r="BX175" s="140"/>
      <c r="BY175" s="139"/>
      <c r="BZ175" s="139"/>
      <c r="CA175" s="134"/>
      <c r="CB175" s="134"/>
      <c r="CC175" s="134"/>
      <c r="CD175" s="134"/>
      <c r="CE175" s="134"/>
      <c r="CF175" s="134"/>
      <c r="CG175" s="92"/>
      <c r="CH175" s="92"/>
      <c r="CI175" s="92"/>
      <c r="CJ175" s="92"/>
      <c r="CK175" s="92"/>
    </row>
    <row r="176" spans="1:89" ht="14.25">
      <c r="A176" s="142"/>
      <c r="B176" s="165"/>
      <c r="C176" s="164"/>
      <c r="D176" s="137">
        <f t="shared" si="3"/>
        <v>0</v>
      </c>
      <c r="E176" s="207"/>
      <c r="F176" s="202"/>
      <c r="G176" s="207"/>
      <c r="H176" s="202"/>
      <c r="I176" s="207"/>
      <c r="J176" s="202"/>
      <c r="K176" s="207"/>
      <c r="L176" s="202"/>
      <c r="M176" s="207"/>
      <c r="N176" s="202"/>
      <c r="O176" s="201"/>
      <c r="P176" s="202"/>
      <c r="Q176" s="203">
        <f t="shared" si="4"/>
        <v>0</v>
      </c>
      <c r="R176" s="202"/>
      <c r="S176" s="207"/>
      <c r="T176" s="202"/>
      <c r="U176" s="207"/>
      <c r="V176" s="202"/>
      <c r="W176" s="207"/>
      <c r="X176" s="202"/>
      <c r="Y176" s="207"/>
      <c r="Z176" s="202"/>
      <c r="AA176" s="207"/>
      <c r="AB176" s="202"/>
      <c r="AC176" s="208"/>
      <c r="AD176" s="202"/>
      <c r="AE176" s="203">
        <f t="shared" si="5"/>
        <v>0</v>
      </c>
      <c r="AF176" s="202"/>
      <c r="AG176" s="204"/>
      <c r="AH176" s="202"/>
      <c r="AI176" s="204"/>
      <c r="AJ176" s="202"/>
      <c r="AK176" s="204"/>
      <c r="AL176" s="202"/>
      <c r="AM176" s="204"/>
      <c r="AN176" s="202"/>
      <c r="AO176" s="204"/>
      <c r="AP176" s="202"/>
      <c r="AQ176" s="208"/>
      <c r="AR176" s="202"/>
      <c r="AS176" s="203">
        <f t="shared" si="6"/>
        <v>0</v>
      </c>
      <c r="AT176" s="202"/>
      <c r="AU176" s="204"/>
      <c r="AV176" s="202"/>
      <c r="AW176" s="204"/>
      <c r="AX176" s="202"/>
      <c r="AY176" s="204"/>
      <c r="AZ176" s="202"/>
      <c r="BA176" s="204"/>
      <c r="BB176" s="202"/>
      <c r="BC176" s="204"/>
      <c r="BD176" s="202"/>
      <c r="BE176" s="208"/>
      <c r="BF176" s="202"/>
      <c r="BG176" s="203">
        <f t="shared" si="7"/>
        <v>0</v>
      </c>
      <c r="BH176" s="202"/>
      <c r="BI176" s="204"/>
      <c r="BJ176" s="202"/>
      <c r="BK176" s="204"/>
      <c r="BL176" s="202"/>
      <c r="BM176" s="204"/>
      <c r="BN176" s="202"/>
      <c r="BO176" s="203">
        <f t="shared" si="8"/>
        <v>0</v>
      </c>
      <c r="BP176" s="202"/>
      <c r="BQ176" s="138"/>
      <c r="BR176" s="128"/>
      <c r="BS176" s="128"/>
      <c r="BT176" s="128"/>
      <c r="BU176" s="128"/>
      <c r="BV176" s="128"/>
      <c r="BW176" s="139"/>
      <c r="BX176" s="140"/>
      <c r="BY176" s="139"/>
      <c r="BZ176" s="139"/>
      <c r="CA176" s="134"/>
      <c r="CB176" s="134"/>
      <c r="CC176" s="134"/>
      <c r="CD176" s="134"/>
      <c r="CE176" s="134"/>
      <c r="CF176" s="134"/>
      <c r="CG176" s="92"/>
      <c r="CH176" s="92"/>
      <c r="CI176" s="92"/>
      <c r="CJ176" s="92"/>
      <c r="CK176" s="92"/>
    </row>
    <row r="177" spans="1:89" ht="14.25">
      <c r="A177" s="142"/>
      <c r="B177" s="165"/>
      <c r="C177" s="164"/>
      <c r="D177" s="137">
        <f t="shared" si="3"/>
        <v>0</v>
      </c>
      <c r="E177" s="207"/>
      <c r="F177" s="202"/>
      <c r="G177" s="207"/>
      <c r="H177" s="202"/>
      <c r="I177" s="207"/>
      <c r="J177" s="202"/>
      <c r="K177" s="207"/>
      <c r="L177" s="202"/>
      <c r="M177" s="207"/>
      <c r="N177" s="202"/>
      <c r="O177" s="201"/>
      <c r="P177" s="202"/>
      <c r="Q177" s="203">
        <f t="shared" si="4"/>
        <v>0</v>
      </c>
      <c r="R177" s="202"/>
      <c r="S177" s="207"/>
      <c r="T177" s="202"/>
      <c r="U177" s="207"/>
      <c r="V177" s="202"/>
      <c r="W177" s="207"/>
      <c r="X177" s="202"/>
      <c r="Y177" s="207"/>
      <c r="Z177" s="202"/>
      <c r="AA177" s="207"/>
      <c r="AB177" s="202"/>
      <c r="AC177" s="208"/>
      <c r="AD177" s="202"/>
      <c r="AE177" s="203">
        <f t="shared" si="5"/>
        <v>0</v>
      </c>
      <c r="AF177" s="202"/>
      <c r="AG177" s="204"/>
      <c r="AH177" s="202"/>
      <c r="AI177" s="204"/>
      <c r="AJ177" s="202"/>
      <c r="AK177" s="204"/>
      <c r="AL177" s="202"/>
      <c r="AM177" s="204"/>
      <c r="AN177" s="202"/>
      <c r="AO177" s="204"/>
      <c r="AP177" s="202"/>
      <c r="AQ177" s="208"/>
      <c r="AR177" s="202"/>
      <c r="AS177" s="203">
        <f t="shared" si="6"/>
        <v>0</v>
      </c>
      <c r="AT177" s="202"/>
      <c r="AU177" s="204"/>
      <c r="AV177" s="202"/>
      <c r="AW177" s="204"/>
      <c r="AX177" s="202"/>
      <c r="AY177" s="204"/>
      <c r="AZ177" s="202"/>
      <c r="BA177" s="204"/>
      <c r="BB177" s="202"/>
      <c r="BC177" s="204"/>
      <c r="BD177" s="202"/>
      <c r="BE177" s="208"/>
      <c r="BF177" s="202"/>
      <c r="BG177" s="203">
        <f t="shared" si="7"/>
        <v>0</v>
      </c>
      <c r="BH177" s="202"/>
      <c r="BI177" s="204"/>
      <c r="BJ177" s="202"/>
      <c r="BK177" s="204"/>
      <c r="BL177" s="202"/>
      <c r="BM177" s="204"/>
      <c r="BN177" s="202"/>
      <c r="BO177" s="203">
        <f t="shared" si="8"/>
        <v>0</v>
      </c>
      <c r="BP177" s="202"/>
      <c r="BQ177" s="138"/>
      <c r="BR177" s="128"/>
      <c r="BS177" s="128"/>
      <c r="BT177" s="128"/>
      <c r="BU177" s="128"/>
      <c r="BV177" s="128"/>
      <c r="BW177" s="139"/>
      <c r="BX177" s="140"/>
      <c r="BY177" s="139"/>
      <c r="BZ177" s="139"/>
      <c r="CA177" s="134"/>
      <c r="CB177" s="134"/>
      <c r="CC177" s="134"/>
      <c r="CD177" s="134"/>
      <c r="CE177" s="134"/>
      <c r="CF177" s="134"/>
      <c r="CG177" s="92"/>
      <c r="CH177" s="92"/>
      <c r="CI177" s="92"/>
      <c r="CJ177" s="92"/>
      <c r="CK177" s="92"/>
    </row>
    <row r="178" spans="1:89" ht="14.25">
      <c r="A178" s="142"/>
      <c r="B178" s="165"/>
      <c r="C178" s="164"/>
      <c r="D178" s="137">
        <f t="shared" si="3"/>
        <v>0</v>
      </c>
      <c r="E178" s="207"/>
      <c r="F178" s="202"/>
      <c r="G178" s="207"/>
      <c r="H178" s="202"/>
      <c r="I178" s="207"/>
      <c r="J178" s="202"/>
      <c r="K178" s="207"/>
      <c r="L178" s="202"/>
      <c r="M178" s="207"/>
      <c r="N178" s="202"/>
      <c r="O178" s="201"/>
      <c r="P178" s="202"/>
      <c r="Q178" s="203">
        <f t="shared" si="4"/>
        <v>0</v>
      </c>
      <c r="R178" s="202"/>
      <c r="S178" s="207"/>
      <c r="T178" s="202"/>
      <c r="U178" s="207"/>
      <c r="V178" s="202"/>
      <c r="W178" s="207"/>
      <c r="X178" s="202"/>
      <c r="Y178" s="207"/>
      <c r="Z178" s="202"/>
      <c r="AA178" s="207"/>
      <c r="AB178" s="202"/>
      <c r="AC178" s="208"/>
      <c r="AD178" s="202"/>
      <c r="AE178" s="203">
        <f t="shared" si="5"/>
        <v>0</v>
      </c>
      <c r="AF178" s="202"/>
      <c r="AG178" s="204"/>
      <c r="AH178" s="202"/>
      <c r="AI178" s="204"/>
      <c r="AJ178" s="202"/>
      <c r="AK178" s="204"/>
      <c r="AL178" s="202"/>
      <c r="AM178" s="204"/>
      <c r="AN178" s="202"/>
      <c r="AO178" s="204"/>
      <c r="AP178" s="202"/>
      <c r="AQ178" s="208"/>
      <c r="AR178" s="202"/>
      <c r="AS178" s="203">
        <f t="shared" si="6"/>
        <v>0</v>
      </c>
      <c r="AT178" s="202"/>
      <c r="AU178" s="204"/>
      <c r="AV178" s="202"/>
      <c r="AW178" s="204"/>
      <c r="AX178" s="202"/>
      <c r="AY178" s="204"/>
      <c r="AZ178" s="202"/>
      <c r="BA178" s="204"/>
      <c r="BB178" s="202"/>
      <c r="BC178" s="204"/>
      <c r="BD178" s="202"/>
      <c r="BE178" s="208"/>
      <c r="BF178" s="202"/>
      <c r="BG178" s="203">
        <f t="shared" si="7"/>
        <v>0</v>
      </c>
      <c r="BH178" s="202"/>
      <c r="BI178" s="204"/>
      <c r="BJ178" s="202"/>
      <c r="BK178" s="204"/>
      <c r="BL178" s="202"/>
      <c r="BM178" s="204"/>
      <c r="BN178" s="202"/>
      <c r="BO178" s="203">
        <f t="shared" si="8"/>
        <v>0</v>
      </c>
      <c r="BP178" s="202"/>
      <c r="BQ178" s="138"/>
      <c r="BR178" s="128"/>
      <c r="BS178" s="128"/>
      <c r="BT178" s="128"/>
      <c r="BU178" s="128"/>
      <c r="BV178" s="128"/>
      <c r="BW178" s="139"/>
      <c r="BX178" s="140"/>
      <c r="BY178" s="139"/>
      <c r="BZ178" s="139"/>
      <c r="CA178" s="134"/>
      <c r="CB178" s="134"/>
      <c r="CC178" s="134"/>
      <c r="CD178" s="134"/>
      <c r="CE178" s="134"/>
      <c r="CF178" s="134"/>
      <c r="CG178" s="92"/>
      <c r="CH178" s="92"/>
      <c r="CI178" s="92"/>
      <c r="CJ178" s="92"/>
      <c r="CK178" s="92"/>
    </row>
    <row r="179" spans="1:89" ht="14.25">
      <c r="A179" s="142"/>
      <c r="B179" s="165"/>
      <c r="C179" s="164"/>
      <c r="D179" s="137">
        <f t="shared" si="3"/>
        <v>0</v>
      </c>
      <c r="E179" s="207"/>
      <c r="F179" s="202"/>
      <c r="G179" s="207"/>
      <c r="H179" s="202"/>
      <c r="I179" s="207"/>
      <c r="J179" s="202"/>
      <c r="K179" s="207"/>
      <c r="L179" s="202"/>
      <c r="M179" s="207"/>
      <c r="N179" s="202"/>
      <c r="O179" s="201"/>
      <c r="P179" s="202"/>
      <c r="Q179" s="203">
        <f t="shared" si="4"/>
        <v>0</v>
      </c>
      <c r="R179" s="202"/>
      <c r="S179" s="207"/>
      <c r="T179" s="202"/>
      <c r="U179" s="207"/>
      <c r="V179" s="202"/>
      <c r="W179" s="207"/>
      <c r="X179" s="202"/>
      <c r="Y179" s="207"/>
      <c r="Z179" s="202"/>
      <c r="AA179" s="207"/>
      <c r="AB179" s="202"/>
      <c r="AC179" s="208"/>
      <c r="AD179" s="202"/>
      <c r="AE179" s="203">
        <f t="shared" si="5"/>
        <v>0</v>
      </c>
      <c r="AF179" s="202"/>
      <c r="AG179" s="204"/>
      <c r="AH179" s="202"/>
      <c r="AI179" s="204"/>
      <c r="AJ179" s="202"/>
      <c r="AK179" s="204"/>
      <c r="AL179" s="202"/>
      <c r="AM179" s="204"/>
      <c r="AN179" s="202"/>
      <c r="AO179" s="204"/>
      <c r="AP179" s="202"/>
      <c r="AQ179" s="208"/>
      <c r="AR179" s="202"/>
      <c r="AS179" s="203">
        <f t="shared" si="6"/>
        <v>0</v>
      </c>
      <c r="AT179" s="202"/>
      <c r="AU179" s="204"/>
      <c r="AV179" s="202"/>
      <c r="AW179" s="204"/>
      <c r="AX179" s="202"/>
      <c r="AY179" s="204"/>
      <c r="AZ179" s="202"/>
      <c r="BA179" s="204"/>
      <c r="BB179" s="202"/>
      <c r="BC179" s="204"/>
      <c r="BD179" s="202"/>
      <c r="BE179" s="208"/>
      <c r="BF179" s="202"/>
      <c r="BG179" s="203">
        <f t="shared" si="7"/>
        <v>0</v>
      </c>
      <c r="BH179" s="202"/>
      <c r="BI179" s="204"/>
      <c r="BJ179" s="202"/>
      <c r="BK179" s="204"/>
      <c r="BL179" s="202"/>
      <c r="BM179" s="204"/>
      <c r="BN179" s="202"/>
      <c r="BO179" s="203">
        <f t="shared" si="8"/>
        <v>0</v>
      </c>
      <c r="BP179" s="202"/>
      <c r="BQ179" s="138"/>
      <c r="BR179" s="128"/>
      <c r="BS179" s="128"/>
      <c r="BT179" s="128"/>
      <c r="BU179" s="128"/>
      <c r="BV179" s="128"/>
      <c r="BW179" s="139"/>
      <c r="BX179" s="140"/>
      <c r="BY179" s="139"/>
      <c r="BZ179" s="139"/>
      <c r="CA179" s="134"/>
      <c r="CB179" s="134"/>
      <c r="CC179" s="134"/>
      <c r="CD179" s="134"/>
      <c r="CE179" s="134"/>
      <c r="CF179" s="134"/>
      <c r="CG179" s="92"/>
      <c r="CH179" s="92"/>
      <c r="CI179" s="92"/>
      <c r="CJ179" s="92"/>
      <c r="CK179" s="92"/>
    </row>
    <row r="180" spans="1:89" ht="14.25">
      <c r="A180" s="142"/>
      <c r="B180" s="165"/>
      <c r="C180" s="164"/>
      <c r="D180" s="137">
        <f t="shared" si="3"/>
        <v>0</v>
      </c>
      <c r="E180" s="207"/>
      <c r="F180" s="202"/>
      <c r="G180" s="207"/>
      <c r="H180" s="202"/>
      <c r="I180" s="207"/>
      <c r="J180" s="202"/>
      <c r="K180" s="207"/>
      <c r="L180" s="202"/>
      <c r="M180" s="207"/>
      <c r="N180" s="202"/>
      <c r="O180" s="201"/>
      <c r="P180" s="202"/>
      <c r="Q180" s="203">
        <f t="shared" si="4"/>
        <v>0</v>
      </c>
      <c r="R180" s="202"/>
      <c r="S180" s="207"/>
      <c r="T180" s="202"/>
      <c r="U180" s="207"/>
      <c r="V180" s="202"/>
      <c r="W180" s="207"/>
      <c r="X180" s="202"/>
      <c r="Y180" s="207"/>
      <c r="Z180" s="202"/>
      <c r="AA180" s="207"/>
      <c r="AB180" s="202"/>
      <c r="AC180" s="208"/>
      <c r="AD180" s="202"/>
      <c r="AE180" s="203">
        <f t="shared" si="5"/>
        <v>0</v>
      </c>
      <c r="AF180" s="202"/>
      <c r="AG180" s="204"/>
      <c r="AH180" s="202"/>
      <c r="AI180" s="204"/>
      <c r="AJ180" s="202"/>
      <c r="AK180" s="204"/>
      <c r="AL180" s="202"/>
      <c r="AM180" s="204"/>
      <c r="AN180" s="202"/>
      <c r="AO180" s="204"/>
      <c r="AP180" s="202"/>
      <c r="AQ180" s="208"/>
      <c r="AR180" s="202"/>
      <c r="AS180" s="203">
        <f t="shared" si="6"/>
        <v>0</v>
      </c>
      <c r="AT180" s="202"/>
      <c r="AU180" s="204"/>
      <c r="AV180" s="202"/>
      <c r="AW180" s="204"/>
      <c r="AX180" s="202"/>
      <c r="AY180" s="204"/>
      <c r="AZ180" s="202"/>
      <c r="BA180" s="204"/>
      <c r="BB180" s="202"/>
      <c r="BC180" s="204"/>
      <c r="BD180" s="202"/>
      <c r="BE180" s="208"/>
      <c r="BF180" s="202"/>
      <c r="BG180" s="203">
        <f t="shared" si="7"/>
        <v>0</v>
      </c>
      <c r="BH180" s="202"/>
      <c r="BI180" s="204"/>
      <c r="BJ180" s="202"/>
      <c r="BK180" s="204"/>
      <c r="BL180" s="202"/>
      <c r="BM180" s="204"/>
      <c r="BN180" s="202"/>
      <c r="BO180" s="203">
        <f t="shared" si="8"/>
        <v>0</v>
      </c>
      <c r="BP180" s="202"/>
      <c r="BQ180" s="138"/>
      <c r="BR180" s="128"/>
      <c r="BS180" s="128"/>
      <c r="BT180" s="128"/>
      <c r="BU180" s="128"/>
      <c r="BV180" s="128"/>
      <c r="BW180" s="139"/>
      <c r="BX180" s="140"/>
      <c r="BY180" s="139"/>
      <c r="BZ180" s="139"/>
      <c r="CA180" s="134"/>
      <c r="CB180" s="134"/>
      <c r="CC180" s="134"/>
      <c r="CD180" s="134"/>
      <c r="CE180" s="134"/>
      <c r="CF180" s="134"/>
      <c r="CG180" s="92"/>
      <c r="CH180" s="92"/>
      <c r="CI180" s="92"/>
      <c r="CJ180" s="92"/>
      <c r="CK180" s="92"/>
    </row>
    <row r="181" spans="1:89" ht="14.25">
      <c r="A181" s="142"/>
      <c r="B181" s="165"/>
      <c r="C181" s="164"/>
      <c r="D181" s="137">
        <f t="shared" si="3"/>
        <v>0</v>
      </c>
      <c r="E181" s="207"/>
      <c r="F181" s="202"/>
      <c r="G181" s="207"/>
      <c r="H181" s="202"/>
      <c r="I181" s="207"/>
      <c r="J181" s="202"/>
      <c r="K181" s="207"/>
      <c r="L181" s="202"/>
      <c r="M181" s="207"/>
      <c r="N181" s="202"/>
      <c r="O181" s="201"/>
      <c r="P181" s="202"/>
      <c r="Q181" s="203">
        <f t="shared" si="4"/>
        <v>0</v>
      </c>
      <c r="R181" s="202"/>
      <c r="S181" s="207"/>
      <c r="T181" s="202"/>
      <c r="U181" s="207"/>
      <c r="V181" s="202"/>
      <c r="W181" s="207"/>
      <c r="X181" s="202"/>
      <c r="Y181" s="207"/>
      <c r="Z181" s="202"/>
      <c r="AA181" s="207"/>
      <c r="AB181" s="202"/>
      <c r="AC181" s="208"/>
      <c r="AD181" s="202"/>
      <c r="AE181" s="203">
        <f t="shared" si="5"/>
        <v>0</v>
      </c>
      <c r="AF181" s="202"/>
      <c r="AG181" s="204"/>
      <c r="AH181" s="202"/>
      <c r="AI181" s="204"/>
      <c r="AJ181" s="202"/>
      <c r="AK181" s="204"/>
      <c r="AL181" s="202"/>
      <c r="AM181" s="204"/>
      <c r="AN181" s="202"/>
      <c r="AO181" s="204"/>
      <c r="AP181" s="202"/>
      <c r="AQ181" s="208"/>
      <c r="AR181" s="202"/>
      <c r="AS181" s="203">
        <f t="shared" si="6"/>
        <v>0</v>
      </c>
      <c r="AT181" s="202"/>
      <c r="AU181" s="204"/>
      <c r="AV181" s="202"/>
      <c r="AW181" s="204"/>
      <c r="AX181" s="202"/>
      <c r="AY181" s="204"/>
      <c r="AZ181" s="202"/>
      <c r="BA181" s="204"/>
      <c r="BB181" s="202"/>
      <c r="BC181" s="204"/>
      <c r="BD181" s="202"/>
      <c r="BE181" s="208"/>
      <c r="BF181" s="202"/>
      <c r="BG181" s="203">
        <f t="shared" si="7"/>
        <v>0</v>
      </c>
      <c r="BH181" s="202"/>
      <c r="BI181" s="204"/>
      <c r="BJ181" s="202"/>
      <c r="BK181" s="204"/>
      <c r="BL181" s="202"/>
      <c r="BM181" s="204"/>
      <c r="BN181" s="202"/>
      <c r="BO181" s="203">
        <f t="shared" si="8"/>
        <v>0</v>
      </c>
      <c r="BP181" s="202"/>
      <c r="BQ181" s="138"/>
      <c r="BR181" s="128"/>
      <c r="BS181" s="128"/>
      <c r="BT181" s="128"/>
      <c r="BU181" s="128"/>
      <c r="BV181" s="128"/>
      <c r="BW181" s="139"/>
      <c r="BX181" s="140"/>
      <c r="BY181" s="139"/>
      <c r="BZ181" s="139"/>
      <c r="CA181" s="134"/>
      <c r="CB181" s="134"/>
      <c r="CC181" s="134"/>
      <c r="CD181" s="134"/>
      <c r="CE181" s="134"/>
      <c r="CF181" s="134"/>
      <c r="CG181" s="92"/>
      <c r="CH181" s="92"/>
      <c r="CI181" s="92"/>
      <c r="CJ181" s="92"/>
      <c r="CK181" s="92"/>
    </row>
    <row r="182" spans="1:89" ht="14.25">
      <c r="A182" s="142"/>
      <c r="B182" s="165"/>
      <c r="C182" s="164"/>
      <c r="D182" s="137">
        <f t="shared" si="3"/>
        <v>0</v>
      </c>
      <c r="E182" s="207"/>
      <c r="F182" s="202"/>
      <c r="G182" s="207"/>
      <c r="H182" s="202"/>
      <c r="I182" s="207"/>
      <c r="J182" s="202"/>
      <c r="K182" s="207"/>
      <c r="L182" s="202"/>
      <c r="M182" s="207"/>
      <c r="N182" s="202"/>
      <c r="O182" s="201"/>
      <c r="P182" s="202"/>
      <c r="Q182" s="203">
        <f t="shared" si="4"/>
        <v>0</v>
      </c>
      <c r="R182" s="202"/>
      <c r="S182" s="207"/>
      <c r="T182" s="202"/>
      <c r="U182" s="207"/>
      <c r="V182" s="202"/>
      <c r="W182" s="207"/>
      <c r="X182" s="202"/>
      <c r="Y182" s="207"/>
      <c r="Z182" s="202"/>
      <c r="AA182" s="207"/>
      <c r="AB182" s="202"/>
      <c r="AC182" s="208"/>
      <c r="AD182" s="202"/>
      <c r="AE182" s="203">
        <f t="shared" si="5"/>
        <v>0</v>
      </c>
      <c r="AF182" s="202"/>
      <c r="AG182" s="204"/>
      <c r="AH182" s="202"/>
      <c r="AI182" s="204"/>
      <c r="AJ182" s="202"/>
      <c r="AK182" s="204"/>
      <c r="AL182" s="202"/>
      <c r="AM182" s="204"/>
      <c r="AN182" s="202"/>
      <c r="AO182" s="204"/>
      <c r="AP182" s="202"/>
      <c r="AQ182" s="208"/>
      <c r="AR182" s="202"/>
      <c r="AS182" s="203">
        <f t="shared" si="6"/>
        <v>0</v>
      </c>
      <c r="AT182" s="202"/>
      <c r="AU182" s="204"/>
      <c r="AV182" s="202"/>
      <c r="AW182" s="204"/>
      <c r="AX182" s="202"/>
      <c r="AY182" s="204"/>
      <c r="AZ182" s="202"/>
      <c r="BA182" s="204"/>
      <c r="BB182" s="202"/>
      <c r="BC182" s="204"/>
      <c r="BD182" s="202"/>
      <c r="BE182" s="208"/>
      <c r="BF182" s="202"/>
      <c r="BG182" s="203">
        <f t="shared" si="7"/>
        <v>0</v>
      </c>
      <c r="BH182" s="202"/>
      <c r="BI182" s="204"/>
      <c r="BJ182" s="202"/>
      <c r="BK182" s="204"/>
      <c r="BL182" s="202"/>
      <c r="BM182" s="204"/>
      <c r="BN182" s="202"/>
      <c r="BO182" s="203">
        <f t="shared" si="8"/>
        <v>0</v>
      </c>
      <c r="BP182" s="202"/>
      <c r="BQ182" s="138"/>
      <c r="BR182" s="128"/>
      <c r="BS182" s="128"/>
      <c r="BT182" s="128"/>
      <c r="BU182" s="128"/>
      <c r="BV182" s="128"/>
      <c r="BW182" s="139"/>
      <c r="BX182" s="140"/>
      <c r="BY182" s="139"/>
      <c r="BZ182" s="139"/>
      <c r="CA182" s="134"/>
      <c r="CB182" s="134"/>
      <c r="CC182" s="134"/>
      <c r="CD182" s="134"/>
      <c r="CE182" s="134"/>
      <c r="CF182" s="134"/>
      <c r="CG182" s="92"/>
      <c r="CH182" s="92"/>
      <c r="CI182" s="92"/>
      <c r="CJ182" s="92"/>
      <c r="CK182" s="92"/>
    </row>
    <row r="183" spans="1:89" ht="14.25">
      <c r="A183" s="142"/>
      <c r="B183" s="165"/>
      <c r="C183" s="164"/>
      <c r="D183" s="137">
        <f t="shared" si="3"/>
        <v>0</v>
      </c>
      <c r="E183" s="207"/>
      <c r="F183" s="202"/>
      <c r="G183" s="207"/>
      <c r="H183" s="202"/>
      <c r="I183" s="207"/>
      <c r="J183" s="202"/>
      <c r="K183" s="207"/>
      <c r="L183" s="202"/>
      <c r="M183" s="207"/>
      <c r="N183" s="202"/>
      <c r="O183" s="201"/>
      <c r="P183" s="202"/>
      <c r="Q183" s="203">
        <f t="shared" si="4"/>
        <v>0</v>
      </c>
      <c r="R183" s="202"/>
      <c r="S183" s="207"/>
      <c r="T183" s="202"/>
      <c r="U183" s="207"/>
      <c r="V183" s="202"/>
      <c r="W183" s="207"/>
      <c r="X183" s="202"/>
      <c r="Y183" s="207"/>
      <c r="Z183" s="202"/>
      <c r="AA183" s="207"/>
      <c r="AB183" s="202"/>
      <c r="AC183" s="208"/>
      <c r="AD183" s="202"/>
      <c r="AE183" s="203">
        <f t="shared" si="5"/>
        <v>0</v>
      </c>
      <c r="AF183" s="202"/>
      <c r="AG183" s="204"/>
      <c r="AH183" s="202"/>
      <c r="AI183" s="204"/>
      <c r="AJ183" s="202"/>
      <c r="AK183" s="204"/>
      <c r="AL183" s="202"/>
      <c r="AM183" s="204"/>
      <c r="AN183" s="202"/>
      <c r="AO183" s="204"/>
      <c r="AP183" s="202"/>
      <c r="AQ183" s="208"/>
      <c r="AR183" s="202"/>
      <c r="AS183" s="203">
        <f t="shared" si="6"/>
        <v>0</v>
      </c>
      <c r="AT183" s="202"/>
      <c r="AU183" s="204"/>
      <c r="AV183" s="202"/>
      <c r="AW183" s="204"/>
      <c r="AX183" s="202"/>
      <c r="AY183" s="204"/>
      <c r="AZ183" s="202"/>
      <c r="BA183" s="204"/>
      <c r="BB183" s="202"/>
      <c r="BC183" s="204"/>
      <c r="BD183" s="202"/>
      <c r="BE183" s="208"/>
      <c r="BF183" s="202"/>
      <c r="BG183" s="203">
        <f t="shared" si="7"/>
        <v>0</v>
      </c>
      <c r="BH183" s="202"/>
      <c r="BI183" s="204"/>
      <c r="BJ183" s="202"/>
      <c r="BK183" s="204"/>
      <c r="BL183" s="202"/>
      <c r="BM183" s="204"/>
      <c r="BN183" s="202"/>
      <c r="BO183" s="203">
        <f t="shared" si="8"/>
        <v>0</v>
      </c>
      <c r="BP183" s="202"/>
      <c r="BQ183" s="138"/>
      <c r="BR183" s="128"/>
      <c r="BS183" s="128"/>
      <c r="BT183" s="128"/>
      <c r="BU183" s="128"/>
      <c r="BV183" s="128"/>
      <c r="BW183" s="139"/>
      <c r="BX183" s="140"/>
      <c r="BY183" s="139"/>
      <c r="BZ183" s="139"/>
      <c r="CA183" s="134"/>
      <c r="CB183" s="134"/>
      <c r="CC183" s="134"/>
      <c r="CD183" s="134"/>
      <c r="CE183" s="134"/>
      <c r="CF183" s="134"/>
      <c r="CG183" s="92"/>
      <c r="CH183" s="92"/>
      <c r="CI183" s="92"/>
      <c r="CJ183" s="92"/>
      <c r="CK183" s="92"/>
    </row>
    <row r="184" spans="1:89" ht="14.25">
      <c r="A184" s="142"/>
      <c r="B184" s="165"/>
      <c r="C184" s="164"/>
      <c r="D184" s="137">
        <f t="shared" si="3"/>
        <v>0</v>
      </c>
      <c r="E184" s="207"/>
      <c r="F184" s="202"/>
      <c r="G184" s="207"/>
      <c r="H184" s="202"/>
      <c r="I184" s="207"/>
      <c r="J184" s="202"/>
      <c r="K184" s="207"/>
      <c r="L184" s="202"/>
      <c r="M184" s="207"/>
      <c r="N184" s="202"/>
      <c r="O184" s="201"/>
      <c r="P184" s="202"/>
      <c r="Q184" s="203">
        <f t="shared" si="4"/>
        <v>0</v>
      </c>
      <c r="R184" s="202"/>
      <c r="S184" s="207"/>
      <c r="T184" s="202"/>
      <c r="U184" s="207"/>
      <c r="V184" s="202"/>
      <c r="W184" s="207"/>
      <c r="X184" s="202"/>
      <c r="Y184" s="207"/>
      <c r="Z184" s="202"/>
      <c r="AA184" s="207"/>
      <c r="AB184" s="202"/>
      <c r="AC184" s="208"/>
      <c r="AD184" s="202"/>
      <c r="AE184" s="203">
        <f t="shared" si="5"/>
        <v>0</v>
      </c>
      <c r="AF184" s="202"/>
      <c r="AG184" s="204"/>
      <c r="AH184" s="202"/>
      <c r="AI184" s="204"/>
      <c r="AJ184" s="202"/>
      <c r="AK184" s="204"/>
      <c r="AL184" s="202"/>
      <c r="AM184" s="204"/>
      <c r="AN184" s="202"/>
      <c r="AO184" s="204"/>
      <c r="AP184" s="202"/>
      <c r="AQ184" s="208"/>
      <c r="AR184" s="202"/>
      <c r="AS184" s="203">
        <f t="shared" si="6"/>
        <v>0</v>
      </c>
      <c r="AT184" s="202"/>
      <c r="AU184" s="204"/>
      <c r="AV184" s="202"/>
      <c r="AW184" s="204"/>
      <c r="AX184" s="202"/>
      <c r="AY184" s="204"/>
      <c r="AZ184" s="202"/>
      <c r="BA184" s="204"/>
      <c r="BB184" s="202"/>
      <c r="BC184" s="204"/>
      <c r="BD184" s="202"/>
      <c r="BE184" s="208"/>
      <c r="BF184" s="202"/>
      <c r="BG184" s="203">
        <f t="shared" si="7"/>
        <v>0</v>
      </c>
      <c r="BH184" s="202"/>
      <c r="BI184" s="204"/>
      <c r="BJ184" s="202"/>
      <c r="BK184" s="204"/>
      <c r="BL184" s="202"/>
      <c r="BM184" s="204"/>
      <c r="BN184" s="202"/>
      <c r="BO184" s="203">
        <f t="shared" si="8"/>
        <v>0</v>
      </c>
      <c r="BP184" s="202"/>
      <c r="BQ184" s="138"/>
      <c r="BR184" s="128"/>
      <c r="BS184" s="128"/>
      <c r="BT184" s="128"/>
      <c r="BU184" s="128"/>
      <c r="BV184" s="128"/>
      <c r="BW184" s="139"/>
      <c r="BX184" s="140"/>
      <c r="BY184" s="139"/>
      <c r="BZ184" s="139"/>
      <c r="CA184" s="134"/>
      <c r="CB184" s="134"/>
      <c r="CC184" s="134"/>
      <c r="CD184" s="134"/>
      <c r="CE184" s="134"/>
      <c r="CF184" s="134"/>
      <c r="CG184" s="92"/>
      <c r="CH184" s="92"/>
      <c r="CI184" s="92"/>
      <c r="CJ184" s="92"/>
      <c r="CK184" s="92"/>
    </row>
    <row r="185" spans="1:89" ht="14.25">
      <c r="A185" s="142"/>
      <c r="B185" s="165"/>
      <c r="C185" s="164"/>
      <c r="D185" s="137">
        <f t="shared" si="3"/>
        <v>0</v>
      </c>
      <c r="E185" s="207"/>
      <c r="F185" s="202"/>
      <c r="G185" s="207"/>
      <c r="H185" s="202"/>
      <c r="I185" s="207"/>
      <c r="J185" s="202"/>
      <c r="K185" s="207"/>
      <c r="L185" s="202"/>
      <c r="M185" s="207"/>
      <c r="N185" s="202"/>
      <c r="O185" s="201"/>
      <c r="P185" s="202"/>
      <c r="Q185" s="203">
        <f t="shared" si="4"/>
        <v>0</v>
      </c>
      <c r="R185" s="202"/>
      <c r="S185" s="207"/>
      <c r="T185" s="202"/>
      <c r="U185" s="207"/>
      <c r="V185" s="202"/>
      <c r="W185" s="207"/>
      <c r="X185" s="202"/>
      <c r="Y185" s="207"/>
      <c r="Z185" s="202"/>
      <c r="AA185" s="207"/>
      <c r="AB185" s="202"/>
      <c r="AC185" s="208"/>
      <c r="AD185" s="202"/>
      <c r="AE185" s="203">
        <f t="shared" si="5"/>
        <v>0</v>
      </c>
      <c r="AF185" s="202"/>
      <c r="AG185" s="204"/>
      <c r="AH185" s="202"/>
      <c r="AI185" s="204"/>
      <c r="AJ185" s="202"/>
      <c r="AK185" s="204"/>
      <c r="AL185" s="202"/>
      <c r="AM185" s="204"/>
      <c r="AN185" s="202"/>
      <c r="AO185" s="204"/>
      <c r="AP185" s="202"/>
      <c r="AQ185" s="208"/>
      <c r="AR185" s="202"/>
      <c r="AS185" s="203">
        <f t="shared" si="6"/>
        <v>0</v>
      </c>
      <c r="AT185" s="202"/>
      <c r="AU185" s="204"/>
      <c r="AV185" s="202"/>
      <c r="AW185" s="204"/>
      <c r="AX185" s="202"/>
      <c r="AY185" s="204"/>
      <c r="AZ185" s="202"/>
      <c r="BA185" s="204"/>
      <c r="BB185" s="202"/>
      <c r="BC185" s="204"/>
      <c r="BD185" s="202"/>
      <c r="BE185" s="208"/>
      <c r="BF185" s="202"/>
      <c r="BG185" s="203">
        <f t="shared" si="7"/>
        <v>0</v>
      </c>
      <c r="BH185" s="202"/>
      <c r="BI185" s="204"/>
      <c r="BJ185" s="202"/>
      <c r="BK185" s="204"/>
      <c r="BL185" s="202"/>
      <c r="BM185" s="204"/>
      <c r="BN185" s="202"/>
      <c r="BO185" s="203">
        <f t="shared" si="8"/>
        <v>0</v>
      </c>
      <c r="BP185" s="202"/>
      <c r="BQ185" s="138"/>
      <c r="BR185" s="128"/>
      <c r="BS185" s="128"/>
      <c r="BT185" s="128"/>
      <c r="BU185" s="128"/>
      <c r="BV185" s="128"/>
      <c r="BW185" s="139"/>
      <c r="BX185" s="140"/>
      <c r="BY185" s="139"/>
      <c r="BZ185" s="139"/>
      <c r="CA185" s="134"/>
      <c r="CB185" s="134"/>
      <c r="CC185" s="134"/>
      <c r="CD185" s="134"/>
      <c r="CE185" s="134"/>
      <c r="CF185" s="134"/>
      <c r="CG185" s="92"/>
      <c r="CH185" s="92"/>
      <c r="CI185" s="92"/>
      <c r="CJ185" s="92"/>
      <c r="CK185" s="92"/>
    </row>
    <row r="186" spans="1:89" ht="14.25">
      <c r="A186" s="142"/>
      <c r="B186" s="165"/>
      <c r="C186" s="164"/>
      <c r="D186" s="137">
        <f t="shared" si="3"/>
        <v>0</v>
      </c>
      <c r="E186" s="207"/>
      <c r="F186" s="202"/>
      <c r="G186" s="207"/>
      <c r="H186" s="202"/>
      <c r="I186" s="207"/>
      <c r="J186" s="202"/>
      <c r="K186" s="207"/>
      <c r="L186" s="202"/>
      <c r="M186" s="207"/>
      <c r="N186" s="202"/>
      <c r="O186" s="201"/>
      <c r="P186" s="202"/>
      <c r="Q186" s="203">
        <f t="shared" si="4"/>
        <v>0</v>
      </c>
      <c r="R186" s="202"/>
      <c r="S186" s="207"/>
      <c r="T186" s="202"/>
      <c r="U186" s="207"/>
      <c r="V186" s="202"/>
      <c r="W186" s="207"/>
      <c r="X186" s="202"/>
      <c r="Y186" s="207"/>
      <c r="Z186" s="202"/>
      <c r="AA186" s="207"/>
      <c r="AB186" s="202"/>
      <c r="AC186" s="208"/>
      <c r="AD186" s="202"/>
      <c r="AE186" s="203">
        <f t="shared" si="5"/>
        <v>0</v>
      </c>
      <c r="AF186" s="202"/>
      <c r="AG186" s="204"/>
      <c r="AH186" s="202"/>
      <c r="AI186" s="204"/>
      <c r="AJ186" s="202"/>
      <c r="AK186" s="204"/>
      <c r="AL186" s="202"/>
      <c r="AM186" s="204"/>
      <c r="AN186" s="202"/>
      <c r="AO186" s="204"/>
      <c r="AP186" s="202"/>
      <c r="AQ186" s="208"/>
      <c r="AR186" s="202"/>
      <c r="AS186" s="203">
        <f t="shared" si="6"/>
        <v>0</v>
      </c>
      <c r="AT186" s="202"/>
      <c r="AU186" s="204"/>
      <c r="AV186" s="202"/>
      <c r="AW186" s="204"/>
      <c r="AX186" s="202"/>
      <c r="AY186" s="204"/>
      <c r="AZ186" s="202"/>
      <c r="BA186" s="204"/>
      <c r="BB186" s="202"/>
      <c r="BC186" s="204"/>
      <c r="BD186" s="202"/>
      <c r="BE186" s="208"/>
      <c r="BF186" s="202"/>
      <c r="BG186" s="203">
        <f t="shared" si="7"/>
        <v>0</v>
      </c>
      <c r="BH186" s="202"/>
      <c r="BI186" s="204"/>
      <c r="BJ186" s="202"/>
      <c r="BK186" s="204"/>
      <c r="BL186" s="202"/>
      <c r="BM186" s="204"/>
      <c r="BN186" s="202"/>
      <c r="BO186" s="203">
        <f t="shared" si="8"/>
        <v>0</v>
      </c>
      <c r="BP186" s="202"/>
      <c r="BQ186" s="138"/>
      <c r="BR186" s="128"/>
      <c r="BS186" s="128"/>
      <c r="BT186" s="128"/>
      <c r="BU186" s="128"/>
      <c r="BV186" s="128"/>
      <c r="BW186" s="139"/>
      <c r="BX186" s="140"/>
      <c r="BY186" s="139"/>
      <c r="BZ186" s="139"/>
      <c r="CA186" s="134"/>
      <c r="CB186" s="134"/>
      <c r="CC186" s="134"/>
      <c r="CD186" s="134"/>
      <c r="CE186" s="134"/>
      <c r="CF186" s="134"/>
      <c r="CG186" s="92"/>
      <c r="CH186" s="92"/>
      <c r="CI186" s="92"/>
      <c r="CJ186" s="92"/>
      <c r="CK186" s="92"/>
    </row>
    <row r="187" spans="1:89" ht="14.25">
      <c r="A187" s="142"/>
      <c r="B187" s="165"/>
      <c r="C187" s="164"/>
      <c r="D187" s="137">
        <f t="shared" si="3"/>
        <v>0</v>
      </c>
      <c r="E187" s="207"/>
      <c r="F187" s="202"/>
      <c r="G187" s="207"/>
      <c r="H187" s="202"/>
      <c r="I187" s="207"/>
      <c r="J187" s="202"/>
      <c r="K187" s="207"/>
      <c r="L187" s="202"/>
      <c r="M187" s="207"/>
      <c r="N187" s="202"/>
      <c r="O187" s="201"/>
      <c r="P187" s="202"/>
      <c r="Q187" s="203">
        <f t="shared" si="4"/>
        <v>0</v>
      </c>
      <c r="R187" s="202"/>
      <c r="S187" s="207"/>
      <c r="T187" s="202"/>
      <c r="U187" s="207"/>
      <c r="V187" s="202"/>
      <c r="W187" s="207"/>
      <c r="X187" s="202"/>
      <c r="Y187" s="207"/>
      <c r="Z187" s="202"/>
      <c r="AA187" s="207"/>
      <c r="AB187" s="202"/>
      <c r="AC187" s="208"/>
      <c r="AD187" s="202"/>
      <c r="AE187" s="203">
        <f t="shared" si="5"/>
        <v>0</v>
      </c>
      <c r="AF187" s="202"/>
      <c r="AG187" s="204"/>
      <c r="AH187" s="202"/>
      <c r="AI187" s="204"/>
      <c r="AJ187" s="202"/>
      <c r="AK187" s="204"/>
      <c r="AL187" s="202"/>
      <c r="AM187" s="204"/>
      <c r="AN187" s="202"/>
      <c r="AO187" s="204"/>
      <c r="AP187" s="202"/>
      <c r="AQ187" s="208"/>
      <c r="AR187" s="202"/>
      <c r="AS187" s="203">
        <f t="shared" si="6"/>
        <v>0</v>
      </c>
      <c r="AT187" s="202"/>
      <c r="AU187" s="204"/>
      <c r="AV187" s="202"/>
      <c r="AW187" s="204"/>
      <c r="AX187" s="202"/>
      <c r="AY187" s="204"/>
      <c r="AZ187" s="202"/>
      <c r="BA187" s="204"/>
      <c r="BB187" s="202"/>
      <c r="BC187" s="204"/>
      <c r="BD187" s="202"/>
      <c r="BE187" s="208"/>
      <c r="BF187" s="202"/>
      <c r="BG187" s="203">
        <f t="shared" si="7"/>
        <v>0</v>
      </c>
      <c r="BH187" s="202"/>
      <c r="BI187" s="204"/>
      <c r="BJ187" s="202"/>
      <c r="BK187" s="204"/>
      <c r="BL187" s="202"/>
      <c r="BM187" s="204"/>
      <c r="BN187" s="202"/>
      <c r="BO187" s="203">
        <f t="shared" si="8"/>
        <v>0</v>
      </c>
      <c r="BP187" s="202"/>
      <c r="BQ187" s="138"/>
      <c r="BR187" s="128"/>
      <c r="BS187" s="128"/>
      <c r="BT187" s="128"/>
      <c r="BU187" s="128"/>
      <c r="BV187" s="128"/>
      <c r="BW187" s="139"/>
      <c r="BX187" s="140"/>
      <c r="BY187" s="139"/>
      <c r="BZ187" s="139"/>
      <c r="CA187" s="134"/>
      <c r="CB187" s="134"/>
      <c r="CC187" s="134"/>
      <c r="CD187" s="134"/>
      <c r="CE187" s="134"/>
      <c r="CF187" s="134"/>
      <c r="CG187" s="92"/>
      <c r="CH187" s="92"/>
      <c r="CI187" s="92"/>
      <c r="CJ187" s="92"/>
      <c r="CK187" s="92"/>
    </row>
    <row r="188" spans="1:89" ht="14.25">
      <c r="A188" s="142"/>
      <c r="B188" s="165"/>
      <c r="C188" s="164"/>
      <c r="D188" s="137">
        <f t="shared" si="3"/>
        <v>0</v>
      </c>
      <c r="E188" s="207"/>
      <c r="F188" s="202"/>
      <c r="G188" s="207"/>
      <c r="H188" s="202"/>
      <c r="I188" s="207"/>
      <c r="J188" s="202"/>
      <c r="K188" s="207"/>
      <c r="L188" s="202"/>
      <c r="M188" s="207"/>
      <c r="N188" s="202"/>
      <c r="O188" s="201"/>
      <c r="P188" s="202"/>
      <c r="Q188" s="203">
        <f t="shared" si="4"/>
        <v>0</v>
      </c>
      <c r="R188" s="202"/>
      <c r="S188" s="207"/>
      <c r="T188" s="202"/>
      <c r="U188" s="207"/>
      <c r="V188" s="202"/>
      <c r="W188" s="207"/>
      <c r="X188" s="202"/>
      <c r="Y188" s="207"/>
      <c r="Z188" s="202"/>
      <c r="AA188" s="207"/>
      <c r="AB188" s="202"/>
      <c r="AC188" s="208"/>
      <c r="AD188" s="202"/>
      <c r="AE188" s="203">
        <f t="shared" si="5"/>
        <v>0</v>
      </c>
      <c r="AF188" s="202"/>
      <c r="AG188" s="204"/>
      <c r="AH188" s="202"/>
      <c r="AI188" s="204"/>
      <c r="AJ188" s="202"/>
      <c r="AK188" s="204"/>
      <c r="AL188" s="202"/>
      <c r="AM188" s="204"/>
      <c r="AN188" s="202"/>
      <c r="AO188" s="204"/>
      <c r="AP188" s="202"/>
      <c r="AQ188" s="208"/>
      <c r="AR188" s="202"/>
      <c r="AS188" s="203">
        <f t="shared" si="6"/>
        <v>0</v>
      </c>
      <c r="AT188" s="202"/>
      <c r="AU188" s="204"/>
      <c r="AV188" s="202"/>
      <c r="AW188" s="204"/>
      <c r="AX188" s="202"/>
      <c r="AY188" s="204"/>
      <c r="AZ188" s="202"/>
      <c r="BA188" s="204"/>
      <c r="BB188" s="202"/>
      <c r="BC188" s="204"/>
      <c r="BD188" s="202"/>
      <c r="BE188" s="208"/>
      <c r="BF188" s="202"/>
      <c r="BG188" s="203">
        <f t="shared" si="7"/>
        <v>0</v>
      </c>
      <c r="BH188" s="202"/>
      <c r="BI188" s="204"/>
      <c r="BJ188" s="202"/>
      <c r="BK188" s="204"/>
      <c r="BL188" s="202"/>
      <c r="BM188" s="204"/>
      <c r="BN188" s="202"/>
      <c r="BO188" s="203">
        <f t="shared" si="8"/>
        <v>0</v>
      </c>
      <c r="BP188" s="202"/>
      <c r="BQ188" s="138"/>
      <c r="BR188" s="128"/>
      <c r="BS188" s="128"/>
      <c r="BT188" s="128"/>
      <c r="BU188" s="128"/>
      <c r="BV188" s="128"/>
      <c r="BW188" s="139"/>
      <c r="BX188" s="140"/>
      <c r="BY188" s="139"/>
      <c r="BZ188" s="139"/>
      <c r="CA188" s="134"/>
      <c r="CB188" s="134"/>
      <c r="CC188" s="134"/>
      <c r="CD188" s="134"/>
      <c r="CE188" s="134"/>
      <c r="CF188" s="134"/>
      <c r="CG188" s="92"/>
      <c r="CH188" s="92"/>
      <c r="CI188" s="92"/>
      <c r="CJ188" s="92"/>
      <c r="CK188" s="92"/>
    </row>
    <row r="189" spans="1:89" ht="14.25">
      <c r="A189" s="142"/>
      <c r="B189" s="165"/>
      <c r="C189" s="164"/>
      <c r="D189" s="137">
        <f t="shared" si="3"/>
        <v>0</v>
      </c>
      <c r="E189" s="207"/>
      <c r="F189" s="202"/>
      <c r="G189" s="207"/>
      <c r="H189" s="202"/>
      <c r="I189" s="207"/>
      <c r="J189" s="202"/>
      <c r="K189" s="207"/>
      <c r="L189" s="202"/>
      <c r="M189" s="207"/>
      <c r="N189" s="202"/>
      <c r="O189" s="201"/>
      <c r="P189" s="202"/>
      <c r="Q189" s="203">
        <f t="shared" si="4"/>
        <v>0</v>
      </c>
      <c r="R189" s="202"/>
      <c r="S189" s="207"/>
      <c r="T189" s="202"/>
      <c r="U189" s="207"/>
      <c r="V189" s="202"/>
      <c r="W189" s="207"/>
      <c r="X189" s="202"/>
      <c r="Y189" s="207"/>
      <c r="Z189" s="202"/>
      <c r="AA189" s="207"/>
      <c r="AB189" s="202"/>
      <c r="AC189" s="208"/>
      <c r="AD189" s="202"/>
      <c r="AE189" s="203">
        <f t="shared" si="5"/>
        <v>0</v>
      </c>
      <c r="AF189" s="202"/>
      <c r="AG189" s="204"/>
      <c r="AH189" s="202"/>
      <c r="AI189" s="204"/>
      <c r="AJ189" s="202"/>
      <c r="AK189" s="204"/>
      <c r="AL189" s="202"/>
      <c r="AM189" s="204"/>
      <c r="AN189" s="202"/>
      <c r="AO189" s="204"/>
      <c r="AP189" s="202"/>
      <c r="AQ189" s="208"/>
      <c r="AR189" s="202"/>
      <c r="AS189" s="203">
        <f t="shared" si="6"/>
        <v>0</v>
      </c>
      <c r="AT189" s="202"/>
      <c r="AU189" s="204"/>
      <c r="AV189" s="202"/>
      <c r="AW189" s="204"/>
      <c r="AX189" s="202"/>
      <c r="AY189" s="204"/>
      <c r="AZ189" s="202"/>
      <c r="BA189" s="204"/>
      <c r="BB189" s="202"/>
      <c r="BC189" s="204"/>
      <c r="BD189" s="202"/>
      <c r="BE189" s="208"/>
      <c r="BF189" s="202"/>
      <c r="BG189" s="203">
        <f t="shared" si="7"/>
        <v>0</v>
      </c>
      <c r="BH189" s="202"/>
      <c r="BI189" s="204"/>
      <c r="BJ189" s="202"/>
      <c r="BK189" s="204"/>
      <c r="BL189" s="202"/>
      <c r="BM189" s="204"/>
      <c r="BN189" s="202"/>
      <c r="BO189" s="203">
        <f t="shared" si="8"/>
        <v>0</v>
      </c>
      <c r="BP189" s="202"/>
      <c r="BQ189" s="138"/>
      <c r="BR189" s="128"/>
      <c r="BS189" s="128"/>
      <c r="BT189" s="128"/>
      <c r="BU189" s="128"/>
      <c r="BV189" s="128"/>
      <c r="BW189" s="139"/>
      <c r="BX189" s="140"/>
      <c r="BY189" s="139"/>
      <c r="BZ189" s="139"/>
      <c r="CA189" s="134"/>
      <c r="CB189" s="134"/>
      <c r="CC189" s="134"/>
      <c r="CD189" s="134"/>
      <c r="CE189" s="134"/>
      <c r="CF189" s="134"/>
      <c r="CG189" s="92"/>
      <c r="CH189" s="92"/>
      <c r="CI189" s="92"/>
      <c r="CJ189" s="92"/>
      <c r="CK189" s="92"/>
    </row>
    <row r="190" spans="1:89" ht="14.25">
      <c r="A190" s="142"/>
      <c r="B190" s="165"/>
      <c r="C190" s="164"/>
      <c r="D190" s="137">
        <f t="shared" si="3"/>
        <v>0</v>
      </c>
      <c r="E190" s="207"/>
      <c r="F190" s="202"/>
      <c r="G190" s="207"/>
      <c r="H190" s="202"/>
      <c r="I190" s="207"/>
      <c r="J190" s="202"/>
      <c r="K190" s="207"/>
      <c r="L190" s="202"/>
      <c r="M190" s="207"/>
      <c r="N190" s="202"/>
      <c r="O190" s="201"/>
      <c r="P190" s="202"/>
      <c r="Q190" s="203">
        <f t="shared" si="4"/>
        <v>0</v>
      </c>
      <c r="R190" s="202"/>
      <c r="S190" s="207"/>
      <c r="T190" s="202"/>
      <c r="U190" s="207"/>
      <c r="V190" s="202"/>
      <c r="W190" s="207"/>
      <c r="X190" s="202"/>
      <c r="Y190" s="207"/>
      <c r="Z190" s="202"/>
      <c r="AA190" s="207"/>
      <c r="AB190" s="202"/>
      <c r="AC190" s="208"/>
      <c r="AD190" s="202"/>
      <c r="AE190" s="203">
        <f t="shared" si="5"/>
        <v>0</v>
      </c>
      <c r="AF190" s="202"/>
      <c r="AG190" s="204"/>
      <c r="AH190" s="202"/>
      <c r="AI190" s="204"/>
      <c r="AJ190" s="202"/>
      <c r="AK190" s="204"/>
      <c r="AL190" s="202"/>
      <c r="AM190" s="204"/>
      <c r="AN190" s="202"/>
      <c r="AO190" s="204"/>
      <c r="AP190" s="202"/>
      <c r="AQ190" s="208"/>
      <c r="AR190" s="202"/>
      <c r="AS190" s="203">
        <f t="shared" si="6"/>
        <v>0</v>
      </c>
      <c r="AT190" s="202"/>
      <c r="AU190" s="204"/>
      <c r="AV190" s="202"/>
      <c r="AW190" s="204"/>
      <c r="AX190" s="202"/>
      <c r="AY190" s="204"/>
      <c r="AZ190" s="202"/>
      <c r="BA190" s="204"/>
      <c r="BB190" s="202"/>
      <c r="BC190" s="204"/>
      <c r="BD190" s="202"/>
      <c r="BE190" s="208"/>
      <c r="BF190" s="202"/>
      <c r="BG190" s="203">
        <f t="shared" si="7"/>
        <v>0</v>
      </c>
      <c r="BH190" s="202"/>
      <c r="BI190" s="204"/>
      <c r="BJ190" s="202"/>
      <c r="BK190" s="204"/>
      <c r="BL190" s="202"/>
      <c r="BM190" s="204"/>
      <c r="BN190" s="202"/>
      <c r="BO190" s="203">
        <f t="shared" si="8"/>
        <v>0</v>
      </c>
      <c r="BP190" s="202"/>
      <c r="BQ190" s="138"/>
      <c r="BR190" s="128"/>
      <c r="BS190" s="128"/>
      <c r="BT190" s="128"/>
      <c r="BU190" s="128"/>
      <c r="BV190" s="128"/>
      <c r="BW190" s="139"/>
      <c r="BX190" s="140"/>
      <c r="BY190" s="139"/>
      <c r="BZ190" s="139"/>
      <c r="CA190" s="134"/>
      <c r="CB190" s="134"/>
      <c r="CC190" s="134"/>
      <c r="CD190" s="134"/>
      <c r="CE190" s="134"/>
      <c r="CF190" s="134"/>
      <c r="CG190" s="92"/>
      <c r="CH190" s="92"/>
      <c r="CI190" s="92"/>
      <c r="CJ190" s="92"/>
      <c r="CK190" s="92"/>
    </row>
    <row r="191" spans="1:89" ht="14.25">
      <c r="A191" s="142"/>
      <c r="B191" s="165"/>
      <c r="C191" s="164"/>
      <c r="D191" s="137">
        <f t="shared" si="3"/>
        <v>0</v>
      </c>
      <c r="E191" s="207"/>
      <c r="F191" s="202"/>
      <c r="G191" s="207"/>
      <c r="H191" s="202"/>
      <c r="I191" s="207"/>
      <c r="J191" s="202"/>
      <c r="K191" s="207"/>
      <c r="L191" s="202"/>
      <c r="M191" s="207"/>
      <c r="N191" s="202"/>
      <c r="O191" s="201"/>
      <c r="P191" s="202"/>
      <c r="Q191" s="203">
        <f t="shared" si="4"/>
        <v>0</v>
      </c>
      <c r="R191" s="202"/>
      <c r="S191" s="207"/>
      <c r="T191" s="202"/>
      <c r="U191" s="207"/>
      <c r="V191" s="202"/>
      <c r="W191" s="207"/>
      <c r="X191" s="202"/>
      <c r="Y191" s="207"/>
      <c r="Z191" s="202"/>
      <c r="AA191" s="207"/>
      <c r="AB191" s="202"/>
      <c r="AC191" s="208"/>
      <c r="AD191" s="202"/>
      <c r="AE191" s="203">
        <f t="shared" si="5"/>
        <v>0</v>
      </c>
      <c r="AF191" s="202"/>
      <c r="AG191" s="204"/>
      <c r="AH191" s="202"/>
      <c r="AI191" s="204"/>
      <c r="AJ191" s="202"/>
      <c r="AK191" s="204"/>
      <c r="AL191" s="202"/>
      <c r="AM191" s="204"/>
      <c r="AN191" s="202"/>
      <c r="AO191" s="204"/>
      <c r="AP191" s="202"/>
      <c r="AQ191" s="208"/>
      <c r="AR191" s="202"/>
      <c r="AS191" s="203">
        <f t="shared" si="6"/>
        <v>0</v>
      </c>
      <c r="AT191" s="202"/>
      <c r="AU191" s="204"/>
      <c r="AV191" s="202"/>
      <c r="AW191" s="204"/>
      <c r="AX191" s="202"/>
      <c r="AY191" s="204"/>
      <c r="AZ191" s="202"/>
      <c r="BA191" s="204"/>
      <c r="BB191" s="202"/>
      <c r="BC191" s="204"/>
      <c r="BD191" s="202"/>
      <c r="BE191" s="208"/>
      <c r="BF191" s="202"/>
      <c r="BG191" s="203">
        <f t="shared" si="7"/>
        <v>0</v>
      </c>
      <c r="BH191" s="202"/>
      <c r="BI191" s="204"/>
      <c r="BJ191" s="202"/>
      <c r="BK191" s="204"/>
      <c r="BL191" s="202"/>
      <c r="BM191" s="204"/>
      <c r="BN191" s="202"/>
      <c r="BO191" s="203">
        <f t="shared" si="8"/>
        <v>0</v>
      </c>
      <c r="BP191" s="202"/>
      <c r="BQ191" s="138"/>
      <c r="BR191" s="128"/>
      <c r="BS191" s="128"/>
      <c r="BT191" s="128"/>
      <c r="BU191" s="128"/>
      <c r="BV191" s="128"/>
      <c r="BW191" s="139"/>
      <c r="BX191" s="140"/>
      <c r="BY191" s="139"/>
      <c r="BZ191" s="139"/>
      <c r="CA191" s="134"/>
      <c r="CB191" s="134"/>
      <c r="CC191" s="134"/>
      <c r="CD191" s="134"/>
      <c r="CE191" s="134"/>
      <c r="CF191" s="134"/>
      <c r="CG191" s="92"/>
      <c r="CH191" s="92"/>
      <c r="CI191" s="92"/>
      <c r="CJ191" s="92"/>
      <c r="CK191" s="92"/>
    </row>
    <row r="192" spans="1:89" ht="14.25">
      <c r="A192" s="142"/>
      <c r="B192" s="165"/>
      <c r="C192" s="164"/>
      <c r="D192" s="137">
        <f t="shared" si="3"/>
        <v>0</v>
      </c>
      <c r="E192" s="207"/>
      <c r="F192" s="202"/>
      <c r="G192" s="207"/>
      <c r="H192" s="202"/>
      <c r="I192" s="207"/>
      <c r="J192" s="202"/>
      <c r="K192" s="207"/>
      <c r="L192" s="202"/>
      <c r="M192" s="207"/>
      <c r="N192" s="202"/>
      <c r="O192" s="201"/>
      <c r="P192" s="202"/>
      <c r="Q192" s="203">
        <f t="shared" si="4"/>
        <v>0</v>
      </c>
      <c r="R192" s="202"/>
      <c r="S192" s="207"/>
      <c r="T192" s="202"/>
      <c r="U192" s="207"/>
      <c r="V192" s="202"/>
      <c r="W192" s="207"/>
      <c r="X192" s="202"/>
      <c r="Y192" s="207"/>
      <c r="Z192" s="202"/>
      <c r="AA192" s="207"/>
      <c r="AB192" s="202"/>
      <c r="AC192" s="208"/>
      <c r="AD192" s="202"/>
      <c r="AE192" s="203">
        <f t="shared" si="5"/>
        <v>0</v>
      </c>
      <c r="AF192" s="202"/>
      <c r="AG192" s="204"/>
      <c r="AH192" s="202"/>
      <c r="AI192" s="204"/>
      <c r="AJ192" s="202"/>
      <c r="AK192" s="204"/>
      <c r="AL192" s="202"/>
      <c r="AM192" s="204"/>
      <c r="AN192" s="202"/>
      <c r="AO192" s="204"/>
      <c r="AP192" s="202"/>
      <c r="AQ192" s="208"/>
      <c r="AR192" s="202"/>
      <c r="AS192" s="203">
        <f t="shared" si="6"/>
        <v>0</v>
      </c>
      <c r="AT192" s="202"/>
      <c r="AU192" s="204"/>
      <c r="AV192" s="202"/>
      <c r="AW192" s="204"/>
      <c r="AX192" s="202"/>
      <c r="AY192" s="204"/>
      <c r="AZ192" s="202"/>
      <c r="BA192" s="204"/>
      <c r="BB192" s="202"/>
      <c r="BC192" s="204"/>
      <c r="BD192" s="202"/>
      <c r="BE192" s="208"/>
      <c r="BF192" s="202"/>
      <c r="BG192" s="203">
        <f t="shared" si="7"/>
        <v>0</v>
      </c>
      <c r="BH192" s="202"/>
      <c r="BI192" s="204"/>
      <c r="BJ192" s="202"/>
      <c r="BK192" s="204"/>
      <c r="BL192" s="202"/>
      <c r="BM192" s="204"/>
      <c r="BN192" s="202"/>
      <c r="BO192" s="203">
        <f t="shared" si="8"/>
        <v>0</v>
      </c>
      <c r="BP192" s="202"/>
      <c r="BQ192" s="138"/>
      <c r="BR192" s="128"/>
      <c r="BS192" s="128"/>
      <c r="BT192" s="128"/>
      <c r="BU192" s="128"/>
      <c r="BV192" s="128"/>
      <c r="BW192" s="139"/>
      <c r="BX192" s="140"/>
      <c r="BY192" s="139"/>
      <c r="BZ192" s="139"/>
      <c r="CA192" s="134"/>
      <c r="CB192" s="134"/>
      <c r="CC192" s="134"/>
      <c r="CD192" s="134"/>
      <c r="CE192" s="134"/>
      <c r="CF192" s="134"/>
      <c r="CG192" s="92"/>
      <c r="CH192" s="92"/>
      <c r="CI192" s="92"/>
      <c r="CJ192" s="92"/>
      <c r="CK192" s="92"/>
    </row>
    <row r="193" spans="1:89" ht="14.25">
      <c r="A193" s="142"/>
      <c r="B193" s="165"/>
      <c r="C193" s="164"/>
      <c r="D193" s="137">
        <f t="shared" si="3"/>
        <v>0</v>
      </c>
      <c r="E193" s="207"/>
      <c r="F193" s="202"/>
      <c r="G193" s="207"/>
      <c r="H193" s="202"/>
      <c r="I193" s="207"/>
      <c r="J193" s="202"/>
      <c r="K193" s="207"/>
      <c r="L193" s="202"/>
      <c r="M193" s="207"/>
      <c r="N193" s="202"/>
      <c r="O193" s="201"/>
      <c r="P193" s="202"/>
      <c r="Q193" s="203">
        <f t="shared" si="4"/>
        <v>0</v>
      </c>
      <c r="R193" s="202"/>
      <c r="S193" s="207"/>
      <c r="T193" s="202"/>
      <c r="U193" s="207"/>
      <c r="V193" s="202"/>
      <c r="W193" s="207"/>
      <c r="X193" s="202"/>
      <c r="Y193" s="207"/>
      <c r="Z193" s="202"/>
      <c r="AA193" s="207"/>
      <c r="AB193" s="202"/>
      <c r="AC193" s="208"/>
      <c r="AD193" s="202"/>
      <c r="AE193" s="203">
        <f t="shared" si="5"/>
        <v>0</v>
      </c>
      <c r="AF193" s="202"/>
      <c r="AG193" s="204"/>
      <c r="AH193" s="202"/>
      <c r="AI193" s="204"/>
      <c r="AJ193" s="202"/>
      <c r="AK193" s="204"/>
      <c r="AL193" s="202"/>
      <c r="AM193" s="204"/>
      <c r="AN193" s="202"/>
      <c r="AO193" s="204"/>
      <c r="AP193" s="202"/>
      <c r="AQ193" s="208"/>
      <c r="AR193" s="202"/>
      <c r="AS193" s="203">
        <f t="shared" si="6"/>
        <v>0</v>
      </c>
      <c r="AT193" s="202"/>
      <c r="AU193" s="204"/>
      <c r="AV193" s="202"/>
      <c r="AW193" s="204"/>
      <c r="AX193" s="202"/>
      <c r="AY193" s="204"/>
      <c r="AZ193" s="202"/>
      <c r="BA193" s="204"/>
      <c r="BB193" s="202"/>
      <c r="BC193" s="204"/>
      <c r="BD193" s="202"/>
      <c r="BE193" s="208"/>
      <c r="BF193" s="202"/>
      <c r="BG193" s="203">
        <f t="shared" si="7"/>
        <v>0</v>
      </c>
      <c r="BH193" s="202"/>
      <c r="BI193" s="204"/>
      <c r="BJ193" s="202"/>
      <c r="BK193" s="204"/>
      <c r="BL193" s="202"/>
      <c r="BM193" s="204"/>
      <c r="BN193" s="202"/>
      <c r="BO193" s="203">
        <f t="shared" si="8"/>
        <v>0</v>
      </c>
      <c r="BP193" s="202"/>
      <c r="BQ193" s="138"/>
      <c r="BR193" s="128"/>
      <c r="BS193" s="128"/>
      <c r="BT193" s="128"/>
      <c r="BU193" s="128"/>
      <c r="BV193" s="128"/>
      <c r="BW193" s="139"/>
      <c r="BX193" s="140"/>
      <c r="BY193" s="139"/>
      <c r="BZ193" s="139"/>
      <c r="CA193" s="134"/>
      <c r="CB193" s="134"/>
      <c r="CC193" s="134"/>
      <c r="CD193" s="134"/>
      <c r="CE193" s="134"/>
      <c r="CF193" s="134"/>
      <c r="CG193" s="92"/>
      <c r="CH193" s="92"/>
      <c r="CI193" s="92"/>
      <c r="CJ193" s="92"/>
      <c r="CK193" s="92"/>
    </row>
    <row r="194" spans="1:89" ht="14.25">
      <c r="A194" s="142"/>
      <c r="B194" s="165"/>
      <c r="C194" s="164"/>
      <c r="D194" s="137">
        <f t="shared" si="3"/>
        <v>0</v>
      </c>
      <c r="E194" s="207"/>
      <c r="F194" s="202"/>
      <c r="G194" s="207"/>
      <c r="H194" s="202"/>
      <c r="I194" s="207"/>
      <c r="J194" s="202"/>
      <c r="K194" s="207"/>
      <c r="L194" s="202"/>
      <c r="M194" s="207"/>
      <c r="N194" s="202"/>
      <c r="O194" s="201"/>
      <c r="P194" s="202"/>
      <c r="Q194" s="203">
        <f t="shared" si="4"/>
        <v>0</v>
      </c>
      <c r="R194" s="202"/>
      <c r="S194" s="207"/>
      <c r="T194" s="202"/>
      <c r="U194" s="207"/>
      <c r="V194" s="202"/>
      <c r="W194" s="207"/>
      <c r="X194" s="202"/>
      <c r="Y194" s="207"/>
      <c r="Z194" s="202"/>
      <c r="AA194" s="207"/>
      <c r="AB194" s="202"/>
      <c r="AC194" s="208"/>
      <c r="AD194" s="202"/>
      <c r="AE194" s="203">
        <f t="shared" si="5"/>
        <v>0</v>
      </c>
      <c r="AF194" s="202"/>
      <c r="AG194" s="204"/>
      <c r="AH194" s="202"/>
      <c r="AI194" s="204"/>
      <c r="AJ194" s="202"/>
      <c r="AK194" s="204"/>
      <c r="AL194" s="202"/>
      <c r="AM194" s="204"/>
      <c r="AN194" s="202"/>
      <c r="AO194" s="204"/>
      <c r="AP194" s="202"/>
      <c r="AQ194" s="208"/>
      <c r="AR194" s="202"/>
      <c r="AS194" s="203">
        <f t="shared" si="6"/>
        <v>0</v>
      </c>
      <c r="AT194" s="202"/>
      <c r="AU194" s="204"/>
      <c r="AV194" s="202"/>
      <c r="AW194" s="204"/>
      <c r="AX194" s="202"/>
      <c r="AY194" s="204"/>
      <c r="AZ194" s="202"/>
      <c r="BA194" s="204"/>
      <c r="BB194" s="202"/>
      <c r="BC194" s="204"/>
      <c r="BD194" s="202"/>
      <c r="BE194" s="208"/>
      <c r="BF194" s="202"/>
      <c r="BG194" s="203">
        <f t="shared" si="7"/>
        <v>0</v>
      </c>
      <c r="BH194" s="202"/>
      <c r="BI194" s="204"/>
      <c r="BJ194" s="202"/>
      <c r="BK194" s="204"/>
      <c r="BL194" s="202"/>
      <c r="BM194" s="204"/>
      <c r="BN194" s="202"/>
      <c r="BO194" s="203">
        <f t="shared" si="8"/>
        <v>0</v>
      </c>
      <c r="BP194" s="202"/>
      <c r="BQ194" s="138"/>
      <c r="BR194" s="128"/>
      <c r="BS194" s="128"/>
      <c r="BT194" s="128"/>
      <c r="BU194" s="128"/>
      <c r="BV194" s="128"/>
      <c r="BW194" s="139"/>
      <c r="BX194" s="140"/>
      <c r="BY194" s="139"/>
      <c r="BZ194" s="139"/>
      <c r="CA194" s="134"/>
      <c r="CB194" s="134"/>
      <c r="CC194" s="134"/>
      <c r="CD194" s="134"/>
      <c r="CE194" s="134"/>
      <c r="CF194" s="134"/>
      <c r="CG194" s="92"/>
      <c r="CH194" s="92"/>
      <c r="CI194" s="92"/>
      <c r="CJ194" s="92"/>
      <c r="CK194" s="92"/>
    </row>
    <row r="195" spans="1:89" ht="14.25">
      <c r="A195" s="142"/>
      <c r="B195" s="165"/>
      <c r="C195" s="164"/>
      <c r="D195" s="137">
        <f t="shared" si="3"/>
        <v>0</v>
      </c>
      <c r="E195" s="207"/>
      <c r="F195" s="202"/>
      <c r="G195" s="207"/>
      <c r="H195" s="202"/>
      <c r="I195" s="207"/>
      <c r="J195" s="202"/>
      <c r="K195" s="207"/>
      <c r="L195" s="202"/>
      <c r="M195" s="207"/>
      <c r="N195" s="202"/>
      <c r="O195" s="201"/>
      <c r="P195" s="202"/>
      <c r="Q195" s="203">
        <f t="shared" si="4"/>
        <v>0</v>
      </c>
      <c r="R195" s="202"/>
      <c r="S195" s="207"/>
      <c r="T195" s="202"/>
      <c r="U195" s="207"/>
      <c r="V195" s="202"/>
      <c r="W195" s="207"/>
      <c r="X195" s="202"/>
      <c r="Y195" s="207"/>
      <c r="Z195" s="202"/>
      <c r="AA195" s="207"/>
      <c r="AB195" s="202"/>
      <c r="AC195" s="208"/>
      <c r="AD195" s="202"/>
      <c r="AE195" s="203">
        <f t="shared" si="5"/>
        <v>0</v>
      </c>
      <c r="AF195" s="202"/>
      <c r="AG195" s="204"/>
      <c r="AH195" s="202"/>
      <c r="AI195" s="204"/>
      <c r="AJ195" s="202"/>
      <c r="AK195" s="204"/>
      <c r="AL195" s="202"/>
      <c r="AM195" s="204"/>
      <c r="AN195" s="202"/>
      <c r="AO195" s="204"/>
      <c r="AP195" s="202"/>
      <c r="AQ195" s="208"/>
      <c r="AR195" s="202"/>
      <c r="AS195" s="203">
        <f t="shared" si="6"/>
        <v>0</v>
      </c>
      <c r="AT195" s="202"/>
      <c r="AU195" s="204"/>
      <c r="AV195" s="202"/>
      <c r="AW195" s="204"/>
      <c r="AX195" s="202"/>
      <c r="AY195" s="204"/>
      <c r="AZ195" s="202"/>
      <c r="BA195" s="204"/>
      <c r="BB195" s="202"/>
      <c r="BC195" s="204"/>
      <c r="BD195" s="202"/>
      <c r="BE195" s="208"/>
      <c r="BF195" s="202"/>
      <c r="BG195" s="203">
        <f t="shared" si="7"/>
        <v>0</v>
      </c>
      <c r="BH195" s="202"/>
      <c r="BI195" s="204"/>
      <c r="BJ195" s="202"/>
      <c r="BK195" s="204"/>
      <c r="BL195" s="202"/>
      <c r="BM195" s="204"/>
      <c r="BN195" s="202"/>
      <c r="BO195" s="203">
        <f t="shared" si="8"/>
        <v>0</v>
      </c>
      <c r="BP195" s="202"/>
      <c r="BQ195" s="138"/>
      <c r="BR195" s="128"/>
      <c r="BS195" s="128"/>
      <c r="BT195" s="128"/>
      <c r="BU195" s="128"/>
      <c r="BV195" s="128"/>
      <c r="BW195" s="139"/>
      <c r="BX195" s="140"/>
      <c r="BY195" s="139"/>
      <c r="BZ195" s="139"/>
      <c r="CA195" s="134"/>
      <c r="CB195" s="134"/>
      <c r="CC195" s="134"/>
      <c r="CD195" s="134"/>
      <c r="CE195" s="134"/>
      <c r="CF195" s="134"/>
      <c r="CG195" s="92"/>
      <c r="CH195" s="92"/>
      <c r="CI195" s="92"/>
      <c r="CJ195" s="92"/>
      <c r="CK195" s="92"/>
    </row>
    <row r="196" spans="1:89" ht="14.25">
      <c r="A196" s="142"/>
      <c r="B196" s="165"/>
      <c r="C196" s="164"/>
      <c r="D196" s="137">
        <f t="shared" si="3"/>
        <v>0</v>
      </c>
      <c r="E196" s="207"/>
      <c r="F196" s="202"/>
      <c r="G196" s="207"/>
      <c r="H196" s="202"/>
      <c r="I196" s="207"/>
      <c r="J196" s="202"/>
      <c r="K196" s="207"/>
      <c r="L196" s="202"/>
      <c r="M196" s="207"/>
      <c r="N196" s="202"/>
      <c r="O196" s="201"/>
      <c r="P196" s="202"/>
      <c r="Q196" s="203">
        <f t="shared" si="4"/>
        <v>0</v>
      </c>
      <c r="R196" s="202"/>
      <c r="S196" s="207"/>
      <c r="T196" s="202"/>
      <c r="U196" s="207"/>
      <c r="V196" s="202"/>
      <c r="W196" s="207"/>
      <c r="X196" s="202"/>
      <c r="Y196" s="207"/>
      <c r="Z196" s="202"/>
      <c r="AA196" s="207"/>
      <c r="AB196" s="202"/>
      <c r="AC196" s="208"/>
      <c r="AD196" s="202"/>
      <c r="AE196" s="203">
        <f t="shared" si="5"/>
        <v>0</v>
      </c>
      <c r="AF196" s="202"/>
      <c r="AG196" s="204"/>
      <c r="AH196" s="202"/>
      <c r="AI196" s="204"/>
      <c r="AJ196" s="202"/>
      <c r="AK196" s="204"/>
      <c r="AL196" s="202"/>
      <c r="AM196" s="204"/>
      <c r="AN196" s="202"/>
      <c r="AO196" s="204"/>
      <c r="AP196" s="202"/>
      <c r="AQ196" s="208"/>
      <c r="AR196" s="202"/>
      <c r="AS196" s="203">
        <f t="shared" si="6"/>
        <v>0</v>
      </c>
      <c r="AT196" s="202"/>
      <c r="AU196" s="204"/>
      <c r="AV196" s="202"/>
      <c r="AW196" s="204"/>
      <c r="AX196" s="202"/>
      <c r="AY196" s="204"/>
      <c r="AZ196" s="202"/>
      <c r="BA196" s="204"/>
      <c r="BB196" s="202"/>
      <c r="BC196" s="204"/>
      <c r="BD196" s="202"/>
      <c r="BE196" s="208"/>
      <c r="BF196" s="202"/>
      <c r="BG196" s="203">
        <f t="shared" si="7"/>
        <v>0</v>
      </c>
      <c r="BH196" s="202"/>
      <c r="BI196" s="204"/>
      <c r="BJ196" s="202"/>
      <c r="BK196" s="204"/>
      <c r="BL196" s="202"/>
      <c r="BM196" s="204"/>
      <c r="BN196" s="202"/>
      <c r="BO196" s="203">
        <f t="shared" si="8"/>
        <v>0</v>
      </c>
      <c r="BP196" s="202"/>
      <c r="BQ196" s="138"/>
      <c r="BR196" s="128"/>
      <c r="BS196" s="128"/>
      <c r="BT196" s="128"/>
      <c r="BU196" s="128"/>
      <c r="BV196" s="128"/>
      <c r="BW196" s="139"/>
      <c r="BX196" s="140"/>
      <c r="BY196" s="139"/>
      <c r="BZ196" s="139"/>
      <c r="CA196" s="134"/>
      <c r="CB196" s="134"/>
      <c r="CC196" s="134"/>
      <c r="CD196" s="134"/>
      <c r="CE196" s="134"/>
      <c r="CF196" s="134"/>
      <c r="CG196" s="92"/>
      <c r="CH196" s="92"/>
      <c r="CI196" s="92"/>
      <c r="CJ196" s="92"/>
      <c r="CK196" s="92"/>
    </row>
    <row r="197" spans="1:89" ht="14.25">
      <c r="A197" s="142"/>
      <c r="B197" s="165"/>
      <c r="C197" s="164"/>
      <c r="D197" s="137">
        <f t="shared" si="3"/>
        <v>0</v>
      </c>
      <c r="E197" s="207"/>
      <c r="F197" s="202"/>
      <c r="G197" s="207"/>
      <c r="H197" s="202"/>
      <c r="I197" s="207"/>
      <c r="J197" s="202"/>
      <c r="K197" s="207"/>
      <c r="L197" s="202"/>
      <c r="M197" s="207"/>
      <c r="N197" s="202"/>
      <c r="O197" s="201"/>
      <c r="P197" s="202"/>
      <c r="Q197" s="203">
        <f t="shared" si="4"/>
        <v>0</v>
      </c>
      <c r="R197" s="202"/>
      <c r="S197" s="207"/>
      <c r="T197" s="202"/>
      <c r="U197" s="207"/>
      <c r="V197" s="202"/>
      <c r="W197" s="207"/>
      <c r="X197" s="202"/>
      <c r="Y197" s="207"/>
      <c r="Z197" s="202"/>
      <c r="AA197" s="207"/>
      <c r="AB197" s="202"/>
      <c r="AC197" s="208"/>
      <c r="AD197" s="202"/>
      <c r="AE197" s="203">
        <f t="shared" si="5"/>
        <v>0</v>
      </c>
      <c r="AF197" s="202"/>
      <c r="AG197" s="204"/>
      <c r="AH197" s="202"/>
      <c r="AI197" s="204"/>
      <c r="AJ197" s="202"/>
      <c r="AK197" s="204"/>
      <c r="AL197" s="202"/>
      <c r="AM197" s="204"/>
      <c r="AN197" s="202"/>
      <c r="AO197" s="204"/>
      <c r="AP197" s="202"/>
      <c r="AQ197" s="208"/>
      <c r="AR197" s="202"/>
      <c r="AS197" s="203">
        <f t="shared" si="6"/>
        <v>0</v>
      </c>
      <c r="AT197" s="202"/>
      <c r="AU197" s="204"/>
      <c r="AV197" s="202"/>
      <c r="AW197" s="204"/>
      <c r="AX197" s="202"/>
      <c r="AY197" s="204"/>
      <c r="AZ197" s="202"/>
      <c r="BA197" s="204"/>
      <c r="BB197" s="202"/>
      <c r="BC197" s="204"/>
      <c r="BD197" s="202"/>
      <c r="BE197" s="208"/>
      <c r="BF197" s="202"/>
      <c r="BG197" s="203">
        <f t="shared" si="7"/>
        <v>0</v>
      </c>
      <c r="BH197" s="202"/>
      <c r="BI197" s="204"/>
      <c r="BJ197" s="202"/>
      <c r="BK197" s="204"/>
      <c r="BL197" s="202"/>
      <c r="BM197" s="204"/>
      <c r="BN197" s="202"/>
      <c r="BO197" s="203">
        <f t="shared" si="8"/>
        <v>0</v>
      </c>
      <c r="BP197" s="202"/>
      <c r="BQ197" s="138"/>
      <c r="BR197" s="128"/>
      <c r="BS197" s="128"/>
      <c r="BT197" s="128"/>
      <c r="BU197" s="128"/>
      <c r="BV197" s="128"/>
      <c r="BW197" s="139"/>
      <c r="BX197" s="140"/>
      <c r="BY197" s="139"/>
      <c r="BZ197" s="139"/>
      <c r="CA197" s="134"/>
      <c r="CB197" s="134"/>
      <c r="CC197" s="134"/>
      <c r="CD197" s="134"/>
      <c r="CE197" s="134"/>
      <c r="CF197" s="134"/>
      <c r="CG197" s="92"/>
      <c r="CH197" s="92"/>
      <c r="CI197" s="92"/>
      <c r="CJ197" s="92"/>
      <c r="CK197" s="92"/>
    </row>
    <row r="198" spans="1:89" ht="14.25">
      <c r="A198" s="142"/>
      <c r="B198" s="165"/>
      <c r="C198" s="164"/>
      <c r="D198" s="137">
        <f t="shared" si="3"/>
        <v>0</v>
      </c>
      <c r="E198" s="207"/>
      <c r="F198" s="202"/>
      <c r="G198" s="207"/>
      <c r="H198" s="202"/>
      <c r="I198" s="207"/>
      <c r="J198" s="202"/>
      <c r="K198" s="207"/>
      <c r="L198" s="202"/>
      <c r="M198" s="207"/>
      <c r="N198" s="202"/>
      <c r="O198" s="201"/>
      <c r="P198" s="202"/>
      <c r="Q198" s="203">
        <f t="shared" si="4"/>
        <v>0</v>
      </c>
      <c r="R198" s="202"/>
      <c r="S198" s="207"/>
      <c r="T198" s="202"/>
      <c r="U198" s="207"/>
      <c r="V198" s="202"/>
      <c r="W198" s="207"/>
      <c r="X198" s="202"/>
      <c r="Y198" s="207"/>
      <c r="Z198" s="202"/>
      <c r="AA198" s="207"/>
      <c r="AB198" s="202"/>
      <c r="AC198" s="208"/>
      <c r="AD198" s="202"/>
      <c r="AE198" s="203">
        <f t="shared" si="5"/>
        <v>0</v>
      </c>
      <c r="AF198" s="202"/>
      <c r="AG198" s="204"/>
      <c r="AH198" s="202"/>
      <c r="AI198" s="204"/>
      <c r="AJ198" s="202"/>
      <c r="AK198" s="204"/>
      <c r="AL198" s="202"/>
      <c r="AM198" s="204"/>
      <c r="AN198" s="202"/>
      <c r="AO198" s="204"/>
      <c r="AP198" s="202"/>
      <c r="AQ198" s="208"/>
      <c r="AR198" s="202"/>
      <c r="AS198" s="203">
        <f t="shared" si="6"/>
        <v>0</v>
      </c>
      <c r="AT198" s="202"/>
      <c r="AU198" s="204"/>
      <c r="AV198" s="202"/>
      <c r="AW198" s="204"/>
      <c r="AX198" s="202"/>
      <c r="AY198" s="204"/>
      <c r="AZ198" s="202"/>
      <c r="BA198" s="204"/>
      <c r="BB198" s="202"/>
      <c r="BC198" s="204"/>
      <c r="BD198" s="202"/>
      <c r="BE198" s="208"/>
      <c r="BF198" s="202"/>
      <c r="BG198" s="203">
        <f t="shared" si="7"/>
        <v>0</v>
      </c>
      <c r="BH198" s="202"/>
      <c r="BI198" s="204"/>
      <c r="BJ198" s="202"/>
      <c r="BK198" s="204"/>
      <c r="BL198" s="202"/>
      <c r="BM198" s="204"/>
      <c r="BN198" s="202"/>
      <c r="BO198" s="203">
        <f t="shared" si="8"/>
        <v>0</v>
      </c>
      <c r="BP198" s="202"/>
      <c r="BQ198" s="138"/>
      <c r="BR198" s="128"/>
      <c r="BS198" s="128"/>
      <c r="BT198" s="128"/>
      <c r="BU198" s="128"/>
      <c r="BV198" s="128"/>
      <c r="BW198" s="139"/>
      <c r="BX198" s="140"/>
      <c r="BY198" s="139"/>
      <c r="BZ198" s="139"/>
      <c r="CA198" s="134"/>
      <c r="CB198" s="134"/>
      <c r="CC198" s="134"/>
      <c r="CD198" s="134"/>
      <c r="CE198" s="134"/>
      <c r="CF198" s="134"/>
      <c r="CG198" s="92"/>
      <c r="CH198" s="92"/>
      <c r="CI198" s="92"/>
      <c r="CJ198" s="92"/>
      <c r="CK198" s="92"/>
    </row>
    <row r="199" spans="1:89" ht="14.25">
      <c r="A199" s="142"/>
      <c r="B199" s="165"/>
      <c r="C199" s="164"/>
      <c r="D199" s="137">
        <f t="shared" si="3"/>
        <v>0</v>
      </c>
      <c r="E199" s="207"/>
      <c r="F199" s="202"/>
      <c r="G199" s="207"/>
      <c r="H199" s="202"/>
      <c r="I199" s="207"/>
      <c r="J199" s="202"/>
      <c r="K199" s="207"/>
      <c r="L199" s="202"/>
      <c r="M199" s="207"/>
      <c r="N199" s="202"/>
      <c r="O199" s="201"/>
      <c r="P199" s="202"/>
      <c r="Q199" s="203">
        <f t="shared" si="4"/>
        <v>0</v>
      </c>
      <c r="R199" s="202"/>
      <c r="S199" s="207"/>
      <c r="T199" s="202"/>
      <c r="U199" s="207"/>
      <c r="V199" s="202"/>
      <c r="W199" s="207"/>
      <c r="X199" s="202"/>
      <c r="Y199" s="207"/>
      <c r="Z199" s="202"/>
      <c r="AA199" s="207"/>
      <c r="AB199" s="202"/>
      <c r="AC199" s="208"/>
      <c r="AD199" s="202"/>
      <c r="AE199" s="203">
        <f t="shared" si="5"/>
        <v>0</v>
      </c>
      <c r="AF199" s="202"/>
      <c r="AG199" s="204"/>
      <c r="AH199" s="202"/>
      <c r="AI199" s="204"/>
      <c r="AJ199" s="202"/>
      <c r="AK199" s="204"/>
      <c r="AL199" s="202"/>
      <c r="AM199" s="204"/>
      <c r="AN199" s="202"/>
      <c r="AO199" s="204"/>
      <c r="AP199" s="202"/>
      <c r="AQ199" s="208"/>
      <c r="AR199" s="202"/>
      <c r="AS199" s="203">
        <f t="shared" si="6"/>
        <v>0</v>
      </c>
      <c r="AT199" s="202"/>
      <c r="AU199" s="204"/>
      <c r="AV199" s="202"/>
      <c r="AW199" s="204"/>
      <c r="AX199" s="202"/>
      <c r="AY199" s="204"/>
      <c r="AZ199" s="202"/>
      <c r="BA199" s="204"/>
      <c r="BB199" s="202"/>
      <c r="BC199" s="204"/>
      <c r="BD199" s="202"/>
      <c r="BE199" s="208"/>
      <c r="BF199" s="202"/>
      <c r="BG199" s="203">
        <f t="shared" si="7"/>
        <v>0</v>
      </c>
      <c r="BH199" s="202"/>
      <c r="BI199" s="204"/>
      <c r="BJ199" s="202"/>
      <c r="BK199" s="204"/>
      <c r="BL199" s="202"/>
      <c r="BM199" s="204"/>
      <c r="BN199" s="202"/>
      <c r="BO199" s="203">
        <f t="shared" si="8"/>
        <v>0</v>
      </c>
      <c r="BP199" s="202"/>
      <c r="BQ199" s="138"/>
      <c r="BR199" s="128"/>
      <c r="BS199" s="128"/>
      <c r="BT199" s="128"/>
      <c r="BU199" s="128"/>
      <c r="BV199" s="128"/>
      <c r="BW199" s="139"/>
      <c r="BX199" s="140"/>
      <c r="BY199" s="139"/>
      <c r="BZ199" s="139"/>
      <c r="CA199" s="134"/>
      <c r="CB199" s="134"/>
      <c r="CC199" s="134"/>
      <c r="CD199" s="134"/>
      <c r="CE199" s="134"/>
      <c r="CF199" s="134"/>
      <c r="CG199" s="92"/>
      <c r="CH199" s="92"/>
      <c r="CI199" s="92"/>
      <c r="CJ199" s="92"/>
      <c r="CK199" s="92"/>
    </row>
    <row r="200" spans="1:89" ht="14.25">
      <c r="A200" s="142"/>
      <c r="B200" s="165"/>
      <c r="C200" s="164"/>
      <c r="D200" s="137">
        <f t="shared" si="3"/>
        <v>0</v>
      </c>
      <c r="E200" s="207"/>
      <c r="F200" s="202"/>
      <c r="G200" s="207"/>
      <c r="H200" s="202"/>
      <c r="I200" s="207"/>
      <c r="J200" s="202"/>
      <c r="K200" s="207"/>
      <c r="L200" s="202"/>
      <c r="M200" s="207"/>
      <c r="N200" s="202"/>
      <c r="O200" s="201"/>
      <c r="P200" s="202"/>
      <c r="Q200" s="203">
        <f t="shared" si="4"/>
        <v>0</v>
      </c>
      <c r="R200" s="202"/>
      <c r="S200" s="207"/>
      <c r="T200" s="202"/>
      <c r="U200" s="207"/>
      <c r="V200" s="202"/>
      <c r="W200" s="207"/>
      <c r="X200" s="202"/>
      <c r="Y200" s="207"/>
      <c r="Z200" s="202"/>
      <c r="AA200" s="207"/>
      <c r="AB200" s="202"/>
      <c r="AC200" s="208"/>
      <c r="AD200" s="202"/>
      <c r="AE200" s="203">
        <f t="shared" si="5"/>
        <v>0</v>
      </c>
      <c r="AF200" s="202"/>
      <c r="AG200" s="204"/>
      <c r="AH200" s="202"/>
      <c r="AI200" s="204"/>
      <c r="AJ200" s="202"/>
      <c r="AK200" s="204"/>
      <c r="AL200" s="202"/>
      <c r="AM200" s="204"/>
      <c r="AN200" s="202"/>
      <c r="AO200" s="204"/>
      <c r="AP200" s="202"/>
      <c r="AQ200" s="208"/>
      <c r="AR200" s="202"/>
      <c r="AS200" s="203">
        <f t="shared" si="6"/>
        <v>0</v>
      </c>
      <c r="AT200" s="202"/>
      <c r="AU200" s="204"/>
      <c r="AV200" s="202"/>
      <c r="AW200" s="204"/>
      <c r="AX200" s="202"/>
      <c r="AY200" s="204"/>
      <c r="AZ200" s="202"/>
      <c r="BA200" s="204"/>
      <c r="BB200" s="202"/>
      <c r="BC200" s="204"/>
      <c r="BD200" s="202"/>
      <c r="BE200" s="208"/>
      <c r="BF200" s="202"/>
      <c r="BG200" s="203">
        <f t="shared" si="7"/>
        <v>0</v>
      </c>
      <c r="BH200" s="202"/>
      <c r="BI200" s="204"/>
      <c r="BJ200" s="202"/>
      <c r="BK200" s="204"/>
      <c r="BL200" s="202"/>
      <c r="BM200" s="204"/>
      <c r="BN200" s="202"/>
      <c r="BO200" s="203">
        <f t="shared" si="8"/>
        <v>0</v>
      </c>
      <c r="BP200" s="202"/>
      <c r="BQ200" s="138"/>
      <c r="BR200" s="128"/>
      <c r="BS200" s="128"/>
      <c r="BT200" s="128"/>
      <c r="BU200" s="128"/>
      <c r="BV200" s="128"/>
      <c r="BW200" s="139"/>
      <c r="BX200" s="140"/>
      <c r="BY200" s="139"/>
      <c r="BZ200" s="139"/>
      <c r="CA200" s="134"/>
      <c r="CB200" s="134"/>
      <c r="CC200" s="134"/>
      <c r="CD200" s="134"/>
      <c r="CE200" s="134"/>
      <c r="CF200" s="134"/>
      <c r="CG200" s="92"/>
      <c r="CH200" s="92"/>
      <c r="CI200" s="92"/>
      <c r="CJ200" s="92"/>
      <c r="CK200" s="92"/>
    </row>
    <row r="201" spans="1:89" ht="14.25">
      <c r="A201" s="142"/>
      <c r="B201" s="165"/>
      <c r="C201" s="164"/>
      <c r="D201" s="137">
        <f t="shared" si="3"/>
        <v>0</v>
      </c>
      <c r="E201" s="207"/>
      <c r="F201" s="202"/>
      <c r="G201" s="207"/>
      <c r="H201" s="202"/>
      <c r="I201" s="207"/>
      <c r="J201" s="202"/>
      <c r="K201" s="207"/>
      <c r="L201" s="202"/>
      <c r="M201" s="207"/>
      <c r="N201" s="202"/>
      <c r="O201" s="201"/>
      <c r="P201" s="202"/>
      <c r="Q201" s="203">
        <f t="shared" si="4"/>
        <v>0</v>
      </c>
      <c r="R201" s="202"/>
      <c r="S201" s="207"/>
      <c r="T201" s="202"/>
      <c r="U201" s="207"/>
      <c r="V201" s="202"/>
      <c r="W201" s="207"/>
      <c r="X201" s="202"/>
      <c r="Y201" s="207"/>
      <c r="Z201" s="202"/>
      <c r="AA201" s="207"/>
      <c r="AB201" s="202"/>
      <c r="AC201" s="208"/>
      <c r="AD201" s="202"/>
      <c r="AE201" s="203">
        <f t="shared" si="5"/>
        <v>0</v>
      </c>
      <c r="AF201" s="202"/>
      <c r="AG201" s="204"/>
      <c r="AH201" s="202"/>
      <c r="AI201" s="204"/>
      <c r="AJ201" s="202"/>
      <c r="AK201" s="204"/>
      <c r="AL201" s="202"/>
      <c r="AM201" s="204"/>
      <c r="AN201" s="202"/>
      <c r="AO201" s="204"/>
      <c r="AP201" s="202"/>
      <c r="AQ201" s="208"/>
      <c r="AR201" s="202"/>
      <c r="AS201" s="203">
        <f t="shared" si="6"/>
        <v>0</v>
      </c>
      <c r="AT201" s="202"/>
      <c r="AU201" s="204"/>
      <c r="AV201" s="202"/>
      <c r="AW201" s="204"/>
      <c r="AX201" s="202"/>
      <c r="AY201" s="204"/>
      <c r="AZ201" s="202"/>
      <c r="BA201" s="204"/>
      <c r="BB201" s="202"/>
      <c r="BC201" s="204"/>
      <c r="BD201" s="202"/>
      <c r="BE201" s="208"/>
      <c r="BF201" s="202"/>
      <c r="BG201" s="203">
        <f t="shared" si="7"/>
        <v>0</v>
      </c>
      <c r="BH201" s="202"/>
      <c r="BI201" s="204"/>
      <c r="BJ201" s="202"/>
      <c r="BK201" s="204"/>
      <c r="BL201" s="202"/>
      <c r="BM201" s="204"/>
      <c r="BN201" s="202"/>
      <c r="BO201" s="203">
        <f t="shared" si="8"/>
        <v>0</v>
      </c>
      <c r="BP201" s="202"/>
      <c r="BQ201" s="138"/>
      <c r="BR201" s="128"/>
      <c r="BS201" s="128"/>
      <c r="BT201" s="128"/>
      <c r="BU201" s="128"/>
      <c r="BV201" s="128"/>
      <c r="BW201" s="139"/>
      <c r="BX201" s="140"/>
      <c r="BY201" s="139"/>
      <c r="BZ201" s="139"/>
      <c r="CA201" s="134"/>
      <c r="CB201" s="134"/>
      <c r="CC201" s="134"/>
      <c r="CD201" s="134"/>
      <c r="CE201" s="134"/>
      <c r="CF201" s="134"/>
      <c r="CG201" s="92"/>
      <c r="CH201" s="92"/>
      <c r="CI201" s="92"/>
      <c r="CJ201" s="92"/>
      <c r="CK201" s="92"/>
    </row>
    <row r="202" spans="1:89" ht="14.25">
      <c r="A202" s="142"/>
      <c r="B202" s="165"/>
      <c r="C202" s="164"/>
      <c r="D202" s="137">
        <f t="shared" si="3"/>
        <v>0</v>
      </c>
      <c r="E202" s="207"/>
      <c r="F202" s="202"/>
      <c r="G202" s="207"/>
      <c r="H202" s="202"/>
      <c r="I202" s="207"/>
      <c r="J202" s="202"/>
      <c r="K202" s="207"/>
      <c r="L202" s="202"/>
      <c r="M202" s="207"/>
      <c r="N202" s="202"/>
      <c r="O202" s="201"/>
      <c r="P202" s="202"/>
      <c r="Q202" s="203">
        <f t="shared" si="4"/>
        <v>0</v>
      </c>
      <c r="R202" s="202"/>
      <c r="S202" s="207"/>
      <c r="T202" s="202"/>
      <c r="U202" s="207"/>
      <c r="V202" s="202"/>
      <c r="W202" s="207"/>
      <c r="X202" s="202"/>
      <c r="Y202" s="207"/>
      <c r="Z202" s="202"/>
      <c r="AA202" s="207"/>
      <c r="AB202" s="202"/>
      <c r="AC202" s="208"/>
      <c r="AD202" s="202"/>
      <c r="AE202" s="203">
        <f t="shared" si="5"/>
        <v>0</v>
      </c>
      <c r="AF202" s="202"/>
      <c r="AG202" s="204"/>
      <c r="AH202" s="202"/>
      <c r="AI202" s="204"/>
      <c r="AJ202" s="202"/>
      <c r="AK202" s="204"/>
      <c r="AL202" s="202"/>
      <c r="AM202" s="204"/>
      <c r="AN202" s="202"/>
      <c r="AO202" s="204"/>
      <c r="AP202" s="202"/>
      <c r="AQ202" s="208"/>
      <c r="AR202" s="202"/>
      <c r="AS202" s="203">
        <f t="shared" si="6"/>
        <v>0</v>
      </c>
      <c r="AT202" s="202"/>
      <c r="AU202" s="204"/>
      <c r="AV202" s="202"/>
      <c r="AW202" s="204"/>
      <c r="AX202" s="202"/>
      <c r="AY202" s="204"/>
      <c r="AZ202" s="202"/>
      <c r="BA202" s="204"/>
      <c r="BB202" s="202"/>
      <c r="BC202" s="204"/>
      <c r="BD202" s="202"/>
      <c r="BE202" s="208"/>
      <c r="BF202" s="202"/>
      <c r="BG202" s="203">
        <f t="shared" si="7"/>
        <v>0</v>
      </c>
      <c r="BH202" s="202"/>
      <c r="BI202" s="204"/>
      <c r="BJ202" s="202"/>
      <c r="BK202" s="204"/>
      <c r="BL202" s="202"/>
      <c r="BM202" s="204"/>
      <c r="BN202" s="202"/>
      <c r="BO202" s="203">
        <f t="shared" si="8"/>
        <v>0</v>
      </c>
      <c r="BP202" s="202"/>
      <c r="BQ202" s="138"/>
      <c r="BR202" s="128"/>
      <c r="BS202" s="128"/>
      <c r="BT202" s="128"/>
      <c r="BU202" s="128"/>
      <c r="BV202" s="128"/>
      <c r="BW202" s="139"/>
      <c r="BX202" s="140"/>
      <c r="BY202" s="139"/>
      <c r="BZ202" s="139"/>
      <c r="CA202" s="134"/>
      <c r="CB202" s="134"/>
      <c r="CC202" s="134"/>
      <c r="CD202" s="134"/>
      <c r="CE202" s="134"/>
      <c r="CF202" s="134"/>
      <c r="CG202" s="92"/>
      <c r="CH202" s="92"/>
      <c r="CI202" s="92"/>
      <c r="CJ202" s="92"/>
      <c r="CK202" s="92"/>
    </row>
    <row r="203" spans="1:89" ht="14.25">
      <c r="A203" s="160"/>
      <c r="B203" s="165"/>
      <c r="C203" s="164"/>
      <c r="D203" s="137">
        <f t="shared" si="3"/>
        <v>0</v>
      </c>
      <c r="E203" s="207"/>
      <c r="F203" s="202"/>
      <c r="G203" s="207"/>
      <c r="H203" s="202"/>
      <c r="I203" s="207"/>
      <c r="J203" s="202"/>
      <c r="K203" s="207"/>
      <c r="L203" s="202"/>
      <c r="M203" s="207"/>
      <c r="N203" s="202"/>
      <c r="O203" s="201"/>
      <c r="P203" s="202"/>
      <c r="Q203" s="203">
        <f t="shared" si="4"/>
        <v>0</v>
      </c>
      <c r="R203" s="202"/>
      <c r="S203" s="207"/>
      <c r="T203" s="202"/>
      <c r="U203" s="207"/>
      <c r="V203" s="202"/>
      <c r="W203" s="207"/>
      <c r="X203" s="202"/>
      <c r="Y203" s="207"/>
      <c r="Z203" s="202"/>
      <c r="AA203" s="207"/>
      <c r="AB203" s="202"/>
      <c r="AC203" s="208"/>
      <c r="AD203" s="202"/>
      <c r="AE203" s="203">
        <f t="shared" si="5"/>
        <v>0</v>
      </c>
      <c r="AF203" s="202"/>
      <c r="AG203" s="204"/>
      <c r="AH203" s="202"/>
      <c r="AI203" s="204"/>
      <c r="AJ203" s="202"/>
      <c r="AK203" s="204"/>
      <c r="AL203" s="202"/>
      <c r="AM203" s="204"/>
      <c r="AN203" s="202"/>
      <c r="AO203" s="204"/>
      <c r="AP203" s="202"/>
      <c r="AQ203" s="208"/>
      <c r="AR203" s="202"/>
      <c r="AS203" s="203">
        <f t="shared" si="6"/>
        <v>0</v>
      </c>
      <c r="AT203" s="202"/>
      <c r="AU203" s="204"/>
      <c r="AV203" s="202"/>
      <c r="AW203" s="204"/>
      <c r="AX203" s="202"/>
      <c r="AY203" s="204"/>
      <c r="AZ203" s="202"/>
      <c r="BA203" s="204"/>
      <c r="BB203" s="202"/>
      <c r="BC203" s="204"/>
      <c r="BD203" s="202"/>
      <c r="BE203" s="208"/>
      <c r="BF203" s="202"/>
      <c r="BG203" s="203">
        <f t="shared" si="7"/>
        <v>0</v>
      </c>
      <c r="BH203" s="202"/>
      <c r="BI203" s="204"/>
      <c r="BJ203" s="202"/>
      <c r="BK203" s="204"/>
      <c r="BL203" s="202"/>
      <c r="BM203" s="204"/>
      <c r="BN203" s="202"/>
      <c r="BO203" s="203">
        <f t="shared" si="8"/>
        <v>0</v>
      </c>
      <c r="BP203" s="202"/>
      <c r="BQ203" s="138"/>
      <c r="BR203" s="128"/>
      <c r="BS203" s="128"/>
      <c r="BT203" s="128"/>
      <c r="BU203" s="128"/>
      <c r="BV203" s="128"/>
      <c r="BW203" s="139"/>
      <c r="BX203" s="140"/>
      <c r="BY203" s="139"/>
      <c r="BZ203" s="139"/>
      <c r="CA203" s="134"/>
      <c r="CB203" s="134"/>
      <c r="CC203" s="134"/>
      <c r="CD203" s="134"/>
      <c r="CE203" s="134"/>
      <c r="CF203" s="134"/>
      <c r="CG203" s="92"/>
      <c r="CH203" s="92"/>
      <c r="CI203" s="92"/>
      <c r="CJ203" s="92"/>
      <c r="CK203" s="92"/>
    </row>
    <row r="204" spans="1:89" ht="17.25" customHeight="1">
      <c r="A204" s="160"/>
      <c r="B204" s="165"/>
      <c r="C204" s="164"/>
      <c r="D204" s="137">
        <f t="shared" si="3"/>
        <v>0</v>
      </c>
      <c r="E204" s="207"/>
      <c r="F204" s="202"/>
      <c r="G204" s="207"/>
      <c r="H204" s="202"/>
      <c r="I204" s="207"/>
      <c r="J204" s="202"/>
      <c r="K204" s="207"/>
      <c r="L204" s="202"/>
      <c r="M204" s="207"/>
      <c r="N204" s="202"/>
      <c r="O204" s="201"/>
      <c r="P204" s="202"/>
      <c r="Q204" s="203">
        <f t="shared" si="4"/>
        <v>0</v>
      </c>
      <c r="R204" s="202"/>
      <c r="S204" s="207"/>
      <c r="T204" s="202"/>
      <c r="U204" s="207"/>
      <c r="V204" s="202"/>
      <c r="W204" s="207"/>
      <c r="X204" s="202"/>
      <c r="Y204" s="207"/>
      <c r="Z204" s="202"/>
      <c r="AA204" s="207"/>
      <c r="AB204" s="202"/>
      <c r="AC204" s="208"/>
      <c r="AD204" s="202"/>
      <c r="AE204" s="203">
        <f t="shared" si="5"/>
        <v>0</v>
      </c>
      <c r="AF204" s="202"/>
      <c r="AG204" s="204"/>
      <c r="AH204" s="202"/>
      <c r="AI204" s="204"/>
      <c r="AJ204" s="202"/>
      <c r="AK204" s="204"/>
      <c r="AL204" s="202"/>
      <c r="AM204" s="204"/>
      <c r="AN204" s="202"/>
      <c r="AO204" s="204"/>
      <c r="AP204" s="202"/>
      <c r="AQ204" s="208"/>
      <c r="AR204" s="202"/>
      <c r="AS204" s="203">
        <f t="shared" si="6"/>
        <v>0</v>
      </c>
      <c r="AT204" s="202"/>
      <c r="AU204" s="204"/>
      <c r="AV204" s="202"/>
      <c r="AW204" s="204"/>
      <c r="AX204" s="202"/>
      <c r="AY204" s="204"/>
      <c r="AZ204" s="202"/>
      <c r="BA204" s="204"/>
      <c r="BB204" s="202"/>
      <c r="BC204" s="204"/>
      <c r="BD204" s="202"/>
      <c r="BE204" s="208"/>
      <c r="BF204" s="202"/>
      <c r="BG204" s="203">
        <f t="shared" si="7"/>
        <v>0</v>
      </c>
      <c r="BH204" s="202"/>
      <c r="BI204" s="204"/>
      <c r="BJ204" s="202"/>
      <c r="BK204" s="204"/>
      <c r="BL204" s="202"/>
      <c r="BM204" s="204"/>
      <c r="BN204" s="202"/>
      <c r="BO204" s="203">
        <f t="shared" si="8"/>
        <v>0</v>
      </c>
      <c r="BP204" s="202"/>
      <c r="BQ204" s="138"/>
      <c r="BR204" s="128"/>
      <c r="BS204" s="128"/>
      <c r="BT204" s="128"/>
      <c r="BU204" s="128"/>
      <c r="BV204" s="128"/>
      <c r="BW204" s="139"/>
      <c r="BX204" s="140"/>
      <c r="BY204" s="139"/>
      <c r="BZ204" s="139"/>
      <c r="CA204" s="134"/>
      <c r="CB204" s="134"/>
      <c r="CC204" s="134"/>
      <c r="CD204" s="134"/>
      <c r="CE204" s="134"/>
      <c r="CF204" s="134"/>
      <c r="CG204" s="92"/>
      <c r="CH204" s="92"/>
      <c r="CI204" s="92"/>
      <c r="CJ204" s="92"/>
      <c r="CK204" s="92"/>
    </row>
    <row r="205" spans="1:89" ht="17.25" customHeight="1">
      <c r="A205" s="160"/>
      <c r="B205" s="165"/>
      <c r="C205" s="164"/>
      <c r="D205" s="137">
        <f t="shared" si="3"/>
        <v>0</v>
      </c>
      <c r="E205" s="207"/>
      <c r="F205" s="202"/>
      <c r="G205" s="207"/>
      <c r="H205" s="202"/>
      <c r="I205" s="207"/>
      <c r="J205" s="202"/>
      <c r="K205" s="207"/>
      <c r="L205" s="202"/>
      <c r="M205" s="207"/>
      <c r="N205" s="202"/>
      <c r="O205" s="201"/>
      <c r="P205" s="202"/>
      <c r="Q205" s="203">
        <f t="shared" si="4"/>
        <v>0</v>
      </c>
      <c r="R205" s="202"/>
      <c r="S205" s="207"/>
      <c r="T205" s="202"/>
      <c r="U205" s="207"/>
      <c r="V205" s="202"/>
      <c r="W205" s="207"/>
      <c r="X205" s="202"/>
      <c r="Y205" s="207"/>
      <c r="Z205" s="202"/>
      <c r="AA205" s="207"/>
      <c r="AB205" s="202"/>
      <c r="AC205" s="208"/>
      <c r="AD205" s="202"/>
      <c r="AE205" s="203">
        <f t="shared" si="5"/>
        <v>0</v>
      </c>
      <c r="AF205" s="202"/>
      <c r="AG205" s="204"/>
      <c r="AH205" s="202"/>
      <c r="AI205" s="204"/>
      <c r="AJ205" s="202"/>
      <c r="AK205" s="204"/>
      <c r="AL205" s="202"/>
      <c r="AM205" s="204"/>
      <c r="AN205" s="202"/>
      <c r="AO205" s="204"/>
      <c r="AP205" s="202"/>
      <c r="AQ205" s="208"/>
      <c r="AR205" s="202"/>
      <c r="AS205" s="203">
        <f t="shared" si="6"/>
        <v>0</v>
      </c>
      <c r="AT205" s="202"/>
      <c r="AU205" s="204"/>
      <c r="AV205" s="202"/>
      <c r="AW205" s="204"/>
      <c r="AX205" s="202"/>
      <c r="AY205" s="204"/>
      <c r="AZ205" s="202"/>
      <c r="BA205" s="204"/>
      <c r="BB205" s="202"/>
      <c r="BC205" s="204"/>
      <c r="BD205" s="202"/>
      <c r="BE205" s="208"/>
      <c r="BF205" s="202"/>
      <c r="BG205" s="203">
        <f t="shared" si="7"/>
        <v>0</v>
      </c>
      <c r="BH205" s="202"/>
      <c r="BI205" s="204"/>
      <c r="BJ205" s="202"/>
      <c r="BK205" s="204"/>
      <c r="BL205" s="202"/>
      <c r="BM205" s="204"/>
      <c r="BN205" s="202"/>
      <c r="BO205" s="203">
        <f t="shared" si="8"/>
        <v>0</v>
      </c>
      <c r="BP205" s="202"/>
      <c r="BQ205" s="138"/>
      <c r="BR205" s="128"/>
      <c r="BS205" s="128"/>
      <c r="BT205" s="128"/>
      <c r="BU205" s="128"/>
      <c r="BV205" s="128"/>
      <c r="BW205" s="139"/>
      <c r="BX205" s="140"/>
      <c r="BY205" s="139"/>
      <c r="BZ205" s="139"/>
      <c r="CA205" s="134"/>
      <c r="CB205" s="134"/>
      <c r="CC205" s="134"/>
      <c r="CD205" s="134"/>
      <c r="CE205" s="134"/>
      <c r="CF205" s="134"/>
      <c r="CG205" s="92"/>
      <c r="CH205" s="92"/>
      <c r="CI205" s="92"/>
      <c r="CJ205" s="92"/>
      <c r="CK205" s="92"/>
    </row>
    <row r="206" spans="1:89" ht="17.25" customHeight="1">
      <c r="A206" s="160"/>
      <c r="B206" s="165"/>
      <c r="C206" s="164"/>
      <c r="D206" s="137">
        <f t="shared" si="3"/>
        <v>0</v>
      </c>
      <c r="E206" s="207"/>
      <c r="F206" s="202"/>
      <c r="G206" s="207"/>
      <c r="H206" s="202"/>
      <c r="I206" s="207"/>
      <c r="J206" s="202"/>
      <c r="K206" s="207"/>
      <c r="L206" s="202"/>
      <c r="M206" s="207"/>
      <c r="N206" s="202"/>
      <c r="O206" s="201"/>
      <c r="P206" s="202"/>
      <c r="Q206" s="203">
        <f t="shared" si="4"/>
        <v>0</v>
      </c>
      <c r="R206" s="202"/>
      <c r="S206" s="207"/>
      <c r="T206" s="202"/>
      <c r="U206" s="207"/>
      <c r="V206" s="202"/>
      <c r="W206" s="207"/>
      <c r="X206" s="202"/>
      <c r="Y206" s="207"/>
      <c r="Z206" s="202"/>
      <c r="AA206" s="207"/>
      <c r="AB206" s="202"/>
      <c r="AC206" s="208"/>
      <c r="AD206" s="202"/>
      <c r="AE206" s="203">
        <f t="shared" si="5"/>
        <v>0</v>
      </c>
      <c r="AF206" s="202"/>
      <c r="AG206" s="204"/>
      <c r="AH206" s="202"/>
      <c r="AI206" s="204"/>
      <c r="AJ206" s="202"/>
      <c r="AK206" s="204"/>
      <c r="AL206" s="202"/>
      <c r="AM206" s="204"/>
      <c r="AN206" s="202"/>
      <c r="AO206" s="204"/>
      <c r="AP206" s="202"/>
      <c r="AQ206" s="208"/>
      <c r="AR206" s="202"/>
      <c r="AS206" s="203">
        <f t="shared" si="6"/>
        <v>0</v>
      </c>
      <c r="AT206" s="202"/>
      <c r="AU206" s="204"/>
      <c r="AV206" s="202"/>
      <c r="AW206" s="204"/>
      <c r="AX206" s="202"/>
      <c r="AY206" s="204"/>
      <c r="AZ206" s="202"/>
      <c r="BA206" s="204"/>
      <c r="BB206" s="202"/>
      <c r="BC206" s="204"/>
      <c r="BD206" s="202"/>
      <c r="BE206" s="208"/>
      <c r="BF206" s="202"/>
      <c r="BG206" s="203">
        <f t="shared" si="7"/>
        <v>0</v>
      </c>
      <c r="BH206" s="202"/>
      <c r="BI206" s="204"/>
      <c r="BJ206" s="202"/>
      <c r="BK206" s="204"/>
      <c r="BL206" s="202"/>
      <c r="BM206" s="204"/>
      <c r="BN206" s="202"/>
      <c r="BO206" s="203">
        <f t="shared" si="8"/>
        <v>0</v>
      </c>
      <c r="BP206" s="202"/>
      <c r="BQ206" s="138"/>
      <c r="BR206" s="128"/>
      <c r="BS206" s="128"/>
      <c r="BT206" s="128"/>
      <c r="BU206" s="128"/>
      <c r="BV206" s="128"/>
      <c r="BW206" s="139"/>
      <c r="BX206" s="140"/>
      <c r="BY206" s="139"/>
      <c r="BZ206" s="139"/>
      <c r="CA206" s="134"/>
      <c r="CB206" s="134"/>
      <c r="CC206" s="134"/>
      <c r="CD206" s="134"/>
      <c r="CE206" s="134"/>
      <c r="CF206" s="134"/>
      <c r="CG206" s="92"/>
      <c r="CH206" s="92"/>
      <c r="CI206" s="92"/>
      <c r="CJ206" s="92"/>
      <c r="CK206" s="92"/>
    </row>
    <row r="207" spans="1:89" ht="17.25" customHeight="1">
      <c r="A207" s="160"/>
      <c r="B207" s="165"/>
      <c r="C207" s="164"/>
      <c r="D207" s="137">
        <f t="shared" si="3"/>
        <v>0</v>
      </c>
      <c r="E207" s="207"/>
      <c r="F207" s="202"/>
      <c r="G207" s="207"/>
      <c r="H207" s="202"/>
      <c r="I207" s="207"/>
      <c r="J207" s="202"/>
      <c r="K207" s="207"/>
      <c r="L207" s="202"/>
      <c r="M207" s="207"/>
      <c r="N207" s="202"/>
      <c r="O207" s="201"/>
      <c r="P207" s="202"/>
      <c r="Q207" s="203">
        <f t="shared" si="4"/>
        <v>0</v>
      </c>
      <c r="R207" s="202"/>
      <c r="S207" s="207"/>
      <c r="T207" s="202"/>
      <c r="U207" s="207"/>
      <c r="V207" s="202"/>
      <c r="W207" s="207"/>
      <c r="X207" s="202"/>
      <c r="Y207" s="207"/>
      <c r="Z207" s="202"/>
      <c r="AA207" s="207"/>
      <c r="AB207" s="202"/>
      <c r="AC207" s="208"/>
      <c r="AD207" s="202"/>
      <c r="AE207" s="203">
        <f t="shared" si="5"/>
        <v>0</v>
      </c>
      <c r="AF207" s="202"/>
      <c r="AG207" s="204"/>
      <c r="AH207" s="202"/>
      <c r="AI207" s="204"/>
      <c r="AJ207" s="202"/>
      <c r="AK207" s="204"/>
      <c r="AL207" s="202"/>
      <c r="AM207" s="204"/>
      <c r="AN207" s="202"/>
      <c r="AO207" s="204"/>
      <c r="AP207" s="202"/>
      <c r="AQ207" s="208"/>
      <c r="AR207" s="202"/>
      <c r="AS207" s="203">
        <f t="shared" si="6"/>
        <v>0</v>
      </c>
      <c r="AT207" s="202"/>
      <c r="AU207" s="204"/>
      <c r="AV207" s="202"/>
      <c r="AW207" s="204"/>
      <c r="AX207" s="202"/>
      <c r="AY207" s="204"/>
      <c r="AZ207" s="202"/>
      <c r="BA207" s="204"/>
      <c r="BB207" s="202"/>
      <c r="BC207" s="204"/>
      <c r="BD207" s="202"/>
      <c r="BE207" s="208"/>
      <c r="BF207" s="202"/>
      <c r="BG207" s="203">
        <f t="shared" si="7"/>
        <v>0</v>
      </c>
      <c r="BH207" s="202"/>
      <c r="BI207" s="204"/>
      <c r="BJ207" s="202"/>
      <c r="BK207" s="204"/>
      <c r="BL207" s="202"/>
      <c r="BM207" s="204"/>
      <c r="BN207" s="202"/>
      <c r="BO207" s="203">
        <f t="shared" si="8"/>
        <v>0</v>
      </c>
      <c r="BP207" s="202"/>
      <c r="BQ207" s="138"/>
      <c r="BR207" s="128"/>
      <c r="BS207" s="128"/>
      <c r="BT207" s="128"/>
      <c r="BU207" s="128"/>
      <c r="BV207" s="128"/>
      <c r="BW207" s="139"/>
      <c r="BX207" s="140"/>
      <c r="BY207" s="139"/>
      <c r="BZ207" s="139"/>
      <c r="CA207" s="134"/>
      <c r="CB207" s="134"/>
      <c r="CC207" s="134"/>
      <c r="CD207" s="134"/>
      <c r="CE207" s="134"/>
      <c r="CF207" s="134"/>
      <c r="CG207" s="92"/>
      <c r="CH207" s="92"/>
      <c r="CI207" s="92"/>
      <c r="CJ207" s="92"/>
      <c r="CK207" s="92"/>
    </row>
    <row r="208" spans="1:89" ht="17.25" customHeight="1">
      <c r="A208" s="160"/>
      <c r="B208" s="165"/>
      <c r="C208" s="164"/>
      <c r="D208" s="137">
        <f t="shared" si="3"/>
        <v>0</v>
      </c>
      <c r="E208" s="207"/>
      <c r="F208" s="202"/>
      <c r="G208" s="207"/>
      <c r="H208" s="202"/>
      <c r="I208" s="207"/>
      <c r="J208" s="202"/>
      <c r="K208" s="207"/>
      <c r="L208" s="202"/>
      <c r="M208" s="207"/>
      <c r="N208" s="202"/>
      <c r="O208" s="201"/>
      <c r="P208" s="202"/>
      <c r="Q208" s="203">
        <f t="shared" si="4"/>
        <v>0</v>
      </c>
      <c r="R208" s="202"/>
      <c r="S208" s="207"/>
      <c r="T208" s="202"/>
      <c r="U208" s="207"/>
      <c r="V208" s="202"/>
      <c r="W208" s="207"/>
      <c r="X208" s="202"/>
      <c r="Y208" s="207"/>
      <c r="Z208" s="202"/>
      <c r="AA208" s="207"/>
      <c r="AB208" s="202"/>
      <c r="AC208" s="208"/>
      <c r="AD208" s="202"/>
      <c r="AE208" s="203">
        <f t="shared" si="5"/>
        <v>0</v>
      </c>
      <c r="AF208" s="202"/>
      <c r="AG208" s="204"/>
      <c r="AH208" s="202"/>
      <c r="AI208" s="204"/>
      <c r="AJ208" s="202"/>
      <c r="AK208" s="204"/>
      <c r="AL208" s="202"/>
      <c r="AM208" s="204"/>
      <c r="AN208" s="202"/>
      <c r="AO208" s="204"/>
      <c r="AP208" s="202"/>
      <c r="AQ208" s="208"/>
      <c r="AR208" s="202"/>
      <c r="AS208" s="203">
        <f t="shared" si="6"/>
        <v>0</v>
      </c>
      <c r="AT208" s="202"/>
      <c r="AU208" s="204"/>
      <c r="AV208" s="202"/>
      <c r="AW208" s="204"/>
      <c r="AX208" s="202"/>
      <c r="AY208" s="204"/>
      <c r="AZ208" s="202"/>
      <c r="BA208" s="204"/>
      <c r="BB208" s="202"/>
      <c r="BC208" s="204"/>
      <c r="BD208" s="202"/>
      <c r="BE208" s="208"/>
      <c r="BF208" s="202"/>
      <c r="BG208" s="203">
        <f t="shared" si="7"/>
        <v>0</v>
      </c>
      <c r="BH208" s="202"/>
      <c r="BI208" s="204"/>
      <c r="BJ208" s="202"/>
      <c r="BK208" s="204"/>
      <c r="BL208" s="202"/>
      <c r="BM208" s="204"/>
      <c r="BN208" s="202"/>
      <c r="BO208" s="203">
        <f t="shared" si="8"/>
        <v>0</v>
      </c>
      <c r="BP208" s="202"/>
      <c r="BQ208" s="138"/>
      <c r="BR208" s="128"/>
      <c r="BS208" s="128"/>
      <c r="BT208" s="128"/>
      <c r="BU208" s="128"/>
      <c r="BV208" s="128"/>
      <c r="BW208" s="139"/>
      <c r="BX208" s="140"/>
      <c r="BY208" s="139"/>
      <c r="BZ208" s="139"/>
      <c r="CA208" s="134"/>
      <c r="CB208" s="134"/>
      <c r="CC208" s="134"/>
      <c r="CD208" s="134"/>
      <c r="CE208" s="134"/>
      <c r="CF208" s="134"/>
      <c r="CG208" s="92"/>
      <c r="CH208" s="92"/>
      <c r="CI208" s="92"/>
      <c r="CJ208" s="92"/>
      <c r="CK208" s="92"/>
    </row>
    <row r="209" spans="1:89" ht="17.25" customHeight="1">
      <c r="A209" s="160"/>
      <c r="B209" s="165"/>
      <c r="C209" s="164"/>
      <c r="D209" s="137">
        <f t="shared" si="3"/>
        <v>0</v>
      </c>
      <c r="E209" s="207"/>
      <c r="F209" s="202"/>
      <c r="G209" s="207"/>
      <c r="H209" s="202"/>
      <c r="I209" s="207"/>
      <c r="J209" s="202"/>
      <c r="K209" s="207"/>
      <c r="L209" s="202"/>
      <c r="M209" s="207"/>
      <c r="N209" s="202"/>
      <c r="O209" s="201"/>
      <c r="P209" s="202"/>
      <c r="Q209" s="203">
        <f t="shared" si="4"/>
        <v>0</v>
      </c>
      <c r="R209" s="202"/>
      <c r="S209" s="207"/>
      <c r="T209" s="202"/>
      <c r="U209" s="207"/>
      <c r="V209" s="202"/>
      <c r="W209" s="207"/>
      <c r="X209" s="202"/>
      <c r="Y209" s="207"/>
      <c r="Z209" s="202"/>
      <c r="AA209" s="207"/>
      <c r="AB209" s="202"/>
      <c r="AC209" s="208"/>
      <c r="AD209" s="202"/>
      <c r="AE209" s="203">
        <f t="shared" si="5"/>
        <v>0</v>
      </c>
      <c r="AF209" s="202"/>
      <c r="AG209" s="204"/>
      <c r="AH209" s="202"/>
      <c r="AI209" s="204"/>
      <c r="AJ209" s="202"/>
      <c r="AK209" s="204"/>
      <c r="AL209" s="202"/>
      <c r="AM209" s="204"/>
      <c r="AN209" s="202"/>
      <c r="AO209" s="204"/>
      <c r="AP209" s="202"/>
      <c r="AQ209" s="208"/>
      <c r="AR209" s="202"/>
      <c r="AS209" s="203">
        <f t="shared" si="6"/>
        <v>0</v>
      </c>
      <c r="AT209" s="202"/>
      <c r="AU209" s="204"/>
      <c r="AV209" s="202"/>
      <c r="AW209" s="204"/>
      <c r="AX209" s="202"/>
      <c r="AY209" s="204"/>
      <c r="AZ209" s="202"/>
      <c r="BA209" s="204"/>
      <c r="BB209" s="202"/>
      <c r="BC209" s="204"/>
      <c r="BD209" s="202"/>
      <c r="BE209" s="208"/>
      <c r="BF209" s="202"/>
      <c r="BG209" s="203">
        <f t="shared" si="7"/>
        <v>0</v>
      </c>
      <c r="BH209" s="202"/>
      <c r="BI209" s="204"/>
      <c r="BJ209" s="202"/>
      <c r="BK209" s="204"/>
      <c r="BL209" s="202"/>
      <c r="BM209" s="204"/>
      <c r="BN209" s="202"/>
      <c r="BO209" s="203">
        <f t="shared" si="8"/>
        <v>0</v>
      </c>
      <c r="BP209" s="202"/>
      <c r="BQ209" s="138"/>
      <c r="BR209" s="128"/>
      <c r="BS209" s="128"/>
      <c r="BT209" s="128"/>
      <c r="BU209" s="128"/>
      <c r="BV209" s="128"/>
      <c r="BW209" s="139"/>
      <c r="BX209" s="140"/>
      <c r="BY209" s="139"/>
      <c r="BZ209" s="139"/>
      <c r="CA209" s="134"/>
      <c r="CB209" s="134"/>
      <c r="CC209" s="134"/>
      <c r="CD209" s="134"/>
      <c r="CE209" s="134"/>
      <c r="CF209" s="134"/>
      <c r="CG209" s="92"/>
      <c r="CH209" s="92"/>
      <c r="CI209" s="92"/>
      <c r="CJ209" s="92"/>
      <c r="CK209" s="92"/>
    </row>
    <row r="210" spans="1:89" ht="17.25" customHeight="1">
      <c r="A210" s="160"/>
      <c r="B210" s="165"/>
      <c r="C210" s="164"/>
      <c r="D210" s="137">
        <f t="shared" si="3"/>
        <v>0</v>
      </c>
      <c r="E210" s="207"/>
      <c r="F210" s="202"/>
      <c r="G210" s="207"/>
      <c r="H210" s="202"/>
      <c r="I210" s="207"/>
      <c r="J210" s="202"/>
      <c r="K210" s="207"/>
      <c r="L210" s="202"/>
      <c r="M210" s="207"/>
      <c r="N210" s="202"/>
      <c r="O210" s="201"/>
      <c r="P210" s="202"/>
      <c r="Q210" s="203">
        <f t="shared" si="4"/>
        <v>0</v>
      </c>
      <c r="R210" s="202"/>
      <c r="S210" s="207"/>
      <c r="T210" s="202"/>
      <c r="U210" s="207"/>
      <c r="V210" s="202"/>
      <c r="W210" s="207"/>
      <c r="X210" s="202"/>
      <c r="Y210" s="207"/>
      <c r="Z210" s="202"/>
      <c r="AA210" s="207"/>
      <c r="AB210" s="202"/>
      <c r="AC210" s="208"/>
      <c r="AD210" s="202"/>
      <c r="AE210" s="203">
        <f t="shared" si="5"/>
        <v>0</v>
      </c>
      <c r="AF210" s="202"/>
      <c r="AG210" s="204"/>
      <c r="AH210" s="202"/>
      <c r="AI210" s="204"/>
      <c r="AJ210" s="202"/>
      <c r="AK210" s="204"/>
      <c r="AL210" s="202"/>
      <c r="AM210" s="204"/>
      <c r="AN210" s="202"/>
      <c r="AO210" s="204"/>
      <c r="AP210" s="202"/>
      <c r="AQ210" s="208"/>
      <c r="AR210" s="202"/>
      <c r="AS210" s="203">
        <f t="shared" si="6"/>
        <v>0</v>
      </c>
      <c r="AT210" s="202"/>
      <c r="AU210" s="204"/>
      <c r="AV210" s="202"/>
      <c r="AW210" s="204"/>
      <c r="AX210" s="202"/>
      <c r="AY210" s="204"/>
      <c r="AZ210" s="202"/>
      <c r="BA210" s="204"/>
      <c r="BB210" s="202"/>
      <c r="BC210" s="204"/>
      <c r="BD210" s="202"/>
      <c r="BE210" s="208"/>
      <c r="BF210" s="202"/>
      <c r="BG210" s="203">
        <f t="shared" si="7"/>
        <v>0</v>
      </c>
      <c r="BH210" s="202"/>
      <c r="BI210" s="204"/>
      <c r="BJ210" s="202"/>
      <c r="BK210" s="204"/>
      <c r="BL210" s="202"/>
      <c r="BM210" s="204"/>
      <c r="BN210" s="202"/>
      <c r="BO210" s="203">
        <f t="shared" si="8"/>
        <v>0</v>
      </c>
      <c r="BP210" s="202"/>
      <c r="BQ210" s="138"/>
      <c r="BR210" s="128"/>
      <c r="BS210" s="128"/>
      <c r="BT210" s="128"/>
      <c r="BU210" s="128"/>
      <c r="BV210" s="128"/>
      <c r="BW210" s="139"/>
      <c r="BX210" s="140"/>
      <c r="BY210" s="139"/>
      <c r="BZ210" s="139"/>
      <c r="CA210" s="134"/>
      <c r="CB210" s="134"/>
      <c r="CC210" s="134"/>
      <c r="CD210" s="134"/>
      <c r="CE210" s="134"/>
      <c r="CF210" s="134"/>
      <c r="CG210" s="92"/>
      <c r="CH210" s="92"/>
      <c r="CI210" s="92"/>
      <c r="CJ210" s="92"/>
      <c r="CK210" s="92"/>
    </row>
    <row r="211" spans="1:89" ht="17.25" customHeight="1">
      <c r="A211" s="160"/>
      <c r="B211" s="165"/>
      <c r="C211" s="164"/>
      <c r="D211" s="137">
        <f t="shared" si="3"/>
        <v>0</v>
      </c>
      <c r="E211" s="207"/>
      <c r="F211" s="202"/>
      <c r="G211" s="207"/>
      <c r="H211" s="202"/>
      <c r="I211" s="207"/>
      <c r="J211" s="202"/>
      <c r="K211" s="207"/>
      <c r="L211" s="202"/>
      <c r="M211" s="207"/>
      <c r="N211" s="202"/>
      <c r="O211" s="201"/>
      <c r="P211" s="202"/>
      <c r="Q211" s="203">
        <f t="shared" si="4"/>
        <v>0</v>
      </c>
      <c r="R211" s="202"/>
      <c r="S211" s="207"/>
      <c r="T211" s="202"/>
      <c r="U211" s="207"/>
      <c r="V211" s="202"/>
      <c r="W211" s="207"/>
      <c r="X211" s="202"/>
      <c r="Y211" s="207"/>
      <c r="Z211" s="202"/>
      <c r="AA211" s="207"/>
      <c r="AB211" s="202"/>
      <c r="AC211" s="208"/>
      <c r="AD211" s="202"/>
      <c r="AE211" s="203">
        <f t="shared" si="5"/>
        <v>0</v>
      </c>
      <c r="AF211" s="202"/>
      <c r="AG211" s="204"/>
      <c r="AH211" s="202"/>
      <c r="AI211" s="204"/>
      <c r="AJ211" s="202"/>
      <c r="AK211" s="204"/>
      <c r="AL211" s="202"/>
      <c r="AM211" s="204"/>
      <c r="AN211" s="202"/>
      <c r="AO211" s="204"/>
      <c r="AP211" s="202"/>
      <c r="AQ211" s="208"/>
      <c r="AR211" s="202"/>
      <c r="AS211" s="203">
        <f t="shared" si="6"/>
        <v>0</v>
      </c>
      <c r="AT211" s="202"/>
      <c r="AU211" s="204"/>
      <c r="AV211" s="202"/>
      <c r="AW211" s="204"/>
      <c r="AX211" s="202"/>
      <c r="AY211" s="204"/>
      <c r="AZ211" s="202"/>
      <c r="BA211" s="204"/>
      <c r="BB211" s="202"/>
      <c r="BC211" s="204"/>
      <c r="BD211" s="202"/>
      <c r="BE211" s="208"/>
      <c r="BF211" s="202"/>
      <c r="BG211" s="203">
        <f t="shared" si="7"/>
        <v>0</v>
      </c>
      <c r="BH211" s="202"/>
      <c r="BI211" s="204"/>
      <c r="BJ211" s="202"/>
      <c r="BK211" s="204"/>
      <c r="BL211" s="202"/>
      <c r="BM211" s="204"/>
      <c r="BN211" s="202"/>
      <c r="BO211" s="203">
        <f t="shared" si="8"/>
        <v>0</v>
      </c>
      <c r="BP211" s="202"/>
      <c r="BQ211" s="138"/>
      <c r="BR211" s="128"/>
      <c r="BS211" s="128"/>
      <c r="BT211" s="128"/>
      <c r="BU211" s="128"/>
      <c r="BV211" s="128"/>
      <c r="BW211" s="139"/>
      <c r="BX211" s="140"/>
      <c r="BY211" s="139"/>
      <c r="BZ211" s="139"/>
      <c r="CA211" s="134"/>
      <c r="CB211" s="134"/>
      <c r="CC211" s="134"/>
      <c r="CD211" s="134"/>
      <c r="CE211" s="134"/>
      <c r="CF211" s="134"/>
      <c r="CG211" s="92"/>
      <c r="CH211" s="92"/>
      <c r="CI211" s="92"/>
      <c r="CJ211" s="92"/>
      <c r="CK211" s="92"/>
    </row>
    <row r="212" spans="1:89" ht="17.25" customHeight="1">
      <c r="A212" s="160"/>
      <c r="B212" s="165"/>
      <c r="C212" s="164"/>
      <c r="D212" s="137">
        <f t="shared" si="3"/>
        <v>0</v>
      </c>
      <c r="E212" s="207"/>
      <c r="F212" s="202"/>
      <c r="G212" s="207"/>
      <c r="H212" s="202"/>
      <c r="I212" s="207"/>
      <c r="J212" s="202"/>
      <c r="K212" s="207"/>
      <c r="L212" s="202"/>
      <c r="M212" s="207"/>
      <c r="N212" s="202"/>
      <c r="O212" s="201"/>
      <c r="P212" s="202"/>
      <c r="Q212" s="203">
        <f t="shared" si="4"/>
        <v>0</v>
      </c>
      <c r="R212" s="202"/>
      <c r="S212" s="207"/>
      <c r="T212" s="202"/>
      <c r="U212" s="207"/>
      <c r="V212" s="202"/>
      <c r="W212" s="207"/>
      <c r="X212" s="202"/>
      <c r="Y212" s="207"/>
      <c r="Z212" s="202"/>
      <c r="AA212" s="207"/>
      <c r="AB212" s="202"/>
      <c r="AC212" s="208"/>
      <c r="AD212" s="202"/>
      <c r="AE212" s="203">
        <f t="shared" si="5"/>
        <v>0</v>
      </c>
      <c r="AF212" s="202"/>
      <c r="AG212" s="204"/>
      <c r="AH212" s="202"/>
      <c r="AI212" s="204"/>
      <c r="AJ212" s="202"/>
      <c r="AK212" s="204"/>
      <c r="AL212" s="202"/>
      <c r="AM212" s="204"/>
      <c r="AN212" s="202"/>
      <c r="AO212" s="204"/>
      <c r="AP212" s="202"/>
      <c r="AQ212" s="208"/>
      <c r="AR212" s="202"/>
      <c r="AS212" s="203">
        <f t="shared" si="6"/>
        <v>0</v>
      </c>
      <c r="AT212" s="202"/>
      <c r="AU212" s="204"/>
      <c r="AV212" s="202"/>
      <c r="AW212" s="204"/>
      <c r="AX212" s="202"/>
      <c r="AY212" s="204"/>
      <c r="AZ212" s="202"/>
      <c r="BA212" s="204"/>
      <c r="BB212" s="202"/>
      <c r="BC212" s="204"/>
      <c r="BD212" s="202"/>
      <c r="BE212" s="208"/>
      <c r="BF212" s="202"/>
      <c r="BG212" s="203">
        <f t="shared" si="7"/>
        <v>0</v>
      </c>
      <c r="BH212" s="202"/>
      <c r="BI212" s="204"/>
      <c r="BJ212" s="202"/>
      <c r="BK212" s="204"/>
      <c r="BL212" s="202"/>
      <c r="BM212" s="204"/>
      <c r="BN212" s="202"/>
      <c r="BO212" s="203">
        <f t="shared" si="8"/>
        <v>0</v>
      </c>
      <c r="BP212" s="202"/>
      <c r="BQ212" s="138"/>
      <c r="BR212" s="128"/>
      <c r="BS212" s="128"/>
      <c r="BT212" s="128"/>
      <c r="BU212" s="128"/>
      <c r="BV212" s="128"/>
      <c r="BW212" s="139"/>
      <c r="BX212" s="140"/>
      <c r="BY212" s="139"/>
      <c r="BZ212" s="139"/>
      <c r="CA212" s="134"/>
      <c r="CB212" s="134"/>
      <c r="CC212" s="6"/>
      <c r="CD212" s="134"/>
      <c r="CE212" s="134"/>
      <c r="CF212" s="134"/>
      <c r="CG212" s="92"/>
      <c r="CH212" s="92"/>
      <c r="CI212" s="92"/>
      <c r="CJ212" s="92"/>
      <c r="CK212" s="92"/>
    </row>
    <row r="213" spans="1:89" ht="17.25" customHeight="1">
      <c r="A213" s="160"/>
      <c r="B213" s="165"/>
      <c r="C213" s="164"/>
      <c r="D213" s="137">
        <f t="shared" si="3"/>
        <v>0</v>
      </c>
      <c r="E213" s="207"/>
      <c r="F213" s="202"/>
      <c r="G213" s="207"/>
      <c r="H213" s="202"/>
      <c r="I213" s="207"/>
      <c r="J213" s="202"/>
      <c r="K213" s="207"/>
      <c r="L213" s="202"/>
      <c r="M213" s="207"/>
      <c r="N213" s="202"/>
      <c r="O213" s="201"/>
      <c r="P213" s="202"/>
      <c r="Q213" s="203">
        <f t="shared" si="4"/>
        <v>0</v>
      </c>
      <c r="R213" s="202"/>
      <c r="S213" s="207"/>
      <c r="T213" s="202"/>
      <c r="U213" s="207"/>
      <c r="V213" s="202"/>
      <c r="W213" s="207"/>
      <c r="X213" s="202"/>
      <c r="Y213" s="207"/>
      <c r="Z213" s="202"/>
      <c r="AA213" s="207"/>
      <c r="AB213" s="202"/>
      <c r="AC213" s="208"/>
      <c r="AD213" s="202"/>
      <c r="AE213" s="203">
        <f t="shared" si="5"/>
        <v>0</v>
      </c>
      <c r="AF213" s="202"/>
      <c r="AG213" s="204"/>
      <c r="AH213" s="202"/>
      <c r="AI213" s="204"/>
      <c r="AJ213" s="202"/>
      <c r="AK213" s="204"/>
      <c r="AL213" s="202"/>
      <c r="AM213" s="204"/>
      <c r="AN213" s="202"/>
      <c r="AO213" s="204"/>
      <c r="AP213" s="202"/>
      <c r="AQ213" s="208"/>
      <c r="AR213" s="202"/>
      <c r="AS213" s="203">
        <f t="shared" si="6"/>
        <v>0</v>
      </c>
      <c r="AT213" s="202"/>
      <c r="AU213" s="204"/>
      <c r="AV213" s="202"/>
      <c r="AW213" s="204"/>
      <c r="AX213" s="202"/>
      <c r="AY213" s="204"/>
      <c r="AZ213" s="202"/>
      <c r="BA213" s="204"/>
      <c r="BB213" s="202"/>
      <c r="BC213" s="204"/>
      <c r="BD213" s="202"/>
      <c r="BE213" s="208"/>
      <c r="BF213" s="202"/>
      <c r="BG213" s="203">
        <f t="shared" si="7"/>
        <v>0</v>
      </c>
      <c r="BH213" s="202"/>
      <c r="BI213" s="204"/>
      <c r="BJ213" s="202"/>
      <c r="BK213" s="204"/>
      <c r="BL213" s="202"/>
      <c r="BM213" s="204"/>
      <c r="BN213" s="202"/>
      <c r="BO213" s="203">
        <f t="shared" si="8"/>
        <v>0</v>
      </c>
      <c r="BP213" s="202"/>
      <c r="BQ213" s="138"/>
      <c r="BR213" s="128"/>
      <c r="BS213" s="128"/>
      <c r="BT213" s="128"/>
      <c r="BU213" s="128"/>
      <c r="BV213" s="128"/>
      <c r="BW213" s="139"/>
      <c r="BX213" s="140"/>
      <c r="BY213" s="139"/>
      <c r="BZ213" s="139"/>
      <c r="CA213" s="134"/>
      <c r="CB213" s="134"/>
      <c r="CC213" s="134"/>
      <c r="CD213" s="134"/>
      <c r="CE213" s="134"/>
      <c r="CF213" s="134"/>
      <c r="CG213" s="92"/>
      <c r="CH213" s="92"/>
      <c r="CI213" s="92"/>
      <c r="CJ213" s="92"/>
      <c r="CK213" s="92"/>
    </row>
    <row r="214" spans="1:89" ht="17.25" customHeight="1">
      <c r="A214" s="160"/>
      <c r="B214" s="165"/>
      <c r="C214" s="164"/>
      <c r="D214" s="137">
        <f t="shared" si="3"/>
        <v>0</v>
      </c>
      <c r="E214" s="207"/>
      <c r="F214" s="202"/>
      <c r="G214" s="207"/>
      <c r="H214" s="202"/>
      <c r="I214" s="207"/>
      <c r="J214" s="202"/>
      <c r="K214" s="207"/>
      <c r="L214" s="202"/>
      <c r="M214" s="207"/>
      <c r="N214" s="202"/>
      <c r="O214" s="201"/>
      <c r="P214" s="202"/>
      <c r="Q214" s="203">
        <f t="shared" si="4"/>
        <v>0</v>
      </c>
      <c r="R214" s="202"/>
      <c r="S214" s="207"/>
      <c r="T214" s="202"/>
      <c r="U214" s="207"/>
      <c r="V214" s="202"/>
      <c r="W214" s="207"/>
      <c r="X214" s="202"/>
      <c r="Y214" s="207"/>
      <c r="Z214" s="202"/>
      <c r="AA214" s="207"/>
      <c r="AB214" s="202"/>
      <c r="AC214" s="208"/>
      <c r="AD214" s="202"/>
      <c r="AE214" s="203">
        <f t="shared" si="5"/>
        <v>0</v>
      </c>
      <c r="AF214" s="202"/>
      <c r="AG214" s="204"/>
      <c r="AH214" s="202"/>
      <c r="AI214" s="204"/>
      <c r="AJ214" s="202"/>
      <c r="AK214" s="204"/>
      <c r="AL214" s="202"/>
      <c r="AM214" s="204"/>
      <c r="AN214" s="202"/>
      <c r="AO214" s="204"/>
      <c r="AP214" s="202"/>
      <c r="AQ214" s="208"/>
      <c r="AR214" s="202"/>
      <c r="AS214" s="203">
        <f t="shared" si="6"/>
        <v>0</v>
      </c>
      <c r="AT214" s="202"/>
      <c r="AU214" s="204"/>
      <c r="AV214" s="202"/>
      <c r="AW214" s="204"/>
      <c r="AX214" s="202"/>
      <c r="AY214" s="204"/>
      <c r="AZ214" s="202"/>
      <c r="BA214" s="204"/>
      <c r="BB214" s="202"/>
      <c r="BC214" s="204"/>
      <c r="BD214" s="202"/>
      <c r="BE214" s="208"/>
      <c r="BF214" s="202"/>
      <c r="BG214" s="203">
        <f t="shared" si="7"/>
        <v>0</v>
      </c>
      <c r="BH214" s="202"/>
      <c r="BI214" s="204"/>
      <c r="BJ214" s="202"/>
      <c r="BK214" s="204"/>
      <c r="BL214" s="202"/>
      <c r="BM214" s="204"/>
      <c r="BN214" s="202"/>
      <c r="BO214" s="203">
        <f t="shared" si="8"/>
        <v>0</v>
      </c>
      <c r="BP214" s="202"/>
      <c r="BQ214" s="138"/>
      <c r="BR214" s="128"/>
      <c r="BS214" s="128"/>
      <c r="BT214" s="128"/>
      <c r="BU214" s="128"/>
      <c r="BV214" s="128"/>
      <c r="BW214" s="139"/>
      <c r="BX214" s="140"/>
      <c r="BY214" s="139"/>
      <c r="BZ214" s="139"/>
      <c r="CA214" s="134"/>
      <c r="CB214" s="134"/>
      <c r="CC214" s="134"/>
      <c r="CD214" s="134"/>
      <c r="CE214" s="134"/>
      <c r="CF214" s="134"/>
      <c r="CG214" s="92"/>
      <c r="CH214" s="92"/>
      <c r="CI214" s="92"/>
      <c r="CJ214" s="92"/>
      <c r="CK214" s="92"/>
    </row>
    <row r="215" spans="1:89" ht="17.25" customHeight="1">
      <c r="A215" s="160"/>
      <c r="B215" s="165"/>
      <c r="C215" s="164"/>
      <c r="D215" s="137">
        <f t="shared" si="3"/>
        <v>0</v>
      </c>
      <c r="E215" s="207"/>
      <c r="F215" s="202"/>
      <c r="G215" s="207"/>
      <c r="H215" s="202"/>
      <c r="I215" s="207"/>
      <c r="J215" s="202"/>
      <c r="K215" s="207"/>
      <c r="L215" s="202"/>
      <c r="M215" s="207"/>
      <c r="N215" s="202"/>
      <c r="O215" s="201"/>
      <c r="P215" s="202"/>
      <c r="Q215" s="203">
        <f t="shared" si="4"/>
        <v>0</v>
      </c>
      <c r="R215" s="202"/>
      <c r="S215" s="207"/>
      <c r="T215" s="202"/>
      <c r="U215" s="207"/>
      <c r="V215" s="202"/>
      <c r="W215" s="207"/>
      <c r="X215" s="202"/>
      <c r="Y215" s="207"/>
      <c r="Z215" s="202"/>
      <c r="AA215" s="207"/>
      <c r="AB215" s="202"/>
      <c r="AC215" s="208"/>
      <c r="AD215" s="202"/>
      <c r="AE215" s="203">
        <f t="shared" si="5"/>
        <v>0</v>
      </c>
      <c r="AF215" s="202"/>
      <c r="AG215" s="204"/>
      <c r="AH215" s="202"/>
      <c r="AI215" s="204"/>
      <c r="AJ215" s="202"/>
      <c r="AK215" s="204"/>
      <c r="AL215" s="202"/>
      <c r="AM215" s="204"/>
      <c r="AN215" s="202"/>
      <c r="AO215" s="204"/>
      <c r="AP215" s="202"/>
      <c r="AQ215" s="208"/>
      <c r="AR215" s="202"/>
      <c r="AS215" s="203">
        <f t="shared" si="6"/>
        <v>0</v>
      </c>
      <c r="AT215" s="202"/>
      <c r="AU215" s="204"/>
      <c r="AV215" s="202"/>
      <c r="AW215" s="204"/>
      <c r="AX215" s="202"/>
      <c r="AY215" s="204"/>
      <c r="AZ215" s="202"/>
      <c r="BA215" s="204"/>
      <c r="BB215" s="202"/>
      <c r="BC215" s="204"/>
      <c r="BD215" s="202"/>
      <c r="BE215" s="208"/>
      <c r="BF215" s="202"/>
      <c r="BG215" s="203">
        <f t="shared" si="7"/>
        <v>0</v>
      </c>
      <c r="BH215" s="202"/>
      <c r="BI215" s="204"/>
      <c r="BJ215" s="202"/>
      <c r="BK215" s="204"/>
      <c r="BL215" s="202"/>
      <c r="BM215" s="204"/>
      <c r="BN215" s="202"/>
      <c r="BO215" s="203">
        <f t="shared" si="8"/>
        <v>0</v>
      </c>
      <c r="BP215" s="202"/>
      <c r="BQ215" s="138"/>
      <c r="BR215" s="128"/>
      <c r="BS215" s="128"/>
      <c r="BT215" s="128"/>
      <c r="BU215" s="128"/>
      <c r="BV215" s="128"/>
      <c r="BW215" s="139"/>
      <c r="BX215" s="140"/>
      <c r="BY215" s="139"/>
      <c r="BZ215" s="139"/>
      <c r="CA215" s="134"/>
      <c r="CB215" s="134"/>
      <c r="CC215" s="134"/>
      <c r="CD215" s="134"/>
      <c r="CE215" s="134"/>
      <c r="CF215" s="134"/>
      <c r="CG215" s="92"/>
      <c r="CH215" s="92"/>
      <c r="CI215" s="92"/>
      <c r="CJ215" s="92"/>
      <c r="CK215" s="92"/>
    </row>
    <row r="216" spans="1:89" ht="17.25" customHeight="1">
      <c r="A216" s="160"/>
      <c r="B216" s="165"/>
      <c r="C216" s="164"/>
      <c r="D216" s="137">
        <f t="shared" si="3"/>
        <v>0</v>
      </c>
      <c r="E216" s="207"/>
      <c r="F216" s="202"/>
      <c r="G216" s="207"/>
      <c r="H216" s="202"/>
      <c r="I216" s="207"/>
      <c r="J216" s="202"/>
      <c r="K216" s="207"/>
      <c r="L216" s="202"/>
      <c r="M216" s="207"/>
      <c r="N216" s="202"/>
      <c r="O216" s="201"/>
      <c r="P216" s="202"/>
      <c r="Q216" s="203">
        <f t="shared" si="4"/>
        <v>0</v>
      </c>
      <c r="R216" s="202"/>
      <c r="S216" s="207"/>
      <c r="T216" s="202"/>
      <c r="U216" s="207"/>
      <c r="V216" s="202"/>
      <c r="W216" s="207"/>
      <c r="X216" s="202"/>
      <c r="Y216" s="207"/>
      <c r="Z216" s="202"/>
      <c r="AA216" s="207"/>
      <c r="AB216" s="202"/>
      <c r="AC216" s="208"/>
      <c r="AD216" s="202"/>
      <c r="AE216" s="203">
        <f t="shared" si="5"/>
        <v>0</v>
      </c>
      <c r="AF216" s="202"/>
      <c r="AG216" s="204"/>
      <c r="AH216" s="202"/>
      <c r="AI216" s="204"/>
      <c r="AJ216" s="202"/>
      <c r="AK216" s="204"/>
      <c r="AL216" s="202"/>
      <c r="AM216" s="204"/>
      <c r="AN216" s="202"/>
      <c r="AO216" s="204"/>
      <c r="AP216" s="202"/>
      <c r="AQ216" s="208"/>
      <c r="AR216" s="202"/>
      <c r="AS216" s="203">
        <f t="shared" si="6"/>
        <v>0</v>
      </c>
      <c r="AT216" s="202"/>
      <c r="AU216" s="204"/>
      <c r="AV216" s="202"/>
      <c r="AW216" s="204"/>
      <c r="AX216" s="202"/>
      <c r="AY216" s="204"/>
      <c r="AZ216" s="202"/>
      <c r="BA216" s="204"/>
      <c r="BB216" s="202"/>
      <c r="BC216" s="204"/>
      <c r="BD216" s="202"/>
      <c r="BE216" s="208"/>
      <c r="BF216" s="202"/>
      <c r="BG216" s="203">
        <f t="shared" si="7"/>
        <v>0</v>
      </c>
      <c r="BH216" s="202"/>
      <c r="BI216" s="204"/>
      <c r="BJ216" s="202"/>
      <c r="BK216" s="204"/>
      <c r="BL216" s="202"/>
      <c r="BM216" s="204"/>
      <c r="BN216" s="202"/>
      <c r="BO216" s="203">
        <f t="shared" si="8"/>
        <v>0</v>
      </c>
      <c r="BP216" s="202"/>
      <c r="BQ216" s="138"/>
      <c r="BR216" s="128"/>
      <c r="BS216" s="128"/>
      <c r="BT216" s="128"/>
      <c r="BU216" s="128"/>
      <c r="BV216" s="128"/>
      <c r="BW216" s="139"/>
      <c r="BX216" s="140"/>
      <c r="BY216" s="139"/>
      <c r="BZ216" s="139"/>
      <c r="CA216" s="134"/>
      <c r="CB216" s="134"/>
      <c r="CC216" s="134"/>
      <c r="CD216" s="134"/>
      <c r="CE216" s="134"/>
      <c r="CF216" s="134"/>
      <c r="CG216" s="92"/>
      <c r="CH216" s="92"/>
      <c r="CI216" s="92"/>
      <c r="CJ216" s="92"/>
      <c r="CK216" s="92"/>
    </row>
    <row r="217" spans="1:89" ht="17.25" customHeight="1">
      <c r="A217" s="160"/>
      <c r="B217" s="165"/>
      <c r="C217" s="164"/>
      <c r="D217" s="137">
        <f t="shared" si="3"/>
        <v>0</v>
      </c>
      <c r="E217" s="207"/>
      <c r="F217" s="202"/>
      <c r="G217" s="207"/>
      <c r="H217" s="202"/>
      <c r="I217" s="207"/>
      <c r="J217" s="202"/>
      <c r="K217" s="207"/>
      <c r="L217" s="202"/>
      <c r="M217" s="207"/>
      <c r="N217" s="202"/>
      <c r="O217" s="201"/>
      <c r="P217" s="202"/>
      <c r="Q217" s="203">
        <f t="shared" si="4"/>
        <v>0</v>
      </c>
      <c r="R217" s="202"/>
      <c r="S217" s="207"/>
      <c r="T217" s="202"/>
      <c r="U217" s="207"/>
      <c r="V217" s="202"/>
      <c r="W217" s="207"/>
      <c r="X217" s="202"/>
      <c r="Y217" s="207"/>
      <c r="Z217" s="202"/>
      <c r="AA217" s="207"/>
      <c r="AB217" s="202"/>
      <c r="AC217" s="208"/>
      <c r="AD217" s="202"/>
      <c r="AE217" s="203">
        <f t="shared" si="5"/>
        <v>0</v>
      </c>
      <c r="AF217" s="202"/>
      <c r="AG217" s="204"/>
      <c r="AH217" s="202"/>
      <c r="AI217" s="204"/>
      <c r="AJ217" s="202"/>
      <c r="AK217" s="204"/>
      <c r="AL217" s="202"/>
      <c r="AM217" s="204"/>
      <c r="AN217" s="202"/>
      <c r="AO217" s="204"/>
      <c r="AP217" s="202"/>
      <c r="AQ217" s="208"/>
      <c r="AR217" s="202"/>
      <c r="AS217" s="203">
        <f t="shared" si="6"/>
        <v>0</v>
      </c>
      <c r="AT217" s="202"/>
      <c r="AU217" s="204"/>
      <c r="AV217" s="202"/>
      <c r="AW217" s="204"/>
      <c r="AX217" s="202"/>
      <c r="AY217" s="204"/>
      <c r="AZ217" s="202"/>
      <c r="BA217" s="204"/>
      <c r="BB217" s="202"/>
      <c r="BC217" s="204"/>
      <c r="BD217" s="202"/>
      <c r="BE217" s="208"/>
      <c r="BF217" s="202"/>
      <c r="BG217" s="203">
        <f t="shared" si="7"/>
        <v>0</v>
      </c>
      <c r="BH217" s="202"/>
      <c r="BI217" s="204"/>
      <c r="BJ217" s="202"/>
      <c r="BK217" s="204"/>
      <c r="BL217" s="202"/>
      <c r="BM217" s="204"/>
      <c r="BN217" s="202"/>
      <c r="BO217" s="203">
        <f t="shared" si="8"/>
        <v>0</v>
      </c>
      <c r="BP217" s="202"/>
      <c r="BQ217" s="138"/>
      <c r="BR217" s="128"/>
      <c r="BS217" s="128"/>
      <c r="BT217" s="128"/>
      <c r="BU217" s="128"/>
      <c r="BV217" s="128"/>
      <c r="BW217" s="139"/>
      <c r="BX217" s="140"/>
      <c r="BY217" s="139"/>
      <c r="BZ217" s="139"/>
      <c r="CA217" s="134"/>
      <c r="CB217" s="134"/>
      <c r="CC217" s="134"/>
      <c r="CD217" s="134"/>
      <c r="CE217" s="134"/>
      <c r="CF217" s="134"/>
      <c r="CG217" s="92"/>
      <c r="CH217" s="92"/>
      <c r="CI217" s="92"/>
      <c r="CJ217" s="92"/>
      <c r="CK217" s="92"/>
    </row>
    <row r="218" spans="1:89" ht="17.25" customHeight="1">
      <c r="A218" s="160"/>
      <c r="B218" s="165"/>
      <c r="C218" s="164"/>
      <c r="D218" s="137">
        <f t="shared" si="3"/>
        <v>0</v>
      </c>
      <c r="E218" s="207"/>
      <c r="F218" s="202"/>
      <c r="G218" s="207"/>
      <c r="H218" s="202"/>
      <c r="I218" s="207"/>
      <c r="J218" s="202"/>
      <c r="K218" s="207"/>
      <c r="L218" s="202"/>
      <c r="M218" s="207"/>
      <c r="N218" s="202"/>
      <c r="O218" s="201"/>
      <c r="P218" s="202"/>
      <c r="Q218" s="203">
        <f t="shared" si="4"/>
        <v>0</v>
      </c>
      <c r="R218" s="202"/>
      <c r="S218" s="207"/>
      <c r="T218" s="202"/>
      <c r="U218" s="207"/>
      <c r="V218" s="202"/>
      <c r="W218" s="207"/>
      <c r="X218" s="202"/>
      <c r="Y218" s="207"/>
      <c r="Z218" s="202"/>
      <c r="AA218" s="207"/>
      <c r="AB218" s="202"/>
      <c r="AC218" s="208"/>
      <c r="AD218" s="202"/>
      <c r="AE218" s="203">
        <f t="shared" si="5"/>
        <v>0</v>
      </c>
      <c r="AF218" s="202"/>
      <c r="AG218" s="204"/>
      <c r="AH218" s="202"/>
      <c r="AI218" s="204"/>
      <c r="AJ218" s="202"/>
      <c r="AK218" s="204"/>
      <c r="AL218" s="202"/>
      <c r="AM218" s="204"/>
      <c r="AN218" s="202"/>
      <c r="AO218" s="204"/>
      <c r="AP218" s="202"/>
      <c r="AQ218" s="208"/>
      <c r="AR218" s="202"/>
      <c r="AS218" s="203">
        <f t="shared" si="6"/>
        <v>0</v>
      </c>
      <c r="AT218" s="202"/>
      <c r="AU218" s="204"/>
      <c r="AV218" s="202"/>
      <c r="AW218" s="204"/>
      <c r="AX218" s="202"/>
      <c r="AY218" s="204"/>
      <c r="AZ218" s="202"/>
      <c r="BA218" s="204"/>
      <c r="BB218" s="202"/>
      <c r="BC218" s="204"/>
      <c r="BD218" s="202"/>
      <c r="BE218" s="208"/>
      <c r="BF218" s="202"/>
      <c r="BG218" s="203">
        <f t="shared" si="7"/>
        <v>0</v>
      </c>
      <c r="BH218" s="202"/>
      <c r="BI218" s="204"/>
      <c r="BJ218" s="202"/>
      <c r="BK218" s="204"/>
      <c r="BL218" s="202"/>
      <c r="BM218" s="204"/>
      <c r="BN218" s="202"/>
      <c r="BO218" s="203">
        <f t="shared" si="8"/>
        <v>0</v>
      </c>
      <c r="BP218" s="202"/>
      <c r="BQ218" s="138"/>
      <c r="BR218" s="128"/>
      <c r="BS218" s="128"/>
      <c r="BT218" s="128"/>
      <c r="BU218" s="128"/>
      <c r="BV218" s="128"/>
      <c r="BW218" s="139"/>
      <c r="BX218" s="140"/>
      <c r="BY218" s="139"/>
      <c r="BZ218" s="139"/>
      <c r="CA218" s="134"/>
      <c r="CB218" s="134"/>
      <c r="CC218" s="134"/>
      <c r="CD218" s="134"/>
      <c r="CE218" s="134"/>
      <c r="CF218" s="134"/>
      <c r="CG218" s="92"/>
      <c r="CH218" s="92"/>
      <c r="CI218" s="92"/>
      <c r="CJ218" s="92"/>
      <c r="CK218" s="92"/>
    </row>
    <row r="219" spans="1:89" ht="17.25" customHeight="1">
      <c r="A219" s="160"/>
      <c r="B219" s="165"/>
      <c r="C219" s="164"/>
      <c r="D219" s="137">
        <f t="shared" si="3"/>
        <v>0</v>
      </c>
      <c r="E219" s="207"/>
      <c r="F219" s="202"/>
      <c r="G219" s="207"/>
      <c r="H219" s="202"/>
      <c r="I219" s="207"/>
      <c r="J219" s="202"/>
      <c r="K219" s="207"/>
      <c r="L219" s="202"/>
      <c r="M219" s="207"/>
      <c r="N219" s="202"/>
      <c r="O219" s="201"/>
      <c r="P219" s="202"/>
      <c r="Q219" s="203">
        <f t="shared" si="4"/>
        <v>0</v>
      </c>
      <c r="R219" s="202"/>
      <c r="S219" s="207"/>
      <c r="T219" s="202"/>
      <c r="U219" s="207"/>
      <c r="V219" s="202"/>
      <c r="W219" s="207"/>
      <c r="X219" s="202"/>
      <c r="Y219" s="207"/>
      <c r="Z219" s="202"/>
      <c r="AA219" s="207"/>
      <c r="AB219" s="202"/>
      <c r="AC219" s="208"/>
      <c r="AD219" s="202"/>
      <c r="AE219" s="203">
        <f t="shared" si="5"/>
        <v>0</v>
      </c>
      <c r="AF219" s="202"/>
      <c r="AG219" s="204"/>
      <c r="AH219" s="202"/>
      <c r="AI219" s="204"/>
      <c r="AJ219" s="202"/>
      <c r="AK219" s="204"/>
      <c r="AL219" s="202"/>
      <c r="AM219" s="204"/>
      <c r="AN219" s="202"/>
      <c r="AO219" s="204"/>
      <c r="AP219" s="202"/>
      <c r="AQ219" s="208"/>
      <c r="AR219" s="202"/>
      <c r="AS219" s="203">
        <f t="shared" si="6"/>
        <v>0</v>
      </c>
      <c r="AT219" s="202"/>
      <c r="AU219" s="204"/>
      <c r="AV219" s="202"/>
      <c r="AW219" s="204"/>
      <c r="AX219" s="202"/>
      <c r="AY219" s="204"/>
      <c r="AZ219" s="202"/>
      <c r="BA219" s="204"/>
      <c r="BB219" s="202"/>
      <c r="BC219" s="204"/>
      <c r="BD219" s="202"/>
      <c r="BE219" s="208"/>
      <c r="BF219" s="202"/>
      <c r="BG219" s="203">
        <f t="shared" si="7"/>
        <v>0</v>
      </c>
      <c r="BH219" s="202"/>
      <c r="BI219" s="204"/>
      <c r="BJ219" s="202"/>
      <c r="BK219" s="204"/>
      <c r="BL219" s="202"/>
      <c r="BM219" s="204"/>
      <c r="BN219" s="202"/>
      <c r="BO219" s="203">
        <f t="shared" si="8"/>
        <v>0</v>
      </c>
      <c r="BP219" s="202"/>
      <c r="BQ219" s="138"/>
      <c r="BR219" s="128"/>
      <c r="BS219" s="128"/>
      <c r="BT219" s="128"/>
      <c r="BU219" s="128"/>
      <c r="BV219" s="128"/>
      <c r="BW219" s="139"/>
      <c r="BX219" s="140"/>
      <c r="BY219" s="139"/>
      <c r="BZ219" s="139"/>
      <c r="CA219" s="134"/>
      <c r="CB219" s="134"/>
      <c r="CC219" s="134"/>
      <c r="CD219" s="134"/>
      <c r="CE219" s="134"/>
      <c r="CF219" s="134"/>
      <c r="CG219" s="92"/>
      <c r="CH219" s="92"/>
      <c r="CI219" s="92"/>
      <c r="CJ219" s="92"/>
      <c r="CK219" s="92"/>
    </row>
    <row r="220" spans="1:89" ht="17.25" customHeight="1">
      <c r="A220" s="160"/>
      <c r="B220" s="165"/>
      <c r="C220" s="164"/>
      <c r="D220" s="137">
        <f t="shared" si="3"/>
        <v>0</v>
      </c>
      <c r="E220" s="207"/>
      <c r="F220" s="202"/>
      <c r="G220" s="207"/>
      <c r="H220" s="202"/>
      <c r="I220" s="207"/>
      <c r="J220" s="202"/>
      <c r="K220" s="207"/>
      <c r="L220" s="202"/>
      <c r="M220" s="207"/>
      <c r="N220" s="202"/>
      <c r="O220" s="201"/>
      <c r="P220" s="202"/>
      <c r="Q220" s="203">
        <f t="shared" si="4"/>
        <v>0</v>
      </c>
      <c r="R220" s="202"/>
      <c r="S220" s="207"/>
      <c r="T220" s="202"/>
      <c r="U220" s="207"/>
      <c r="V220" s="202"/>
      <c r="W220" s="207"/>
      <c r="X220" s="202"/>
      <c r="Y220" s="207"/>
      <c r="Z220" s="202"/>
      <c r="AA220" s="207"/>
      <c r="AB220" s="202"/>
      <c r="AC220" s="208"/>
      <c r="AD220" s="202"/>
      <c r="AE220" s="203">
        <f t="shared" si="5"/>
        <v>0</v>
      </c>
      <c r="AF220" s="202"/>
      <c r="AG220" s="204"/>
      <c r="AH220" s="202"/>
      <c r="AI220" s="204"/>
      <c r="AJ220" s="202"/>
      <c r="AK220" s="204"/>
      <c r="AL220" s="202"/>
      <c r="AM220" s="204"/>
      <c r="AN220" s="202"/>
      <c r="AO220" s="204"/>
      <c r="AP220" s="202"/>
      <c r="AQ220" s="208"/>
      <c r="AR220" s="202"/>
      <c r="AS220" s="203">
        <f t="shared" si="6"/>
        <v>0</v>
      </c>
      <c r="AT220" s="202"/>
      <c r="AU220" s="204"/>
      <c r="AV220" s="202"/>
      <c r="AW220" s="204"/>
      <c r="AX220" s="202"/>
      <c r="AY220" s="204"/>
      <c r="AZ220" s="202"/>
      <c r="BA220" s="204"/>
      <c r="BB220" s="202"/>
      <c r="BC220" s="204"/>
      <c r="BD220" s="202"/>
      <c r="BE220" s="208"/>
      <c r="BF220" s="202"/>
      <c r="BG220" s="203">
        <f t="shared" si="7"/>
        <v>0</v>
      </c>
      <c r="BH220" s="202"/>
      <c r="BI220" s="204"/>
      <c r="BJ220" s="202"/>
      <c r="BK220" s="204"/>
      <c r="BL220" s="202"/>
      <c r="BM220" s="204"/>
      <c r="BN220" s="202"/>
      <c r="BO220" s="203">
        <f t="shared" si="8"/>
        <v>0</v>
      </c>
      <c r="BP220" s="202"/>
      <c r="BQ220" s="138"/>
      <c r="BR220" s="128"/>
      <c r="BS220" s="128"/>
      <c r="BT220" s="128"/>
      <c r="BU220" s="128"/>
      <c r="BV220" s="128"/>
      <c r="BW220" s="139"/>
      <c r="BX220" s="140"/>
      <c r="BY220" s="139"/>
      <c r="BZ220" s="139"/>
      <c r="CA220" s="134"/>
      <c r="CB220" s="134"/>
      <c r="CC220" s="134"/>
      <c r="CD220" s="134"/>
      <c r="CE220" s="134"/>
      <c r="CF220" s="134"/>
      <c r="CG220" s="92"/>
      <c r="CH220" s="92"/>
      <c r="CI220" s="92"/>
      <c r="CJ220" s="92"/>
      <c r="CK220" s="92"/>
    </row>
    <row r="221" spans="1:89" ht="17.25" customHeight="1">
      <c r="A221" s="160"/>
      <c r="B221" s="165"/>
      <c r="C221" s="164"/>
      <c r="D221" s="137">
        <f t="shared" si="3"/>
        <v>0</v>
      </c>
      <c r="E221" s="207"/>
      <c r="F221" s="202"/>
      <c r="G221" s="207"/>
      <c r="H221" s="202"/>
      <c r="I221" s="207"/>
      <c r="J221" s="202"/>
      <c r="K221" s="207"/>
      <c r="L221" s="202"/>
      <c r="M221" s="207"/>
      <c r="N221" s="202"/>
      <c r="O221" s="201"/>
      <c r="P221" s="202"/>
      <c r="Q221" s="203">
        <f t="shared" si="4"/>
        <v>0</v>
      </c>
      <c r="R221" s="202"/>
      <c r="S221" s="207"/>
      <c r="T221" s="202"/>
      <c r="U221" s="207"/>
      <c r="V221" s="202"/>
      <c r="W221" s="207"/>
      <c r="X221" s="202"/>
      <c r="Y221" s="207"/>
      <c r="Z221" s="202"/>
      <c r="AA221" s="207"/>
      <c r="AB221" s="202"/>
      <c r="AC221" s="208"/>
      <c r="AD221" s="202"/>
      <c r="AE221" s="203">
        <f t="shared" si="5"/>
        <v>0</v>
      </c>
      <c r="AF221" s="202"/>
      <c r="AG221" s="204"/>
      <c r="AH221" s="202"/>
      <c r="AI221" s="204"/>
      <c r="AJ221" s="202"/>
      <c r="AK221" s="204"/>
      <c r="AL221" s="202"/>
      <c r="AM221" s="204"/>
      <c r="AN221" s="202"/>
      <c r="AO221" s="204"/>
      <c r="AP221" s="202"/>
      <c r="AQ221" s="208"/>
      <c r="AR221" s="202"/>
      <c r="AS221" s="203">
        <f t="shared" si="6"/>
        <v>0</v>
      </c>
      <c r="AT221" s="202"/>
      <c r="AU221" s="204"/>
      <c r="AV221" s="202"/>
      <c r="AW221" s="204"/>
      <c r="AX221" s="202"/>
      <c r="AY221" s="204"/>
      <c r="AZ221" s="202"/>
      <c r="BA221" s="204"/>
      <c r="BB221" s="202"/>
      <c r="BC221" s="204"/>
      <c r="BD221" s="202"/>
      <c r="BE221" s="208"/>
      <c r="BF221" s="202"/>
      <c r="BG221" s="203">
        <f t="shared" si="7"/>
        <v>0</v>
      </c>
      <c r="BH221" s="202"/>
      <c r="BI221" s="204"/>
      <c r="BJ221" s="202"/>
      <c r="BK221" s="204"/>
      <c r="BL221" s="202"/>
      <c r="BM221" s="204"/>
      <c r="BN221" s="202"/>
      <c r="BO221" s="203">
        <f t="shared" si="8"/>
        <v>0</v>
      </c>
      <c r="BP221" s="202"/>
      <c r="BQ221" s="138"/>
      <c r="BR221" s="128"/>
      <c r="BS221" s="128"/>
      <c r="BT221" s="128"/>
      <c r="BU221" s="128"/>
      <c r="BV221" s="128"/>
      <c r="BW221" s="139"/>
      <c r="BX221" s="140"/>
      <c r="BY221" s="139"/>
      <c r="BZ221" s="139"/>
      <c r="CA221" s="134"/>
      <c r="CB221" s="134"/>
      <c r="CC221" s="134"/>
      <c r="CD221" s="134"/>
      <c r="CE221" s="134"/>
      <c r="CF221" s="134"/>
      <c r="CG221" s="92"/>
      <c r="CH221" s="92"/>
      <c r="CI221" s="92"/>
      <c r="CJ221" s="92"/>
      <c r="CK221" s="92"/>
    </row>
    <row r="222" spans="1:89" ht="17.25" customHeight="1">
      <c r="A222" s="160"/>
      <c r="B222" s="165"/>
      <c r="C222" s="164"/>
      <c r="D222" s="137">
        <f t="shared" si="3"/>
        <v>0</v>
      </c>
      <c r="E222" s="207"/>
      <c r="F222" s="202"/>
      <c r="G222" s="207"/>
      <c r="H222" s="202"/>
      <c r="I222" s="207"/>
      <c r="J222" s="202"/>
      <c r="K222" s="207"/>
      <c r="L222" s="202"/>
      <c r="M222" s="207"/>
      <c r="N222" s="202"/>
      <c r="O222" s="201"/>
      <c r="P222" s="202"/>
      <c r="Q222" s="203">
        <f t="shared" si="4"/>
        <v>0</v>
      </c>
      <c r="R222" s="202"/>
      <c r="S222" s="207"/>
      <c r="T222" s="202"/>
      <c r="U222" s="207"/>
      <c r="V222" s="202"/>
      <c r="W222" s="207"/>
      <c r="X222" s="202"/>
      <c r="Y222" s="207"/>
      <c r="Z222" s="202"/>
      <c r="AA222" s="207"/>
      <c r="AB222" s="202"/>
      <c r="AC222" s="208"/>
      <c r="AD222" s="202"/>
      <c r="AE222" s="203">
        <f t="shared" si="5"/>
        <v>0</v>
      </c>
      <c r="AF222" s="202"/>
      <c r="AG222" s="204"/>
      <c r="AH222" s="202"/>
      <c r="AI222" s="204"/>
      <c r="AJ222" s="202"/>
      <c r="AK222" s="204"/>
      <c r="AL222" s="202"/>
      <c r="AM222" s="204"/>
      <c r="AN222" s="202"/>
      <c r="AO222" s="204"/>
      <c r="AP222" s="202"/>
      <c r="AQ222" s="208"/>
      <c r="AR222" s="202"/>
      <c r="AS222" s="203">
        <f t="shared" si="6"/>
        <v>0</v>
      </c>
      <c r="AT222" s="202"/>
      <c r="AU222" s="204"/>
      <c r="AV222" s="202"/>
      <c r="AW222" s="204"/>
      <c r="AX222" s="202"/>
      <c r="AY222" s="204"/>
      <c r="AZ222" s="202"/>
      <c r="BA222" s="204"/>
      <c r="BB222" s="202"/>
      <c r="BC222" s="204"/>
      <c r="BD222" s="202"/>
      <c r="BE222" s="208"/>
      <c r="BF222" s="202"/>
      <c r="BG222" s="203">
        <f t="shared" si="7"/>
        <v>0</v>
      </c>
      <c r="BH222" s="202"/>
      <c r="BI222" s="204"/>
      <c r="BJ222" s="202"/>
      <c r="BK222" s="204"/>
      <c r="BL222" s="202"/>
      <c r="BM222" s="204"/>
      <c r="BN222" s="202"/>
      <c r="BO222" s="203">
        <f t="shared" si="8"/>
        <v>0</v>
      </c>
      <c r="BP222" s="202"/>
      <c r="BQ222" s="138"/>
      <c r="BR222" s="128"/>
      <c r="BS222" s="128"/>
      <c r="BT222" s="128"/>
      <c r="BU222" s="128"/>
      <c r="BV222" s="128"/>
      <c r="BW222" s="139"/>
      <c r="BX222" s="140"/>
      <c r="BY222" s="139"/>
      <c r="BZ222" s="139"/>
      <c r="CA222" s="134"/>
      <c r="CB222" s="134"/>
      <c r="CC222" s="134"/>
      <c r="CD222" s="134"/>
      <c r="CE222" s="134"/>
      <c r="CF222" s="134"/>
      <c r="CG222" s="92"/>
      <c r="CH222" s="92"/>
      <c r="CI222" s="92"/>
      <c r="CJ222" s="92"/>
      <c r="CK222" s="92"/>
    </row>
    <row r="223" spans="1:89" ht="17.25" customHeight="1">
      <c r="A223" s="160"/>
      <c r="B223" s="165"/>
      <c r="C223" s="164"/>
      <c r="D223" s="137">
        <f t="shared" si="3"/>
        <v>0</v>
      </c>
      <c r="E223" s="207"/>
      <c r="F223" s="202"/>
      <c r="G223" s="207"/>
      <c r="H223" s="202"/>
      <c r="I223" s="207"/>
      <c r="J223" s="202"/>
      <c r="K223" s="207"/>
      <c r="L223" s="202"/>
      <c r="M223" s="207"/>
      <c r="N223" s="202"/>
      <c r="O223" s="201"/>
      <c r="P223" s="202"/>
      <c r="Q223" s="203">
        <f t="shared" si="4"/>
        <v>0</v>
      </c>
      <c r="R223" s="202"/>
      <c r="S223" s="207"/>
      <c r="T223" s="202"/>
      <c r="U223" s="207"/>
      <c r="V223" s="202"/>
      <c r="W223" s="207"/>
      <c r="X223" s="202"/>
      <c r="Y223" s="207"/>
      <c r="Z223" s="202"/>
      <c r="AA223" s="207"/>
      <c r="AB223" s="202"/>
      <c r="AC223" s="208"/>
      <c r="AD223" s="202"/>
      <c r="AE223" s="203">
        <f t="shared" si="5"/>
        <v>0</v>
      </c>
      <c r="AF223" s="202"/>
      <c r="AG223" s="204"/>
      <c r="AH223" s="202"/>
      <c r="AI223" s="204"/>
      <c r="AJ223" s="202"/>
      <c r="AK223" s="204"/>
      <c r="AL223" s="202"/>
      <c r="AM223" s="204"/>
      <c r="AN223" s="202"/>
      <c r="AO223" s="204"/>
      <c r="AP223" s="202"/>
      <c r="AQ223" s="208"/>
      <c r="AR223" s="202"/>
      <c r="AS223" s="203">
        <f t="shared" si="6"/>
        <v>0</v>
      </c>
      <c r="AT223" s="202"/>
      <c r="AU223" s="204"/>
      <c r="AV223" s="202"/>
      <c r="AW223" s="204"/>
      <c r="AX223" s="202"/>
      <c r="AY223" s="204"/>
      <c r="AZ223" s="202"/>
      <c r="BA223" s="204"/>
      <c r="BB223" s="202"/>
      <c r="BC223" s="204"/>
      <c r="BD223" s="202"/>
      <c r="BE223" s="208"/>
      <c r="BF223" s="202"/>
      <c r="BG223" s="203">
        <f t="shared" si="7"/>
        <v>0</v>
      </c>
      <c r="BH223" s="202"/>
      <c r="BI223" s="204"/>
      <c r="BJ223" s="202"/>
      <c r="BK223" s="204"/>
      <c r="BL223" s="202"/>
      <c r="BM223" s="204"/>
      <c r="BN223" s="202"/>
      <c r="BO223" s="203">
        <f t="shared" si="8"/>
        <v>0</v>
      </c>
      <c r="BP223" s="202"/>
      <c r="BQ223" s="138"/>
      <c r="BR223" s="128"/>
      <c r="BS223" s="128"/>
      <c r="BT223" s="128"/>
      <c r="BU223" s="128"/>
      <c r="BV223" s="128"/>
      <c r="BW223" s="139"/>
      <c r="BX223" s="140"/>
      <c r="BY223" s="139"/>
      <c r="BZ223" s="139"/>
      <c r="CA223" s="134"/>
      <c r="CB223" s="134"/>
      <c r="CC223" s="134"/>
      <c r="CD223" s="134"/>
      <c r="CE223" s="134"/>
      <c r="CF223" s="134"/>
      <c r="CG223" s="92"/>
      <c r="CH223" s="92"/>
      <c r="CI223" s="92"/>
      <c r="CJ223" s="92"/>
      <c r="CK223" s="92"/>
    </row>
    <row r="224" spans="1:89" ht="17.25" customHeight="1">
      <c r="A224" s="160"/>
      <c r="B224" s="165"/>
      <c r="C224" s="164"/>
      <c r="D224" s="137">
        <f t="shared" si="3"/>
        <v>0</v>
      </c>
      <c r="E224" s="207"/>
      <c r="F224" s="202"/>
      <c r="G224" s="207"/>
      <c r="H224" s="202"/>
      <c r="I224" s="207"/>
      <c r="J224" s="202"/>
      <c r="K224" s="207"/>
      <c r="L224" s="202"/>
      <c r="M224" s="207"/>
      <c r="N224" s="202"/>
      <c r="O224" s="201"/>
      <c r="P224" s="202"/>
      <c r="Q224" s="203">
        <f t="shared" si="4"/>
        <v>0</v>
      </c>
      <c r="R224" s="202"/>
      <c r="S224" s="207"/>
      <c r="T224" s="202"/>
      <c r="U224" s="207"/>
      <c r="V224" s="202"/>
      <c r="W224" s="207"/>
      <c r="X224" s="202"/>
      <c r="Y224" s="207"/>
      <c r="Z224" s="202"/>
      <c r="AA224" s="207"/>
      <c r="AB224" s="202"/>
      <c r="AC224" s="208"/>
      <c r="AD224" s="202"/>
      <c r="AE224" s="203">
        <f t="shared" si="5"/>
        <v>0</v>
      </c>
      <c r="AF224" s="202"/>
      <c r="AG224" s="204"/>
      <c r="AH224" s="202"/>
      <c r="AI224" s="204"/>
      <c r="AJ224" s="202"/>
      <c r="AK224" s="204"/>
      <c r="AL224" s="202"/>
      <c r="AM224" s="204"/>
      <c r="AN224" s="202"/>
      <c r="AO224" s="204"/>
      <c r="AP224" s="202"/>
      <c r="AQ224" s="208"/>
      <c r="AR224" s="202"/>
      <c r="AS224" s="203">
        <f t="shared" si="6"/>
        <v>0</v>
      </c>
      <c r="AT224" s="202"/>
      <c r="AU224" s="204"/>
      <c r="AV224" s="202"/>
      <c r="AW224" s="204"/>
      <c r="AX224" s="202"/>
      <c r="AY224" s="204"/>
      <c r="AZ224" s="202"/>
      <c r="BA224" s="204"/>
      <c r="BB224" s="202"/>
      <c r="BC224" s="204"/>
      <c r="BD224" s="202"/>
      <c r="BE224" s="208"/>
      <c r="BF224" s="202"/>
      <c r="BG224" s="203">
        <f t="shared" si="7"/>
        <v>0</v>
      </c>
      <c r="BH224" s="202"/>
      <c r="BI224" s="204"/>
      <c r="BJ224" s="202"/>
      <c r="BK224" s="204"/>
      <c r="BL224" s="202"/>
      <c r="BM224" s="204"/>
      <c r="BN224" s="202"/>
      <c r="BO224" s="203">
        <f t="shared" si="8"/>
        <v>0</v>
      </c>
      <c r="BP224" s="202"/>
      <c r="BQ224" s="138"/>
      <c r="BR224" s="128"/>
      <c r="BS224" s="128"/>
      <c r="BT224" s="128"/>
      <c r="BU224" s="128"/>
      <c r="BV224" s="128"/>
      <c r="BW224" s="139"/>
      <c r="BX224" s="140"/>
      <c r="BY224" s="139"/>
      <c r="BZ224" s="139"/>
      <c r="CA224" s="134"/>
      <c r="CB224" s="134"/>
      <c r="CC224" s="134"/>
      <c r="CD224" s="134"/>
      <c r="CE224" s="134"/>
      <c r="CF224" s="134"/>
      <c r="CG224" s="92"/>
      <c r="CH224" s="92"/>
      <c r="CI224" s="92"/>
      <c r="CJ224" s="92"/>
      <c r="CK224" s="92"/>
    </row>
    <row r="225" spans="1:89" ht="17.25" customHeight="1">
      <c r="A225" s="160"/>
      <c r="B225" s="165"/>
      <c r="C225" s="164"/>
      <c r="D225" s="137">
        <f t="shared" si="3"/>
        <v>0</v>
      </c>
      <c r="E225" s="207"/>
      <c r="F225" s="202"/>
      <c r="G225" s="207"/>
      <c r="H225" s="202"/>
      <c r="I225" s="207"/>
      <c r="J225" s="202"/>
      <c r="K225" s="207"/>
      <c r="L225" s="202"/>
      <c r="M225" s="207"/>
      <c r="N225" s="202"/>
      <c r="O225" s="201"/>
      <c r="P225" s="202"/>
      <c r="Q225" s="203">
        <f t="shared" si="4"/>
        <v>0</v>
      </c>
      <c r="R225" s="202"/>
      <c r="S225" s="207"/>
      <c r="T225" s="202"/>
      <c r="U225" s="207"/>
      <c r="V225" s="202"/>
      <c r="W225" s="207"/>
      <c r="X225" s="202"/>
      <c r="Y225" s="207"/>
      <c r="Z225" s="202"/>
      <c r="AA225" s="207"/>
      <c r="AB225" s="202"/>
      <c r="AC225" s="208"/>
      <c r="AD225" s="202"/>
      <c r="AE225" s="203">
        <f t="shared" si="5"/>
        <v>0</v>
      </c>
      <c r="AF225" s="202"/>
      <c r="AG225" s="204"/>
      <c r="AH225" s="202"/>
      <c r="AI225" s="204"/>
      <c r="AJ225" s="202"/>
      <c r="AK225" s="204"/>
      <c r="AL225" s="202"/>
      <c r="AM225" s="204"/>
      <c r="AN225" s="202"/>
      <c r="AO225" s="204"/>
      <c r="AP225" s="202"/>
      <c r="AQ225" s="208"/>
      <c r="AR225" s="202"/>
      <c r="AS225" s="203">
        <f t="shared" si="6"/>
        <v>0</v>
      </c>
      <c r="AT225" s="202"/>
      <c r="AU225" s="204"/>
      <c r="AV225" s="202"/>
      <c r="AW225" s="204"/>
      <c r="AX225" s="202"/>
      <c r="AY225" s="204"/>
      <c r="AZ225" s="202"/>
      <c r="BA225" s="204"/>
      <c r="BB225" s="202"/>
      <c r="BC225" s="204"/>
      <c r="BD225" s="202"/>
      <c r="BE225" s="208"/>
      <c r="BF225" s="202"/>
      <c r="BG225" s="203">
        <f t="shared" si="7"/>
        <v>0</v>
      </c>
      <c r="BH225" s="202"/>
      <c r="BI225" s="204"/>
      <c r="BJ225" s="202"/>
      <c r="BK225" s="204"/>
      <c r="BL225" s="202"/>
      <c r="BM225" s="204"/>
      <c r="BN225" s="202"/>
      <c r="BO225" s="203">
        <f t="shared" si="8"/>
        <v>0</v>
      </c>
      <c r="BP225" s="202"/>
      <c r="BQ225" s="138"/>
      <c r="BR225" s="128"/>
      <c r="BS225" s="128"/>
      <c r="BT225" s="128"/>
      <c r="BU225" s="128"/>
      <c r="BV225" s="128"/>
      <c r="BW225" s="139"/>
      <c r="BX225" s="140"/>
      <c r="BY225" s="139"/>
      <c r="BZ225" s="139"/>
      <c r="CA225" s="134"/>
      <c r="CB225" s="134"/>
      <c r="CC225" s="134"/>
      <c r="CD225" s="134"/>
      <c r="CE225" s="134"/>
      <c r="CF225" s="134"/>
      <c r="CG225" s="92"/>
      <c r="CH225" s="92"/>
      <c r="CI225" s="92"/>
      <c r="CJ225" s="92"/>
      <c r="CK225" s="92"/>
    </row>
    <row r="226" spans="1:89" ht="17.25" customHeight="1">
      <c r="A226" s="160"/>
      <c r="B226" s="165"/>
      <c r="C226" s="164"/>
      <c r="D226" s="137">
        <f t="shared" si="3"/>
        <v>0</v>
      </c>
      <c r="E226" s="207"/>
      <c r="F226" s="202"/>
      <c r="G226" s="207"/>
      <c r="H226" s="202"/>
      <c r="I226" s="207"/>
      <c r="J226" s="202"/>
      <c r="K226" s="207"/>
      <c r="L226" s="202"/>
      <c r="M226" s="207"/>
      <c r="N226" s="202"/>
      <c r="O226" s="201"/>
      <c r="P226" s="202"/>
      <c r="Q226" s="203">
        <f t="shared" si="4"/>
        <v>0</v>
      </c>
      <c r="R226" s="202"/>
      <c r="S226" s="207"/>
      <c r="T226" s="202"/>
      <c r="U226" s="207"/>
      <c r="V226" s="202"/>
      <c r="W226" s="207"/>
      <c r="X226" s="202"/>
      <c r="Y226" s="207"/>
      <c r="Z226" s="202"/>
      <c r="AA226" s="207"/>
      <c r="AB226" s="202"/>
      <c r="AC226" s="208"/>
      <c r="AD226" s="202"/>
      <c r="AE226" s="203">
        <f t="shared" si="5"/>
        <v>0</v>
      </c>
      <c r="AF226" s="202"/>
      <c r="AG226" s="204"/>
      <c r="AH226" s="202"/>
      <c r="AI226" s="204"/>
      <c r="AJ226" s="202"/>
      <c r="AK226" s="204"/>
      <c r="AL226" s="202"/>
      <c r="AM226" s="204"/>
      <c r="AN226" s="202"/>
      <c r="AO226" s="204"/>
      <c r="AP226" s="202"/>
      <c r="AQ226" s="208"/>
      <c r="AR226" s="202"/>
      <c r="AS226" s="203">
        <f t="shared" si="6"/>
        <v>0</v>
      </c>
      <c r="AT226" s="202"/>
      <c r="AU226" s="204"/>
      <c r="AV226" s="202"/>
      <c r="AW226" s="204"/>
      <c r="AX226" s="202"/>
      <c r="AY226" s="204"/>
      <c r="AZ226" s="202"/>
      <c r="BA226" s="204"/>
      <c r="BB226" s="202"/>
      <c r="BC226" s="204"/>
      <c r="BD226" s="202"/>
      <c r="BE226" s="208"/>
      <c r="BF226" s="202"/>
      <c r="BG226" s="203">
        <f t="shared" si="7"/>
        <v>0</v>
      </c>
      <c r="BH226" s="202"/>
      <c r="BI226" s="204"/>
      <c r="BJ226" s="202"/>
      <c r="BK226" s="204"/>
      <c r="BL226" s="202"/>
      <c r="BM226" s="204"/>
      <c r="BN226" s="202"/>
      <c r="BO226" s="203">
        <f t="shared" si="8"/>
        <v>0</v>
      </c>
      <c r="BP226" s="202"/>
      <c r="BQ226" s="138"/>
      <c r="BR226" s="128"/>
      <c r="BS226" s="128"/>
      <c r="BT226" s="128"/>
      <c r="BU226" s="128"/>
      <c r="BV226" s="128"/>
      <c r="BW226" s="139"/>
      <c r="BX226" s="140"/>
      <c r="BY226" s="139"/>
      <c r="BZ226" s="139"/>
      <c r="CA226" s="134"/>
      <c r="CB226" s="134"/>
      <c r="CC226" s="134"/>
      <c r="CD226" s="134"/>
      <c r="CE226" s="134"/>
      <c r="CF226" s="134"/>
      <c r="CG226" s="92"/>
      <c r="CH226" s="92"/>
      <c r="CI226" s="92"/>
      <c r="CJ226" s="92"/>
      <c r="CK226" s="92"/>
    </row>
    <row r="227" spans="1:89" ht="17.25" customHeight="1">
      <c r="A227" s="160"/>
      <c r="B227" s="165"/>
      <c r="C227" s="164"/>
      <c r="D227" s="137">
        <f t="shared" si="3"/>
        <v>0</v>
      </c>
      <c r="E227" s="207"/>
      <c r="F227" s="202"/>
      <c r="G227" s="207"/>
      <c r="H227" s="202"/>
      <c r="I227" s="207"/>
      <c r="J227" s="202"/>
      <c r="K227" s="207"/>
      <c r="L227" s="202"/>
      <c r="M227" s="207"/>
      <c r="N227" s="202"/>
      <c r="O227" s="201"/>
      <c r="P227" s="202"/>
      <c r="Q227" s="203">
        <f t="shared" si="4"/>
        <v>0</v>
      </c>
      <c r="R227" s="202"/>
      <c r="S227" s="207"/>
      <c r="T227" s="202"/>
      <c r="U227" s="207"/>
      <c r="V227" s="202"/>
      <c r="W227" s="207"/>
      <c r="X227" s="202"/>
      <c r="Y227" s="207"/>
      <c r="Z227" s="202"/>
      <c r="AA227" s="207"/>
      <c r="AB227" s="202"/>
      <c r="AC227" s="208"/>
      <c r="AD227" s="202"/>
      <c r="AE227" s="203">
        <f t="shared" si="5"/>
        <v>0</v>
      </c>
      <c r="AF227" s="202"/>
      <c r="AG227" s="204"/>
      <c r="AH227" s="202"/>
      <c r="AI227" s="204"/>
      <c r="AJ227" s="202"/>
      <c r="AK227" s="204"/>
      <c r="AL227" s="202"/>
      <c r="AM227" s="204"/>
      <c r="AN227" s="202"/>
      <c r="AO227" s="204"/>
      <c r="AP227" s="202"/>
      <c r="AQ227" s="208"/>
      <c r="AR227" s="202"/>
      <c r="AS227" s="203">
        <f t="shared" si="6"/>
        <v>0</v>
      </c>
      <c r="AT227" s="202"/>
      <c r="AU227" s="204"/>
      <c r="AV227" s="202"/>
      <c r="AW227" s="204"/>
      <c r="AX227" s="202"/>
      <c r="AY227" s="204"/>
      <c r="AZ227" s="202"/>
      <c r="BA227" s="204"/>
      <c r="BB227" s="202"/>
      <c r="BC227" s="204"/>
      <c r="BD227" s="202"/>
      <c r="BE227" s="208"/>
      <c r="BF227" s="202"/>
      <c r="BG227" s="203">
        <f t="shared" si="7"/>
        <v>0</v>
      </c>
      <c r="BH227" s="202"/>
      <c r="BI227" s="204"/>
      <c r="BJ227" s="202"/>
      <c r="BK227" s="204"/>
      <c r="BL227" s="202"/>
      <c r="BM227" s="204"/>
      <c r="BN227" s="202"/>
      <c r="BO227" s="203">
        <f t="shared" si="8"/>
        <v>0</v>
      </c>
      <c r="BP227" s="202"/>
      <c r="BQ227" s="138"/>
      <c r="BR227" s="128"/>
      <c r="BS227" s="128"/>
      <c r="BT227" s="128"/>
      <c r="BU227" s="128"/>
      <c r="BV227" s="128"/>
      <c r="BW227" s="139"/>
      <c r="BX227" s="140"/>
      <c r="BY227" s="139"/>
      <c r="BZ227" s="139"/>
      <c r="CA227" s="134"/>
      <c r="CB227" s="134"/>
      <c r="CC227" s="134"/>
      <c r="CD227" s="134"/>
      <c r="CE227" s="134"/>
      <c r="CF227" s="134"/>
      <c r="CG227" s="92"/>
      <c r="CH227" s="92"/>
      <c r="CI227" s="92"/>
      <c r="CJ227" s="92"/>
      <c r="CK227" s="92"/>
    </row>
    <row r="228" spans="1:89" ht="17.25" customHeight="1">
      <c r="A228" s="160"/>
      <c r="B228" s="165"/>
      <c r="C228" s="164"/>
      <c r="D228" s="137">
        <f t="shared" si="3"/>
        <v>0</v>
      </c>
      <c r="E228" s="207"/>
      <c r="F228" s="202"/>
      <c r="G228" s="207"/>
      <c r="H228" s="202"/>
      <c r="I228" s="207"/>
      <c r="J228" s="202"/>
      <c r="K228" s="207"/>
      <c r="L228" s="202"/>
      <c r="M228" s="207"/>
      <c r="N228" s="202"/>
      <c r="O228" s="201"/>
      <c r="P228" s="202"/>
      <c r="Q228" s="203">
        <f t="shared" si="4"/>
        <v>0</v>
      </c>
      <c r="R228" s="202"/>
      <c r="S228" s="207"/>
      <c r="T228" s="202"/>
      <c r="U228" s="207"/>
      <c r="V228" s="202"/>
      <c r="W228" s="207"/>
      <c r="X228" s="202"/>
      <c r="Y228" s="207"/>
      <c r="Z228" s="202"/>
      <c r="AA228" s="207"/>
      <c r="AB228" s="202"/>
      <c r="AC228" s="208"/>
      <c r="AD228" s="202"/>
      <c r="AE228" s="203">
        <f t="shared" si="5"/>
        <v>0</v>
      </c>
      <c r="AF228" s="202"/>
      <c r="AG228" s="204"/>
      <c r="AH228" s="202"/>
      <c r="AI228" s="204"/>
      <c r="AJ228" s="202"/>
      <c r="AK228" s="204"/>
      <c r="AL228" s="202"/>
      <c r="AM228" s="204"/>
      <c r="AN228" s="202"/>
      <c r="AO228" s="204"/>
      <c r="AP228" s="202"/>
      <c r="AQ228" s="208"/>
      <c r="AR228" s="202"/>
      <c r="AS228" s="203">
        <f t="shared" si="6"/>
        <v>0</v>
      </c>
      <c r="AT228" s="202"/>
      <c r="AU228" s="204"/>
      <c r="AV228" s="202"/>
      <c r="AW228" s="204"/>
      <c r="AX228" s="202"/>
      <c r="AY228" s="204"/>
      <c r="AZ228" s="202"/>
      <c r="BA228" s="204"/>
      <c r="BB228" s="202"/>
      <c r="BC228" s="204"/>
      <c r="BD228" s="202"/>
      <c r="BE228" s="208"/>
      <c r="BF228" s="202"/>
      <c r="BG228" s="203">
        <f t="shared" si="7"/>
        <v>0</v>
      </c>
      <c r="BH228" s="202"/>
      <c r="BI228" s="204"/>
      <c r="BJ228" s="202"/>
      <c r="BK228" s="204"/>
      <c r="BL228" s="202"/>
      <c r="BM228" s="204"/>
      <c r="BN228" s="202"/>
      <c r="BO228" s="203">
        <f t="shared" si="8"/>
        <v>0</v>
      </c>
      <c r="BP228" s="202"/>
      <c r="BQ228" s="138"/>
      <c r="BR228" s="128"/>
      <c r="BS228" s="128"/>
      <c r="BT228" s="128"/>
      <c r="BU228" s="128"/>
      <c r="BV228" s="128"/>
      <c r="BW228" s="139"/>
      <c r="BX228" s="140"/>
      <c r="BY228" s="139"/>
      <c r="BZ228" s="139"/>
      <c r="CA228" s="134"/>
      <c r="CB228" s="134"/>
      <c r="CC228" s="134"/>
      <c r="CD228" s="134"/>
      <c r="CE228" s="134"/>
      <c r="CF228" s="134"/>
      <c r="CG228" s="92"/>
      <c r="CH228" s="92"/>
      <c r="CI228" s="92"/>
      <c r="CJ228" s="92"/>
      <c r="CK228" s="92"/>
    </row>
    <row r="229" spans="1:89" ht="17.25" customHeight="1">
      <c r="A229" s="160"/>
      <c r="B229" s="165"/>
      <c r="C229" s="164"/>
      <c r="D229" s="137">
        <f t="shared" si="3"/>
        <v>0</v>
      </c>
      <c r="E229" s="207"/>
      <c r="F229" s="202"/>
      <c r="G229" s="207"/>
      <c r="H229" s="202"/>
      <c r="I229" s="207"/>
      <c r="J229" s="202"/>
      <c r="K229" s="207"/>
      <c r="L229" s="202"/>
      <c r="M229" s="207"/>
      <c r="N229" s="202"/>
      <c r="O229" s="201"/>
      <c r="P229" s="202"/>
      <c r="Q229" s="203">
        <f t="shared" si="4"/>
        <v>0</v>
      </c>
      <c r="R229" s="202"/>
      <c r="S229" s="207"/>
      <c r="T229" s="202"/>
      <c r="U229" s="207"/>
      <c r="V229" s="202"/>
      <c r="W229" s="207"/>
      <c r="X229" s="202"/>
      <c r="Y229" s="207"/>
      <c r="Z229" s="202"/>
      <c r="AA229" s="207"/>
      <c r="AB229" s="202"/>
      <c r="AC229" s="208"/>
      <c r="AD229" s="202"/>
      <c r="AE229" s="203">
        <f t="shared" si="5"/>
        <v>0</v>
      </c>
      <c r="AF229" s="202"/>
      <c r="AG229" s="204"/>
      <c r="AH229" s="202"/>
      <c r="AI229" s="204"/>
      <c r="AJ229" s="202"/>
      <c r="AK229" s="204"/>
      <c r="AL229" s="202"/>
      <c r="AM229" s="204"/>
      <c r="AN229" s="202"/>
      <c r="AO229" s="204"/>
      <c r="AP229" s="202"/>
      <c r="AQ229" s="208"/>
      <c r="AR229" s="202"/>
      <c r="AS229" s="203">
        <f t="shared" si="6"/>
        <v>0</v>
      </c>
      <c r="AT229" s="202"/>
      <c r="AU229" s="204"/>
      <c r="AV229" s="202"/>
      <c r="AW229" s="204"/>
      <c r="AX229" s="202"/>
      <c r="AY229" s="204"/>
      <c r="AZ229" s="202"/>
      <c r="BA229" s="204"/>
      <c r="BB229" s="202"/>
      <c r="BC229" s="204"/>
      <c r="BD229" s="202"/>
      <c r="BE229" s="208"/>
      <c r="BF229" s="202"/>
      <c r="BG229" s="203">
        <f t="shared" si="7"/>
        <v>0</v>
      </c>
      <c r="BH229" s="202"/>
      <c r="BI229" s="204"/>
      <c r="BJ229" s="202"/>
      <c r="BK229" s="204"/>
      <c r="BL229" s="202"/>
      <c r="BM229" s="204"/>
      <c r="BN229" s="202"/>
      <c r="BO229" s="203">
        <f t="shared" si="8"/>
        <v>0</v>
      </c>
      <c r="BP229" s="202"/>
      <c r="BQ229" s="138"/>
      <c r="BR229" s="128"/>
      <c r="BS229" s="128"/>
      <c r="BT229" s="128"/>
      <c r="BU229" s="128"/>
      <c r="BV229" s="128"/>
      <c r="BW229" s="139"/>
      <c r="BX229" s="140"/>
      <c r="BY229" s="139"/>
      <c r="BZ229" s="139"/>
      <c r="CA229" s="134"/>
      <c r="CB229" s="134"/>
      <c r="CC229" s="134"/>
      <c r="CD229" s="134"/>
      <c r="CE229" s="134"/>
      <c r="CF229" s="134"/>
      <c r="CG229" s="92"/>
      <c r="CH229" s="92"/>
      <c r="CI229" s="92"/>
      <c r="CJ229" s="92"/>
      <c r="CK229" s="92"/>
    </row>
    <row r="230" spans="1:89" ht="17.25" customHeight="1">
      <c r="A230" s="160"/>
      <c r="B230" s="165"/>
      <c r="C230" s="164"/>
      <c r="D230" s="137">
        <f t="shared" si="3"/>
        <v>0</v>
      </c>
      <c r="E230" s="207"/>
      <c r="F230" s="202"/>
      <c r="G230" s="207"/>
      <c r="H230" s="202"/>
      <c r="I230" s="207"/>
      <c r="J230" s="202"/>
      <c r="K230" s="207"/>
      <c r="L230" s="202"/>
      <c r="M230" s="207"/>
      <c r="N230" s="202"/>
      <c r="O230" s="201"/>
      <c r="P230" s="202"/>
      <c r="Q230" s="203">
        <f t="shared" si="4"/>
        <v>0</v>
      </c>
      <c r="R230" s="202"/>
      <c r="S230" s="207"/>
      <c r="T230" s="202"/>
      <c r="U230" s="207"/>
      <c r="V230" s="202"/>
      <c r="W230" s="207"/>
      <c r="X230" s="202"/>
      <c r="Y230" s="207"/>
      <c r="Z230" s="202"/>
      <c r="AA230" s="207"/>
      <c r="AB230" s="202"/>
      <c r="AC230" s="208"/>
      <c r="AD230" s="202"/>
      <c r="AE230" s="203">
        <f t="shared" si="5"/>
        <v>0</v>
      </c>
      <c r="AF230" s="202"/>
      <c r="AG230" s="204"/>
      <c r="AH230" s="202"/>
      <c r="AI230" s="204"/>
      <c r="AJ230" s="202"/>
      <c r="AK230" s="204"/>
      <c r="AL230" s="202"/>
      <c r="AM230" s="204"/>
      <c r="AN230" s="202"/>
      <c r="AO230" s="204"/>
      <c r="AP230" s="202"/>
      <c r="AQ230" s="208"/>
      <c r="AR230" s="202"/>
      <c r="AS230" s="203">
        <f t="shared" si="6"/>
        <v>0</v>
      </c>
      <c r="AT230" s="202"/>
      <c r="AU230" s="204"/>
      <c r="AV230" s="202"/>
      <c r="AW230" s="204"/>
      <c r="AX230" s="202"/>
      <c r="AY230" s="204"/>
      <c r="AZ230" s="202"/>
      <c r="BA230" s="204"/>
      <c r="BB230" s="202"/>
      <c r="BC230" s="204"/>
      <c r="BD230" s="202"/>
      <c r="BE230" s="208"/>
      <c r="BF230" s="202"/>
      <c r="BG230" s="203">
        <f t="shared" si="7"/>
        <v>0</v>
      </c>
      <c r="BH230" s="202"/>
      <c r="BI230" s="204"/>
      <c r="BJ230" s="202"/>
      <c r="BK230" s="204"/>
      <c r="BL230" s="202"/>
      <c r="BM230" s="204"/>
      <c r="BN230" s="202"/>
      <c r="BO230" s="203">
        <f t="shared" si="8"/>
        <v>0</v>
      </c>
      <c r="BP230" s="202"/>
      <c r="BQ230" s="138"/>
      <c r="BR230" s="128"/>
      <c r="BS230" s="128"/>
      <c r="BT230" s="128"/>
      <c r="BU230" s="128"/>
      <c r="BV230" s="128"/>
      <c r="BW230" s="139"/>
      <c r="BX230" s="140"/>
      <c r="BY230" s="139"/>
      <c r="BZ230" s="139"/>
      <c r="CA230" s="134"/>
      <c r="CB230" s="134"/>
      <c r="CC230" s="134"/>
      <c r="CD230" s="134"/>
      <c r="CE230" s="134"/>
      <c r="CF230" s="134"/>
      <c r="CG230" s="92"/>
      <c r="CH230" s="92"/>
      <c r="CI230" s="92"/>
      <c r="CJ230" s="92"/>
      <c r="CK230" s="92"/>
    </row>
    <row r="231" spans="1:89" ht="17.25" customHeight="1">
      <c r="A231" s="160"/>
      <c r="B231" s="165"/>
      <c r="C231" s="164"/>
      <c r="D231" s="137">
        <f t="shared" si="3"/>
        <v>0</v>
      </c>
      <c r="E231" s="207"/>
      <c r="F231" s="202"/>
      <c r="G231" s="207"/>
      <c r="H231" s="202"/>
      <c r="I231" s="207"/>
      <c r="J231" s="202"/>
      <c r="K231" s="207"/>
      <c r="L231" s="202"/>
      <c r="M231" s="207"/>
      <c r="N231" s="202"/>
      <c r="O231" s="201"/>
      <c r="P231" s="202"/>
      <c r="Q231" s="203">
        <f t="shared" si="4"/>
        <v>0</v>
      </c>
      <c r="R231" s="202"/>
      <c r="S231" s="207"/>
      <c r="T231" s="202"/>
      <c r="U231" s="207"/>
      <c r="V231" s="202"/>
      <c r="W231" s="207"/>
      <c r="X231" s="202"/>
      <c r="Y231" s="207"/>
      <c r="Z231" s="202"/>
      <c r="AA231" s="207"/>
      <c r="AB231" s="202"/>
      <c r="AC231" s="208"/>
      <c r="AD231" s="202"/>
      <c r="AE231" s="203">
        <f t="shared" si="5"/>
        <v>0</v>
      </c>
      <c r="AF231" s="202"/>
      <c r="AG231" s="204"/>
      <c r="AH231" s="202"/>
      <c r="AI231" s="204"/>
      <c r="AJ231" s="202"/>
      <c r="AK231" s="204"/>
      <c r="AL231" s="202"/>
      <c r="AM231" s="204"/>
      <c r="AN231" s="202"/>
      <c r="AO231" s="204"/>
      <c r="AP231" s="202"/>
      <c r="AQ231" s="208"/>
      <c r="AR231" s="202"/>
      <c r="AS231" s="203">
        <f t="shared" si="6"/>
        <v>0</v>
      </c>
      <c r="AT231" s="202"/>
      <c r="AU231" s="204"/>
      <c r="AV231" s="202"/>
      <c r="AW231" s="204"/>
      <c r="AX231" s="202"/>
      <c r="AY231" s="204"/>
      <c r="AZ231" s="202"/>
      <c r="BA231" s="204"/>
      <c r="BB231" s="202"/>
      <c r="BC231" s="204"/>
      <c r="BD231" s="202"/>
      <c r="BE231" s="208"/>
      <c r="BF231" s="202"/>
      <c r="BG231" s="203">
        <f t="shared" si="7"/>
        <v>0</v>
      </c>
      <c r="BH231" s="202"/>
      <c r="BI231" s="204"/>
      <c r="BJ231" s="202"/>
      <c r="BK231" s="204"/>
      <c r="BL231" s="202"/>
      <c r="BM231" s="204"/>
      <c r="BN231" s="202"/>
      <c r="BO231" s="203">
        <f t="shared" si="8"/>
        <v>0</v>
      </c>
      <c r="BP231" s="202"/>
      <c r="BQ231" s="138"/>
      <c r="BR231" s="128"/>
      <c r="BS231" s="128"/>
      <c r="BT231" s="128"/>
      <c r="BU231" s="128"/>
      <c r="BV231" s="128"/>
      <c r="BW231" s="139"/>
      <c r="BX231" s="140"/>
      <c r="BY231" s="139"/>
      <c r="BZ231" s="139"/>
      <c r="CA231" s="134"/>
      <c r="CB231" s="134"/>
      <c r="CC231" s="134"/>
      <c r="CD231" s="134"/>
      <c r="CE231" s="134"/>
      <c r="CF231" s="134"/>
      <c r="CG231" s="92"/>
      <c r="CH231" s="92"/>
      <c r="CI231" s="92"/>
      <c r="CJ231" s="92"/>
      <c r="CK231" s="92"/>
    </row>
    <row r="232" spans="1:89" ht="17.25" customHeight="1">
      <c r="A232" s="160"/>
      <c r="B232" s="165"/>
      <c r="C232" s="164"/>
      <c r="D232" s="137">
        <f t="shared" si="3"/>
        <v>0</v>
      </c>
      <c r="E232" s="207"/>
      <c r="F232" s="202"/>
      <c r="G232" s="207"/>
      <c r="H232" s="202"/>
      <c r="I232" s="207"/>
      <c r="J232" s="202"/>
      <c r="K232" s="207"/>
      <c r="L232" s="202"/>
      <c r="M232" s="207"/>
      <c r="N232" s="202"/>
      <c r="O232" s="201"/>
      <c r="P232" s="202"/>
      <c r="Q232" s="203">
        <f t="shared" si="4"/>
        <v>0</v>
      </c>
      <c r="R232" s="202"/>
      <c r="S232" s="207"/>
      <c r="T232" s="202"/>
      <c r="U232" s="207"/>
      <c r="V232" s="202"/>
      <c r="W232" s="207"/>
      <c r="X232" s="202"/>
      <c r="Y232" s="207"/>
      <c r="Z232" s="202"/>
      <c r="AA232" s="207"/>
      <c r="AB232" s="202"/>
      <c r="AC232" s="208"/>
      <c r="AD232" s="202"/>
      <c r="AE232" s="203">
        <f t="shared" si="5"/>
        <v>0</v>
      </c>
      <c r="AF232" s="202"/>
      <c r="AG232" s="204"/>
      <c r="AH232" s="202"/>
      <c r="AI232" s="204"/>
      <c r="AJ232" s="202"/>
      <c r="AK232" s="204"/>
      <c r="AL232" s="202"/>
      <c r="AM232" s="204"/>
      <c r="AN232" s="202"/>
      <c r="AO232" s="204"/>
      <c r="AP232" s="202"/>
      <c r="AQ232" s="208"/>
      <c r="AR232" s="202"/>
      <c r="AS232" s="203">
        <f t="shared" si="6"/>
        <v>0</v>
      </c>
      <c r="AT232" s="202"/>
      <c r="AU232" s="204"/>
      <c r="AV232" s="202"/>
      <c r="AW232" s="204"/>
      <c r="AX232" s="202"/>
      <c r="AY232" s="204"/>
      <c r="AZ232" s="202"/>
      <c r="BA232" s="204"/>
      <c r="BB232" s="202"/>
      <c r="BC232" s="204"/>
      <c r="BD232" s="202"/>
      <c r="BE232" s="208"/>
      <c r="BF232" s="202"/>
      <c r="BG232" s="203">
        <f t="shared" si="7"/>
        <v>0</v>
      </c>
      <c r="BH232" s="202"/>
      <c r="BI232" s="204"/>
      <c r="BJ232" s="202"/>
      <c r="BK232" s="204"/>
      <c r="BL232" s="202"/>
      <c r="BM232" s="204"/>
      <c r="BN232" s="202"/>
      <c r="BO232" s="203">
        <f t="shared" si="8"/>
        <v>0</v>
      </c>
      <c r="BP232" s="202"/>
      <c r="BQ232" s="138"/>
      <c r="BR232" s="128"/>
      <c r="BS232" s="128"/>
      <c r="BT232" s="128"/>
      <c r="BU232" s="128"/>
      <c r="BV232" s="128"/>
      <c r="BW232" s="139"/>
      <c r="BX232" s="140"/>
      <c r="BY232" s="139"/>
      <c r="BZ232" s="139"/>
      <c r="CA232" s="134"/>
      <c r="CB232" s="134"/>
      <c r="CC232" s="134"/>
      <c r="CD232" s="134"/>
      <c r="CE232" s="134"/>
      <c r="CF232" s="134"/>
      <c r="CG232" s="92"/>
      <c r="CH232" s="92"/>
      <c r="CI232" s="92"/>
      <c r="CJ232" s="92"/>
      <c r="CK232" s="92"/>
    </row>
    <row r="233" spans="1:89" ht="17.25" customHeight="1">
      <c r="A233" s="160"/>
      <c r="B233" s="165"/>
      <c r="C233" s="164"/>
      <c r="D233" s="137">
        <f t="shared" si="3"/>
        <v>0</v>
      </c>
      <c r="E233" s="207"/>
      <c r="F233" s="202"/>
      <c r="G233" s="207"/>
      <c r="H233" s="202"/>
      <c r="I233" s="207"/>
      <c r="J233" s="202"/>
      <c r="K233" s="207"/>
      <c r="L233" s="202"/>
      <c r="M233" s="207"/>
      <c r="N233" s="202"/>
      <c r="O233" s="201"/>
      <c r="P233" s="202"/>
      <c r="Q233" s="203">
        <f t="shared" si="4"/>
        <v>0</v>
      </c>
      <c r="R233" s="202"/>
      <c r="S233" s="207"/>
      <c r="T233" s="202"/>
      <c r="U233" s="207"/>
      <c r="V233" s="202"/>
      <c r="W233" s="207"/>
      <c r="X233" s="202"/>
      <c r="Y233" s="207"/>
      <c r="Z233" s="202"/>
      <c r="AA233" s="207"/>
      <c r="AB233" s="202"/>
      <c r="AC233" s="208"/>
      <c r="AD233" s="202"/>
      <c r="AE233" s="203">
        <f t="shared" si="5"/>
        <v>0</v>
      </c>
      <c r="AF233" s="202"/>
      <c r="AG233" s="204"/>
      <c r="AH233" s="202"/>
      <c r="AI233" s="204"/>
      <c r="AJ233" s="202"/>
      <c r="AK233" s="204"/>
      <c r="AL233" s="202"/>
      <c r="AM233" s="204"/>
      <c r="AN233" s="202"/>
      <c r="AO233" s="204"/>
      <c r="AP233" s="202"/>
      <c r="AQ233" s="208"/>
      <c r="AR233" s="202"/>
      <c r="AS233" s="203">
        <f t="shared" si="6"/>
        <v>0</v>
      </c>
      <c r="AT233" s="202"/>
      <c r="AU233" s="204"/>
      <c r="AV233" s="202"/>
      <c r="AW233" s="204"/>
      <c r="AX233" s="202"/>
      <c r="AY233" s="204"/>
      <c r="AZ233" s="202"/>
      <c r="BA233" s="204"/>
      <c r="BB233" s="202"/>
      <c r="BC233" s="204"/>
      <c r="BD233" s="202"/>
      <c r="BE233" s="208"/>
      <c r="BF233" s="202"/>
      <c r="BG233" s="203">
        <f t="shared" si="7"/>
        <v>0</v>
      </c>
      <c r="BH233" s="202"/>
      <c r="BI233" s="204"/>
      <c r="BJ233" s="202"/>
      <c r="BK233" s="204"/>
      <c r="BL233" s="202"/>
      <c r="BM233" s="204"/>
      <c r="BN233" s="202"/>
      <c r="BO233" s="203">
        <f t="shared" si="8"/>
        <v>0</v>
      </c>
      <c r="BP233" s="202"/>
      <c r="BQ233" s="138"/>
      <c r="BR233" s="128"/>
      <c r="BS233" s="128"/>
      <c r="BT233" s="128"/>
      <c r="BU233" s="128"/>
      <c r="BV233" s="128"/>
      <c r="BW233" s="139"/>
      <c r="BX233" s="140"/>
      <c r="BY233" s="139"/>
      <c r="BZ233" s="139"/>
      <c r="CA233" s="134"/>
      <c r="CB233" s="134"/>
      <c r="CC233" s="134"/>
      <c r="CD233" s="134"/>
      <c r="CE233" s="134"/>
      <c r="CF233" s="134"/>
      <c r="CG233" s="92"/>
      <c r="CH233" s="92"/>
      <c r="CI233" s="92"/>
      <c r="CJ233" s="92"/>
      <c r="CK233" s="92"/>
    </row>
    <row r="234" spans="1:89" ht="17.25" customHeight="1">
      <c r="A234" s="160"/>
      <c r="B234" s="165"/>
      <c r="C234" s="164"/>
      <c r="D234" s="137">
        <f t="shared" si="3"/>
        <v>0</v>
      </c>
      <c r="E234" s="207"/>
      <c r="F234" s="202"/>
      <c r="G234" s="207"/>
      <c r="H234" s="202"/>
      <c r="I234" s="207"/>
      <c r="J234" s="202"/>
      <c r="K234" s="207"/>
      <c r="L234" s="202"/>
      <c r="M234" s="207"/>
      <c r="N234" s="202"/>
      <c r="O234" s="201"/>
      <c r="P234" s="202"/>
      <c r="Q234" s="203">
        <f t="shared" si="4"/>
        <v>0</v>
      </c>
      <c r="R234" s="202"/>
      <c r="S234" s="207"/>
      <c r="T234" s="202"/>
      <c r="U234" s="207"/>
      <c r="V234" s="202"/>
      <c r="W234" s="207"/>
      <c r="X234" s="202"/>
      <c r="Y234" s="207"/>
      <c r="Z234" s="202"/>
      <c r="AA234" s="207"/>
      <c r="AB234" s="202"/>
      <c r="AC234" s="208"/>
      <c r="AD234" s="202"/>
      <c r="AE234" s="203">
        <f t="shared" si="5"/>
        <v>0</v>
      </c>
      <c r="AF234" s="202"/>
      <c r="AG234" s="204"/>
      <c r="AH234" s="202"/>
      <c r="AI234" s="204"/>
      <c r="AJ234" s="202"/>
      <c r="AK234" s="204"/>
      <c r="AL234" s="202"/>
      <c r="AM234" s="204"/>
      <c r="AN234" s="202"/>
      <c r="AO234" s="204"/>
      <c r="AP234" s="202"/>
      <c r="AQ234" s="208"/>
      <c r="AR234" s="202"/>
      <c r="AS234" s="203">
        <f t="shared" si="6"/>
        <v>0</v>
      </c>
      <c r="AT234" s="202"/>
      <c r="AU234" s="204"/>
      <c r="AV234" s="202"/>
      <c r="AW234" s="204"/>
      <c r="AX234" s="202"/>
      <c r="AY234" s="204"/>
      <c r="AZ234" s="202"/>
      <c r="BA234" s="204"/>
      <c r="BB234" s="202"/>
      <c r="BC234" s="204"/>
      <c r="BD234" s="202"/>
      <c r="BE234" s="208"/>
      <c r="BF234" s="202"/>
      <c r="BG234" s="203">
        <f t="shared" si="7"/>
        <v>0</v>
      </c>
      <c r="BH234" s="202"/>
      <c r="BI234" s="204"/>
      <c r="BJ234" s="202"/>
      <c r="BK234" s="204"/>
      <c r="BL234" s="202"/>
      <c r="BM234" s="204"/>
      <c r="BN234" s="202"/>
      <c r="BO234" s="203">
        <f t="shared" si="8"/>
        <v>0</v>
      </c>
      <c r="BP234" s="202"/>
      <c r="BQ234" s="138"/>
      <c r="BR234" s="128"/>
      <c r="BS234" s="128"/>
      <c r="BT234" s="128"/>
      <c r="BU234" s="128"/>
      <c r="BV234" s="128"/>
      <c r="BW234" s="139"/>
      <c r="BX234" s="140"/>
      <c r="BY234" s="139"/>
      <c r="BZ234" s="139"/>
      <c r="CA234" s="134"/>
      <c r="CB234" s="134"/>
      <c r="CC234" s="134"/>
      <c r="CD234" s="134"/>
      <c r="CE234" s="134"/>
      <c r="CF234" s="134"/>
      <c r="CG234" s="92"/>
      <c r="CH234" s="92"/>
      <c r="CI234" s="92"/>
      <c r="CJ234" s="92"/>
      <c r="CK234" s="92"/>
    </row>
    <row r="235" spans="1:89" ht="17.25" customHeight="1">
      <c r="A235" s="160"/>
      <c r="B235" s="165"/>
      <c r="C235" s="164"/>
      <c r="D235" s="137">
        <f t="shared" si="3"/>
        <v>0</v>
      </c>
      <c r="E235" s="207"/>
      <c r="F235" s="202"/>
      <c r="G235" s="207"/>
      <c r="H235" s="202"/>
      <c r="I235" s="207"/>
      <c r="J235" s="202"/>
      <c r="K235" s="207"/>
      <c r="L235" s="202"/>
      <c r="M235" s="207"/>
      <c r="N235" s="202"/>
      <c r="O235" s="201"/>
      <c r="P235" s="202"/>
      <c r="Q235" s="203">
        <f t="shared" si="4"/>
        <v>0</v>
      </c>
      <c r="R235" s="202"/>
      <c r="S235" s="207"/>
      <c r="T235" s="202"/>
      <c r="U235" s="207"/>
      <c r="V235" s="202"/>
      <c r="W235" s="207"/>
      <c r="X235" s="202"/>
      <c r="Y235" s="207"/>
      <c r="Z235" s="202"/>
      <c r="AA235" s="207"/>
      <c r="AB235" s="202"/>
      <c r="AC235" s="208"/>
      <c r="AD235" s="202"/>
      <c r="AE235" s="203">
        <f t="shared" si="5"/>
        <v>0</v>
      </c>
      <c r="AF235" s="202"/>
      <c r="AG235" s="204"/>
      <c r="AH235" s="202"/>
      <c r="AI235" s="204"/>
      <c r="AJ235" s="202"/>
      <c r="AK235" s="204"/>
      <c r="AL235" s="202"/>
      <c r="AM235" s="204"/>
      <c r="AN235" s="202"/>
      <c r="AO235" s="204"/>
      <c r="AP235" s="202"/>
      <c r="AQ235" s="208"/>
      <c r="AR235" s="202"/>
      <c r="AS235" s="203">
        <f t="shared" si="6"/>
        <v>0</v>
      </c>
      <c r="AT235" s="202"/>
      <c r="AU235" s="204"/>
      <c r="AV235" s="202"/>
      <c r="AW235" s="204"/>
      <c r="AX235" s="202"/>
      <c r="AY235" s="204"/>
      <c r="AZ235" s="202"/>
      <c r="BA235" s="204"/>
      <c r="BB235" s="202"/>
      <c r="BC235" s="204"/>
      <c r="BD235" s="202"/>
      <c r="BE235" s="208"/>
      <c r="BF235" s="202"/>
      <c r="BG235" s="203">
        <f t="shared" si="7"/>
        <v>0</v>
      </c>
      <c r="BH235" s="202"/>
      <c r="BI235" s="204"/>
      <c r="BJ235" s="202"/>
      <c r="BK235" s="204"/>
      <c r="BL235" s="202"/>
      <c r="BM235" s="204"/>
      <c r="BN235" s="202"/>
      <c r="BO235" s="203">
        <f t="shared" si="8"/>
        <v>0</v>
      </c>
      <c r="BP235" s="202"/>
      <c r="BQ235" s="138"/>
      <c r="BR235" s="128"/>
      <c r="BS235" s="128"/>
      <c r="BT235" s="128"/>
      <c r="BU235" s="128"/>
      <c r="BV235" s="128"/>
      <c r="BW235" s="139"/>
      <c r="BX235" s="140"/>
      <c r="BY235" s="139"/>
      <c r="BZ235" s="139"/>
      <c r="CA235" s="134"/>
      <c r="CB235" s="134"/>
      <c r="CC235" s="134"/>
      <c r="CD235" s="134"/>
      <c r="CE235" s="134"/>
      <c r="CF235" s="134"/>
      <c r="CG235" s="92"/>
      <c r="CH235" s="92"/>
      <c r="CI235" s="92"/>
      <c r="CJ235" s="92"/>
      <c r="CK235" s="92"/>
    </row>
    <row r="236" spans="1:89" ht="17.25" customHeight="1">
      <c r="A236" s="160"/>
      <c r="B236" s="165"/>
      <c r="C236" s="164"/>
      <c r="D236" s="137">
        <f t="shared" si="3"/>
        <v>0</v>
      </c>
      <c r="E236" s="207"/>
      <c r="F236" s="202"/>
      <c r="G236" s="207"/>
      <c r="H236" s="202"/>
      <c r="I236" s="207"/>
      <c r="J236" s="202"/>
      <c r="K236" s="207"/>
      <c r="L236" s="202"/>
      <c r="M236" s="207"/>
      <c r="N236" s="202"/>
      <c r="O236" s="201"/>
      <c r="P236" s="202"/>
      <c r="Q236" s="203">
        <f t="shared" si="4"/>
        <v>0</v>
      </c>
      <c r="R236" s="202"/>
      <c r="S236" s="207"/>
      <c r="T236" s="202"/>
      <c r="U236" s="207"/>
      <c r="V236" s="202"/>
      <c r="W236" s="207"/>
      <c r="X236" s="202"/>
      <c r="Y236" s="207"/>
      <c r="Z236" s="202"/>
      <c r="AA236" s="207"/>
      <c r="AB236" s="202"/>
      <c r="AC236" s="208"/>
      <c r="AD236" s="202"/>
      <c r="AE236" s="203">
        <f t="shared" si="5"/>
        <v>0</v>
      </c>
      <c r="AF236" s="202"/>
      <c r="AG236" s="204"/>
      <c r="AH236" s="202"/>
      <c r="AI236" s="204"/>
      <c r="AJ236" s="202"/>
      <c r="AK236" s="204"/>
      <c r="AL236" s="202"/>
      <c r="AM236" s="204"/>
      <c r="AN236" s="202"/>
      <c r="AO236" s="204"/>
      <c r="AP236" s="202"/>
      <c r="AQ236" s="208"/>
      <c r="AR236" s="202"/>
      <c r="AS236" s="203">
        <f t="shared" si="6"/>
        <v>0</v>
      </c>
      <c r="AT236" s="202"/>
      <c r="AU236" s="204"/>
      <c r="AV236" s="202"/>
      <c r="AW236" s="204"/>
      <c r="AX236" s="202"/>
      <c r="AY236" s="204"/>
      <c r="AZ236" s="202"/>
      <c r="BA236" s="204"/>
      <c r="BB236" s="202"/>
      <c r="BC236" s="204"/>
      <c r="BD236" s="202"/>
      <c r="BE236" s="208"/>
      <c r="BF236" s="202"/>
      <c r="BG236" s="203">
        <f t="shared" si="7"/>
        <v>0</v>
      </c>
      <c r="BH236" s="202"/>
      <c r="BI236" s="204"/>
      <c r="BJ236" s="202"/>
      <c r="BK236" s="204"/>
      <c r="BL236" s="202"/>
      <c r="BM236" s="204"/>
      <c r="BN236" s="202"/>
      <c r="BO236" s="203">
        <f t="shared" si="8"/>
        <v>0</v>
      </c>
      <c r="BP236" s="202"/>
      <c r="BQ236" s="138"/>
      <c r="BR236" s="128"/>
      <c r="BS236" s="128"/>
      <c r="BT236" s="128"/>
      <c r="BU236" s="128"/>
      <c r="BV236" s="128"/>
      <c r="BW236" s="139"/>
      <c r="BX236" s="140"/>
      <c r="BY236" s="139"/>
      <c r="BZ236" s="139"/>
      <c r="CA236" s="134"/>
      <c r="CB236" s="134"/>
      <c r="CC236" s="134"/>
      <c r="CD236" s="134"/>
      <c r="CE236" s="134"/>
      <c r="CF236" s="134"/>
      <c r="CG236" s="92"/>
      <c r="CH236" s="92"/>
      <c r="CI236" s="92"/>
      <c r="CJ236" s="92"/>
      <c r="CK236" s="92"/>
    </row>
    <row r="237" spans="1:89" ht="17.25" customHeight="1">
      <c r="A237" s="160"/>
      <c r="B237" s="165"/>
      <c r="C237" s="164"/>
      <c r="D237" s="137">
        <f t="shared" si="3"/>
        <v>0</v>
      </c>
      <c r="E237" s="207"/>
      <c r="F237" s="202"/>
      <c r="G237" s="207"/>
      <c r="H237" s="202"/>
      <c r="I237" s="207"/>
      <c r="J237" s="202"/>
      <c r="K237" s="207"/>
      <c r="L237" s="202"/>
      <c r="M237" s="207"/>
      <c r="N237" s="202"/>
      <c r="O237" s="201"/>
      <c r="P237" s="202"/>
      <c r="Q237" s="203">
        <f t="shared" si="4"/>
        <v>0</v>
      </c>
      <c r="R237" s="202"/>
      <c r="S237" s="207"/>
      <c r="T237" s="202"/>
      <c r="U237" s="207"/>
      <c r="V237" s="202"/>
      <c r="W237" s="207"/>
      <c r="X237" s="202"/>
      <c r="Y237" s="207"/>
      <c r="Z237" s="202"/>
      <c r="AA237" s="207"/>
      <c r="AB237" s="202"/>
      <c r="AC237" s="208"/>
      <c r="AD237" s="202"/>
      <c r="AE237" s="203">
        <f t="shared" si="5"/>
        <v>0</v>
      </c>
      <c r="AF237" s="202"/>
      <c r="AG237" s="204"/>
      <c r="AH237" s="202"/>
      <c r="AI237" s="204"/>
      <c r="AJ237" s="202"/>
      <c r="AK237" s="204"/>
      <c r="AL237" s="202"/>
      <c r="AM237" s="204"/>
      <c r="AN237" s="202"/>
      <c r="AO237" s="204"/>
      <c r="AP237" s="202"/>
      <c r="AQ237" s="208"/>
      <c r="AR237" s="202"/>
      <c r="AS237" s="203">
        <f t="shared" si="6"/>
        <v>0</v>
      </c>
      <c r="AT237" s="202"/>
      <c r="AU237" s="204"/>
      <c r="AV237" s="202"/>
      <c r="AW237" s="204"/>
      <c r="AX237" s="202"/>
      <c r="AY237" s="204"/>
      <c r="AZ237" s="202"/>
      <c r="BA237" s="204"/>
      <c r="BB237" s="202"/>
      <c r="BC237" s="204"/>
      <c r="BD237" s="202"/>
      <c r="BE237" s="208"/>
      <c r="BF237" s="202"/>
      <c r="BG237" s="203">
        <f t="shared" si="7"/>
        <v>0</v>
      </c>
      <c r="BH237" s="202"/>
      <c r="BI237" s="204"/>
      <c r="BJ237" s="202"/>
      <c r="BK237" s="204"/>
      <c r="BL237" s="202"/>
      <c r="BM237" s="204"/>
      <c r="BN237" s="202"/>
      <c r="BO237" s="203">
        <f t="shared" si="8"/>
        <v>0</v>
      </c>
      <c r="BP237" s="202"/>
      <c r="BQ237" s="138"/>
      <c r="BR237" s="128"/>
      <c r="BS237" s="128"/>
      <c r="BT237" s="128"/>
      <c r="BU237" s="128"/>
      <c r="BV237" s="128"/>
      <c r="BW237" s="139"/>
      <c r="BX237" s="140"/>
      <c r="BY237" s="139"/>
      <c r="BZ237" s="139"/>
      <c r="CA237" s="134"/>
      <c r="CB237" s="134"/>
      <c r="CC237" s="134"/>
      <c r="CD237" s="134"/>
      <c r="CE237" s="134"/>
      <c r="CF237" s="134"/>
      <c r="CG237" s="92"/>
      <c r="CH237" s="92"/>
      <c r="CI237" s="92"/>
      <c r="CJ237" s="92"/>
      <c r="CK237" s="92"/>
    </row>
    <row r="238" spans="1:89" ht="17.25" customHeight="1">
      <c r="A238" s="160"/>
      <c r="B238" s="165"/>
      <c r="C238" s="164"/>
      <c r="D238" s="137">
        <f t="shared" si="3"/>
        <v>0</v>
      </c>
      <c r="E238" s="207"/>
      <c r="F238" s="202"/>
      <c r="G238" s="207"/>
      <c r="H238" s="202"/>
      <c r="I238" s="207"/>
      <c r="J238" s="202"/>
      <c r="K238" s="207"/>
      <c r="L238" s="202"/>
      <c r="M238" s="207"/>
      <c r="N238" s="202"/>
      <c r="O238" s="201"/>
      <c r="P238" s="202"/>
      <c r="Q238" s="203">
        <f t="shared" si="4"/>
        <v>0</v>
      </c>
      <c r="R238" s="202"/>
      <c r="S238" s="207"/>
      <c r="T238" s="202"/>
      <c r="U238" s="207"/>
      <c r="V238" s="202"/>
      <c r="W238" s="207"/>
      <c r="X238" s="202"/>
      <c r="Y238" s="207"/>
      <c r="Z238" s="202"/>
      <c r="AA238" s="207"/>
      <c r="AB238" s="202"/>
      <c r="AC238" s="208"/>
      <c r="AD238" s="202"/>
      <c r="AE238" s="203">
        <f t="shared" si="5"/>
        <v>0</v>
      </c>
      <c r="AF238" s="202"/>
      <c r="AG238" s="204"/>
      <c r="AH238" s="202"/>
      <c r="AI238" s="204"/>
      <c r="AJ238" s="202"/>
      <c r="AK238" s="204"/>
      <c r="AL238" s="202"/>
      <c r="AM238" s="204"/>
      <c r="AN238" s="202"/>
      <c r="AO238" s="204"/>
      <c r="AP238" s="202"/>
      <c r="AQ238" s="208"/>
      <c r="AR238" s="202"/>
      <c r="AS238" s="203">
        <f t="shared" si="6"/>
        <v>0</v>
      </c>
      <c r="AT238" s="202"/>
      <c r="AU238" s="204"/>
      <c r="AV238" s="202"/>
      <c r="AW238" s="204"/>
      <c r="AX238" s="202"/>
      <c r="AY238" s="204"/>
      <c r="AZ238" s="202"/>
      <c r="BA238" s="204"/>
      <c r="BB238" s="202"/>
      <c r="BC238" s="204"/>
      <c r="BD238" s="202"/>
      <c r="BE238" s="208"/>
      <c r="BF238" s="202"/>
      <c r="BG238" s="203">
        <f t="shared" si="7"/>
        <v>0</v>
      </c>
      <c r="BH238" s="202"/>
      <c r="BI238" s="204"/>
      <c r="BJ238" s="202"/>
      <c r="BK238" s="204"/>
      <c r="BL238" s="202"/>
      <c r="BM238" s="204"/>
      <c r="BN238" s="202"/>
      <c r="BO238" s="203">
        <f t="shared" si="8"/>
        <v>0</v>
      </c>
      <c r="BP238" s="202"/>
      <c r="BQ238" s="138"/>
      <c r="BR238" s="128"/>
      <c r="BS238" s="128"/>
      <c r="BT238" s="128"/>
      <c r="BU238" s="128"/>
      <c r="BV238" s="128"/>
      <c r="BW238" s="139"/>
      <c r="BX238" s="140"/>
      <c r="BY238" s="139"/>
      <c r="BZ238" s="139"/>
      <c r="CA238" s="134"/>
      <c r="CB238" s="134"/>
      <c r="CC238" s="134"/>
      <c r="CD238" s="134"/>
      <c r="CE238" s="134"/>
      <c r="CF238" s="134"/>
      <c r="CG238" s="92"/>
      <c r="CH238" s="92"/>
      <c r="CI238" s="92"/>
      <c r="CJ238" s="92"/>
      <c r="CK238" s="92"/>
    </row>
    <row r="239" spans="1:89" ht="17.25" customHeight="1">
      <c r="A239" s="160"/>
      <c r="B239" s="165"/>
      <c r="C239" s="164"/>
      <c r="D239" s="137">
        <f t="shared" si="3"/>
        <v>0</v>
      </c>
      <c r="E239" s="207"/>
      <c r="F239" s="202"/>
      <c r="G239" s="207"/>
      <c r="H239" s="202"/>
      <c r="I239" s="207"/>
      <c r="J239" s="202"/>
      <c r="K239" s="207"/>
      <c r="L239" s="202"/>
      <c r="M239" s="207"/>
      <c r="N239" s="202"/>
      <c r="O239" s="201"/>
      <c r="P239" s="202"/>
      <c r="Q239" s="203">
        <f t="shared" si="4"/>
        <v>0</v>
      </c>
      <c r="R239" s="202"/>
      <c r="S239" s="207"/>
      <c r="T239" s="202"/>
      <c r="U239" s="207"/>
      <c r="V239" s="202"/>
      <c r="W239" s="207"/>
      <c r="X239" s="202"/>
      <c r="Y239" s="207"/>
      <c r="Z239" s="202"/>
      <c r="AA239" s="207"/>
      <c r="AB239" s="202"/>
      <c r="AC239" s="208"/>
      <c r="AD239" s="202"/>
      <c r="AE239" s="203">
        <f t="shared" si="5"/>
        <v>0</v>
      </c>
      <c r="AF239" s="202"/>
      <c r="AG239" s="204"/>
      <c r="AH239" s="202"/>
      <c r="AI239" s="204"/>
      <c r="AJ239" s="202"/>
      <c r="AK239" s="204"/>
      <c r="AL239" s="202"/>
      <c r="AM239" s="204"/>
      <c r="AN239" s="202"/>
      <c r="AO239" s="204"/>
      <c r="AP239" s="202"/>
      <c r="AQ239" s="208"/>
      <c r="AR239" s="202"/>
      <c r="AS239" s="203">
        <f t="shared" si="6"/>
        <v>0</v>
      </c>
      <c r="AT239" s="202"/>
      <c r="AU239" s="204"/>
      <c r="AV239" s="202"/>
      <c r="AW239" s="204"/>
      <c r="AX239" s="202"/>
      <c r="AY239" s="204"/>
      <c r="AZ239" s="202"/>
      <c r="BA239" s="204"/>
      <c r="BB239" s="202"/>
      <c r="BC239" s="204"/>
      <c r="BD239" s="202"/>
      <c r="BE239" s="208"/>
      <c r="BF239" s="202"/>
      <c r="BG239" s="203">
        <f t="shared" si="7"/>
        <v>0</v>
      </c>
      <c r="BH239" s="202"/>
      <c r="BI239" s="204"/>
      <c r="BJ239" s="202"/>
      <c r="BK239" s="204"/>
      <c r="BL239" s="202"/>
      <c r="BM239" s="204"/>
      <c r="BN239" s="202"/>
      <c r="BO239" s="203">
        <f t="shared" si="8"/>
        <v>0</v>
      </c>
      <c r="BP239" s="202"/>
      <c r="BQ239" s="138"/>
      <c r="BR239" s="128"/>
      <c r="BS239" s="128"/>
      <c r="BT239" s="128"/>
      <c r="BU239" s="128"/>
      <c r="BV239" s="128"/>
      <c r="BW239" s="139"/>
      <c r="BX239" s="140"/>
      <c r="BY239" s="139"/>
      <c r="BZ239" s="139"/>
      <c r="CA239" s="134"/>
      <c r="CB239" s="134"/>
      <c r="CC239" s="134"/>
      <c r="CD239" s="134"/>
      <c r="CE239" s="134"/>
      <c r="CF239" s="134"/>
      <c r="CG239" s="92"/>
      <c r="CH239" s="92"/>
      <c r="CI239" s="92"/>
      <c r="CJ239" s="92"/>
      <c r="CK239" s="92"/>
    </row>
    <row r="240" spans="1:89" ht="17.25" customHeight="1">
      <c r="A240" s="160"/>
      <c r="B240" s="165"/>
      <c r="C240" s="164"/>
      <c r="D240" s="137">
        <f t="shared" si="3"/>
        <v>0</v>
      </c>
      <c r="E240" s="207"/>
      <c r="F240" s="202"/>
      <c r="G240" s="207"/>
      <c r="H240" s="202"/>
      <c r="I240" s="207"/>
      <c r="J240" s="202"/>
      <c r="K240" s="207"/>
      <c r="L240" s="202"/>
      <c r="M240" s="207"/>
      <c r="N240" s="202"/>
      <c r="O240" s="201"/>
      <c r="P240" s="202"/>
      <c r="Q240" s="203">
        <f t="shared" si="4"/>
        <v>0</v>
      </c>
      <c r="R240" s="202"/>
      <c r="S240" s="207"/>
      <c r="T240" s="202"/>
      <c r="U240" s="207"/>
      <c r="V240" s="202"/>
      <c r="W240" s="207"/>
      <c r="X240" s="202"/>
      <c r="Y240" s="207"/>
      <c r="Z240" s="202"/>
      <c r="AA240" s="207"/>
      <c r="AB240" s="202"/>
      <c r="AC240" s="208"/>
      <c r="AD240" s="202"/>
      <c r="AE240" s="203">
        <f t="shared" si="5"/>
        <v>0</v>
      </c>
      <c r="AF240" s="202"/>
      <c r="AG240" s="204"/>
      <c r="AH240" s="202"/>
      <c r="AI240" s="204"/>
      <c r="AJ240" s="202"/>
      <c r="AK240" s="204"/>
      <c r="AL240" s="202"/>
      <c r="AM240" s="204"/>
      <c r="AN240" s="202"/>
      <c r="AO240" s="204"/>
      <c r="AP240" s="202"/>
      <c r="AQ240" s="208"/>
      <c r="AR240" s="202"/>
      <c r="AS240" s="203">
        <f t="shared" si="6"/>
        <v>0</v>
      </c>
      <c r="AT240" s="202"/>
      <c r="AU240" s="204"/>
      <c r="AV240" s="202"/>
      <c r="AW240" s="204"/>
      <c r="AX240" s="202"/>
      <c r="AY240" s="204"/>
      <c r="AZ240" s="202"/>
      <c r="BA240" s="204"/>
      <c r="BB240" s="202"/>
      <c r="BC240" s="204"/>
      <c r="BD240" s="202"/>
      <c r="BE240" s="208"/>
      <c r="BF240" s="202"/>
      <c r="BG240" s="203">
        <f t="shared" si="7"/>
        <v>0</v>
      </c>
      <c r="BH240" s="202"/>
      <c r="BI240" s="204"/>
      <c r="BJ240" s="202"/>
      <c r="BK240" s="204"/>
      <c r="BL240" s="202"/>
      <c r="BM240" s="204"/>
      <c r="BN240" s="202"/>
      <c r="BO240" s="203">
        <f t="shared" si="8"/>
        <v>0</v>
      </c>
      <c r="BP240" s="202"/>
      <c r="BQ240" s="138"/>
      <c r="BR240" s="128"/>
      <c r="BS240" s="128"/>
      <c r="BT240" s="128"/>
      <c r="BU240" s="128"/>
      <c r="BV240" s="128"/>
      <c r="BW240" s="139"/>
      <c r="BX240" s="140"/>
      <c r="BY240" s="139"/>
      <c r="BZ240" s="139"/>
      <c r="CA240" s="134"/>
      <c r="CB240" s="134"/>
      <c r="CC240" s="134"/>
      <c r="CD240" s="134"/>
      <c r="CE240" s="134"/>
      <c r="CF240" s="134"/>
      <c r="CG240" s="92"/>
      <c r="CH240" s="92"/>
      <c r="CI240" s="92"/>
      <c r="CJ240" s="92"/>
      <c r="CK240" s="92"/>
    </row>
    <row r="241" spans="1:89" ht="17.25" customHeight="1">
      <c r="A241" s="160"/>
      <c r="B241" s="165"/>
      <c r="C241" s="164"/>
      <c r="D241" s="137">
        <f t="shared" si="3"/>
        <v>0</v>
      </c>
      <c r="E241" s="207"/>
      <c r="F241" s="202"/>
      <c r="G241" s="207"/>
      <c r="H241" s="202"/>
      <c r="I241" s="207"/>
      <c r="J241" s="202"/>
      <c r="K241" s="207"/>
      <c r="L241" s="202"/>
      <c r="M241" s="207"/>
      <c r="N241" s="202"/>
      <c r="O241" s="201"/>
      <c r="P241" s="202"/>
      <c r="Q241" s="203">
        <f t="shared" si="4"/>
        <v>0</v>
      </c>
      <c r="R241" s="202"/>
      <c r="S241" s="207"/>
      <c r="T241" s="202"/>
      <c r="U241" s="207"/>
      <c r="V241" s="202"/>
      <c r="W241" s="207"/>
      <c r="X241" s="202"/>
      <c r="Y241" s="207"/>
      <c r="Z241" s="202"/>
      <c r="AA241" s="207"/>
      <c r="AB241" s="202"/>
      <c r="AC241" s="208"/>
      <c r="AD241" s="202"/>
      <c r="AE241" s="203">
        <f t="shared" si="5"/>
        <v>0</v>
      </c>
      <c r="AF241" s="202"/>
      <c r="AG241" s="204"/>
      <c r="AH241" s="202"/>
      <c r="AI241" s="204"/>
      <c r="AJ241" s="202"/>
      <c r="AK241" s="204"/>
      <c r="AL241" s="202"/>
      <c r="AM241" s="204"/>
      <c r="AN241" s="202"/>
      <c r="AO241" s="204"/>
      <c r="AP241" s="202"/>
      <c r="AQ241" s="208"/>
      <c r="AR241" s="202"/>
      <c r="AS241" s="203">
        <f t="shared" si="6"/>
        <v>0</v>
      </c>
      <c r="AT241" s="202"/>
      <c r="AU241" s="204"/>
      <c r="AV241" s="202"/>
      <c r="AW241" s="204"/>
      <c r="AX241" s="202"/>
      <c r="AY241" s="204"/>
      <c r="AZ241" s="202"/>
      <c r="BA241" s="204"/>
      <c r="BB241" s="202"/>
      <c r="BC241" s="204"/>
      <c r="BD241" s="202"/>
      <c r="BE241" s="208"/>
      <c r="BF241" s="202"/>
      <c r="BG241" s="203">
        <f t="shared" si="7"/>
        <v>0</v>
      </c>
      <c r="BH241" s="202"/>
      <c r="BI241" s="204"/>
      <c r="BJ241" s="202"/>
      <c r="BK241" s="204"/>
      <c r="BL241" s="202"/>
      <c r="BM241" s="204"/>
      <c r="BN241" s="202"/>
      <c r="BO241" s="203">
        <f t="shared" si="8"/>
        <v>0</v>
      </c>
      <c r="BP241" s="202"/>
      <c r="BQ241" s="138"/>
      <c r="BR241" s="128"/>
      <c r="BS241" s="128"/>
      <c r="BT241" s="128"/>
      <c r="BU241" s="128"/>
      <c r="BV241" s="128"/>
      <c r="BW241" s="139"/>
      <c r="BX241" s="140"/>
      <c r="BY241" s="139"/>
      <c r="BZ241" s="139"/>
      <c r="CA241" s="134"/>
      <c r="CB241" s="134"/>
      <c r="CC241" s="134"/>
      <c r="CD241" s="134"/>
      <c r="CE241" s="134"/>
      <c r="CF241" s="134"/>
      <c r="CG241" s="92"/>
      <c r="CH241" s="92"/>
      <c r="CI241" s="92"/>
      <c r="CJ241" s="92"/>
      <c r="CK241" s="92"/>
    </row>
    <row r="242" spans="1:89" ht="17.25" customHeight="1">
      <c r="A242" s="160"/>
      <c r="B242" s="165"/>
      <c r="C242" s="164"/>
      <c r="D242" s="137">
        <f t="shared" si="3"/>
        <v>0</v>
      </c>
      <c r="E242" s="207"/>
      <c r="F242" s="202"/>
      <c r="G242" s="207"/>
      <c r="H242" s="202"/>
      <c r="I242" s="207"/>
      <c r="J242" s="202"/>
      <c r="K242" s="207"/>
      <c r="L242" s="202"/>
      <c r="M242" s="207"/>
      <c r="N242" s="202"/>
      <c r="O242" s="201"/>
      <c r="P242" s="202"/>
      <c r="Q242" s="203">
        <f t="shared" si="4"/>
        <v>0</v>
      </c>
      <c r="R242" s="202"/>
      <c r="S242" s="207"/>
      <c r="T242" s="202"/>
      <c r="U242" s="207"/>
      <c r="V242" s="202"/>
      <c r="W242" s="207"/>
      <c r="X242" s="202"/>
      <c r="Y242" s="207"/>
      <c r="Z242" s="202"/>
      <c r="AA242" s="207"/>
      <c r="AB242" s="202"/>
      <c r="AC242" s="208"/>
      <c r="AD242" s="202"/>
      <c r="AE242" s="203">
        <f t="shared" si="5"/>
        <v>0</v>
      </c>
      <c r="AF242" s="202"/>
      <c r="AG242" s="204"/>
      <c r="AH242" s="202"/>
      <c r="AI242" s="204"/>
      <c r="AJ242" s="202"/>
      <c r="AK242" s="204"/>
      <c r="AL242" s="202"/>
      <c r="AM242" s="204"/>
      <c r="AN242" s="202"/>
      <c r="AO242" s="204"/>
      <c r="AP242" s="202"/>
      <c r="AQ242" s="208"/>
      <c r="AR242" s="202"/>
      <c r="AS242" s="203">
        <f t="shared" si="6"/>
        <v>0</v>
      </c>
      <c r="AT242" s="202"/>
      <c r="AU242" s="204"/>
      <c r="AV242" s="202"/>
      <c r="AW242" s="204"/>
      <c r="AX242" s="202"/>
      <c r="AY242" s="204"/>
      <c r="AZ242" s="202"/>
      <c r="BA242" s="204"/>
      <c r="BB242" s="202"/>
      <c r="BC242" s="204"/>
      <c r="BD242" s="202"/>
      <c r="BE242" s="208"/>
      <c r="BF242" s="202"/>
      <c r="BG242" s="203">
        <f t="shared" si="7"/>
        <v>0</v>
      </c>
      <c r="BH242" s="202"/>
      <c r="BI242" s="204"/>
      <c r="BJ242" s="202"/>
      <c r="BK242" s="204"/>
      <c r="BL242" s="202"/>
      <c r="BM242" s="204"/>
      <c r="BN242" s="202"/>
      <c r="BO242" s="203">
        <f t="shared" si="8"/>
        <v>0</v>
      </c>
      <c r="BP242" s="202"/>
      <c r="BQ242" s="138"/>
      <c r="BR242" s="128"/>
      <c r="BS242" s="128"/>
      <c r="BT242" s="128"/>
      <c r="BU242" s="128"/>
      <c r="BV242" s="128"/>
      <c r="BW242" s="139"/>
      <c r="BX242" s="140"/>
      <c r="BY242" s="139"/>
      <c r="BZ242" s="139"/>
      <c r="CA242" s="134"/>
      <c r="CB242" s="134"/>
      <c r="CC242" s="134"/>
      <c r="CD242" s="134"/>
      <c r="CE242" s="134"/>
      <c r="CF242" s="134"/>
      <c r="CG242" s="92"/>
      <c r="CH242" s="92"/>
      <c r="CI242" s="92"/>
      <c r="CJ242" s="92"/>
      <c r="CK242" s="92"/>
    </row>
    <row r="243" spans="1:89" ht="17.25" customHeight="1">
      <c r="A243" s="160"/>
      <c r="B243" s="165"/>
      <c r="C243" s="164"/>
      <c r="D243" s="137">
        <f t="shared" si="3"/>
        <v>0</v>
      </c>
      <c r="E243" s="207"/>
      <c r="F243" s="202"/>
      <c r="G243" s="207"/>
      <c r="H243" s="202"/>
      <c r="I243" s="207"/>
      <c r="J243" s="202"/>
      <c r="K243" s="207"/>
      <c r="L243" s="202"/>
      <c r="M243" s="207"/>
      <c r="N243" s="202"/>
      <c r="O243" s="201"/>
      <c r="P243" s="202"/>
      <c r="Q243" s="203">
        <f t="shared" si="4"/>
        <v>0</v>
      </c>
      <c r="R243" s="202"/>
      <c r="S243" s="207"/>
      <c r="T243" s="202"/>
      <c r="U243" s="207"/>
      <c r="V243" s="202"/>
      <c r="W243" s="207"/>
      <c r="X243" s="202"/>
      <c r="Y243" s="207"/>
      <c r="Z243" s="202"/>
      <c r="AA243" s="207"/>
      <c r="AB243" s="202"/>
      <c r="AC243" s="208"/>
      <c r="AD243" s="202"/>
      <c r="AE243" s="203">
        <f t="shared" si="5"/>
        <v>0</v>
      </c>
      <c r="AF243" s="202"/>
      <c r="AG243" s="204"/>
      <c r="AH243" s="202"/>
      <c r="AI243" s="204"/>
      <c r="AJ243" s="202"/>
      <c r="AK243" s="204"/>
      <c r="AL243" s="202"/>
      <c r="AM243" s="204"/>
      <c r="AN243" s="202"/>
      <c r="AO243" s="204"/>
      <c r="AP243" s="202"/>
      <c r="AQ243" s="208"/>
      <c r="AR243" s="202"/>
      <c r="AS243" s="203">
        <f t="shared" si="6"/>
        <v>0</v>
      </c>
      <c r="AT243" s="202"/>
      <c r="AU243" s="204"/>
      <c r="AV243" s="202"/>
      <c r="AW243" s="204"/>
      <c r="AX243" s="202"/>
      <c r="AY243" s="204"/>
      <c r="AZ243" s="202"/>
      <c r="BA243" s="204"/>
      <c r="BB243" s="202"/>
      <c r="BC243" s="204"/>
      <c r="BD243" s="202"/>
      <c r="BE243" s="208"/>
      <c r="BF243" s="202"/>
      <c r="BG243" s="203">
        <f t="shared" si="7"/>
        <v>0</v>
      </c>
      <c r="BH243" s="202"/>
      <c r="BI243" s="204"/>
      <c r="BJ243" s="202"/>
      <c r="BK243" s="204"/>
      <c r="BL243" s="202"/>
      <c r="BM243" s="204"/>
      <c r="BN243" s="202"/>
      <c r="BO243" s="203">
        <f t="shared" si="8"/>
        <v>0</v>
      </c>
      <c r="BP243" s="202"/>
      <c r="BQ243" s="138"/>
      <c r="BR243" s="128"/>
      <c r="BS243" s="128"/>
      <c r="BT243" s="128"/>
      <c r="BU243" s="128"/>
      <c r="BV243" s="128"/>
      <c r="BW243" s="139"/>
      <c r="BX243" s="140"/>
      <c r="BY243" s="139"/>
      <c r="BZ243" s="139"/>
      <c r="CA243" s="134"/>
      <c r="CB243" s="134"/>
      <c r="CC243" s="134"/>
      <c r="CD243" s="134"/>
      <c r="CE243" s="134"/>
      <c r="CF243" s="134"/>
      <c r="CG243" s="92"/>
      <c r="CH243" s="92"/>
      <c r="CI243" s="92"/>
      <c r="CJ243" s="92"/>
      <c r="CK243" s="92"/>
    </row>
    <row r="244" spans="1:89" ht="17.25" customHeight="1">
      <c r="A244" s="160"/>
      <c r="B244" s="165"/>
      <c r="C244" s="164"/>
      <c r="D244" s="137">
        <f t="shared" si="3"/>
        <v>0</v>
      </c>
      <c r="E244" s="207"/>
      <c r="F244" s="202"/>
      <c r="G244" s="207"/>
      <c r="H244" s="202"/>
      <c r="I244" s="207"/>
      <c r="J244" s="202"/>
      <c r="K244" s="207"/>
      <c r="L244" s="202"/>
      <c r="M244" s="207"/>
      <c r="N244" s="202"/>
      <c r="O244" s="201"/>
      <c r="P244" s="202"/>
      <c r="Q244" s="203">
        <f t="shared" si="4"/>
        <v>0</v>
      </c>
      <c r="R244" s="202"/>
      <c r="S244" s="207"/>
      <c r="T244" s="202"/>
      <c r="U244" s="207"/>
      <c r="V244" s="202"/>
      <c r="W244" s="207"/>
      <c r="X244" s="202"/>
      <c r="Y244" s="207"/>
      <c r="Z244" s="202"/>
      <c r="AA244" s="207"/>
      <c r="AB244" s="202"/>
      <c r="AC244" s="208"/>
      <c r="AD244" s="202"/>
      <c r="AE244" s="203">
        <f t="shared" si="5"/>
        <v>0</v>
      </c>
      <c r="AF244" s="202"/>
      <c r="AG244" s="204"/>
      <c r="AH244" s="202"/>
      <c r="AI244" s="204"/>
      <c r="AJ244" s="202"/>
      <c r="AK244" s="204"/>
      <c r="AL244" s="202"/>
      <c r="AM244" s="204"/>
      <c r="AN244" s="202"/>
      <c r="AO244" s="204"/>
      <c r="AP244" s="202"/>
      <c r="AQ244" s="208"/>
      <c r="AR244" s="202"/>
      <c r="AS244" s="203">
        <f t="shared" si="6"/>
        <v>0</v>
      </c>
      <c r="AT244" s="202"/>
      <c r="AU244" s="204"/>
      <c r="AV244" s="202"/>
      <c r="AW244" s="204"/>
      <c r="AX244" s="202"/>
      <c r="AY244" s="204"/>
      <c r="AZ244" s="202"/>
      <c r="BA244" s="204"/>
      <c r="BB244" s="202"/>
      <c r="BC244" s="204"/>
      <c r="BD244" s="202"/>
      <c r="BE244" s="208"/>
      <c r="BF244" s="202"/>
      <c r="BG244" s="203">
        <f t="shared" si="7"/>
        <v>0</v>
      </c>
      <c r="BH244" s="202"/>
      <c r="BI244" s="204"/>
      <c r="BJ244" s="202"/>
      <c r="BK244" s="204"/>
      <c r="BL244" s="202"/>
      <c r="BM244" s="204"/>
      <c r="BN244" s="202"/>
      <c r="BO244" s="203">
        <f t="shared" si="8"/>
        <v>0</v>
      </c>
      <c r="BP244" s="202"/>
      <c r="BQ244" s="138"/>
      <c r="BR244" s="128"/>
      <c r="BS244" s="128"/>
      <c r="BT244" s="128"/>
      <c r="BU244" s="128"/>
      <c r="BV244" s="128"/>
      <c r="BW244" s="139"/>
      <c r="BX244" s="140"/>
      <c r="BY244" s="139"/>
      <c r="BZ244" s="139"/>
      <c r="CA244" s="134"/>
      <c r="CB244" s="134"/>
      <c r="CC244" s="134"/>
      <c r="CD244" s="134"/>
      <c r="CE244" s="134"/>
      <c r="CF244" s="134"/>
      <c r="CG244" s="92"/>
      <c r="CH244" s="92"/>
      <c r="CI244" s="92"/>
      <c r="CJ244" s="92"/>
      <c r="CK244" s="92"/>
    </row>
    <row r="245" spans="1:89" ht="17.25" customHeight="1">
      <c r="A245" s="160"/>
      <c r="B245" s="165"/>
      <c r="C245" s="164"/>
      <c r="D245" s="137">
        <f t="shared" si="3"/>
        <v>0</v>
      </c>
      <c r="E245" s="207"/>
      <c r="F245" s="202"/>
      <c r="G245" s="207"/>
      <c r="H245" s="202"/>
      <c r="I245" s="207"/>
      <c r="J245" s="202"/>
      <c r="K245" s="207"/>
      <c r="L245" s="202"/>
      <c r="M245" s="207"/>
      <c r="N245" s="202"/>
      <c r="O245" s="201"/>
      <c r="P245" s="202"/>
      <c r="Q245" s="203">
        <f t="shared" si="4"/>
        <v>0</v>
      </c>
      <c r="R245" s="202"/>
      <c r="S245" s="207"/>
      <c r="T245" s="202"/>
      <c r="U245" s="207"/>
      <c r="V245" s="202"/>
      <c r="W245" s="207"/>
      <c r="X245" s="202"/>
      <c r="Y245" s="207"/>
      <c r="Z245" s="202"/>
      <c r="AA245" s="207"/>
      <c r="AB245" s="202"/>
      <c r="AC245" s="208"/>
      <c r="AD245" s="202"/>
      <c r="AE245" s="203">
        <f t="shared" si="5"/>
        <v>0</v>
      </c>
      <c r="AF245" s="202"/>
      <c r="AG245" s="204"/>
      <c r="AH245" s="202"/>
      <c r="AI245" s="204"/>
      <c r="AJ245" s="202"/>
      <c r="AK245" s="204"/>
      <c r="AL245" s="202"/>
      <c r="AM245" s="204"/>
      <c r="AN245" s="202"/>
      <c r="AO245" s="204"/>
      <c r="AP245" s="202"/>
      <c r="AQ245" s="208"/>
      <c r="AR245" s="202"/>
      <c r="AS245" s="203">
        <f t="shared" si="6"/>
        <v>0</v>
      </c>
      <c r="AT245" s="202"/>
      <c r="AU245" s="204"/>
      <c r="AV245" s="202"/>
      <c r="AW245" s="204"/>
      <c r="AX245" s="202"/>
      <c r="AY245" s="204"/>
      <c r="AZ245" s="202"/>
      <c r="BA245" s="204"/>
      <c r="BB245" s="202"/>
      <c r="BC245" s="204"/>
      <c r="BD245" s="202"/>
      <c r="BE245" s="208"/>
      <c r="BF245" s="202"/>
      <c r="BG245" s="203">
        <f t="shared" si="7"/>
        <v>0</v>
      </c>
      <c r="BH245" s="202"/>
      <c r="BI245" s="204"/>
      <c r="BJ245" s="202"/>
      <c r="BK245" s="204"/>
      <c r="BL245" s="202"/>
      <c r="BM245" s="204"/>
      <c r="BN245" s="202"/>
      <c r="BO245" s="203">
        <f t="shared" si="8"/>
        <v>0</v>
      </c>
      <c r="BP245" s="202"/>
      <c r="BQ245" s="138"/>
      <c r="BR245" s="128"/>
      <c r="BS245" s="128"/>
      <c r="BT245" s="128"/>
      <c r="BU245" s="128"/>
      <c r="BV245" s="128"/>
      <c r="BW245" s="139"/>
      <c r="BX245" s="140"/>
      <c r="BY245" s="139"/>
      <c r="BZ245" s="139"/>
      <c r="CA245" s="134"/>
      <c r="CB245" s="134"/>
      <c r="CC245" s="134"/>
      <c r="CD245" s="134"/>
      <c r="CE245" s="134"/>
      <c r="CF245" s="134"/>
      <c r="CG245" s="92"/>
      <c r="CH245" s="92"/>
      <c r="CI245" s="92"/>
      <c r="CJ245" s="92"/>
      <c r="CK245" s="92"/>
    </row>
    <row r="246" spans="1:89" ht="17.25" customHeight="1">
      <c r="A246" s="160"/>
      <c r="B246" s="165"/>
      <c r="C246" s="164"/>
      <c r="D246" s="137">
        <f t="shared" si="3"/>
        <v>0</v>
      </c>
      <c r="E246" s="207"/>
      <c r="F246" s="202"/>
      <c r="G246" s="207"/>
      <c r="H246" s="202"/>
      <c r="I246" s="207"/>
      <c r="J246" s="202"/>
      <c r="K246" s="207"/>
      <c r="L246" s="202"/>
      <c r="M246" s="207"/>
      <c r="N246" s="202"/>
      <c r="O246" s="201"/>
      <c r="P246" s="202"/>
      <c r="Q246" s="203">
        <f t="shared" si="4"/>
        <v>0</v>
      </c>
      <c r="R246" s="202"/>
      <c r="S246" s="207"/>
      <c r="T246" s="202"/>
      <c r="U246" s="207"/>
      <c r="V246" s="202"/>
      <c r="W246" s="207"/>
      <c r="X246" s="202"/>
      <c r="Y246" s="207"/>
      <c r="Z246" s="202"/>
      <c r="AA246" s="207"/>
      <c r="AB246" s="202"/>
      <c r="AC246" s="208"/>
      <c r="AD246" s="202"/>
      <c r="AE246" s="203">
        <f t="shared" si="5"/>
        <v>0</v>
      </c>
      <c r="AF246" s="202"/>
      <c r="AG246" s="204"/>
      <c r="AH246" s="202"/>
      <c r="AI246" s="204"/>
      <c r="AJ246" s="202"/>
      <c r="AK246" s="204"/>
      <c r="AL246" s="202"/>
      <c r="AM246" s="204"/>
      <c r="AN246" s="202"/>
      <c r="AO246" s="204"/>
      <c r="AP246" s="202"/>
      <c r="AQ246" s="208"/>
      <c r="AR246" s="202"/>
      <c r="AS246" s="203">
        <f t="shared" si="6"/>
        <v>0</v>
      </c>
      <c r="AT246" s="202"/>
      <c r="AU246" s="204"/>
      <c r="AV246" s="202"/>
      <c r="AW246" s="204"/>
      <c r="AX246" s="202"/>
      <c r="AY246" s="204"/>
      <c r="AZ246" s="202"/>
      <c r="BA246" s="204"/>
      <c r="BB246" s="202"/>
      <c r="BC246" s="204"/>
      <c r="BD246" s="202"/>
      <c r="BE246" s="208"/>
      <c r="BF246" s="202"/>
      <c r="BG246" s="203">
        <f t="shared" si="7"/>
        <v>0</v>
      </c>
      <c r="BH246" s="202"/>
      <c r="BI246" s="204"/>
      <c r="BJ246" s="202"/>
      <c r="BK246" s="204"/>
      <c r="BL246" s="202"/>
      <c r="BM246" s="204"/>
      <c r="BN246" s="202"/>
      <c r="BO246" s="203">
        <f t="shared" si="8"/>
        <v>0</v>
      </c>
      <c r="BP246" s="202"/>
      <c r="BQ246" s="138"/>
      <c r="BR246" s="128"/>
      <c r="BS246" s="128"/>
      <c r="BT246" s="128"/>
      <c r="BU246" s="128"/>
      <c r="BV246" s="128"/>
      <c r="BW246" s="139"/>
      <c r="BX246" s="140"/>
      <c r="BY246" s="139"/>
      <c r="BZ246" s="139"/>
      <c r="CA246" s="134"/>
      <c r="CB246" s="134"/>
      <c r="CC246" s="134"/>
      <c r="CD246" s="134"/>
      <c r="CE246" s="134"/>
      <c r="CF246" s="134"/>
      <c r="CG246" s="92"/>
      <c r="CH246" s="92"/>
      <c r="CI246" s="92"/>
      <c r="CJ246" s="92"/>
      <c r="CK246" s="92"/>
    </row>
    <row r="247" spans="1:89" ht="17.25" customHeight="1">
      <c r="A247" s="160"/>
      <c r="B247" s="165"/>
      <c r="C247" s="164"/>
      <c r="D247" s="137">
        <f t="shared" si="3"/>
        <v>0</v>
      </c>
      <c r="E247" s="207"/>
      <c r="F247" s="202"/>
      <c r="G247" s="207"/>
      <c r="H247" s="202"/>
      <c r="I247" s="207"/>
      <c r="J247" s="202"/>
      <c r="K247" s="207"/>
      <c r="L247" s="202"/>
      <c r="M247" s="207"/>
      <c r="N247" s="202"/>
      <c r="O247" s="201"/>
      <c r="P247" s="202"/>
      <c r="Q247" s="203">
        <f t="shared" si="4"/>
        <v>0</v>
      </c>
      <c r="R247" s="202"/>
      <c r="S247" s="207"/>
      <c r="T247" s="202"/>
      <c r="U247" s="207"/>
      <c r="V247" s="202"/>
      <c r="W247" s="207"/>
      <c r="X247" s="202"/>
      <c r="Y247" s="207"/>
      <c r="Z247" s="202"/>
      <c r="AA247" s="207"/>
      <c r="AB247" s="202"/>
      <c r="AC247" s="208"/>
      <c r="AD247" s="202"/>
      <c r="AE247" s="203">
        <f t="shared" si="5"/>
        <v>0</v>
      </c>
      <c r="AF247" s="202"/>
      <c r="AG247" s="204"/>
      <c r="AH247" s="202"/>
      <c r="AI247" s="204"/>
      <c r="AJ247" s="202"/>
      <c r="AK247" s="204"/>
      <c r="AL247" s="202"/>
      <c r="AM247" s="204"/>
      <c r="AN247" s="202"/>
      <c r="AO247" s="204"/>
      <c r="AP247" s="202"/>
      <c r="AQ247" s="208"/>
      <c r="AR247" s="202"/>
      <c r="AS247" s="203">
        <f t="shared" si="6"/>
        <v>0</v>
      </c>
      <c r="AT247" s="202"/>
      <c r="AU247" s="204"/>
      <c r="AV247" s="202"/>
      <c r="AW247" s="204"/>
      <c r="AX247" s="202"/>
      <c r="AY247" s="204"/>
      <c r="AZ247" s="202"/>
      <c r="BA247" s="204"/>
      <c r="BB247" s="202"/>
      <c r="BC247" s="204"/>
      <c r="BD247" s="202"/>
      <c r="BE247" s="208"/>
      <c r="BF247" s="202"/>
      <c r="BG247" s="203">
        <f t="shared" si="7"/>
        <v>0</v>
      </c>
      <c r="BH247" s="202"/>
      <c r="BI247" s="204"/>
      <c r="BJ247" s="202"/>
      <c r="BK247" s="204"/>
      <c r="BL247" s="202"/>
      <c r="BM247" s="204"/>
      <c r="BN247" s="202"/>
      <c r="BO247" s="203">
        <f t="shared" si="8"/>
        <v>0</v>
      </c>
      <c r="BP247" s="202"/>
      <c r="BQ247" s="138"/>
      <c r="BR247" s="128"/>
      <c r="BS247" s="128"/>
      <c r="BT247" s="128"/>
      <c r="BU247" s="128"/>
      <c r="BV247" s="128"/>
      <c r="BW247" s="139"/>
      <c r="BX247" s="140"/>
      <c r="BY247" s="139"/>
      <c r="BZ247" s="139"/>
      <c r="CA247" s="134"/>
      <c r="CB247" s="134"/>
      <c r="CC247" s="134"/>
      <c r="CD247" s="134"/>
      <c r="CE247" s="134"/>
      <c r="CF247" s="134"/>
      <c r="CG247" s="92"/>
      <c r="CH247" s="92"/>
      <c r="CI247" s="92"/>
      <c r="CJ247" s="92"/>
      <c r="CK247" s="92"/>
    </row>
    <row r="248" spans="1:89" ht="17.25" customHeight="1">
      <c r="A248" s="160"/>
      <c r="B248" s="165"/>
      <c r="C248" s="164"/>
      <c r="D248" s="137">
        <f t="shared" si="3"/>
        <v>0</v>
      </c>
      <c r="E248" s="207"/>
      <c r="F248" s="202"/>
      <c r="G248" s="207"/>
      <c r="H248" s="202"/>
      <c r="I248" s="207"/>
      <c r="J248" s="202"/>
      <c r="K248" s="207"/>
      <c r="L248" s="202"/>
      <c r="M248" s="207"/>
      <c r="N248" s="202"/>
      <c r="O248" s="201"/>
      <c r="P248" s="202"/>
      <c r="Q248" s="203">
        <f t="shared" si="4"/>
        <v>0</v>
      </c>
      <c r="R248" s="202"/>
      <c r="S248" s="207"/>
      <c r="T248" s="202"/>
      <c r="U248" s="207"/>
      <c r="V248" s="202"/>
      <c r="W248" s="207"/>
      <c r="X248" s="202"/>
      <c r="Y248" s="207"/>
      <c r="Z248" s="202"/>
      <c r="AA248" s="207"/>
      <c r="AB248" s="202"/>
      <c r="AC248" s="208"/>
      <c r="AD248" s="202"/>
      <c r="AE248" s="203">
        <f t="shared" si="5"/>
        <v>0</v>
      </c>
      <c r="AF248" s="202"/>
      <c r="AG248" s="204"/>
      <c r="AH248" s="202"/>
      <c r="AI248" s="204"/>
      <c r="AJ248" s="202"/>
      <c r="AK248" s="204"/>
      <c r="AL248" s="202"/>
      <c r="AM248" s="204"/>
      <c r="AN248" s="202"/>
      <c r="AO248" s="204"/>
      <c r="AP248" s="202"/>
      <c r="AQ248" s="208"/>
      <c r="AR248" s="202"/>
      <c r="AS248" s="203">
        <f t="shared" si="6"/>
        <v>0</v>
      </c>
      <c r="AT248" s="202"/>
      <c r="AU248" s="204"/>
      <c r="AV248" s="202"/>
      <c r="AW248" s="204"/>
      <c r="AX248" s="202"/>
      <c r="AY248" s="204"/>
      <c r="AZ248" s="202"/>
      <c r="BA248" s="204"/>
      <c r="BB248" s="202"/>
      <c r="BC248" s="204"/>
      <c r="BD248" s="202"/>
      <c r="BE248" s="208"/>
      <c r="BF248" s="202"/>
      <c r="BG248" s="203">
        <f t="shared" si="7"/>
        <v>0</v>
      </c>
      <c r="BH248" s="202"/>
      <c r="BI248" s="204"/>
      <c r="BJ248" s="202"/>
      <c r="BK248" s="204"/>
      <c r="BL248" s="202"/>
      <c r="BM248" s="204"/>
      <c r="BN248" s="202"/>
      <c r="BO248" s="203">
        <f t="shared" si="8"/>
        <v>0</v>
      </c>
      <c r="BP248" s="202"/>
      <c r="BQ248" s="138"/>
      <c r="BR248" s="128"/>
      <c r="BS248" s="128"/>
      <c r="BT248" s="128"/>
      <c r="BU248" s="128"/>
      <c r="BV248" s="128"/>
      <c r="BW248" s="139"/>
      <c r="BX248" s="140"/>
      <c r="BY248" s="139"/>
      <c r="BZ248" s="139"/>
      <c r="CA248" s="134"/>
      <c r="CB248" s="134"/>
      <c r="CC248" s="134"/>
      <c r="CD248" s="134"/>
      <c r="CE248" s="134"/>
      <c r="CF248" s="134"/>
      <c r="CG248" s="92"/>
      <c r="CH248" s="92"/>
      <c r="CI248" s="92"/>
      <c r="CJ248" s="92"/>
      <c r="CK248" s="92"/>
    </row>
    <row r="249" spans="1:89" ht="17.25" customHeight="1">
      <c r="A249" s="160"/>
      <c r="B249" s="165"/>
      <c r="C249" s="164"/>
      <c r="D249" s="137">
        <f t="shared" si="3"/>
        <v>0</v>
      </c>
      <c r="E249" s="207"/>
      <c r="F249" s="202"/>
      <c r="G249" s="207"/>
      <c r="H249" s="202"/>
      <c r="I249" s="207"/>
      <c r="J249" s="202"/>
      <c r="K249" s="207"/>
      <c r="L249" s="202"/>
      <c r="M249" s="207"/>
      <c r="N249" s="202"/>
      <c r="O249" s="201"/>
      <c r="P249" s="202"/>
      <c r="Q249" s="203">
        <f t="shared" si="4"/>
        <v>0</v>
      </c>
      <c r="R249" s="202"/>
      <c r="S249" s="207"/>
      <c r="T249" s="202"/>
      <c r="U249" s="207"/>
      <c r="V249" s="202"/>
      <c r="W249" s="207"/>
      <c r="X249" s="202"/>
      <c r="Y249" s="207"/>
      <c r="Z249" s="202"/>
      <c r="AA249" s="207"/>
      <c r="AB249" s="202"/>
      <c r="AC249" s="208"/>
      <c r="AD249" s="202"/>
      <c r="AE249" s="203">
        <f t="shared" si="5"/>
        <v>0</v>
      </c>
      <c r="AF249" s="202"/>
      <c r="AG249" s="204"/>
      <c r="AH249" s="202"/>
      <c r="AI249" s="204"/>
      <c r="AJ249" s="202"/>
      <c r="AK249" s="204"/>
      <c r="AL249" s="202"/>
      <c r="AM249" s="204"/>
      <c r="AN249" s="202"/>
      <c r="AO249" s="204"/>
      <c r="AP249" s="202"/>
      <c r="AQ249" s="208"/>
      <c r="AR249" s="202"/>
      <c r="AS249" s="203">
        <f t="shared" si="6"/>
        <v>0</v>
      </c>
      <c r="AT249" s="202"/>
      <c r="AU249" s="204"/>
      <c r="AV249" s="202"/>
      <c r="AW249" s="204"/>
      <c r="AX249" s="202"/>
      <c r="AY249" s="204"/>
      <c r="AZ249" s="202"/>
      <c r="BA249" s="204"/>
      <c r="BB249" s="202"/>
      <c r="BC249" s="204"/>
      <c r="BD249" s="202"/>
      <c r="BE249" s="208"/>
      <c r="BF249" s="202"/>
      <c r="BG249" s="203">
        <f t="shared" si="7"/>
        <v>0</v>
      </c>
      <c r="BH249" s="202"/>
      <c r="BI249" s="204"/>
      <c r="BJ249" s="202"/>
      <c r="BK249" s="204"/>
      <c r="BL249" s="202"/>
      <c r="BM249" s="204"/>
      <c r="BN249" s="202"/>
      <c r="BO249" s="203">
        <f t="shared" si="8"/>
        <v>0</v>
      </c>
      <c r="BP249" s="202"/>
      <c r="BQ249" s="138"/>
      <c r="BR249" s="128"/>
      <c r="BS249" s="128"/>
      <c r="BT249" s="128"/>
      <c r="BU249" s="128"/>
      <c r="BV249" s="128"/>
      <c r="BW249" s="139"/>
      <c r="BX249" s="140"/>
      <c r="BY249" s="139"/>
      <c r="BZ249" s="139"/>
      <c r="CA249" s="134"/>
      <c r="CB249" s="134"/>
      <c r="CC249" s="134"/>
      <c r="CD249" s="134"/>
      <c r="CE249" s="134"/>
      <c r="CF249" s="134"/>
      <c r="CG249" s="92"/>
      <c r="CH249" s="92"/>
      <c r="CI249" s="92"/>
      <c r="CJ249" s="92"/>
      <c r="CK249" s="92"/>
    </row>
    <row r="250" spans="1:89" ht="17.25" customHeight="1">
      <c r="A250" s="160"/>
      <c r="B250" s="165"/>
      <c r="C250" s="164"/>
      <c r="D250" s="137">
        <f t="shared" si="3"/>
        <v>0</v>
      </c>
      <c r="E250" s="207"/>
      <c r="F250" s="202"/>
      <c r="G250" s="207"/>
      <c r="H250" s="202"/>
      <c r="I250" s="207"/>
      <c r="J250" s="202"/>
      <c r="K250" s="207"/>
      <c r="L250" s="202"/>
      <c r="M250" s="207"/>
      <c r="N250" s="202"/>
      <c r="O250" s="201"/>
      <c r="P250" s="202"/>
      <c r="Q250" s="203">
        <f t="shared" si="4"/>
        <v>0</v>
      </c>
      <c r="R250" s="202"/>
      <c r="S250" s="207"/>
      <c r="T250" s="202"/>
      <c r="U250" s="207"/>
      <c r="V250" s="202"/>
      <c r="W250" s="207"/>
      <c r="X250" s="202"/>
      <c r="Y250" s="207"/>
      <c r="Z250" s="202"/>
      <c r="AA250" s="207"/>
      <c r="AB250" s="202"/>
      <c r="AC250" s="208"/>
      <c r="AD250" s="202"/>
      <c r="AE250" s="203">
        <f t="shared" si="5"/>
        <v>0</v>
      </c>
      <c r="AF250" s="202"/>
      <c r="AG250" s="204"/>
      <c r="AH250" s="202"/>
      <c r="AI250" s="204"/>
      <c r="AJ250" s="202"/>
      <c r="AK250" s="204"/>
      <c r="AL250" s="202"/>
      <c r="AM250" s="204"/>
      <c r="AN250" s="202"/>
      <c r="AO250" s="204"/>
      <c r="AP250" s="202"/>
      <c r="AQ250" s="208"/>
      <c r="AR250" s="202"/>
      <c r="AS250" s="203">
        <f t="shared" si="6"/>
        <v>0</v>
      </c>
      <c r="AT250" s="202"/>
      <c r="AU250" s="204"/>
      <c r="AV250" s="202"/>
      <c r="AW250" s="204"/>
      <c r="AX250" s="202"/>
      <c r="AY250" s="204"/>
      <c r="AZ250" s="202"/>
      <c r="BA250" s="204"/>
      <c r="BB250" s="202"/>
      <c r="BC250" s="204"/>
      <c r="BD250" s="202"/>
      <c r="BE250" s="208"/>
      <c r="BF250" s="202"/>
      <c r="BG250" s="203">
        <f t="shared" si="7"/>
        <v>0</v>
      </c>
      <c r="BH250" s="202"/>
      <c r="BI250" s="204"/>
      <c r="BJ250" s="202"/>
      <c r="BK250" s="204"/>
      <c r="BL250" s="202"/>
      <c r="BM250" s="204"/>
      <c r="BN250" s="202"/>
      <c r="BO250" s="203">
        <f t="shared" si="8"/>
        <v>0</v>
      </c>
      <c r="BP250" s="202"/>
      <c r="BQ250" s="138"/>
      <c r="BR250" s="128"/>
      <c r="BS250" s="128"/>
      <c r="BT250" s="128"/>
      <c r="BU250" s="128"/>
      <c r="BV250" s="128"/>
      <c r="BW250" s="139"/>
      <c r="BX250" s="140"/>
      <c r="BY250" s="139"/>
      <c r="BZ250" s="139"/>
      <c r="CA250" s="134"/>
      <c r="CB250" s="134"/>
      <c r="CC250" s="134"/>
      <c r="CD250" s="134"/>
      <c r="CE250" s="134"/>
      <c r="CF250" s="134"/>
      <c r="CG250" s="92"/>
      <c r="CH250" s="92"/>
      <c r="CI250" s="92"/>
      <c r="CJ250" s="92"/>
      <c r="CK250" s="92"/>
    </row>
    <row r="251" spans="1:89" ht="17.25" customHeight="1">
      <c r="A251" s="160"/>
      <c r="B251" s="165"/>
      <c r="C251" s="164"/>
      <c r="D251" s="137">
        <f t="shared" si="3"/>
        <v>0</v>
      </c>
      <c r="E251" s="207"/>
      <c r="F251" s="202"/>
      <c r="G251" s="207"/>
      <c r="H251" s="202"/>
      <c r="I251" s="207"/>
      <c r="J251" s="202"/>
      <c r="K251" s="207"/>
      <c r="L251" s="202"/>
      <c r="M251" s="207"/>
      <c r="N251" s="202"/>
      <c r="O251" s="201"/>
      <c r="P251" s="202"/>
      <c r="Q251" s="203">
        <f t="shared" si="4"/>
        <v>0</v>
      </c>
      <c r="R251" s="202"/>
      <c r="S251" s="207"/>
      <c r="T251" s="202"/>
      <c r="U251" s="207"/>
      <c r="V251" s="202"/>
      <c r="W251" s="207"/>
      <c r="X251" s="202"/>
      <c r="Y251" s="207"/>
      <c r="Z251" s="202"/>
      <c r="AA251" s="207"/>
      <c r="AB251" s="202"/>
      <c r="AC251" s="208"/>
      <c r="AD251" s="202"/>
      <c r="AE251" s="203">
        <f t="shared" si="5"/>
        <v>0</v>
      </c>
      <c r="AF251" s="202"/>
      <c r="AG251" s="204"/>
      <c r="AH251" s="202"/>
      <c r="AI251" s="204"/>
      <c r="AJ251" s="202"/>
      <c r="AK251" s="204"/>
      <c r="AL251" s="202"/>
      <c r="AM251" s="204"/>
      <c r="AN251" s="202"/>
      <c r="AO251" s="204"/>
      <c r="AP251" s="202"/>
      <c r="AQ251" s="208"/>
      <c r="AR251" s="202"/>
      <c r="AS251" s="203">
        <f t="shared" si="6"/>
        <v>0</v>
      </c>
      <c r="AT251" s="202"/>
      <c r="AU251" s="204"/>
      <c r="AV251" s="202"/>
      <c r="AW251" s="204"/>
      <c r="AX251" s="202"/>
      <c r="AY251" s="204"/>
      <c r="AZ251" s="202"/>
      <c r="BA251" s="204"/>
      <c r="BB251" s="202"/>
      <c r="BC251" s="204"/>
      <c r="BD251" s="202"/>
      <c r="BE251" s="208"/>
      <c r="BF251" s="202"/>
      <c r="BG251" s="203">
        <f t="shared" si="7"/>
        <v>0</v>
      </c>
      <c r="BH251" s="202"/>
      <c r="BI251" s="204"/>
      <c r="BJ251" s="202"/>
      <c r="BK251" s="204"/>
      <c r="BL251" s="202"/>
      <c r="BM251" s="204"/>
      <c r="BN251" s="202"/>
      <c r="BO251" s="203">
        <f t="shared" si="8"/>
        <v>0</v>
      </c>
      <c r="BP251" s="202"/>
      <c r="BQ251" s="138"/>
      <c r="BR251" s="128"/>
      <c r="BS251" s="128"/>
      <c r="BT251" s="128"/>
      <c r="BU251" s="128"/>
      <c r="BV251" s="128"/>
      <c r="BW251" s="139"/>
      <c r="BX251" s="140"/>
      <c r="BY251" s="139"/>
      <c r="BZ251" s="139"/>
      <c r="CA251" s="134"/>
      <c r="CB251" s="134"/>
      <c r="CC251" s="134"/>
      <c r="CD251" s="134"/>
      <c r="CE251" s="134"/>
      <c r="CF251" s="134"/>
      <c r="CG251" s="92"/>
      <c r="CH251" s="92"/>
      <c r="CI251" s="92"/>
      <c r="CJ251" s="92"/>
      <c r="CK251" s="92"/>
    </row>
    <row r="252" spans="1:89" ht="17.25" customHeight="1">
      <c r="A252" s="160"/>
      <c r="B252" s="165"/>
      <c r="C252" s="164"/>
      <c r="D252" s="137">
        <f t="shared" si="3"/>
        <v>0</v>
      </c>
      <c r="E252" s="207"/>
      <c r="F252" s="202"/>
      <c r="G252" s="207"/>
      <c r="H252" s="202"/>
      <c r="I252" s="207"/>
      <c r="J252" s="202"/>
      <c r="K252" s="207"/>
      <c r="L252" s="202"/>
      <c r="M252" s="207"/>
      <c r="N252" s="202"/>
      <c r="O252" s="201"/>
      <c r="P252" s="202"/>
      <c r="Q252" s="203">
        <f t="shared" si="4"/>
        <v>0</v>
      </c>
      <c r="R252" s="202"/>
      <c r="S252" s="207"/>
      <c r="T252" s="202"/>
      <c r="U252" s="207"/>
      <c r="V252" s="202"/>
      <c r="W252" s="207"/>
      <c r="X252" s="202"/>
      <c r="Y252" s="207"/>
      <c r="Z252" s="202"/>
      <c r="AA252" s="207"/>
      <c r="AB252" s="202"/>
      <c r="AC252" s="208"/>
      <c r="AD252" s="202"/>
      <c r="AE252" s="203">
        <f t="shared" si="5"/>
        <v>0</v>
      </c>
      <c r="AF252" s="202"/>
      <c r="AG252" s="204"/>
      <c r="AH252" s="202"/>
      <c r="AI252" s="204"/>
      <c r="AJ252" s="202"/>
      <c r="AK252" s="204"/>
      <c r="AL252" s="202"/>
      <c r="AM252" s="204"/>
      <c r="AN252" s="202"/>
      <c r="AO252" s="204"/>
      <c r="AP252" s="202"/>
      <c r="AQ252" s="208"/>
      <c r="AR252" s="202"/>
      <c r="AS252" s="203">
        <f t="shared" si="6"/>
        <v>0</v>
      </c>
      <c r="AT252" s="202"/>
      <c r="AU252" s="204"/>
      <c r="AV252" s="202"/>
      <c r="AW252" s="204"/>
      <c r="AX252" s="202"/>
      <c r="AY252" s="204"/>
      <c r="AZ252" s="202"/>
      <c r="BA252" s="204"/>
      <c r="BB252" s="202"/>
      <c r="BC252" s="204"/>
      <c r="BD252" s="202"/>
      <c r="BE252" s="208"/>
      <c r="BF252" s="202"/>
      <c r="BG252" s="203">
        <f t="shared" si="7"/>
        <v>0</v>
      </c>
      <c r="BH252" s="202"/>
      <c r="BI252" s="204"/>
      <c r="BJ252" s="202"/>
      <c r="BK252" s="204"/>
      <c r="BL252" s="202"/>
      <c r="BM252" s="204"/>
      <c r="BN252" s="202"/>
      <c r="BO252" s="203">
        <f t="shared" si="8"/>
        <v>0</v>
      </c>
      <c r="BP252" s="202"/>
      <c r="BQ252" s="138"/>
      <c r="BR252" s="128"/>
      <c r="BS252" s="128"/>
      <c r="BT252" s="128"/>
      <c r="BU252" s="128"/>
      <c r="BV252" s="128"/>
      <c r="BW252" s="139"/>
      <c r="BX252" s="140"/>
      <c r="BY252" s="139"/>
      <c r="BZ252" s="139"/>
      <c r="CA252" s="134"/>
      <c r="CB252" s="134"/>
      <c r="CC252" s="134"/>
      <c r="CD252" s="134"/>
      <c r="CE252" s="134"/>
      <c r="CF252" s="134"/>
      <c r="CG252" s="92"/>
      <c r="CH252" s="92"/>
      <c r="CI252" s="92"/>
      <c r="CJ252" s="92"/>
      <c r="CK252" s="92"/>
    </row>
    <row r="253" spans="1:89" ht="17.25" customHeight="1">
      <c r="A253" s="160"/>
      <c r="B253" s="165"/>
      <c r="C253" s="164"/>
      <c r="D253" s="137">
        <f t="shared" si="3"/>
        <v>0</v>
      </c>
      <c r="E253" s="207"/>
      <c r="F253" s="202"/>
      <c r="G253" s="207"/>
      <c r="H253" s="202"/>
      <c r="I253" s="207"/>
      <c r="J253" s="202"/>
      <c r="K253" s="207"/>
      <c r="L253" s="202"/>
      <c r="M253" s="207"/>
      <c r="N253" s="202"/>
      <c r="O253" s="201"/>
      <c r="P253" s="202"/>
      <c r="Q253" s="203">
        <f t="shared" si="4"/>
        <v>0</v>
      </c>
      <c r="R253" s="202"/>
      <c r="S253" s="207"/>
      <c r="T253" s="202"/>
      <c r="U253" s="207"/>
      <c r="V253" s="202"/>
      <c r="W253" s="207"/>
      <c r="X253" s="202"/>
      <c r="Y253" s="207"/>
      <c r="Z253" s="202"/>
      <c r="AA253" s="207"/>
      <c r="AB253" s="202"/>
      <c r="AC253" s="208"/>
      <c r="AD253" s="202"/>
      <c r="AE253" s="203">
        <f t="shared" si="5"/>
        <v>0</v>
      </c>
      <c r="AF253" s="202"/>
      <c r="AG253" s="204"/>
      <c r="AH253" s="202"/>
      <c r="AI253" s="204"/>
      <c r="AJ253" s="202"/>
      <c r="AK253" s="204"/>
      <c r="AL253" s="202"/>
      <c r="AM253" s="204"/>
      <c r="AN253" s="202"/>
      <c r="AO253" s="204"/>
      <c r="AP253" s="202"/>
      <c r="AQ253" s="208"/>
      <c r="AR253" s="202"/>
      <c r="AS253" s="203">
        <f t="shared" si="6"/>
        <v>0</v>
      </c>
      <c r="AT253" s="202"/>
      <c r="AU253" s="204"/>
      <c r="AV253" s="202"/>
      <c r="AW253" s="204"/>
      <c r="AX253" s="202"/>
      <c r="AY253" s="204"/>
      <c r="AZ253" s="202"/>
      <c r="BA253" s="204"/>
      <c r="BB253" s="202"/>
      <c r="BC253" s="204"/>
      <c r="BD253" s="202"/>
      <c r="BE253" s="208"/>
      <c r="BF253" s="202"/>
      <c r="BG253" s="203">
        <f t="shared" si="7"/>
        <v>0</v>
      </c>
      <c r="BH253" s="202"/>
      <c r="BI253" s="204"/>
      <c r="BJ253" s="202"/>
      <c r="BK253" s="204"/>
      <c r="BL253" s="202"/>
      <c r="BM253" s="204"/>
      <c r="BN253" s="202"/>
      <c r="BO253" s="203">
        <f t="shared" si="8"/>
        <v>0</v>
      </c>
      <c r="BP253" s="202"/>
      <c r="BQ253" s="138"/>
      <c r="BR253" s="128"/>
      <c r="BS253" s="128"/>
      <c r="BT253" s="128"/>
      <c r="BU253" s="128"/>
      <c r="BV253" s="128"/>
      <c r="BW253" s="139"/>
      <c r="BX253" s="140"/>
      <c r="BY253" s="139"/>
      <c r="BZ253" s="139"/>
      <c r="CA253" s="134"/>
      <c r="CB253" s="134"/>
      <c r="CC253" s="134"/>
      <c r="CD253" s="134"/>
      <c r="CE253" s="134"/>
      <c r="CF253" s="134"/>
      <c r="CG253" s="92"/>
      <c r="CH253" s="92"/>
      <c r="CI253" s="92"/>
      <c r="CJ253" s="92"/>
      <c r="CK253" s="92"/>
    </row>
    <row r="254" spans="1:89" ht="17.25" customHeight="1">
      <c r="A254" s="160"/>
      <c r="B254" s="165"/>
      <c r="C254" s="164"/>
      <c r="D254" s="137">
        <f t="shared" si="3"/>
        <v>0</v>
      </c>
      <c r="E254" s="207"/>
      <c r="F254" s="202"/>
      <c r="G254" s="207"/>
      <c r="H254" s="202"/>
      <c r="I254" s="207"/>
      <c r="J254" s="202"/>
      <c r="K254" s="207"/>
      <c r="L254" s="202"/>
      <c r="M254" s="207"/>
      <c r="N254" s="202"/>
      <c r="O254" s="201"/>
      <c r="P254" s="202"/>
      <c r="Q254" s="203">
        <f t="shared" si="4"/>
        <v>0</v>
      </c>
      <c r="R254" s="202"/>
      <c r="S254" s="207"/>
      <c r="T254" s="202"/>
      <c r="U254" s="207"/>
      <c r="V254" s="202"/>
      <c r="W254" s="207"/>
      <c r="X254" s="202"/>
      <c r="Y254" s="207"/>
      <c r="Z254" s="202"/>
      <c r="AA254" s="207"/>
      <c r="AB254" s="202"/>
      <c r="AC254" s="208"/>
      <c r="AD254" s="202"/>
      <c r="AE254" s="203">
        <f t="shared" si="5"/>
        <v>0</v>
      </c>
      <c r="AF254" s="202"/>
      <c r="AG254" s="204"/>
      <c r="AH254" s="202"/>
      <c r="AI254" s="204"/>
      <c r="AJ254" s="202"/>
      <c r="AK254" s="204"/>
      <c r="AL254" s="202"/>
      <c r="AM254" s="204"/>
      <c r="AN254" s="202"/>
      <c r="AO254" s="204"/>
      <c r="AP254" s="202"/>
      <c r="AQ254" s="208"/>
      <c r="AR254" s="202"/>
      <c r="AS254" s="203">
        <f t="shared" si="6"/>
        <v>0</v>
      </c>
      <c r="AT254" s="202"/>
      <c r="AU254" s="204"/>
      <c r="AV254" s="202"/>
      <c r="AW254" s="204"/>
      <c r="AX254" s="202"/>
      <c r="AY254" s="204"/>
      <c r="AZ254" s="202"/>
      <c r="BA254" s="204"/>
      <c r="BB254" s="202"/>
      <c r="BC254" s="204"/>
      <c r="BD254" s="202"/>
      <c r="BE254" s="208"/>
      <c r="BF254" s="202"/>
      <c r="BG254" s="203">
        <f t="shared" si="7"/>
        <v>0</v>
      </c>
      <c r="BH254" s="202"/>
      <c r="BI254" s="204"/>
      <c r="BJ254" s="202"/>
      <c r="BK254" s="204"/>
      <c r="BL254" s="202"/>
      <c r="BM254" s="204"/>
      <c r="BN254" s="202"/>
      <c r="BO254" s="203">
        <f t="shared" si="8"/>
        <v>0</v>
      </c>
      <c r="BP254" s="202"/>
      <c r="BQ254" s="138"/>
      <c r="BR254" s="128"/>
      <c r="BS254" s="128"/>
      <c r="BT254" s="128"/>
      <c r="BU254" s="128"/>
      <c r="BV254" s="128"/>
      <c r="BW254" s="139"/>
      <c r="BX254" s="140"/>
      <c r="BY254" s="139"/>
      <c r="BZ254" s="139"/>
      <c r="CA254" s="134"/>
      <c r="CB254" s="134"/>
      <c r="CC254" s="134"/>
      <c r="CD254" s="134"/>
      <c r="CE254" s="134"/>
      <c r="CF254" s="134"/>
      <c r="CG254" s="92"/>
      <c r="CH254" s="92"/>
      <c r="CI254" s="92"/>
      <c r="CJ254" s="92"/>
      <c r="CK254" s="92"/>
    </row>
    <row r="255" spans="1:89" ht="17.25" customHeight="1">
      <c r="A255" s="160"/>
      <c r="B255" s="165"/>
      <c r="C255" s="164"/>
      <c r="D255" s="137">
        <f t="shared" si="3"/>
        <v>0</v>
      </c>
      <c r="E255" s="207"/>
      <c r="F255" s="202"/>
      <c r="G255" s="207"/>
      <c r="H255" s="202"/>
      <c r="I255" s="207"/>
      <c r="J255" s="202"/>
      <c r="K255" s="207"/>
      <c r="L255" s="202"/>
      <c r="M255" s="207"/>
      <c r="N255" s="202"/>
      <c r="O255" s="201"/>
      <c r="P255" s="202"/>
      <c r="Q255" s="203">
        <f t="shared" si="4"/>
        <v>0</v>
      </c>
      <c r="R255" s="202"/>
      <c r="S255" s="207"/>
      <c r="T255" s="202"/>
      <c r="U255" s="207"/>
      <c r="V255" s="202"/>
      <c r="W255" s="207"/>
      <c r="X255" s="202"/>
      <c r="Y255" s="207"/>
      <c r="Z255" s="202"/>
      <c r="AA255" s="207"/>
      <c r="AB255" s="202"/>
      <c r="AC255" s="208"/>
      <c r="AD255" s="202"/>
      <c r="AE255" s="203">
        <f t="shared" si="5"/>
        <v>0</v>
      </c>
      <c r="AF255" s="202"/>
      <c r="AG255" s="204"/>
      <c r="AH255" s="202"/>
      <c r="AI255" s="204"/>
      <c r="AJ255" s="202"/>
      <c r="AK255" s="204"/>
      <c r="AL255" s="202"/>
      <c r="AM255" s="204"/>
      <c r="AN255" s="202"/>
      <c r="AO255" s="204"/>
      <c r="AP255" s="202"/>
      <c r="AQ255" s="208"/>
      <c r="AR255" s="202"/>
      <c r="AS255" s="203">
        <f t="shared" si="6"/>
        <v>0</v>
      </c>
      <c r="AT255" s="202"/>
      <c r="AU255" s="204"/>
      <c r="AV255" s="202"/>
      <c r="AW255" s="204"/>
      <c r="AX255" s="202"/>
      <c r="AY255" s="204"/>
      <c r="AZ255" s="202"/>
      <c r="BA255" s="204"/>
      <c r="BB255" s="202"/>
      <c r="BC255" s="204"/>
      <c r="BD255" s="202"/>
      <c r="BE255" s="208"/>
      <c r="BF255" s="202"/>
      <c r="BG255" s="203">
        <f t="shared" si="7"/>
        <v>0</v>
      </c>
      <c r="BH255" s="202"/>
      <c r="BI255" s="204"/>
      <c r="BJ255" s="202"/>
      <c r="BK255" s="204"/>
      <c r="BL255" s="202"/>
      <c r="BM255" s="204"/>
      <c r="BN255" s="202"/>
      <c r="BO255" s="203">
        <f t="shared" si="8"/>
        <v>0</v>
      </c>
      <c r="BP255" s="202"/>
      <c r="BQ255" s="138"/>
      <c r="BR255" s="128"/>
      <c r="BS255" s="128"/>
      <c r="BT255" s="128"/>
      <c r="BU255" s="128"/>
      <c r="BV255" s="128"/>
      <c r="BW255" s="139"/>
      <c r="BX255" s="140"/>
      <c r="BY255" s="139"/>
      <c r="BZ255" s="139"/>
      <c r="CA255" s="134"/>
      <c r="CB255" s="134"/>
      <c r="CC255" s="134"/>
      <c r="CD255" s="134"/>
      <c r="CE255" s="134"/>
      <c r="CF255" s="134"/>
      <c r="CG255" s="92"/>
      <c r="CH255" s="92"/>
      <c r="CI255" s="92"/>
      <c r="CJ255" s="92"/>
      <c r="CK255" s="92"/>
    </row>
    <row r="256" spans="1:89" ht="17.25" customHeight="1">
      <c r="A256" s="160"/>
      <c r="B256" s="165"/>
      <c r="C256" s="164"/>
      <c r="D256" s="137">
        <f t="shared" si="3"/>
        <v>0</v>
      </c>
      <c r="E256" s="207"/>
      <c r="F256" s="202"/>
      <c r="G256" s="207"/>
      <c r="H256" s="202"/>
      <c r="I256" s="207"/>
      <c r="J256" s="202"/>
      <c r="K256" s="207"/>
      <c r="L256" s="202"/>
      <c r="M256" s="207"/>
      <c r="N256" s="202"/>
      <c r="O256" s="201"/>
      <c r="P256" s="202"/>
      <c r="Q256" s="203">
        <f t="shared" si="4"/>
        <v>0</v>
      </c>
      <c r="R256" s="202"/>
      <c r="S256" s="207"/>
      <c r="T256" s="202"/>
      <c r="U256" s="207"/>
      <c r="V256" s="202"/>
      <c r="W256" s="207"/>
      <c r="X256" s="202"/>
      <c r="Y256" s="207"/>
      <c r="Z256" s="202"/>
      <c r="AA256" s="207"/>
      <c r="AB256" s="202"/>
      <c r="AC256" s="208"/>
      <c r="AD256" s="202"/>
      <c r="AE256" s="203">
        <f t="shared" si="5"/>
        <v>0</v>
      </c>
      <c r="AF256" s="202"/>
      <c r="AG256" s="204"/>
      <c r="AH256" s="202"/>
      <c r="AI256" s="204"/>
      <c r="AJ256" s="202"/>
      <c r="AK256" s="204"/>
      <c r="AL256" s="202"/>
      <c r="AM256" s="204"/>
      <c r="AN256" s="202"/>
      <c r="AO256" s="204"/>
      <c r="AP256" s="202"/>
      <c r="AQ256" s="208"/>
      <c r="AR256" s="202"/>
      <c r="AS256" s="203">
        <f t="shared" si="6"/>
        <v>0</v>
      </c>
      <c r="AT256" s="202"/>
      <c r="AU256" s="204"/>
      <c r="AV256" s="202"/>
      <c r="AW256" s="204"/>
      <c r="AX256" s="202"/>
      <c r="AY256" s="204"/>
      <c r="AZ256" s="202"/>
      <c r="BA256" s="204"/>
      <c r="BB256" s="202"/>
      <c r="BC256" s="204"/>
      <c r="BD256" s="202"/>
      <c r="BE256" s="208"/>
      <c r="BF256" s="202"/>
      <c r="BG256" s="203">
        <f t="shared" si="7"/>
        <v>0</v>
      </c>
      <c r="BH256" s="202"/>
      <c r="BI256" s="204"/>
      <c r="BJ256" s="202"/>
      <c r="BK256" s="204"/>
      <c r="BL256" s="202"/>
      <c r="BM256" s="204"/>
      <c r="BN256" s="202"/>
      <c r="BO256" s="203">
        <f t="shared" si="8"/>
        <v>0</v>
      </c>
      <c r="BP256" s="202"/>
      <c r="BQ256" s="138"/>
      <c r="BR256" s="128"/>
      <c r="BS256" s="128"/>
      <c r="BT256" s="128"/>
      <c r="BU256" s="128"/>
      <c r="BV256" s="128"/>
      <c r="BW256" s="139"/>
      <c r="BX256" s="140"/>
      <c r="BY256" s="139"/>
      <c r="BZ256" s="139"/>
      <c r="CA256" s="134"/>
      <c r="CB256" s="134"/>
      <c r="CC256" s="134"/>
      <c r="CD256" s="134"/>
      <c r="CE256" s="134"/>
      <c r="CF256" s="134"/>
      <c r="CG256" s="92"/>
      <c r="CH256" s="92"/>
      <c r="CI256" s="92"/>
      <c r="CJ256" s="92"/>
      <c r="CK256" s="92"/>
    </row>
    <row r="257" spans="1:89" ht="17.25" customHeight="1">
      <c r="A257" s="160"/>
      <c r="B257" s="165"/>
      <c r="C257" s="164"/>
      <c r="D257" s="137">
        <f t="shared" si="3"/>
        <v>0</v>
      </c>
      <c r="E257" s="207"/>
      <c r="F257" s="202"/>
      <c r="G257" s="207"/>
      <c r="H257" s="202"/>
      <c r="I257" s="207"/>
      <c r="J257" s="202"/>
      <c r="K257" s="207"/>
      <c r="L257" s="202"/>
      <c r="M257" s="207"/>
      <c r="N257" s="202"/>
      <c r="O257" s="201"/>
      <c r="P257" s="202"/>
      <c r="Q257" s="203">
        <f t="shared" si="4"/>
        <v>0</v>
      </c>
      <c r="R257" s="202"/>
      <c r="S257" s="207"/>
      <c r="T257" s="202"/>
      <c r="U257" s="207"/>
      <c r="V257" s="202"/>
      <c r="W257" s="207"/>
      <c r="X257" s="202"/>
      <c r="Y257" s="207"/>
      <c r="Z257" s="202"/>
      <c r="AA257" s="207"/>
      <c r="AB257" s="202"/>
      <c r="AC257" s="208"/>
      <c r="AD257" s="202"/>
      <c r="AE257" s="203">
        <f t="shared" si="5"/>
        <v>0</v>
      </c>
      <c r="AF257" s="202"/>
      <c r="AG257" s="204"/>
      <c r="AH257" s="202"/>
      <c r="AI257" s="204"/>
      <c r="AJ257" s="202"/>
      <c r="AK257" s="204"/>
      <c r="AL257" s="202"/>
      <c r="AM257" s="204"/>
      <c r="AN257" s="202"/>
      <c r="AO257" s="204"/>
      <c r="AP257" s="202"/>
      <c r="AQ257" s="208"/>
      <c r="AR257" s="202"/>
      <c r="AS257" s="203">
        <f t="shared" si="6"/>
        <v>0</v>
      </c>
      <c r="AT257" s="202"/>
      <c r="AU257" s="204"/>
      <c r="AV257" s="202"/>
      <c r="AW257" s="204"/>
      <c r="AX257" s="202"/>
      <c r="AY257" s="204"/>
      <c r="AZ257" s="202"/>
      <c r="BA257" s="204"/>
      <c r="BB257" s="202"/>
      <c r="BC257" s="204"/>
      <c r="BD257" s="202"/>
      <c r="BE257" s="208"/>
      <c r="BF257" s="202"/>
      <c r="BG257" s="203">
        <f t="shared" si="7"/>
        <v>0</v>
      </c>
      <c r="BH257" s="202"/>
      <c r="BI257" s="204"/>
      <c r="BJ257" s="202"/>
      <c r="BK257" s="204"/>
      <c r="BL257" s="202"/>
      <c r="BM257" s="204"/>
      <c r="BN257" s="202"/>
      <c r="BO257" s="203">
        <f t="shared" si="8"/>
        <v>0</v>
      </c>
      <c r="BP257" s="202"/>
      <c r="BQ257" s="138"/>
      <c r="BR257" s="128"/>
      <c r="BS257" s="128"/>
      <c r="BT257" s="128"/>
      <c r="BU257" s="128"/>
      <c r="BV257" s="128"/>
      <c r="BW257" s="139"/>
      <c r="BX257" s="140"/>
      <c r="BY257" s="139"/>
      <c r="BZ257" s="139"/>
      <c r="CA257" s="134"/>
      <c r="CB257" s="134"/>
      <c r="CC257" s="134"/>
      <c r="CD257" s="134"/>
      <c r="CE257" s="134"/>
      <c r="CF257" s="134"/>
      <c r="CG257" s="92"/>
      <c r="CH257" s="92"/>
      <c r="CI257" s="92"/>
      <c r="CJ257" s="92"/>
      <c r="CK257" s="92"/>
    </row>
    <row r="258" spans="1:89" ht="17.25" customHeight="1">
      <c r="A258" s="160"/>
      <c r="B258" s="165"/>
      <c r="C258" s="164"/>
      <c r="D258" s="137">
        <f t="shared" si="3"/>
        <v>0</v>
      </c>
      <c r="E258" s="207"/>
      <c r="F258" s="202"/>
      <c r="G258" s="207"/>
      <c r="H258" s="202"/>
      <c r="I258" s="207"/>
      <c r="J258" s="202"/>
      <c r="K258" s="207"/>
      <c r="L258" s="202"/>
      <c r="M258" s="207"/>
      <c r="N258" s="202"/>
      <c r="O258" s="201"/>
      <c r="P258" s="202"/>
      <c r="Q258" s="203">
        <f t="shared" si="4"/>
        <v>0</v>
      </c>
      <c r="R258" s="202"/>
      <c r="S258" s="207"/>
      <c r="T258" s="202"/>
      <c r="U258" s="207"/>
      <c r="V258" s="202"/>
      <c r="W258" s="207"/>
      <c r="X258" s="202"/>
      <c r="Y258" s="207"/>
      <c r="Z258" s="202"/>
      <c r="AA258" s="207"/>
      <c r="AB258" s="202"/>
      <c r="AC258" s="208"/>
      <c r="AD258" s="202"/>
      <c r="AE258" s="203">
        <f t="shared" si="5"/>
        <v>0</v>
      </c>
      <c r="AF258" s="202"/>
      <c r="AG258" s="204"/>
      <c r="AH258" s="202"/>
      <c r="AI258" s="204"/>
      <c r="AJ258" s="202"/>
      <c r="AK258" s="204"/>
      <c r="AL258" s="202"/>
      <c r="AM258" s="204"/>
      <c r="AN258" s="202"/>
      <c r="AO258" s="204"/>
      <c r="AP258" s="202"/>
      <c r="AQ258" s="208"/>
      <c r="AR258" s="202"/>
      <c r="AS258" s="203">
        <f t="shared" si="6"/>
        <v>0</v>
      </c>
      <c r="AT258" s="202"/>
      <c r="AU258" s="204"/>
      <c r="AV258" s="202"/>
      <c r="AW258" s="204"/>
      <c r="AX258" s="202"/>
      <c r="AY258" s="204"/>
      <c r="AZ258" s="202"/>
      <c r="BA258" s="204"/>
      <c r="BB258" s="202"/>
      <c r="BC258" s="204"/>
      <c r="BD258" s="202"/>
      <c r="BE258" s="208"/>
      <c r="BF258" s="202"/>
      <c r="BG258" s="203">
        <f t="shared" si="7"/>
        <v>0</v>
      </c>
      <c r="BH258" s="202"/>
      <c r="BI258" s="204"/>
      <c r="BJ258" s="202"/>
      <c r="BK258" s="204"/>
      <c r="BL258" s="202"/>
      <c r="BM258" s="204"/>
      <c r="BN258" s="202"/>
      <c r="BO258" s="203">
        <f t="shared" si="8"/>
        <v>0</v>
      </c>
      <c r="BP258" s="202"/>
      <c r="BQ258" s="138"/>
      <c r="BR258" s="128"/>
      <c r="BS258" s="128"/>
      <c r="BT258" s="128"/>
      <c r="BU258" s="128"/>
      <c r="BV258" s="128"/>
      <c r="BW258" s="139"/>
      <c r="BX258" s="140"/>
      <c r="BY258" s="139"/>
      <c r="BZ258" s="139"/>
      <c r="CA258" s="134"/>
      <c r="CB258" s="134"/>
      <c r="CC258" s="134"/>
      <c r="CD258" s="134"/>
      <c r="CE258" s="134"/>
      <c r="CF258" s="134"/>
      <c r="CG258" s="92"/>
      <c r="CH258" s="92"/>
      <c r="CI258" s="92"/>
      <c r="CJ258" s="92"/>
      <c r="CK258" s="92"/>
    </row>
    <row r="259" spans="1:89" ht="17.25" customHeight="1">
      <c r="A259" s="160"/>
      <c r="B259" s="165"/>
      <c r="C259" s="164"/>
      <c r="D259" s="137">
        <f t="shared" si="3"/>
        <v>0</v>
      </c>
      <c r="E259" s="207"/>
      <c r="F259" s="202"/>
      <c r="G259" s="207"/>
      <c r="H259" s="202"/>
      <c r="I259" s="207"/>
      <c r="J259" s="202"/>
      <c r="K259" s="207"/>
      <c r="L259" s="202"/>
      <c r="M259" s="207"/>
      <c r="N259" s="202"/>
      <c r="O259" s="201"/>
      <c r="P259" s="202"/>
      <c r="Q259" s="203">
        <f t="shared" si="4"/>
        <v>0</v>
      </c>
      <c r="R259" s="202"/>
      <c r="S259" s="207"/>
      <c r="T259" s="202"/>
      <c r="U259" s="207"/>
      <c r="V259" s="202"/>
      <c r="W259" s="207"/>
      <c r="X259" s="202"/>
      <c r="Y259" s="207"/>
      <c r="Z259" s="202"/>
      <c r="AA259" s="207"/>
      <c r="AB259" s="202"/>
      <c r="AC259" s="208"/>
      <c r="AD259" s="202"/>
      <c r="AE259" s="203">
        <f t="shared" si="5"/>
        <v>0</v>
      </c>
      <c r="AF259" s="202"/>
      <c r="AG259" s="204"/>
      <c r="AH259" s="202"/>
      <c r="AI259" s="204"/>
      <c r="AJ259" s="202"/>
      <c r="AK259" s="204"/>
      <c r="AL259" s="202"/>
      <c r="AM259" s="204"/>
      <c r="AN259" s="202"/>
      <c r="AO259" s="204"/>
      <c r="AP259" s="202"/>
      <c r="AQ259" s="208"/>
      <c r="AR259" s="202"/>
      <c r="AS259" s="203">
        <f t="shared" si="6"/>
        <v>0</v>
      </c>
      <c r="AT259" s="202"/>
      <c r="AU259" s="204"/>
      <c r="AV259" s="202"/>
      <c r="AW259" s="204"/>
      <c r="AX259" s="202"/>
      <c r="AY259" s="204"/>
      <c r="AZ259" s="202"/>
      <c r="BA259" s="204"/>
      <c r="BB259" s="202"/>
      <c r="BC259" s="204"/>
      <c r="BD259" s="202"/>
      <c r="BE259" s="208"/>
      <c r="BF259" s="202"/>
      <c r="BG259" s="203">
        <f t="shared" si="7"/>
        <v>0</v>
      </c>
      <c r="BH259" s="202"/>
      <c r="BI259" s="204"/>
      <c r="BJ259" s="202"/>
      <c r="BK259" s="204"/>
      <c r="BL259" s="202"/>
      <c r="BM259" s="204"/>
      <c r="BN259" s="202"/>
      <c r="BO259" s="203">
        <f t="shared" si="8"/>
        <v>0</v>
      </c>
      <c r="BP259" s="202"/>
      <c r="BQ259" s="138"/>
      <c r="BR259" s="128"/>
      <c r="BS259" s="128"/>
      <c r="BT259" s="128"/>
      <c r="BU259" s="128"/>
      <c r="BV259" s="128"/>
      <c r="BW259" s="139"/>
      <c r="BX259" s="140"/>
      <c r="BY259" s="139"/>
      <c r="BZ259" s="139"/>
      <c r="CA259" s="134"/>
      <c r="CB259" s="134"/>
      <c r="CC259" s="134"/>
      <c r="CD259" s="134"/>
      <c r="CE259" s="134"/>
      <c r="CF259" s="134"/>
      <c r="CG259" s="92"/>
      <c r="CH259" s="92"/>
      <c r="CI259" s="92"/>
      <c r="CJ259" s="92"/>
      <c r="CK259" s="92"/>
    </row>
    <row r="260" spans="1:89" ht="17.25" customHeight="1">
      <c r="A260" s="160"/>
      <c r="B260" s="165"/>
      <c r="C260" s="164"/>
      <c r="D260" s="137">
        <f t="shared" si="3"/>
        <v>0</v>
      </c>
      <c r="E260" s="207"/>
      <c r="F260" s="202"/>
      <c r="G260" s="207"/>
      <c r="H260" s="202"/>
      <c r="I260" s="207"/>
      <c r="J260" s="202"/>
      <c r="K260" s="207"/>
      <c r="L260" s="202"/>
      <c r="M260" s="207"/>
      <c r="N260" s="202"/>
      <c r="O260" s="201"/>
      <c r="P260" s="202"/>
      <c r="Q260" s="203">
        <f t="shared" si="4"/>
        <v>0</v>
      </c>
      <c r="R260" s="202"/>
      <c r="S260" s="207"/>
      <c r="T260" s="202"/>
      <c r="U260" s="207"/>
      <c r="V260" s="202"/>
      <c r="W260" s="207"/>
      <c r="X260" s="202"/>
      <c r="Y260" s="207"/>
      <c r="Z260" s="202"/>
      <c r="AA260" s="207"/>
      <c r="AB260" s="202"/>
      <c r="AC260" s="208"/>
      <c r="AD260" s="202"/>
      <c r="AE260" s="203">
        <f t="shared" si="5"/>
        <v>0</v>
      </c>
      <c r="AF260" s="202"/>
      <c r="AG260" s="204"/>
      <c r="AH260" s="202"/>
      <c r="AI260" s="204"/>
      <c r="AJ260" s="202"/>
      <c r="AK260" s="204"/>
      <c r="AL260" s="202"/>
      <c r="AM260" s="204"/>
      <c r="AN260" s="202"/>
      <c r="AO260" s="204"/>
      <c r="AP260" s="202"/>
      <c r="AQ260" s="208"/>
      <c r="AR260" s="202"/>
      <c r="AS260" s="203">
        <f t="shared" si="6"/>
        <v>0</v>
      </c>
      <c r="AT260" s="202"/>
      <c r="AU260" s="204"/>
      <c r="AV260" s="202"/>
      <c r="AW260" s="204"/>
      <c r="AX260" s="202"/>
      <c r="AY260" s="204"/>
      <c r="AZ260" s="202"/>
      <c r="BA260" s="204"/>
      <c r="BB260" s="202"/>
      <c r="BC260" s="204"/>
      <c r="BD260" s="202"/>
      <c r="BE260" s="208"/>
      <c r="BF260" s="202"/>
      <c r="BG260" s="203">
        <f t="shared" si="7"/>
        <v>0</v>
      </c>
      <c r="BH260" s="202"/>
      <c r="BI260" s="204"/>
      <c r="BJ260" s="202"/>
      <c r="BK260" s="204"/>
      <c r="BL260" s="202"/>
      <c r="BM260" s="204"/>
      <c r="BN260" s="202"/>
      <c r="BO260" s="203">
        <f t="shared" si="8"/>
        <v>0</v>
      </c>
      <c r="BP260" s="202"/>
      <c r="BQ260" s="138"/>
      <c r="BR260" s="128"/>
      <c r="BS260" s="128"/>
      <c r="BT260" s="128"/>
      <c r="BU260" s="128"/>
      <c r="BV260" s="128"/>
      <c r="BW260" s="139"/>
      <c r="BX260" s="140"/>
      <c r="BY260" s="139"/>
      <c r="BZ260" s="139"/>
      <c r="CA260" s="134"/>
      <c r="CB260" s="134"/>
      <c r="CC260" s="134"/>
      <c r="CD260" s="134"/>
      <c r="CE260" s="134"/>
      <c r="CF260" s="134"/>
      <c r="CG260" s="92"/>
      <c r="CH260" s="92"/>
      <c r="CI260" s="92"/>
      <c r="CJ260" s="92"/>
      <c r="CK260" s="92"/>
    </row>
    <row r="261" spans="1:89" ht="17.25" customHeight="1">
      <c r="A261" s="160"/>
      <c r="B261" s="165"/>
      <c r="C261" s="164"/>
      <c r="D261" s="137">
        <f t="shared" si="3"/>
        <v>0</v>
      </c>
      <c r="E261" s="207"/>
      <c r="F261" s="202"/>
      <c r="G261" s="207"/>
      <c r="H261" s="202"/>
      <c r="I261" s="207"/>
      <c r="J261" s="202"/>
      <c r="K261" s="207"/>
      <c r="L261" s="202"/>
      <c r="M261" s="207"/>
      <c r="N261" s="202"/>
      <c r="O261" s="201"/>
      <c r="P261" s="202"/>
      <c r="Q261" s="203">
        <f t="shared" si="4"/>
        <v>0</v>
      </c>
      <c r="R261" s="202"/>
      <c r="S261" s="207"/>
      <c r="T261" s="202"/>
      <c r="U261" s="207"/>
      <c r="V261" s="202"/>
      <c r="W261" s="207"/>
      <c r="X261" s="202"/>
      <c r="Y261" s="207"/>
      <c r="Z261" s="202"/>
      <c r="AA261" s="207"/>
      <c r="AB261" s="202"/>
      <c r="AC261" s="208"/>
      <c r="AD261" s="202"/>
      <c r="AE261" s="203">
        <f t="shared" si="5"/>
        <v>0</v>
      </c>
      <c r="AF261" s="202"/>
      <c r="AG261" s="204"/>
      <c r="AH261" s="202"/>
      <c r="AI261" s="204"/>
      <c r="AJ261" s="202"/>
      <c r="AK261" s="204"/>
      <c r="AL261" s="202"/>
      <c r="AM261" s="204"/>
      <c r="AN261" s="202"/>
      <c r="AO261" s="204"/>
      <c r="AP261" s="202"/>
      <c r="AQ261" s="208"/>
      <c r="AR261" s="202"/>
      <c r="AS261" s="203">
        <f t="shared" si="6"/>
        <v>0</v>
      </c>
      <c r="AT261" s="202"/>
      <c r="AU261" s="204"/>
      <c r="AV261" s="202"/>
      <c r="AW261" s="204"/>
      <c r="AX261" s="202"/>
      <c r="AY261" s="204"/>
      <c r="AZ261" s="202"/>
      <c r="BA261" s="204"/>
      <c r="BB261" s="202"/>
      <c r="BC261" s="204"/>
      <c r="BD261" s="202"/>
      <c r="BE261" s="208"/>
      <c r="BF261" s="202"/>
      <c r="BG261" s="203">
        <f t="shared" si="7"/>
        <v>0</v>
      </c>
      <c r="BH261" s="202"/>
      <c r="BI261" s="204"/>
      <c r="BJ261" s="202"/>
      <c r="BK261" s="204"/>
      <c r="BL261" s="202"/>
      <c r="BM261" s="204"/>
      <c r="BN261" s="202"/>
      <c r="BO261" s="203">
        <f t="shared" si="8"/>
        <v>0</v>
      </c>
      <c r="BP261" s="202"/>
      <c r="BQ261" s="138"/>
      <c r="BR261" s="128"/>
      <c r="BS261" s="128"/>
      <c r="BT261" s="128"/>
      <c r="BU261" s="128"/>
      <c r="BV261" s="128"/>
      <c r="BW261" s="139"/>
      <c r="BX261" s="140"/>
      <c r="BY261" s="139"/>
      <c r="BZ261" s="139"/>
      <c r="CA261" s="134"/>
      <c r="CB261" s="134"/>
      <c r="CC261" s="134"/>
      <c r="CD261" s="134"/>
      <c r="CE261" s="134"/>
      <c r="CF261" s="134"/>
      <c r="CG261" s="92"/>
      <c r="CH261" s="92"/>
      <c r="CI261" s="92"/>
      <c r="CJ261" s="92"/>
      <c r="CK261" s="92"/>
    </row>
    <row r="262" spans="1:89" ht="17.25" customHeight="1">
      <c r="A262" s="160"/>
      <c r="B262" s="165"/>
      <c r="C262" s="164"/>
      <c r="D262" s="137">
        <f t="shared" si="3"/>
        <v>0</v>
      </c>
      <c r="E262" s="207"/>
      <c r="F262" s="202"/>
      <c r="G262" s="207"/>
      <c r="H262" s="202"/>
      <c r="I262" s="207"/>
      <c r="J262" s="202"/>
      <c r="K262" s="207"/>
      <c r="L262" s="202"/>
      <c r="M262" s="207"/>
      <c r="N262" s="202"/>
      <c r="O262" s="201"/>
      <c r="P262" s="202"/>
      <c r="Q262" s="203">
        <f t="shared" si="4"/>
        <v>0</v>
      </c>
      <c r="R262" s="202"/>
      <c r="S262" s="207"/>
      <c r="T262" s="202"/>
      <c r="U262" s="207"/>
      <c r="V262" s="202"/>
      <c r="W262" s="207"/>
      <c r="X262" s="202"/>
      <c r="Y262" s="207"/>
      <c r="Z262" s="202"/>
      <c r="AA262" s="207"/>
      <c r="AB262" s="202"/>
      <c r="AC262" s="208"/>
      <c r="AD262" s="202"/>
      <c r="AE262" s="203">
        <f t="shared" si="5"/>
        <v>0</v>
      </c>
      <c r="AF262" s="202"/>
      <c r="AG262" s="204"/>
      <c r="AH262" s="202"/>
      <c r="AI262" s="204"/>
      <c r="AJ262" s="202"/>
      <c r="AK262" s="204"/>
      <c r="AL262" s="202"/>
      <c r="AM262" s="204"/>
      <c r="AN262" s="202"/>
      <c r="AO262" s="204"/>
      <c r="AP262" s="202"/>
      <c r="AQ262" s="208"/>
      <c r="AR262" s="202"/>
      <c r="AS262" s="203">
        <f t="shared" si="6"/>
        <v>0</v>
      </c>
      <c r="AT262" s="202"/>
      <c r="AU262" s="204"/>
      <c r="AV262" s="202"/>
      <c r="AW262" s="204"/>
      <c r="AX262" s="202"/>
      <c r="AY262" s="204"/>
      <c r="AZ262" s="202"/>
      <c r="BA262" s="204"/>
      <c r="BB262" s="202"/>
      <c r="BC262" s="204"/>
      <c r="BD262" s="202"/>
      <c r="BE262" s="208"/>
      <c r="BF262" s="202"/>
      <c r="BG262" s="203">
        <f t="shared" si="7"/>
        <v>0</v>
      </c>
      <c r="BH262" s="202"/>
      <c r="BI262" s="204"/>
      <c r="BJ262" s="202"/>
      <c r="BK262" s="204"/>
      <c r="BL262" s="202"/>
      <c r="BM262" s="204"/>
      <c r="BN262" s="202"/>
      <c r="BO262" s="203">
        <f t="shared" si="8"/>
        <v>0</v>
      </c>
      <c r="BP262" s="202"/>
      <c r="BQ262" s="138"/>
      <c r="BR262" s="128"/>
      <c r="BS262" s="128"/>
      <c r="BT262" s="128"/>
      <c r="BU262" s="128"/>
      <c r="BV262" s="128"/>
      <c r="BW262" s="139"/>
      <c r="BX262" s="140"/>
      <c r="BY262" s="139"/>
      <c r="BZ262" s="139"/>
      <c r="CA262" s="134"/>
      <c r="CB262" s="134"/>
      <c r="CC262" s="134"/>
      <c r="CD262" s="134"/>
      <c r="CE262" s="134"/>
      <c r="CF262" s="134"/>
      <c r="CG262" s="92"/>
      <c r="CH262" s="92"/>
      <c r="CI262" s="92"/>
      <c r="CJ262" s="92"/>
      <c r="CK262" s="92"/>
    </row>
    <row r="263" spans="1:89" ht="17.25" customHeight="1">
      <c r="A263" s="160"/>
      <c r="B263" s="165"/>
      <c r="C263" s="164"/>
      <c r="D263" s="137">
        <f t="shared" si="3"/>
        <v>0</v>
      </c>
      <c r="E263" s="207"/>
      <c r="F263" s="202"/>
      <c r="G263" s="207"/>
      <c r="H263" s="202"/>
      <c r="I263" s="207"/>
      <c r="J263" s="202"/>
      <c r="K263" s="207"/>
      <c r="L263" s="202"/>
      <c r="M263" s="207"/>
      <c r="N263" s="202"/>
      <c r="O263" s="201"/>
      <c r="P263" s="202"/>
      <c r="Q263" s="203">
        <f t="shared" si="4"/>
        <v>0</v>
      </c>
      <c r="R263" s="202"/>
      <c r="S263" s="207"/>
      <c r="T263" s="202"/>
      <c r="U263" s="207"/>
      <c r="V263" s="202"/>
      <c r="W263" s="207"/>
      <c r="X263" s="202"/>
      <c r="Y263" s="207"/>
      <c r="Z263" s="202"/>
      <c r="AA263" s="207"/>
      <c r="AB263" s="202"/>
      <c r="AC263" s="208"/>
      <c r="AD263" s="202"/>
      <c r="AE263" s="203">
        <f t="shared" si="5"/>
        <v>0</v>
      </c>
      <c r="AF263" s="202"/>
      <c r="AG263" s="204"/>
      <c r="AH263" s="202"/>
      <c r="AI263" s="204"/>
      <c r="AJ263" s="202"/>
      <c r="AK263" s="204"/>
      <c r="AL263" s="202"/>
      <c r="AM263" s="204"/>
      <c r="AN263" s="202"/>
      <c r="AO263" s="204"/>
      <c r="AP263" s="202"/>
      <c r="AQ263" s="208"/>
      <c r="AR263" s="202"/>
      <c r="AS263" s="203">
        <f t="shared" si="6"/>
        <v>0</v>
      </c>
      <c r="AT263" s="202"/>
      <c r="AU263" s="204"/>
      <c r="AV263" s="202"/>
      <c r="AW263" s="204"/>
      <c r="AX263" s="202"/>
      <c r="AY263" s="204"/>
      <c r="AZ263" s="202"/>
      <c r="BA263" s="204"/>
      <c r="BB263" s="202"/>
      <c r="BC263" s="204"/>
      <c r="BD263" s="202"/>
      <c r="BE263" s="208"/>
      <c r="BF263" s="202"/>
      <c r="BG263" s="203">
        <f t="shared" si="7"/>
        <v>0</v>
      </c>
      <c r="BH263" s="202"/>
      <c r="BI263" s="204"/>
      <c r="BJ263" s="202"/>
      <c r="BK263" s="204"/>
      <c r="BL263" s="202"/>
      <c r="BM263" s="204"/>
      <c r="BN263" s="202"/>
      <c r="BO263" s="203">
        <f t="shared" si="8"/>
        <v>0</v>
      </c>
      <c r="BP263" s="202"/>
      <c r="BQ263" s="138"/>
      <c r="BR263" s="128"/>
      <c r="BS263" s="128"/>
      <c r="BT263" s="128"/>
      <c r="BU263" s="128"/>
      <c r="BV263" s="128"/>
      <c r="BW263" s="139"/>
      <c r="BX263" s="140"/>
      <c r="BY263" s="139"/>
      <c r="BZ263" s="139"/>
      <c r="CA263" s="134"/>
      <c r="CB263" s="134"/>
      <c r="CC263" s="134"/>
      <c r="CD263" s="134"/>
      <c r="CE263" s="134"/>
      <c r="CF263" s="134"/>
      <c r="CG263" s="92"/>
      <c r="CH263" s="92"/>
      <c r="CI263" s="92"/>
      <c r="CJ263" s="92"/>
      <c r="CK263" s="92"/>
    </row>
    <row r="264" spans="1:89" ht="17.25" customHeight="1">
      <c r="A264" s="160"/>
      <c r="B264" s="165"/>
      <c r="C264" s="164"/>
      <c r="D264" s="137">
        <f t="shared" si="3"/>
        <v>0</v>
      </c>
      <c r="E264" s="207"/>
      <c r="F264" s="202"/>
      <c r="G264" s="207"/>
      <c r="H264" s="202"/>
      <c r="I264" s="207"/>
      <c r="J264" s="202"/>
      <c r="K264" s="207"/>
      <c r="L264" s="202"/>
      <c r="M264" s="207"/>
      <c r="N264" s="202"/>
      <c r="O264" s="201"/>
      <c r="P264" s="202"/>
      <c r="Q264" s="203">
        <f t="shared" si="4"/>
        <v>0</v>
      </c>
      <c r="R264" s="202"/>
      <c r="S264" s="207"/>
      <c r="T264" s="202"/>
      <c r="U264" s="207"/>
      <c r="V264" s="202"/>
      <c r="W264" s="207"/>
      <c r="X264" s="202"/>
      <c r="Y264" s="207"/>
      <c r="Z264" s="202"/>
      <c r="AA264" s="207"/>
      <c r="AB264" s="202"/>
      <c r="AC264" s="208"/>
      <c r="AD264" s="202"/>
      <c r="AE264" s="203">
        <f t="shared" si="5"/>
        <v>0</v>
      </c>
      <c r="AF264" s="202"/>
      <c r="AG264" s="204"/>
      <c r="AH264" s="202"/>
      <c r="AI264" s="204"/>
      <c r="AJ264" s="202"/>
      <c r="AK264" s="204"/>
      <c r="AL264" s="202"/>
      <c r="AM264" s="204"/>
      <c r="AN264" s="202"/>
      <c r="AO264" s="204"/>
      <c r="AP264" s="202"/>
      <c r="AQ264" s="208"/>
      <c r="AR264" s="202"/>
      <c r="AS264" s="203">
        <f t="shared" si="6"/>
        <v>0</v>
      </c>
      <c r="AT264" s="202"/>
      <c r="AU264" s="204"/>
      <c r="AV264" s="202"/>
      <c r="AW264" s="204"/>
      <c r="AX264" s="202"/>
      <c r="AY264" s="204"/>
      <c r="AZ264" s="202"/>
      <c r="BA264" s="204"/>
      <c r="BB264" s="202"/>
      <c r="BC264" s="204"/>
      <c r="BD264" s="202"/>
      <c r="BE264" s="208"/>
      <c r="BF264" s="202"/>
      <c r="BG264" s="203">
        <f t="shared" si="7"/>
        <v>0</v>
      </c>
      <c r="BH264" s="202"/>
      <c r="BI264" s="204"/>
      <c r="BJ264" s="202"/>
      <c r="BK264" s="204"/>
      <c r="BL264" s="202"/>
      <c r="BM264" s="204"/>
      <c r="BN264" s="202"/>
      <c r="BO264" s="203">
        <f t="shared" si="8"/>
        <v>0</v>
      </c>
      <c r="BP264" s="202"/>
      <c r="BQ264" s="138"/>
      <c r="BR264" s="128"/>
      <c r="BS264" s="128"/>
      <c r="BT264" s="128"/>
      <c r="BU264" s="128"/>
      <c r="BV264" s="128"/>
      <c r="BW264" s="139"/>
      <c r="BX264" s="140"/>
      <c r="BY264" s="139"/>
      <c r="BZ264" s="139"/>
      <c r="CA264" s="134"/>
      <c r="CB264" s="134"/>
      <c r="CC264" s="134"/>
      <c r="CD264" s="134"/>
      <c r="CE264" s="134"/>
      <c r="CF264" s="134"/>
      <c r="CG264" s="92"/>
      <c r="CH264" s="92"/>
      <c r="CI264" s="92"/>
      <c r="CJ264" s="92"/>
      <c r="CK264" s="92"/>
    </row>
    <row r="265" spans="1:89" ht="17.25" customHeight="1">
      <c r="A265" s="160"/>
      <c r="B265" s="165"/>
      <c r="C265" s="164"/>
      <c r="D265" s="137">
        <f t="shared" si="3"/>
        <v>0</v>
      </c>
      <c r="E265" s="207"/>
      <c r="F265" s="202"/>
      <c r="G265" s="207"/>
      <c r="H265" s="202"/>
      <c r="I265" s="207"/>
      <c r="J265" s="202"/>
      <c r="K265" s="207"/>
      <c r="L265" s="202"/>
      <c r="M265" s="207"/>
      <c r="N265" s="202"/>
      <c r="O265" s="201"/>
      <c r="P265" s="202"/>
      <c r="Q265" s="203">
        <f t="shared" si="4"/>
        <v>0</v>
      </c>
      <c r="R265" s="202"/>
      <c r="S265" s="207"/>
      <c r="T265" s="202"/>
      <c r="U265" s="207"/>
      <c r="V265" s="202"/>
      <c r="W265" s="207"/>
      <c r="X265" s="202"/>
      <c r="Y265" s="207"/>
      <c r="Z265" s="202"/>
      <c r="AA265" s="207"/>
      <c r="AB265" s="202"/>
      <c r="AC265" s="208"/>
      <c r="AD265" s="202"/>
      <c r="AE265" s="203">
        <f t="shared" si="5"/>
        <v>0</v>
      </c>
      <c r="AF265" s="202"/>
      <c r="AG265" s="204"/>
      <c r="AH265" s="202"/>
      <c r="AI265" s="204"/>
      <c r="AJ265" s="202"/>
      <c r="AK265" s="204"/>
      <c r="AL265" s="202"/>
      <c r="AM265" s="204"/>
      <c r="AN265" s="202"/>
      <c r="AO265" s="204"/>
      <c r="AP265" s="202"/>
      <c r="AQ265" s="208"/>
      <c r="AR265" s="202"/>
      <c r="AS265" s="203">
        <f t="shared" si="6"/>
        <v>0</v>
      </c>
      <c r="AT265" s="202"/>
      <c r="AU265" s="204"/>
      <c r="AV265" s="202"/>
      <c r="AW265" s="204"/>
      <c r="AX265" s="202"/>
      <c r="AY265" s="204"/>
      <c r="AZ265" s="202"/>
      <c r="BA265" s="204"/>
      <c r="BB265" s="202"/>
      <c r="BC265" s="204"/>
      <c r="BD265" s="202"/>
      <c r="BE265" s="208"/>
      <c r="BF265" s="202"/>
      <c r="BG265" s="203">
        <f t="shared" si="7"/>
        <v>0</v>
      </c>
      <c r="BH265" s="202"/>
      <c r="BI265" s="204"/>
      <c r="BJ265" s="202"/>
      <c r="BK265" s="204"/>
      <c r="BL265" s="202"/>
      <c r="BM265" s="204"/>
      <c r="BN265" s="202"/>
      <c r="BO265" s="203">
        <f t="shared" si="8"/>
        <v>0</v>
      </c>
      <c r="BP265" s="202"/>
      <c r="BQ265" s="138"/>
      <c r="BR265" s="128"/>
      <c r="BS265" s="128"/>
      <c r="BT265" s="128"/>
      <c r="BU265" s="128"/>
      <c r="BV265" s="128"/>
      <c r="BW265" s="139"/>
      <c r="BX265" s="140"/>
      <c r="BY265" s="139"/>
      <c r="BZ265" s="139"/>
      <c r="CA265" s="134"/>
      <c r="CB265" s="134"/>
      <c r="CC265" s="134"/>
      <c r="CD265" s="134"/>
      <c r="CE265" s="134"/>
      <c r="CF265" s="134"/>
      <c r="CG265" s="92"/>
      <c r="CH265" s="92"/>
      <c r="CI265" s="92"/>
      <c r="CJ265" s="92"/>
      <c r="CK265" s="92"/>
    </row>
    <row r="266" spans="1:89" ht="17.25" customHeight="1">
      <c r="A266" s="160"/>
      <c r="B266" s="165"/>
      <c r="C266" s="164"/>
      <c r="D266" s="137">
        <f t="shared" si="3"/>
        <v>0</v>
      </c>
      <c r="E266" s="207"/>
      <c r="F266" s="202"/>
      <c r="G266" s="207"/>
      <c r="H266" s="202"/>
      <c r="I266" s="207"/>
      <c r="J266" s="202"/>
      <c r="K266" s="207"/>
      <c r="L266" s="202"/>
      <c r="M266" s="207"/>
      <c r="N266" s="202"/>
      <c r="O266" s="201"/>
      <c r="P266" s="202"/>
      <c r="Q266" s="203">
        <f t="shared" si="4"/>
        <v>0</v>
      </c>
      <c r="R266" s="202"/>
      <c r="S266" s="207"/>
      <c r="T266" s="202"/>
      <c r="U266" s="207"/>
      <c r="V266" s="202"/>
      <c r="W266" s="207"/>
      <c r="X266" s="202"/>
      <c r="Y266" s="207"/>
      <c r="Z266" s="202"/>
      <c r="AA266" s="207"/>
      <c r="AB266" s="202"/>
      <c r="AC266" s="208"/>
      <c r="AD266" s="202"/>
      <c r="AE266" s="203">
        <f t="shared" si="5"/>
        <v>0</v>
      </c>
      <c r="AF266" s="202"/>
      <c r="AG266" s="204"/>
      <c r="AH266" s="202"/>
      <c r="AI266" s="204"/>
      <c r="AJ266" s="202"/>
      <c r="AK266" s="204"/>
      <c r="AL266" s="202"/>
      <c r="AM266" s="204"/>
      <c r="AN266" s="202"/>
      <c r="AO266" s="204"/>
      <c r="AP266" s="202"/>
      <c r="AQ266" s="208"/>
      <c r="AR266" s="202"/>
      <c r="AS266" s="203">
        <f t="shared" si="6"/>
        <v>0</v>
      </c>
      <c r="AT266" s="202"/>
      <c r="AU266" s="204"/>
      <c r="AV266" s="202"/>
      <c r="AW266" s="204"/>
      <c r="AX266" s="202"/>
      <c r="AY266" s="204"/>
      <c r="AZ266" s="202"/>
      <c r="BA266" s="204"/>
      <c r="BB266" s="202"/>
      <c r="BC266" s="204"/>
      <c r="BD266" s="202"/>
      <c r="BE266" s="208"/>
      <c r="BF266" s="202"/>
      <c r="BG266" s="203">
        <f t="shared" si="7"/>
        <v>0</v>
      </c>
      <c r="BH266" s="202"/>
      <c r="BI266" s="204"/>
      <c r="BJ266" s="202"/>
      <c r="BK266" s="204"/>
      <c r="BL266" s="202"/>
      <c r="BM266" s="204"/>
      <c r="BN266" s="202"/>
      <c r="BO266" s="203">
        <f t="shared" si="8"/>
        <v>0</v>
      </c>
      <c r="BP266" s="202"/>
      <c r="BQ266" s="138"/>
      <c r="BR266" s="128"/>
      <c r="BS266" s="128"/>
      <c r="BT266" s="128"/>
      <c r="BU266" s="128"/>
      <c r="BV266" s="128"/>
      <c r="BW266" s="139"/>
      <c r="BX266" s="140"/>
      <c r="BY266" s="139"/>
      <c r="BZ266" s="139"/>
      <c r="CA266" s="134"/>
      <c r="CB266" s="134"/>
      <c r="CC266" s="134"/>
      <c r="CD266" s="134"/>
      <c r="CE266" s="134"/>
      <c r="CF266" s="134"/>
      <c r="CG266" s="92"/>
      <c r="CH266" s="92"/>
      <c r="CI266" s="92"/>
      <c r="CJ266" s="92"/>
      <c r="CK266" s="92"/>
    </row>
    <row r="267" spans="1:89" ht="17.25" customHeight="1">
      <c r="A267" s="160"/>
      <c r="B267" s="165"/>
      <c r="C267" s="164"/>
      <c r="D267" s="137">
        <f t="shared" si="3"/>
        <v>0</v>
      </c>
      <c r="E267" s="207"/>
      <c r="F267" s="202"/>
      <c r="G267" s="207"/>
      <c r="H267" s="202"/>
      <c r="I267" s="207"/>
      <c r="J267" s="202"/>
      <c r="K267" s="207"/>
      <c r="L267" s="202"/>
      <c r="M267" s="207"/>
      <c r="N267" s="202"/>
      <c r="O267" s="201"/>
      <c r="P267" s="202"/>
      <c r="Q267" s="203">
        <f t="shared" si="4"/>
        <v>0</v>
      </c>
      <c r="R267" s="202"/>
      <c r="S267" s="207"/>
      <c r="T267" s="202"/>
      <c r="U267" s="207"/>
      <c r="V267" s="202"/>
      <c r="W267" s="207"/>
      <c r="X267" s="202"/>
      <c r="Y267" s="207"/>
      <c r="Z267" s="202"/>
      <c r="AA267" s="207"/>
      <c r="AB267" s="202"/>
      <c r="AC267" s="208"/>
      <c r="AD267" s="202"/>
      <c r="AE267" s="203">
        <f t="shared" si="5"/>
        <v>0</v>
      </c>
      <c r="AF267" s="202"/>
      <c r="AG267" s="204"/>
      <c r="AH267" s="202"/>
      <c r="AI267" s="204"/>
      <c r="AJ267" s="202"/>
      <c r="AK267" s="204"/>
      <c r="AL267" s="202"/>
      <c r="AM267" s="204"/>
      <c r="AN267" s="202"/>
      <c r="AO267" s="204"/>
      <c r="AP267" s="202"/>
      <c r="AQ267" s="208"/>
      <c r="AR267" s="202"/>
      <c r="AS267" s="203">
        <f t="shared" si="6"/>
        <v>0</v>
      </c>
      <c r="AT267" s="202"/>
      <c r="AU267" s="204"/>
      <c r="AV267" s="202"/>
      <c r="AW267" s="204"/>
      <c r="AX267" s="202"/>
      <c r="AY267" s="204"/>
      <c r="AZ267" s="202"/>
      <c r="BA267" s="204"/>
      <c r="BB267" s="202"/>
      <c r="BC267" s="204"/>
      <c r="BD267" s="202"/>
      <c r="BE267" s="208"/>
      <c r="BF267" s="202"/>
      <c r="BG267" s="203">
        <f t="shared" si="7"/>
        <v>0</v>
      </c>
      <c r="BH267" s="202"/>
      <c r="BI267" s="204"/>
      <c r="BJ267" s="202"/>
      <c r="BK267" s="204"/>
      <c r="BL267" s="202"/>
      <c r="BM267" s="204"/>
      <c r="BN267" s="202"/>
      <c r="BO267" s="203">
        <f t="shared" si="8"/>
        <v>0</v>
      </c>
      <c r="BP267" s="202"/>
      <c r="BQ267" s="138"/>
      <c r="BR267" s="128"/>
      <c r="BS267" s="128"/>
      <c r="BT267" s="128"/>
      <c r="BU267" s="128"/>
      <c r="BV267" s="128"/>
      <c r="BW267" s="139"/>
      <c r="BX267" s="140"/>
      <c r="BY267" s="139"/>
      <c r="BZ267" s="139"/>
      <c r="CA267" s="134"/>
      <c r="CB267" s="134"/>
      <c r="CC267" s="134"/>
      <c r="CD267" s="134"/>
      <c r="CE267" s="134"/>
      <c r="CF267" s="134"/>
      <c r="CG267" s="92"/>
      <c r="CH267" s="92"/>
      <c r="CI267" s="92"/>
      <c r="CJ267" s="92"/>
      <c r="CK267" s="92"/>
    </row>
    <row r="268" spans="1:89" ht="17.25" customHeight="1">
      <c r="A268" s="160"/>
      <c r="B268" s="165"/>
      <c r="C268" s="164"/>
      <c r="D268" s="137">
        <f t="shared" si="3"/>
        <v>0</v>
      </c>
      <c r="E268" s="207"/>
      <c r="F268" s="202"/>
      <c r="G268" s="207"/>
      <c r="H268" s="202"/>
      <c r="I268" s="207"/>
      <c r="J268" s="202"/>
      <c r="K268" s="207"/>
      <c r="L268" s="202"/>
      <c r="M268" s="207"/>
      <c r="N268" s="202"/>
      <c r="O268" s="201"/>
      <c r="P268" s="202"/>
      <c r="Q268" s="203">
        <f t="shared" si="4"/>
        <v>0</v>
      </c>
      <c r="R268" s="202"/>
      <c r="S268" s="207"/>
      <c r="T268" s="202"/>
      <c r="U268" s="207"/>
      <c r="V268" s="202"/>
      <c r="W268" s="207"/>
      <c r="X268" s="202"/>
      <c r="Y268" s="207"/>
      <c r="Z268" s="202"/>
      <c r="AA268" s="207"/>
      <c r="AB268" s="202"/>
      <c r="AC268" s="208"/>
      <c r="AD268" s="202"/>
      <c r="AE268" s="203">
        <f t="shared" si="5"/>
        <v>0</v>
      </c>
      <c r="AF268" s="202"/>
      <c r="AG268" s="204"/>
      <c r="AH268" s="202"/>
      <c r="AI268" s="204"/>
      <c r="AJ268" s="202"/>
      <c r="AK268" s="204"/>
      <c r="AL268" s="202"/>
      <c r="AM268" s="204"/>
      <c r="AN268" s="202"/>
      <c r="AO268" s="204"/>
      <c r="AP268" s="202"/>
      <c r="AQ268" s="208"/>
      <c r="AR268" s="202"/>
      <c r="AS268" s="203">
        <f t="shared" si="6"/>
        <v>0</v>
      </c>
      <c r="AT268" s="202"/>
      <c r="AU268" s="204"/>
      <c r="AV268" s="202"/>
      <c r="AW268" s="204"/>
      <c r="AX268" s="202"/>
      <c r="AY268" s="204"/>
      <c r="AZ268" s="202"/>
      <c r="BA268" s="204"/>
      <c r="BB268" s="202"/>
      <c r="BC268" s="204"/>
      <c r="BD268" s="202"/>
      <c r="BE268" s="208"/>
      <c r="BF268" s="202"/>
      <c r="BG268" s="203">
        <f t="shared" si="7"/>
        <v>0</v>
      </c>
      <c r="BH268" s="202"/>
      <c r="BI268" s="204"/>
      <c r="BJ268" s="202"/>
      <c r="BK268" s="204"/>
      <c r="BL268" s="202"/>
      <c r="BM268" s="204"/>
      <c r="BN268" s="202"/>
      <c r="BO268" s="203">
        <f t="shared" si="8"/>
        <v>0</v>
      </c>
      <c r="BP268" s="202"/>
      <c r="BQ268" s="138"/>
      <c r="BR268" s="128"/>
      <c r="BS268" s="128"/>
      <c r="BT268" s="128"/>
      <c r="BU268" s="128"/>
      <c r="BV268" s="128"/>
      <c r="BW268" s="139"/>
      <c r="BX268" s="140"/>
      <c r="BY268" s="139"/>
      <c r="BZ268" s="139"/>
      <c r="CA268" s="134"/>
      <c r="CB268" s="134"/>
      <c r="CC268" s="134"/>
      <c r="CD268" s="134"/>
      <c r="CE268" s="134"/>
      <c r="CF268" s="134"/>
      <c r="CG268" s="92"/>
      <c r="CH268" s="92"/>
      <c r="CI268" s="92"/>
      <c r="CJ268" s="92"/>
      <c r="CK268" s="92"/>
    </row>
    <row r="269" spans="1:89" ht="17.25" customHeight="1">
      <c r="A269" s="160"/>
      <c r="B269" s="165"/>
      <c r="C269" s="164"/>
      <c r="D269" s="137">
        <f t="shared" si="3"/>
        <v>0</v>
      </c>
      <c r="E269" s="207"/>
      <c r="F269" s="202"/>
      <c r="G269" s="207"/>
      <c r="H269" s="202"/>
      <c r="I269" s="207"/>
      <c r="J269" s="202"/>
      <c r="K269" s="207"/>
      <c r="L269" s="202"/>
      <c r="M269" s="207"/>
      <c r="N269" s="202"/>
      <c r="O269" s="201"/>
      <c r="P269" s="202"/>
      <c r="Q269" s="203">
        <f t="shared" si="4"/>
        <v>0</v>
      </c>
      <c r="R269" s="202"/>
      <c r="S269" s="207"/>
      <c r="T269" s="202"/>
      <c r="U269" s="207"/>
      <c r="V269" s="202"/>
      <c r="W269" s="207"/>
      <c r="X269" s="202"/>
      <c r="Y269" s="207"/>
      <c r="Z269" s="202"/>
      <c r="AA269" s="207"/>
      <c r="AB269" s="202"/>
      <c r="AC269" s="208"/>
      <c r="AD269" s="202"/>
      <c r="AE269" s="203">
        <f t="shared" si="5"/>
        <v>0</v>
      </c>
      <c r="AF269" s="202"/>
      <c r="AG269" s="204"/>
      <c r="AH269" s="202"/>
      <c r="AI269" s="204"/>
      <c r="AJ269" s="202"/>
      <c r="AK269" s="204"/>
      <c r="AL269" s="202"/>
      <c r="AM269" s="204"/>
      <c r="AN269" s="202"/>
      <c r="AO269" s="204"/>
      <c r="AP269" s="202"/>
      <c r="AQ269" s="208"/>
      <c r="AR269" s="202"/>
      <c r="AS269" s="203">
        <f t="shared" si="6"/>
        <v>0</v>
      </c>
      <c r="AT269" s="202"/>
      <c r="AU269" s="204"/>
      <c r="AV269" s="202"/>
      <c r="AW269" s="204"/>
      <c r="AX269" s="202"/>
      <c r="AY269" s="204"/>
      <c r="AZ269" s="202"/>
      <c r="BA269" s="204"/>
      <c r="BB269" s="202"/>
      <c r="BC269" s="204"/>
      <c r="BD269" s="202"/>
      <c r="BE269" s="208"/>
      <c r="BF269" s="202"/>
      <c r="BG269" s="203">
        <f t="shared" si="7"/>
        <v>0</v>
      </c>
      <c r="BH269" s="202"/>
      <c r="BI269" s="204"/>
      <c r="BJ269" s="202"/>
      <c r="BK269" s="204"/>
      <c r="BL269" s="202"/>
      <c r="BM269" s="204"/>
      <c r="BN269" s="202"/>
      <c r="BO269" s="203">
        <f t="shared" si="8"/>
        <v>0</v>
      </c>
      <c r="BP269" s="202"/>
      <c r="BQ269" s="138"/>
      <c r="BR269" s="128"/>
      <c r="BS269" s="128"/>
      <c r="BT269" s="128"/>
      <c r="BU269" s="128"/>
      <c r="BV269" s="128"/>
      <c r="BW269" s="139"/>
      <c r="BX269" s="140"/>
      <c r="BY269" s="139"/>
      <c r="BZ269" s="139"/>
      <c r="CA269" s="134"/>
      <c r="CB269" s="134"/>
      <c r="CC269" s="134"/>
      <c r="CD269" s="134"/>
      <c r="CE269" s="134"/>
      <c r="CF269" s="134"/>
      <c r="CG269" s="92"/>
      <c r="CH269" s="92"/>
      <c r="CI269" s="92"/>
      <c r="CJ269" s="92"/>
      <c r="CK269" s="92"/>
    </row>
    <row r="270" spans="1:89" ht="17.25" customHeight="1">
      <c r="A270" s="160"/>
      <c r="B270" s="165"/>
      <c r="C270" s="164"/>
      <c r="D270" s="137">
        <f t="shared" si="3"/>
        <v>0</v>
      </c>
      <c r="E270" s="207"/>
      <c r="F270" s="202"/>
      <c r="G270" s="207"/>
      <c r="H270" s="202"/>
      <c r="I270" s="207"/>
      <c r="J270" s="202"/>
      <c r="K270" s="207"/>
      <c r="L270" s="202"/>
      <c r="M270" s="207"/>
      <c r="N270" s="202"/>
      <c r="O270" s="201"/>
      <c r="P270" s="202"/>
      <c r="Q270" s="203">
        <f t="shared" si="4"/>
        <v>0</v>
      </c>
      <c r="R270" s="202"/>
      <c r="S270" s="207"/>
      <c r="T270" s="202"/>
      <c r="U270" s="207"/>
      <c r="V270" s="202"/>
      <c r="W270" s="207"/>
      <c r="X270" s="202"/>
      <c r="Y270" s="207"/>
      <c r="Z270" s="202"/>
      <c r="AA270" s="207"/>
      <c r="AB270" s="202"/>
      <c r="AC270" s="208"/>
      <c r="AD270" s="202"/>
      <c r="AE270" s="203">
        <f t="shared" si="5"/>
        <v>0</v>
      </c>
      <c r="AF270" s="202"/>
      <c r="AG270" s="204"/>
      <c r="AH270" s="202"/>
      <c r="AI270" s="204"/>
      <c r="AJ270" s="202"/>
      <c r="AK270" s="204"/>
      <c r="AL270" s="202"/>
      <c r="AM270" s="204"/>
      <c r="AN270" s="202"/>
      <c r="AO270" s="204"/>
      <c r="AP270" s="202"/>
      <c r="AQ270" s="208"/>
      <c r="AR270" s="202"/>
      <c r="AS270" s="203">
        <f t="shared" si="6"/>
        <v>0</v>
      </c>
      <c r="AT270" s="202"/>
      <c r="AU270" s="204"/>
      <c r="AV270" s="202"/>
      <c r="AW270" s="204"/>
      <c r="AX270" s="202"/>
      <c r="AY270" s="204"/>
      <c r="AZ270" s="202"/>
      <c r="BA270" s="204"/>
      <c r="BB270" s="202"/>
      <c r="BC270" s="204"/>
      <c r="BD270" s="202"/>
      <c r="BE270" s="208"/>
      <c r="BF270" s="202"/>
      <c r="BG270" s="203">
        <f t="shared" si="7"/>
        <v>0</v>
      </c>
      <c r="BH270" s="202"/>
      <c r="BI270" s="204"/>
      <c r="BJ270" s="202"/>
      <c r="BK270" s="204"/>
      <c r="BL270" s="202"/>
      <c r="BM270" s="204"/>
      <c r="BN270" s="202"/>
      <c r="BO270" s="203">
        <f t="shared" si="8"/>
        <v>0</v>
      </c>
      <c r="BP270" s="202"/>
      <c r="BQ270" s="138"/>
      <c r="BR270" s="128"/>
      <c r="BS270" s="128"/>
      <c r="BT270" s="128"/>
      <c r="BU270" s="128"/>
      <c r="BV270" s="128"/>
      <c r="BW270" s="139"/>
      <c r="BX270" s="140"/>
      <c r="BY270" s="139"/>
      <c r="BZ270" s="139"/>
      <c r="CA270" s="134"/>
      <c r="CB270" s="134"/>
      <c r="CC270" s="134"/>
      <c r="CD270" s="134"/>
      <c r="CE270" s="134"/>
      <c r="CF270" s="134"/>
      <c r="CG270" s="92"/>
      <c r="CH270" s="92"/>
      <c r="CI270" s="92"/>
      <c r="CJ270" s="92"/>
      <c r="CK270" s="92"/>
    </row>
    <row r="271" spans="1:89" ht="17.25" customHeight="1">
      <c r="A271" s="160"/>
      <c r="B271" s="165"/>
      <c r="C271" s="164"/>
      <c r="D271" s="137">
        <f t="shared" si="3"/>
        <v>0</v>
      </c>
      <c r="E271" s="207"/>
      <c r="F271" s="202"/>
      <c r="G271" s="207"/>
      <c r="H271" s="202"/>
      <c r="I271" s="207"/>
      <c r="J271" s="202"/>
      <c r="K271" s="207"/>
      <c r="L271" s="202"/>
      <c r="M271" s="207"/>
      <c r="N271" s="202"/>
      <c r="O271" s="201"/>
      <c r="P271" s="202"/>
      <c r="Q271" s="203">
        <f t="shared" si="4"/>
        <v>0</v>
      </c>
      <c r="R271" s="202"/>
      <c r="S271" s="207"/>
      <c r="T271" s="202"/>
      <c r="U271" s="207"/>
      <c r="V271" s="202"/>
      <c r="W271" s="207"/>
      <c r="X271" s="202"/>
      <c r="Y271" s="207"/>
      <c r="Z271" s="202"/>
      <c r="AA271" s="207"/>
      <c r="AB271" s="202"/>
      <c r="AC271" s="208"/>
      <c r="AD271" s="202"/>
      <c r="AE271" s="203">
        <f t="shared" si="5"/>
        <v>0</v>
      </c>
      <c r="AF271" s="202"/>
      <c r="AG271" s="204"/>
      <c r="AH271" s="202"/>
      <c r="AI271" s="204"/>
      <c r="AJ271" s="202"/>
      <c r="AK271" s="204"/>
      <c r="AL271" s="202"/>
      <c r="AM271" s="204"/>
      <c r="AN271" s="202"/>
      <c r="AO271" s="204"/>
      <c r="AP271" s="202"/>
      <c r="AQ271" s="208"/>
      <c r="AR271" s="202"/>
      <c r="AS271" s="203">
        <f t="shared" si="6"/>
        <v>0</v>
      </c>
      <c r="AT271" s="202"/>
      <c r="AU271" s="204"/>
      <c r="AV271" s="202"/>
      <c r="AW271" s="204"/>
      <c r="AX271" s="202"/>
      <c r="AY271" s="204"/>
      <c r="AZ271" s="202"/>
      <c r="BA271" s="204"/>
      <c r="BB271" s="202"/>
      <c r="BC271" s="204"/>
      <c r="BD271" s="202"/>
      <c r="BE271" s="208"/>
      <c r="BF271" s="202"/>
      <c r="BG271" s="203">
        <f t="shared" si="7"/>
        <v>0</v>
      </c>
      <c r="BH271" s="202"/>
      <c r="BI271" s="204"/>
      <c r="BJ271" s="202"/>
      <c r="BK271" s="204"/>
      <c r="BL271" s="202"/>
      <c r="BM271" s="204"/>
      <c r="BN271" s="202"/>
      <c r="BO271" s="203">
        <f t="shared" si="8"/>
        <v>0</v>
      </c>
      <c r="BP271" s="202"/>
      <c r="BQ271" s="138"/>
      <c r="BR271" s="128"/>
      <c r="BS271" s="128"/>
      <c r="BT271" s="128"/>
      <c r="BU271" s="128"/>
      <c r="BV271" s="128"/>
      <c r="BW271" s="139"/>
      <c r="BX271" s="140"/>
      <c r="BY271" s="139"/>
      <c r="BZ271" s="139"/>
      <c r="CA271" s="134"/>
      <c r="CB271" s="134"/>
      <c r="CC271" s="134"/>
      <c r="CD271" s="134"/>
      <c r="CE271" s="134"/>
      <c r="CF271" s="134"/>
      <c r="CG271" s="92"/>
      <c r="CH271" s="92"/>
      <c r="CI271" s="92"/>
      <c r="CJ271" s="92"/>
      <c r="CK271" s="92"/>
    </row>
    <row r="272" spans="1:89" ht="17.25" customHeight="1">
      <c r="A272" s="160"/>
      <c r="B272" s="165"/>
      <c r="C272" s="164"/>
      <c r="D272" s="137">
        <f t="shared" si="3"/>
        <v>0</v>
      </c>
      <c r="E272" s="207"/>
      <c r="F272" s="202"/>
      <c r="G272" s="207"/>
      <c r="H272" s="202"/>
      <c r="I272" s="207"/>
      <c r="J272" s="202"/>
      <c r="K272" s="207"/>
      <c r="L272" s="202"/>
      <c r="M272" s="207"/>
      <c r="N272" s="202"/>
      <c r="O272" s="201"/>
      <c r="P272" s="202"/>
      <c r="Q272" s="203">
        <f t="shared" si="4"/>
        <v>0</v>
      </c>
      <c r="R272" s="202"/>
      <c r="S272" s="207"/>
      <c r="T272" s="202"/>
      <c r="U272" s="207"/>
      <c r="V272" s="202"/>
      <c r="W272" s="207"/>
      <c r="X272" s="202"/>
      <c r="Y272" s="207"/>
      <c r="Z272" s="202"/>
      <c r="AA272" s="207"/>
      <c r="AB272" s="202"/>
      <c r="AC272" s="208"/>
      <c r="AD272" s="202"/>
      <c r="AE272" s="203">
        <f t="shared" si="5"/>
        <v>0</v>
      </c>
      <c r="AF272" s="202"/>
      <c r="AG272" s="204"/>
      <c r="AH272" s="202"/>
      <c r="AI272" s="204"/>
      <c r="AJ272" s="202"/>
      <c r="AK272" s="204"/>
      <c r="AL272" s="202"/>
      <c r="AM272" s="204"/>
      <c r="AN272" s="202"/>
      <c r="AO272" s="204"/>
      <c r="AP272" s="202"/>
      <c r="AQ272" s="208"/>
      <c r="AR272" s="202"/>
      <c r="AS272" s="203">
        <f t="shared" si="6"/>
        <v>0</v>
      </c>
      <c r="AT272" s="202"/>
      <c r="AU272" s="204"/>
      <c r="AV272" s="202"/>
      <c r="AW272" s="204"/>
      <c r="AX272" s="202"/>
      <c r="AY272" s="204"/>
      <c r="AZ272" s="202"/>
      <c r="BA272" s="204"/>
      <c r="BB272" s="202"/>
      <c r="BC272" s="204"/>
      <c r="BD272" s="202"/>
      <c r="BE272" s="208"/>
      <c r="BF272" s="202"/>
      <c r="BG272" s="203">
        <f t="shared" si="7"/>
        <v>0</v>
      </c>
      <c r="BH272" s="202"/>
      <c r="BI272" s="204"/>
      <c r="BJ272" s="202"/>
      <c r="BK272" s="204"/>
      <c r="BL272" s="202"/>
      <c r="BM272" s="204"/>
      <c r="BN272" s="202"/>
      <c r="BO272" s="203">
        <f t="shared" si="8"/>
        <v>0</v>
      </c>
      <c r="BP272" s="202"/>
      <c r="BQ272" s="138"/>
      <c r="BR272" s="128"/>
      <c r="BS272" s="128"/>
      <c r="BT272" s="128"/>
      <c r="BU272" s="128"/>
      <c r="BV272" s="128"/>
      <c r="BW272" s="139"/>
      <c r="BX272" s="140"/>
      <c r="BY272" s="139"/>
      <c r="BZ272" s="139"/>
      <c r="CA272" s="134"/>
      <c r="CB272" s="134"/>
      <c r="CC272" s="134"/>
      <c r="CD272" s="134"/>
      <c r="CE272" s="134"/>
      <c r="CF272" s="134"/>
      <c r="CG272" s="92"/>
      <c r="CH272" s="92"/>
      <c r="CI272" s="92"/>
      <c r="CJ272" s="92"/>
      <c r="CK272" s="92"/>
    </row>
    <row r="273" spans="1:89" ht="17.25" customHeight="1">
      <c r="A273" s="160"/>
      <c r="B273" s="165"/>
      <c r="C273" s="164"/>
      <c r="D273" s="137">
        <f t="shared" si="3"/>
        <v>0</v>
      </c>
      <c r="E273" s="207"/>
      <c r="F273" s="202"/>
      <c r="G273" s="207"/>
      <c r="H273" s="202"/>
      <c r="I273" s="207"/>
      <c r="J273" s="202"/>
      <c r="K273" s="207"/>
      <c r="L273" s="202"/>
      <c r="M273" s="207"/>
      <c r="N273" s="202"/>
      <c r="O273" s="201"/>
      <c r="P273" s="202"/>
      <c r="Q273" s="203">
        <f t="shared" si="4"/>
        <v>0</v>
      </c>
      <c r="R273" s="202"/>
      <c r="S273" s="207"/>
      <c r="T273" s="202"/>
      <c r="U273" s="207"/>
      <c r="V273" s="202"/>
      <c r="W273" s="207"/>
      <c r="X273" s="202"/>
      <c r="Y273" s="207"/>
      <c r="Z273" s="202"/>
      <c r="AA273" s="207"/>
      <c r="AB273" s="202"/>
      <c r="AC273" s="208"/>
      <c r="AD273" s="202"/>
      <c r="AE273" s="203">
        <f t="shared" si="5"/>
        <v>0</v>
      </c>
      <c r="AF273" s="202"/>
      <c r="AG273" s="204"/>
      <c r="AH273" s="202"/>
      <c r="AI273" s="204"/>
      <c r="AJ273" s="202"/>
      <c r="AK273" s="204"/>
      <c r="AL273" s="202"/>
      <c r="AM273" s="204"/>
      <c r="AN273" s="202"/>
      <c r="AO273" s="204"/>
      <c r="AP273" s="202"/>
      <c r="AQ273" s="208"/>
      <c r="AR273" s="202"/>
      <c r="AS273" s="203">
        <f t="shared" si="6"/>
        <v>0</v>
      </c>
      <c r="AT273" s="202"/>
      <c r="AU273" s="204"/>
      <c r="AV273" s="202"/>
      <c r="AW273" s="204"/>
      <c r="AX273" s="202"/>
      <c r="AY273" s="204"/>
      <c r="AZ273" s="202"/>
      <c r="BA273" s="204"/>
      <c r="BB273" s="202"/>
      <c r="BC273" s="204"/>
      <c r="BD273" s="202"/>
      <c r="BE273" s="208"/>
      <c r="BF273" s="202"/>
      <c r="BG273" s="203">
        <f t="shared" si="7"/>
        <v>0</v>
      </c>
      <c r="BH273" s="202"/>
      <c r="BI273" s="204"/>
      <c r="BJ273" s="202"/>
      <c r="BK273" s="204"/>
      <c r="BL273" s="202"/>
      <c r="BM273" s="204"/>
      <c r="BN273" s="202"/>
      <c r="BO273" s="203">
        <f t="shared" si="8"/>
        <v>0</v>
      </c>
      <c r="BP273" s="202"/>
      <c r="BQ273" s="138"/>
      <c r="BR273" s="128"/>
      <c r="BS273" s="128"/>
      <c r="BT273" s="128"/>
      <c r="BU273" s="128"/>
      <c r="BV273" s="128"/>
      <c r="BW273" s="139"/>
      <c r="BX273" s="140"/>
      <c r="BY273" s="139"/>
      <c r="BZ273" s="139"/>
      <c r="CA273" s="134"/>
      <c r="CB273" s="134"/>
      <c r="CC273" s="134"/>
      <c r="CD273" s="134"/>
      <c r="CE273" s="134"/>
      <c r="CF273" s="134"/>
      <c r="CG273" s="92"/>
      <c r="CH273" s="92"/>
      <c r="CI273" s="92"/>
      <c r="CJ273" s="92"/>
      <c r="CK273" s="92"/>
    </row>
    <row r="274" spans="1:89" ht="17.25" customHeight="1">
      <c r="A274" s="160"/>
      <c r="B274" s="165"/>
      <c r="C274" s="164"/>
      <c r="D274" s="137">
        <f t="shared" si="3"/>
        <v>0</v>
      </c>
      <c r="E274" s="207"/>
      <c r="F274" s="202"/>
      <c r="G274" s="207"/>
      <c r="H274" s="202"/>
      <c r="I274" s="207"/>
      <c r="J274" s="202"/>
      <c r="K274" s="207"/>
      <c r="L274" s="202"/>
      <c r="M274" s="207"/>
      <c r="N274" s="202"/>
      <c r="O274" s="201"/>
      <c r="P274" s="202"/>
      <c r="Q274" s="203">
        <f t="shared" si="4"/>
        <v>0</v>
      </c>
      <c r="R274" s="202"/>
      <c r="S274" s="207"/>
      <c r="T274" s="202"/>
      <c r="U274" s="207"/>
      <c r="V274" s="202"/>
      <c r="W274" s="207"/>
      <c r="X274" s="202"/>
      <c r="Y274" s="207"/>
      <c r="Z274" s="202"/>
      <c r="AA274" s="207"/>
      <c r="AB274" s="202"/>
      <c r="AC274" s="208"/>
      <c r="AD274" s="202"/>
      <c r="AE274" s="203">
        <f t="shared" si="5"/>
        <v>0</v>
      </c>
      <c r="AF274" s="202"/>
      <c r="AG274" s="204"/>
      <c r="AH274" s="202"/>
      <c r="AI274" s="204"/>
      <c r="AJ274" s="202"/>
      <c r="AK274" s="204"/>
      <c r="AL274" s="202"/>
      <c r="AM274" s="204"/>
      <c r="AN274" s="202"/>
      <c r="AO274" s="204"/>
      <c r="AP274" s="202"/>
      <c r="AQ274" s="208"/>
      <c r="AR274" s="202"/>
      <c r="AS274" s="203">
        <f t="shared" si="6"/>
        <v>0</v>
      </c>
      <c r="AT274" s="202"/>
      <c r="AU274" s="204"/>
      <c r="AV274" s="202"/>
      <c r="AW274" s="204"/>
      <c r="AX274" s="202"/>
      <c r="AY274" s="204"/>
      <c r="AZ274" s="202"/>
      <c r="BA274" s="204"/>
      <c r="BB274" s="202"/>
      <c r="BC274" s="204"/>
      <c r="BD274" s="202"/>
      <c r="BE274" s="208"/>
      <c r="BF274" s="202"/>
      <c r="BG274" s="203">
        <f t="shared" si="7"/>
        <v>0</v>
      </c>
      <c r="BH274" s="202"/>
      <c r="BI274" s="204"/>
      <c r="BJ274" s="202"/>
      <c r="BK274" s="204"/>
      <c r="BL274" s="202"/>
      <c r="BM274" s="204"/>
      <c r="BN274" s="202"/>
      <c r="BO274" s="203">
        <f t="shared" si="8"/>
        <v>0</v>
      </c>
      <c r="BP274" s="202"/>
      <c r="BQ274" s="138"/>
      <c r="BR274" s="128"/>
      <c r="BS274" s="128"/>
      <c r="BT274" s="128"/>
      <c r="BU274" s="128"/>
      <c r="BV274" s="128"/>
      <c r="BW274" s="139"/>
      <c r="BX274" s="140"/>
      <c r="BY274" s="139"/>
      <c r="BZ274" s="139"/>
      <c r="CA274" s="134"/>
      <c r="CB274" s="134"/>
      <c r="CC274" s="134"/>
      <c r="CD274" s="134"/>
      <c r="CE274" s="134"/>
      <c r="CF274" s="134"/>
      <c r="CG274" s="92"/>
      <c r="CH274" s="92"/>
      <c r="CI274" s="92"/>
      <c r="CJ274" s="92"/>
      <c r="CK274" s="92"/>
    </row>
    <row r="275" spans="1:89" ht="17.25" customHeight="1">
      <c r="A275" s="160"/>
      <c r="B275" s="165"/>
      <c r="C275" s="164"/>
      <c r="D275" s="137">
        <f t="shared" si="3"/>
        <v>0</v>
      </c>
      <c r="E275" s="207"/>
      <c r="F275" s="202"/>
      <c r="G275" s="207"/>
      <c r="H275" s="202"/>
      <c r="I275" s="207"/>
      <c r="J275" s="202"/>
      <c r="K275" s="207"/>
      <c r="L275" s="202"/>
      <c r="M275" s="207"/>
      <c r="N275" s="202"/>
      <c r="O275" s="201"/>
      <c r="P275" s="202"/>
      <c r="Q275" s="203">
        <f t="shared" si="4"/>
        <v>0</v>
      </c>
      <c r="R275" s="202"/>
      <c r="S275" s="207"/>
      <c r="T275" s="202"/>
      <c r="U275" s="207"/>
      <c r="V275" s="202"/>
      <c r="W275" s="207"/>
      <c r="X275" s="202"/>
      <c r="Y275" s="207"/>
      <c r="Z275" s="202"/>
      <c r="AA275" s="207"/>
      <c r="AB275" s="202"/>
      <c r="AC275" s="208"/>
      <c r="AD275" s="202"/>
      <c r="AE275" s="203">
        <f t="shared" si="5"/>
        <v>0</v>
      </c>
      <c r="AF275" s="202"/>
      <c r="AG275" s="204"/>
      <c r="AH275" s="202"/>
      <c r="AI275" s="204"/>
      <c r="AJ275" s="202"/>
      <c r="AK275" s="204"/>
      <c r="AL275" s="202"/>
      <c r="AM275" s="204"/>
      <c r="AN275" s="202"/>
      <c r="AO275" s="204"/>
      <c r="AP275" s="202"/>
      <c r="AQ275" s="208"/>
      <c r="AR275" s="202"/>
      <c r="AS275" s="203">
        <f t="shared" si="6"/>
        <v>0</v>
      </c>
      <c r="AT275" s="202"/>
      <c r="AU275" s="204"/>
      <c r="AV275" s="202"/>
      <c r="AW275" s="204"/>
      <c r="AX275" s="202"/>
      <c r="AY275" s="204"/>
      <c r="AZ275" s="202"/>
      <c r="BA275" s="204"/>
      <c r="BB275" s="202"/>
      <c r="BC275" s="204"/>
      <c r="BD275" s="202"/>
      <c r="BE275" s="208"/>
      <c r="BF275" s="202"/>
      <c r="BG275" s="203">
        <f t="shared" si="7"/>
        <v>0</v>
      </c>
      <c r="BH275" s="202"/>
      <c r="BI275" s="204"/>
      <c r="BJ275" s="202"/>
      <c r="BK275" s="204"/>
      <c r="BL275" s="202"/>
      <c r="BM275" s="204"/>
      <c r="BN275" s="202"/>
      <c r="BO275" s="203">
        <f t="shared" si="8"/>
        <v>0</v>
      </c>
      <c r="BP275" s="202"/>
      <c r="BQ275" s="138"/>
      <c r="BR275" s="128"/>
      <c r="BS275" s="128"/>
      <c r="BT275" s="128"/>
      <c r="BU275" s="128"/>
      <c r="BV275" s="128"/>
      <c r="BW275" s="139"/>
      <c r="BX275" s="140"/>
      <c r="BY275" s="139"/>
      <c r="BZ275" s="139"/>
      <c r="CA275" s="134"/>
      <c r="CB275" s="134"/>
      <c r="CC275" s="134"/>
      <c r="CD275" s="134"/>
      <c r="CE275" s="134"/>
      <c r="CF275" s="134"/>
      <c r="CG275" s="92"/>
      <c r="CH275" s="92"/>
      <c r="CI275" s="92"/>
      <c r="CJ275" s="92"/>
      <c r="CK275" s="92"/>
    </row>
    <row r="276" spans="1:89" ht="17.25" customHeight="1">
      <c r="A276" s="160"/>
      <c r="B276" s="165"/>
      <c r="C276" s="164"/>
      <c r="D276" s="137">
        <f t="shared" si="3"/>
        <v>0</v>
      </c>
      <c r="E276" s="207"/>
      <c r="F276" s="202"/>
      <c r="G276" s="207"/>
      <c r="H276" s="202"/>
      <c r="I276" s="207"/>
      <c r="J276" s="202"/>
      <c r="K276" s="207"/>
      <c r="L276" s="202"/>
      <c r="M276" s="207"/>
      <c r="N276" s="202"/>
      <c r="O276" s="201"/>
      <c r="P276" s="202"/>
      <c r="Q276" s="203">
        <f t="shared" si="4"/>
        <v>0</v>
      </c>
      <c r="R276" s="202"/>
      <c r="S276" s="207"/>
      <c r="T276" s="202"/>
      <c r="U276" s="207"/>
      <c r="V276" s="202"/>
      <c r="W276" s="207"/>
      <c r="X276" s="202"/>
      <c r="Y276" s="207"/>
      <c r="Z276" s="202"/>
      <c r="AA276" s="207"/>
      <c r="AB276" s="202"/>
      <c r="AC276" s="208"/>
      <c r="AD276" s="202"/>
      <c r="AE276" s="203">
        <f t="shared" si="5"/>
        <v>0</v>
      </c>
      <c r="AF276" s="202"/>
      <c r="AG276" s="204"/>
      <c r="AH276" s="202"/>
      <c r="AI276" s="204"/>
      <c r="AJ276" s="202"/>
      <c r="AK276" s="204"/>
      <c r="AL276" s="202"/>
      <c r="AM276" s="204"/>
      <c r="AN276" s="202"/>
      <c r="AO276" s="204"/>
      <c r="AP276" s="202"/>
      <c r="AQ276" s="208"/>
      <c r="AR276" s="202"/>
      <c r="AS276" s="203">
        <f t="shared" si="6"/>
        <v>0</v>
      </c>
      <c r="AT276" s="202"/>
      <c r="AU276" s="204"/>
      <c r="AV276" s="202"/>
      <c r="AW276" s="204"/>
      <c r="AX276" s="202"/>
      <c r="AY276" s="204"/>
      <c r="AZ276" s="202"/>
      <c r="BA276" s="204"/>
      <c r="BB276" s="202"/>
      <c r="BC276" s="204"/>
      <c r="BD276" s="202"/>
      <c r="BE276" s="208"/>
      <c r="BF276" s="202"/>
      <c r="BG276" s="203">
        <f t="shared" si="7"/>
        <v>0</v>
      </c>
      <c r="BH276" s="202"/>
      <c r="BI276" s="204"/>
      <c r="BJ276" s="202"/>
      <c r="BK276" s="204"/>
      <c r="BL276" s="202"/>
      <c r="BM276" s="204"/>
      <c r="BN276" s="202"/>
      <c r="BO276" s="203">
        <f t="shared" si="8"/>
        <v>0</v>
      </c>
      <c r="BP276" s="202"/>
      <c r="BQ276" s="138"/>
      <c r="BR276" s="128"/>
      <c r="BS276" s="128"/>
      <c r="BT276" s="128"/>
      <c r="BU276" s="128"/>
      <c r="BV276" s="128"/>
      <c r="BW276" s="139"/>
      <c r="BX276" s="140"/>
      <c r="BY276" s="139"/>
      <c r="BZ276" s="139"/>
      <c r="CA276" s="134"/>
      <c r="CB276" s="134"/>
      <c r="CC276" s="134"/>
      <c r="CD276" s="134"/>
      <c r="CE276" s="134"/>
      <c r="CF276" s="134"/>
      <c r="CG276" s="92"/>
      <c r="CH276" s="92"/>
      <c r="CI276" s="92"/>
      <c r="CJ276" s="92"/>
      <c r="CK276" s="92"/>
    </row>
    <row r="277" spans="1:89" ht="17.25" customHeight="1">
      <c r="A277" s="160"/>
      <c r="B277" s="165"/>
      <c r="C277" s="164"/>
      <c r="D277" s="137">
        <f t="shared" si="3"/>
        <v>0</v>
      </c>
      <c r="E277" s="207"/>
      <c r="F277" s="202"/>
      <c r="G277" s="207"/>
      <c r="H277" s="202"/>
      <c r="I277" s="207"/>
      <c r="J277" s="202"/>
      <c r="K277" s="207"/>
      <c r="L277" s="202"/>
      <c r="M277" s="207"/>
      <c r="N277" s="202"/>
      <c r="O277" s="201"/>
      <c r="P277" s="202"/>
      <c r="Q277" s="203">
        <f t="shared" si="4"/>
        <v>0</v>
      </c>
      <c r="R277" s="202"/>
      <c r="S277" s="207"/>
      <c r="T277" s="202"/>
      <c r="U277" s="207"/>
      <c r="V277" s="202"/>
      <c r="W277" s="207"/>
      <c r="X277" s="202"/>
      <c r="Y277" s="207"/>
      <c r="Z277" s="202"/>
      <c r="AA277" s="207"/>
      <c r="AB277" s="202"/>
      <c r="AC277" s="208"/>
      <c r="AD277" s="202"/>
      <c r="AE277" s="203">
        <f t="shared" si="5"/>
        <v>0</v>
      </c>
      <c r="AF277" s="202"/>
      <c r="AG277" s="204"/>
      <c r="AH277" s="202"/>
      <c r="AI277" s="204"/>
      <c r="AJ277" s="202"/>
      <c r="AK277" s="204"/>
      <c r="AL277" s="202"/>
      <c r="AM277" s="204"/>
      <c r="AN277" s="202"/>
      <c r="AO277" s="204"/>
      <c r="AP277" s="202"/>
      <c r="AQ277" s="208"/>
      <c r="AR277" s="202"/>
      <c r="AS277" s="203">
        <f t="shared" si="6"/>
        <v>0</v>
      </c>
      <c r="AT277" s="202"/>
      <c r="AU277" s="204"/>
      <c r="AV277" s="202"/>
      <c r="AW277" s="204"/>
      <c r="AX277" s="202"/>
      <c r="AY277" s="204"/>
      <c r="AZ277" s="202"/>
      <c r="BA277" s="204"/>
      <c r="BB277" s="202"/>
      <c r="BC277" s="204"/>
      <c r="BD277" s="202"/>
      <c r="BE277" s="208"/>
      <c r="BF277" s="202"/>
      <c r="BG277" s="203">
        <f t="shared" si="7"/>
        <v>0</v>
      </c>
      <c r="BH277" s="202"/>
      <c r="BI277" s="204"/>
      <c r="BJ277" s="202"/>
      <c r="BK277" s="204"/>
      <c r="BL277" s="202"/>
      <c r="BM277" s="204"/>
      <c r="BN277" s="202"/>
      <c r="BO277" s="203">
        <f t="shared" si="8"/>
        <v>0</v>
      </c>
      <c r="BP277" s="202"/>
      <c r="BQ277" s="138"/>
      <c r="BR277" s="128"/>
      <c r="BS277" s="128"/>
      <c r="BT277" s="128"/>
      <c r="BU277" s="128"/>
      <c r="BV277" s="128"/>
      <c r="BW277" s="139"/>
      <c r="BX277" s="140"/>
      <c r="BY277" s="139"/>
      <c r="BZ277" s="139"/>
      <c r="CA277" s="134"/>
      <c r="CB277" s="134"/>
      <c r="CC277" s="134"/>
      <c r="CD277" s="134"/>
      <c r="CE277" s="134"/>
      <c r="CF277" s="134"/>
      <c r="CG277" s="92"/>
      <c r="CH277" s="92"/>
      <c r="CI277" s="92"/>
      <c r="CJ277" s="92"/>
      <c r="CK277" s="92"/>
    </row>
    <row r="278" spans="1:89" ht="17.25" customHeight="1">
      <c r="A278" s="160"/>
      <c r="B278" s="165"/>
      <c r="C278" s="164"/>
      <c r="D278" s="137">
        <f t="shared" si="3"/>
        <v>0</v>
      </c>
      <c r="E278" s="207"/>
      <c r="F278" s="202"/>
      <c r="G278" s="207"/>
      <c r="H278" s="202"/>
      <c r="I278" s="207"/>
      <c r="J278" s="202"/>
      <c r="K278" s="207"/>
      <c r="L278" s="202"/>
      <c r="M278" s="207"/>
      <c r="N278" s="202"/>
      <c r="O278" s="201"/>
      <c r="P278" s="202"/>
      <c r="Q278" s="203">
        <f t="shared" si="4"/>
        <v>0</v>
      </c>
      <c r="R278" s="202"/>
      <c r="S278" s="207"/>
      <c r="T278" s="202"/>
      <c r="U278" s="207"/>
      <c r="V278" s="202"/>
      <c r="W278" s="207"/>
      <c r="X278" s="202"/>
      <c r="Y278" s="207"/>
      <c r="Z278" s="202"/>
      <c r="AA278" s="207"/>
      <c r="AB278" s="202"/>
      <c r="AC278" s="208"/>
      <c r="AD278" s="202"/>
      <c r="AE278" s="203">
        <f t="shared" si="5"/>
        <v>0</v>
      </c>
      <c r="AF278" s="202"/>
      <c r="AG278" s="204"/>
      <c r="AH278" s="202"/>
      <c r="AI278" s="204"/>
      <c r="AJ278" s="202"/>
      <c r="AK278" s="204"/>
      <c r="AL278" s="202"/>
      <c r="AM278" s="204"/>
      <c r="AN278" s="202"/>
      <c r="AO278" s="204"/>
      <c r="AP278" s="202"/>
      <c r="AQ278" s="208"/>
      <c r="AR278" s="202"/>
      <c r="AS278" s="203">
        <f t="shared" si="6"/>
        <v>0</v>
      </c>
      <c r="AT278" s="202"/>
      <c r="AU278" s="204"/>
      <c r="AV278" s="202"/>
      <c r="AW278" s="204"/>
      <c r="AX278" s="202"/>
      <c r="AY278" s="204"/>
      <c r="AZ278" s="202"/>
      <c r="BA278" s="204"/>
      <c r="BB278" s="202"/>
      <c r="BC278" s="204"/>
      <c r="BD278" s="202"/>
      <c r="BE278" s="208"/>
      <c r="BF278" s="202"/>
      <c r="BG278" s="203">
        <f t="shared" si="7"/>
        <v>0</v>
      </c>
      <c r="BH278" s="202"/>
      <c r="BI278" s="204"/>
      <c r="BJ278" s="202"/>
      <c r="BK278" s="204"/>
      <c r="BL278" s="202"/>
      <c r="BM278" s="204"/>
      <c r="BN278" s="202"/>
      <c r="BO278" s="203">
        <f t="shared" si="8"/>
        <v>0</v>
      </c>
      <c r="BP278" s="202"/>
      <c r="BQ278" s="138"/>
      <c r="BR278" s="128"/>
      <c r="BS278" s="128"/>
      <c r="BT278" s="128"/>
      <c r="BU278" s="128"/>
      <c r="BV278" s="128"/>
      <c r="BW278" s="139"/>
      <c r="BX278" s="140"/>
      <c r="BY278" s="139"/>
      <c r="BZ278" s="139"/>
      <c r="CA278" s="134"/>
      <c r="CB278" s="134"/>
      <c r="CC278" s="134"/>
      <c r="CD278" s="134"/>
      <c r="CE278" s="134"/>
      <c r="CF278" s="134"/>
      <c r="CG278" s="92"/>
      <c r="CH278" s="92"/>
      <c r="CI278" s="92"/>
      <c r="CJ278" s="92"/>
      <c r="CK278" s="92"/>
    </row>
    <row r="279" spans="1:89" ht="17.25" customHeight="1">
      <c r="A279" s="160"/>
      <c r="B279" s="165"/>
      <c r="C279" s="164"/>
      <c r="D279" s="137">
        <f t="shared" si="3"/>
        <v>0</v>
      </c>
      <c r="E279" s="207"/>
      <c r="F279" s="202"/>
      <c r="G279" s="207"/>
      <c r="H279" s="202"/>
      <c r="I279" s="207"/>
      <c r="J279" s="202"/>
      <c r="K279" s="207"/>
      <c r="L279" s="202"/>
      <c r="M279" s="207"/>
      <c r="N279" s="202"/>
      <c r="O279" s="201"/>
      <c r="P279" s="202"/>
      <c r="Q279" s="203">
        <f t="shared" si="4"/>
        <v>0</v>
      </c>
      <c r="R279" s="202"/>
      <c r="S279" s="207"/>
      <c r="T279" s="202"/>
      <c r="U279" s="207"/>
      <c r="V279" s="202"/>
      <c r="W279" s="207"/>
      <c r="X279" s="202"/>
      <c r="Y279" s="207"/>
      <c r="Z279" s="202"/>
      <c r="AA279" s="207"/>
      <c r="AB279" s="202"/>
      <c r="AC279" s="208"/>
      <c r="AD279" s="202"/>
      <c r="AE279" s="203">
        <f t="shared" si="5"/>
        <v>0</v>
      </c>
      <c r="AF279" s="202"/>
      <c r="AG279" s="204"/>
      <c r="AH279" s="202"/>
      <c r="AI279" s="204"/>
      <c r="AJ279" s="202"/>
      <c r="AK279" s="204"/>
      <c r="AL279" s="202"/>
      <c r="AM279" s="204"/>
      <c r="AN279" s="202"/>
      <c r="AO279" s="204"/>
      <c r="AP279" s="202"/>
      <c r="AQ279" s="208"/>
      <c r="AR279" s="202"/>
      <c r="AS279" s="203">
        <f t="shared" si="6"/>
        <v>0</v>
      </c>
      <c r="AT279" s="202"/>
      <c r="AU279" s="204"/>
      <c r="AV279" s="202"/>
      <c r="AW279" s="204"/>
      <c r="AX279" s="202"/>
      <c r="AY279" s="204"/>
      <c r="AZ279" s="202"/>
      <c r="BA279" s="204"/>
      <c r="BB279" s="202"/>
      <c r="BC279" s="204"/>
      <c r="BD279" s="202"/>
      <c r="BE279" s="208"/>
      <c r="BF279" s="202"/>
      <c r="BG279" s="203">
        <f t="shared" si="7"/>
        <v>0</v>
      </c>
      <c r="BH279" s="202"/>
      <c r="BI279" s="204"/>
      <c r="BJ279" s="202"/>
      <c r="BK279" s="204"/>
      <c r="BL279" s="202"/>
      <c r="BM279" s="204"/>
      <c r="BN279" s="202"/>
      <c r="BO279" s="203">
        <f t="shared" si="8"/>
        <v>0</v>
      </c>
      <c r="BP279" s="202"/>
      <c r="BQ279" s="138"/>
      <c r="BR279" s="128"/>
      <c r="BS279" s="128"/>
      <c r="BT279" s="128"/>
      <c r="BU279" s="128"/>
      <c r="BV279" s="128"/>
      <c r="BW279" s="139"/>
      <c r="BX279" s="140"/>
      <c r="BY279" s="139"/>
      <c r="BZ279" s="139"/>
      <c r="CA279" s="134"/>
      <c r="CB279" s="134"/>
      <c r="CC279" s="134"/>
      <c r="CD279" s="134"/>
      <c r="CE279" s="134"/>
      <c r="CF279" s="134"/>
      <c r="CG279" s="92"/>
      <c r="CH279" s="92"/>
      <c r="CI279" s="92"/>
      <c r="CJ279" s="92"/>
      <c r="CK279" s="92"/>
    </row>
    <row r="280" spans="1:89" ht="17.25" customHeight="1">
      <c r="A280" s="160"/>
      <c r="B280" s="165"/>
      <c r="C280" s="164"/>
      <c r="D280" s="137">
        <f t="shared" si="3"/>
        <v>0</v>
      </c>
      <c r="E280" s="207"/>
      <c r="F280" s="202"/>
      <c r="G280" s="207"/>
      <c r="H280" s="202"/>
      <c r="I280" s="207"/>
      <c r="J280" s="202"/>
      <c r="K280" s="207"/>
      <c r="L280" s="202"/>
      <c r="M280" s="207"/>
      <c r="N280" s="202"/>
      <c r="O280" s="201"/>
      <c r="P280" s="202"/>
      <c r="Q280" s="203">
        <f t="shared" si="4"/>
        <v>0</v>
      </c>
      <c r="R280" s="202"/>
      <c r="S280" s="207"/>
      <c r="T280" s="202"/>
      <c r="U280" s="207"/>
      <c r="V280" s="202"/>
      <c r="W280" s="207"/>
      <c r="X280" s="202"/>
      <c r="Y280" s="207"/>
      <c r="Z280" s="202"/>
      <c r="AA280" s="207"/>
      <c r="AB280" s="202"/>
      <c r="AC280" s="208"/>
      <c r="AD280" s="202"/>
      <c r="AE280" s="203">
        <f t="shared" si="5"/>
        <v>0</v>
      </c>
      <c r="AF280" s="202"/>
      <c r="AG280" s="204"/>
      <c r="AH280" s="202"/>
      <c r="AI280" s="204"/>
      <c r="AJ280" s="202"/>
      <c r="AK280" s="204"/>
      <c r="AL280" s="202"/>
      <c r="AM280" s="204"/>
      <c r="AN280" s="202"/>
      <c r="AO280" s="204"/>
      <c r="AP280" s="202"/>
      <c r="AQ280" s="208"/>
      <c r="AR280" s="202"/>
      <c r="AS280" s="203">
        <f t="shared" si="6"/>
        <v>0</v>
      </c>
      <c r="AT280" s="202"/>
      <c r="AU280" s="204"/>
      <c r="AV280" s="202"/>
      <c r="AW280" s="204"/>
      <c r="AX280" s="202"/>
      <c r="AY280" s="204"/>
      <c r="AZ280" s="202"/>
      <c r="BA280" s="204"/>
      <c r="BB280" s="202"/>
      <c r="BC280" s="204"/>
      <c r="BD280" s="202"/>
      <c r="BE280" s="208"/>
      <c r="BF280" s="202"/>
      <c r="BG280" s="203">
        <f t="shared" si="7"/>
        <v>0</v>
      </c>
      <c r="BH280" s="202"/>
      <c r="BI280" s="204"/>
      <c r="BJ280" s="202"/>
      <c r="BK280" s="204"/>
      <c r="BL280" s="202"/>
      <c r="BM280" s="204"/>
      <c r="BN280" s="202"/>
      <c r="BO280" s="203">
        <f t="shared" si="8"/>
        <v>0</v>
      </c>
      <c r="BP280" s="202"/>
      <c r="BQ280" s="138"/>
      <c r="BR280" s="128"/>
      <c r="BS280" s="128"/>
      <c r="BT280" s="128"/>
      <c r="BU280" s="128"/>
      <c r="BV280" s="128"/>
      <c r="BW280" s="139"/>
      <c r="BX280" s="140"/>
      <c r="BY280" s="139"/>
      <c r="BZ280" s="139"/>
      <c r="CA280" s="134"/>
      <c r="CB280" s="134"/>
      <c r="CC280" s="134"/>
      <c r="CD280" s="134"/>
      <c r="CE280" s="134"/>
      <c r="CF280" s="134"/>
      <c r="CG280" s="92"/>
      <c r="CH280" s="92"/>
      <c r="CI280" s="92"/>
      <c r="CJ280" s="92"/>
      <c r="CK280" s="92"/>
    </row>
    <row r="281" spans="1:89" ht="17.25" customHeight="1">
      <c r="A281" s="160"/>
      <c r="B281" s="165"/>
      <c r="C281" s="164"/>
      <c r="D281" s="137">
        <f t="shared" si="3"/>
        <v>0</v>
      </c>
      <c r="E281" s="207"/>
      <c r="F281" s="202"/>
      <c r="G281" s="207"/>
      <c r="H281" s="202"/>
      <c r="I281" s="207"/>
      <c r="J281" s="202"/>
      <c r="K281" s="207"/>
      <c r="L281" s="202"/>
      <c r="M281" s="207"/>
      <c r="N281" s="202"/>
      <c r="O281" s="201"/>
      <c r="P281" s="202"/>
      <c r="Q281" s="203">
        <f t="shared" si="4"/>
        <v>0</v>
      </c>
      <c r="R281" s="202"/>
      <c r="S281" s="207"/>
      <c r="T281" s="202"/>
      <c r="U281" s="207"/>
      <c r="V281" s="202"/>
      <c r="W281" s="207"/>
      <c r="X281" s="202"/>
      <c r="Y281" s="207"/>
      <c r="Z281" s="202"/>
      <c r="AA281" s="207"/>
      <c r="AB281" s="202"/>
      <c r="AC281" s="208"/>
      <c r="AD281" s="202"/>
      <c r="AE281" s="203">
        <f t="shared" si="5"/>
        <v>0</v>
      </c>
      <c r="AF281" s="202"/>
      <c r="AG281" s="204"/>
      <c r="AH281" s="202"/>
      <c r="AI281" s="204"/>
      <c r="AJ281" s="202"/>
      <c r="AK281" s="204"/>
      <c r="AL281" s="202"/>
      <c r="AM281" s="204"/>
      <c r="AN281" s="202"/>
      <c r="AO281" s="204"/>
      <c r="AP281" s="202"/>
      <c r="AQ281" s="208"/>
      <c r="AR281" s="202"/>
      <c r="AS281" s="203">
        <f t="shared" si="6"/>
        <v>0</v>
      </c>
      <c r="AT281" s="202"/>
      <c r="AU281" s="204"/>
      <c r="AV281" s="202"/>
      <c r="AW281" s="204"/>
      <c r="AX281" s="202"/>
      <c r="AY281" s="204"/>
      <c r="AZ281" s="202"/>
      <c r="BA281" s="204"/>
      <c r="BB281" s="202"/>
      <c r="BC281" s="204"/>
      <c r="BD281" s="202"/>
      <c r="BE281" s="208"/>
      <c r="BF281" s="202"/>
      <c r="BG281" s="203">
        <f t="shared" si="7"/>
        <v>0</v>
      </c>
      <c r="BH281" s="202"/>
      <c r="BI281" s="204"/>
      <c r="BJ281" s="202"/>
      <c r="BK281" s="204"/>
      <c r="BL281" s="202"/>
      <c r="BM281" s="204"/>
      <c r="BN281" s="202"/>
      <c r="BO281" s="203">
        <f t="shared" si="8"/>
        <v>0</v>
      </c>
      <c r="BP281" s="202"/>
      <c r="BQ281" s="138"/>
      <c r="BR281" s="128"/>
      <c r="BS281" s="128"/>
      <c r="BT281" s="128"/>
      <c r="BU281" s="128"/>
      <c r="BV281" s="128"/>
      <c r="BW281" s="139"/>
      <c r="BX281" s="140"/>
      <c r="BY281" s="139"/>
      <c r="BZ281" s="139"/>
      <c r="CA281" s="134"/>
      <c r="CB281" s="134"/>
      <c r="CC281" s="134"/>
      <c r="CD281" s="134"/>
      <c r="CE281" s="134"/>
      <c r="CF281" s="134"/>
      <c r="CG281" s="92"/>
      <c r="CH281" s="92"/>
      <c r="CI281" s="92"/>
      <c r="CJ281" s="92"/>
      <c r="CK281" s="92"/>
    </row>
    <row r="282" spans="1:89" ht="17.25" customHeight="1">
      <c r="A282" s="160"/>
      <c r="B282" s="165"/>
      <c r="C282" s="164"/>
      <c r="D282" s="137">
        <f t="shared" si="3"/>
        <v>0</v>
      </c>
      <c r="E282" s="207"/>
      <c r="F282" s="202"/>
      <c r="G282" s="207"/>
      <c r="H282" s="202"/>
      <c r="I282" s="207"/>
      <c r="J282" s="202"/>
      <c r="K282" s="207"/>
      <c r="L282" s="202"/>
      <c r="M282" s="207"/>
      <c r="N282" s="202"/>
      <c r="O282" s="201"/>
      <c r="P282" s="202"/>
      <c r="Q282" s="203">
        <f t="shared" si="4"/>
        <v>0</v>
      </c>
      <c r="R282" s="202"/>
      <c r="S282" s="207"/>
      <c r="T282" s="202"/>
      <c r="U282" s="207"/>
      <c r="V282" s="202"/>
      <c r="W282" s="207"/>
      <c r="X282" s="202"/>
      <c r="Y282" s="207"/>
      <c r="Z282" s="202"/>
      <c r="AA282" s="207"/>
      <c r="AB282" s="202"/>
      <c r="AC282" s="208"/>
      <c r="AD282" s="202"/>
      <c r="AE282" s="203">
        <f t="shared" si="5"/>
        <v>0</v>
      </c>
      <c r="AF282" s="202"/>
      <c r="AG282" s="204"/>
      <c r="AH282" s="202"/>
      <c r="AI282" s="204"/>
      <c r="AJ282" s="202"/>
      <c r="AK282" s="204"/>
      <c r="AL282" s="202"/>
      <c r="AM282" s="204"/>
      <c r="AN282" s="202"/>
      <c r="AO282" s="204"/>
      <c r="AP282" s="202"/>
      <c r="AQ282" s="208"/>
      <c r="AR282" s="202"/>
      <c r="AS282" s="203">
        <f t="shared" si="6"/>
        <v>0</v>
      </c>
      <c r="AT282" s="202"/>
      <c r="AU282" s="204"/>
      <c r="AV282" s="202"/>
      <c r="AW282" s="204"/>
      <c r="AX282" s="202"/>
      <c r="AY282" s="204"/>
      <c r="AZ282" s="202"/>
      <c r="BA282" s="204"/>
      <c r="BB282" s="202"/>
      <c r="BC282" s="204"/>
      <c r="BD282" s="202"/>
      <c r="BE282" s="208"/>
      <c r="BF282" s="202"/>
      <c r="BG282" s="203">
        <f t="shared" si="7"/>
        <v>0</v>
      </c>
      <c r="BH282" s="202"/>
      <c r="BI282" s="204"/>
      <c r="BJ282" s="202"/>
      <c r="BK282" s="204"/>
      <c r="BL282" s="202"/>
      <c r="BM282" s="204"/>
      <c r="BN282" s="202"/>
      <c r="BO282" s="203">
        <f t="shared" si="8"/>
        <v>0</v>
      </c>
      <c r="BP282" s="202"/>
      <c r="BQ282" s="138"/>
      <c r="BR282" s="128"/>
      <c r="BS282" s="128"/>
      <c r="BT282" s="128"/>
      <c r="BU282" s="128"/>
      <c r="BV282" s="128"/>
      <c r="BW282" s="139"/>
      <c r="BX282" s="140"/>
      <c r="BY282" s="139"/>
      <c r="BZ282" s="139"/>
      <c r="CA282" s="134"/>
      <c r="CB282" s="134"/>
      <c r="CC282" s="134"/>
      <c r="CD282" s="134"/>
      <c r="CE282" s="134"/>
      <c r="CF282" s="134"/>
      <c r="CG282" s="92"/>
      <c r="CH282" s="92"/>
      <c r="CI282" s="92"/>
      <c r="CJ282" s="92"/>
      <c r="CK282" s="92"/>
    </row>
    <row r="283" spans="1:89" ht="17.25" customHeight="1">
      <c r="A283" s="160"/>
      <c r="B283" s="165"/>
      <c r="C283" s="164"/>
      <c r="D283" s="137">
        <f t="shared" si="3"/>
        <v>0</v>
      </c>
      <c r="E283" s="207"/>
      <c r="F283" s="202"/>
      <c r="G283" s="207"/>
      <c r="H283" s="202"/>
      <c r="I283" s="207"/>
      <c r="J283" s="202"/>
      <c r="K283" s="207"/>
      <c r="L283" s="202"/>
      <c r="M283" s="207"/>
      <c r="N283" s="202"/>
      <c r="O283" s="201"/>
      <c r="P283" s="202"/>
      <c r="Q283" s="203">
        <f t="shared" si="4"/>
        <v>0</v>
      </c>
      <c r="R283" s="202"/>
      <c r="S283" s="207"/>
      <c r="T283" s="202"/>
      <c r="U283" s="207"/>
      <c r="V283" s="202"/>
      <c r="W283" s="207"/>
      <c r="X283" s="202"/>
      <c r="Y283" s="207"/>
      <c r="Z283" s="202"/>
      <c r="AA283" s="207"/>
      <c r="AB283" s="202"/>
      <c r="AC283" s="208"/>
      <c r="AD283" s="202"/>
      <c r="AE283" s="203">
        <f t="shared" si="5"/>
        <v>0</v>
      </c>
      <c r="AF283" s="202"/>
      <c r="AG283" s="204"/>
      <c r="AH283" s="202"/>
      <c r="AI283" s="204"/>
      <c r="AJ283" s="202"/>
      <c r="AK283" s="204"/>
      <c r="AL283" s="202"/>
      <c r="AM283" s="204"/>
      <c r="AN283" s="202"/>
      <c r="AO283" s="204"/>
      <c r="AP283" s="202"/>
      <c r="AQ283" s="208"/>
      <c r="AR283" s="202"/>
      <c r="AS283" s="203">
        <f t="shared" si="6"/>
        <v>0</v>
      </c>
      <c r="AT283" s="202"/>
      <c r="AU283" s="204"/>
      <c r="AV283" s="202"/>
      <c r="AW283" s="204"/>
      <c r="AX283" s="202"/>
      <c r="AY283" s="204"/>
      <c r="AZ283" s="202"/>
      <c r="BA283" s="204"/>
      <c r="BB283" s="202"/>
      <c r="BC283" s="204"/>
      <c r="BD283" s="202"/>
      <c r="BE283" s="208"/>
      <c r="BF283" s="202"/>
      <c r="BG283" s="203">
        <f t="shared" si="7"/>
        <v>0</v>
      </c>
      <c r="BH283" s="202"/>
      <c r="BI283" s="204"/>
      <c r="BJ283" s="202"/>
      <c r="BK283" s="204"/>
      <c r="BL283" s="202"/>
      <c r="BM283" s="204"/>
      <c r="BN283" s="202"/>
      <c r="BO283" s="203">
        <f t="shared" si="8"/>
        <v>0</v>
      </c>
      <c r="BP283" s="202"/>
      <c r="BQ283" s="138"/>
      <c r="BR283" s="128"/>
      <c r="BS283" s="128"/>
      <c r="BT283" s="128"/>
      <c r="BU283" s="128"/>
      <c r="BV283" s="128"/>
      <c r="BW283" s="139"/>
      <c r="BX283" s="140"/>
      <c r="BY283" s="139"/>
      <c r="BZ283" s="139"/>
      <c r="CA283" s="134"/>
      <c r="CB283" s="134"/>
      <c r="CC283" s="134"/>
      <c r="CD283" s="134"/>
      <c r="CE283" s="134"/>
      <c r="CF283" s="134"/>
      <c r="CG283" s="92"/>
      <c r="CH283" s="92"/>
      <c r="CI283" s="92"/>
      <c r="CJ283" s="92"/>
      <c r="CK283" s="92"/>
    </row>
    <row r="284" spans="1:89" ht="17.25" customHeight="1">
      <c r="A284" s="160"/>
      <c r="B284" s="165"/>
      <c r="C284" s="164"/>
      <c r="D284" s="137">
        <f t="shared" si="3"/>
        <v>0</v>
      </c>
      <c r="E284" s="207"/>
      <c r="F284" s="202"/>
      <c r="G284" s="207"/>
      <c r="H284" s="202"/>
      <c r="I284" s="207"/>
      <c r="J284" s="202"/>
      <c r="K284" s="207"/>
      <c r="L284" s="202"/>
      <c r="M284" s="207"/>
      <c r="N284" s="202"/>
      <c r="O284" s="201"/>
      <c r="P284" s="202"/>
      <c r="Q284" s="203">
        <f t="shared" si="4"/>
        <v>0</v>
      </c>
      <c r="R284" s="202"/>
      <c r="S284" s="207"/>
      <c r="T284" s="202"/>
      <c r="U284" s="207"/>
      <c r="V284" s="202"/>
      <c r="W284" s="207"/>
      <c r="X284" s="202"/>
      <c r="Y284" s="207"/>
      <c r="Z284" s="202"/>
      <c r="AA284" s="207"/>
      <c r="AB284" s="202"/>
      <c r="AC284" s="208"/>
      <c r="AD284" s="202"/>
      <c r="AE284" s="203">
        <f t="shared" si="5"/>
        <v>0</v>
      </c>
      <c r="AF284" s="202"/>
      <c r="AG284" s="204"/>
      <c r="AH284" s="202"/>
      <c r="AI284" s="204"/>
      <c r="AJ284" s="202"/>
      <c r="AK284" s="204"/>
      <c r="AL284" s="202"/>
      <c r="AM284" s="204"/>
      <c r="AN284" s="202"/>
      <c r="AO284" s="204"/>
      <c r="AP284" s="202"/>
      <c r="AQ284" s="208"/>
      <c r="AR284" s="202"/>
      <c r="AS284" s="203">
        <f t="shared" si="6"/>
        <v>0</v>
      </c>
      <c r="AT284" s="202"/>
      <c r="AU284" s="204"/>
      <c r="AV284" s="202"/>
      <c r="AW284" s="204"/>
      <c r="AX284" s="202"/>
      <c r="AY284" s="204"/>
      <c r="AZ284" s="202"/>
      <c r="BA284" s="204"/>
      <c r="BB284" s="202"/>
      <c r="BC284" s="204"/>
      <c r="BD284" s="202"/>
      <c r="BE284" s="208"/>
      <c r="BF284" s="202"/>
      <c r="BG284" s="203">
        <f t="shared" si="7"/>
        <v>0</v>
      </c>
      <c r="BH284" s="202"/>
      <c r="BI284" s="204"/>
      <c r="BJ284" s="202"/>
      <c r="BK284" s="204"/>
      <c r="BL284" s="202"/>
      <c r="BM284" s="204"/>
      <c r="BN284" s="202"/>
      <c r="BO284" s="203">
        <f t="shared" si="8"/>
        <v>0</v>
      </c>
      <c r="BP284" s="202"/>
      <c r="BQ284" s="138"/>
      <c r="BR284" s="128"/>
      <c r="BS284" s="128"/>
      <c r="BT284" s="128"/>
      <c r="BU284" s="128"/>
      <c r="BV284" s="128"/>
      <c r="BW284" s="139"/>
      <c r="BX284" s="140"/>
      <c r="BY284" s="139"/>
      <c r="BZ284" s="139"/>
      <c r="CA284" s="134"/>
      <c r="CB284" s="134"/>
      <c r="CC284" s="134"/>
      <c r="CD284" s="134"/>
      <c r="CE284" s="134"/>
      <c r="CF284" s="134"/>
      <c r="CG284" s="92"/>
      <c r="CH284" s="92"/>
      <c r="CI284" s="92"/>
      <c r="CJ284" s="92"/>
      <c r="CK284" s="92"/>
    </row>
    <row r="285" spans="1:89" ht="17.25" customHeight="1">
      <c r="A285" s="160"/>
      <c r="B285" s="165"/>
      <c r="C285" s="164"/>
      <c r="D285" s="137">
        <f t="shared" si="3"/>
        <v>0</v>
      </c>
      <c r="E285" s="207"/>
      <c r="F285" s="202"/>
      <c r="G285" s="207"/>
      <c r="H285" s="202"/>
      <c r="I285" s="207"/>
      <c r="J285" s="202"/>
      <c r="K285" s="207"/>
      <c r="L285" s="202"/>
      <c r="M285" s="207"/>
      <c r="N285" s="202"/>
      <c r="O285" s="201"/>
      <c r="P285" s="202"/>
      <c r="Q285" s="203">
        <f t="shared" si="4"/>
        <v>0</v>
      </c>
      <c r="R285" s="202"/>
      <c r="S285" s="207"/>
      <c r="T285" s="202"/>
      <c r="U285" s="207"/>
      <c r="V285" s="202"/>
      <c r="W285" s="207"/>
      <c r="X285" s="202"/>
      <c r="Y285" s="207"/>
      <c r="Z285" s="202"/>
      <c r="AA285" s="207"/>
      <c r="AB285" s="202"/>
      <c r="AC285" s="208"/>
      <c r="AD285" s="202"/>
      <c r="AE285" s="203">
        <f t="shared" si="5"/>
        <v>0</v>
      </c>
      <c r="AF285" s="202"/>
      <c r="AG285" s="204"/>
      <c r="AH285" s="202"/>
      <c r="AI285" s="204"/>
      <c r="AJ285" s="202"/>
      <c r="AK285" s="204"/>
      <c r="AL285" s="202"/>
      <c r="AM285" s="204"/>
      <c r="AN285" s="202"/>
      <c r="AO285" s="204"/>
      <c r="AP285" s="202"/>
      <c r="AQ285" s="208"/>
      <c r="AR285" s="202"/>
      <c r="AS285" s="203">
        <f t="shared" si="6"/>
        <v>0</v>
      </c>
      <c r="AT285" s="202"/>
      <c r="AU285" s="204"/>
      <c r="AV285" s="202"/>
      <c r="AW285" s="204"/>
      <c r="AX285" s="202"/>
      <c r="AY285" s="204"/>
      <c r="AZ285" s="202"/>
      <c r="BA285" s="204"/>
      <c r="BB285" s="202"/>
      <c r="BC285" s="204"/>
      <c r="BD285" s="202"/>
      <c r="BE285" s="208"/>
      <c r="BF285" s="202"/>
      <c r="BG285" s="203">
        <f t="shared" si="7"/>
        <v>0</v>
      </c>
      <c r="BH285" s="202"/>
      <c r="BI285" s="204"/>
      <c r="BJ285" s="202"/>
      <c r="BK285" s="204"/>
      <c r="BL285" s="202"/>
      <c r="BM285" s="204"/>
      <c r="BN285" s="202"/>
      <c r="BO285" s="203">
        <f t="shared" si="8"/>
        <v>0</v>
      </c>
      <c r="BP285" s="202"/>
      <c r="BQ285" s="138"/>
      <c r="BR285" s="128"/>
      <c r="BS285" s="128"/>
      <c r="BT285" s="128"/>
      <c r="BU285" s="128"/>
      <c r="BV285" s="128"/>
      <c r="BW285" s="139"/>
      <c r="BX285" s="140"/>
      <c r="BY285" s="139"/>
      <c r="BZ285" s="139"/>
      <c r="CA285" s="134"/>
      <c r="CB285" s="134"/>
      <c r="CC285" s="134"/>
      <c r="CD285" s="134"/>
      <c r="CE285" s="134"/>
      <c r="CF285" s="134"/>
      <c r="CG285" s="92"/>
      <c r="CH285" s="92"/>
      <c r="CI285" s="92"/>
      <c r="CJ285" s="92"/>
      <c r="CK285" s="92"/>
    </row>
    <row r="286" spans="1:89" ht="17.25" customHeight="1">
      <c r="A286" s="160"/>
      <c r="B286" s="165"/>
      <c r="C286" s="164"/>
      <c r="D286" s="137">
        <f t="shared" si="3"/>
        <v>0</v>
      </c>
      <c r="E286" s="207"/>
      <c r="F286" s="202"/>
      <c r="G286" s="207"/>
      <c r="H286" s="202"/>
      <c r="I286" s="207"/>
      <c r="J286" s="202"/>
      <c r="K286" s="207"/>
      <c r="L286" s="202"/>
      <c r="M286" s="207"/>
      <c r="N286" s="202"/>
      <c r="O286" s="201"/>
      <c r="P286" s="202"/>
      <c r="Q286" s="203">
        <f t="shared" si="4"/>
        <v>0</v>
      </c>
      <c r="R286" s="202"/>
      <c r="S286" s="207"/>
      <c r="T286" s="202"/>
      <c r="U286" s="207"/>
      <c r="V286" s="202"/>
      <c r="W286" s="207"/>
      <c r="X286" s="202"/>
      <c r="Y286" s="207"/>
      <c r="Z286" s="202"/>
      <c r="AA286" s="207"/>
      <c r="AB286" s="202"/>
      <c r="AC286" s="208"/>
      <c r="AD286" s="202"/>
      <c r="AE286" s="203">
        <f t="shared" si="5"/>
        <v>0</v>
      </c>
      <c r="AF286" s="202"/>
      <c r="AG286" s="204"/>
      <c r="AH286" s="202"/>
      <c r="AI286" s="204"/>
      <c r="AJ286" s="202"/>
      <c r="AK286" s="204"/>
      <c r="AL286" s="202"/>
      <c r="AM286" s="204"/>
      <c r="AN286" s="202"/>
      <c r="AO286" s="204"/>
      <c r="AP286" s="202"/>
      <c r="AQ286" s="208"/>
      <c r="AR286" s="202"/>
      <c r="AS286" s="203">
        <f t="shared" si="6"/>
        <v>0</v>
      </c>
      <c r="AT286" s="202"/>
      <c r="AU286" s="204"/>
      <c r="AV286" s="202"/>
      <c r="AW286" s="204"/>
      <c r="AX286" s="202"/>
      <c r="AY286" s="204"/>
      <c r="AZ286" s="202"/>
      <c r="BA286" s="204"/>
      <c r="BB286" s="202"/>
      <c r="BC286" s="204"/>
      <c r="BD286" s="202"/>
      <c r="BE286" s="208"/>
      <c r="BF286" s="202"/>
      <c r="BG286" s="203">
        <f t="shared" si="7"/>
        <v>0</v>
      </c>
      <c r="BH286" s="202"/>
      <c r="BI286" s="204"/>
      <c r="BJ286" s="202"/>
      <c r="BK286" s="204"/>
      <c r="BL286" s="202"/>
      <c r="BM286" s="204"/>
      <c r="BN286" s="202"/>
      <c r="BO286" s="203">
        <f t="shared" si="8"/>
        <v>0</v>
      </c>
      <c r="BP286" s="202"/>
      <c r="BQ286" s="138"/>
      <c r="BR286" s="128"/>
      <c r="BS286" s="128"/>
      <c r="BT286" s="128"/>
      <c r="BU286" s="128"/>
      <c r="BV286" s="128"/>
      <c r="BW286" s="139"/>
      <c r="BX286" s="140"/>
      <c r="BY286" s="139"/>
      <c r="BZ286" s="139"/>
      <c r="CA286" s="134"/>
      <c r="CB286" s="134"/>
      <c r="CC286" s="134"/>
      <c r="CD286" s="134"/>
      <c r="CE286" s="134"/>
      <c r="CF286" s="134"/>
      <c r="CG286" s="92"/>
      <c r="CH286" s="92"/>
      <c r="CI286" s="92"/>
      <c r="CJ286" s="92"/>
      <c r="CK286" s="92"/>
    </row>
    <row r="287" spans="1:89" ht="17.25" customHeight="1">
      <c r="A287" s="160"/>
      <c r="B287" s="165"/>
      <c r="C287" s="164"/>
      <c r="D287" s="137">
        <f t="shared" si="3"/>
        <v>0</v>
      </c>
      <c r="E287" s="207"/>
      <c r="F287" s="202"/>
      <c r="G287" s="207"/>
      <c r="H287" s="202"/>
      <c r="I287" s="207"/>
      <c r="J287" s="202"/>
      <c r="K287" s="207"/>
      <c r="L287" s="202"/>
      <c r="M287" s="207"/>
      <c r="N287" s="202"/>
      <c r="O287" s="201"/>
      <c r="P287" s="202"/>
      <c r="Q287" s="203">
        <f t="shared" si="4"/>
        <v>0</v>
      </c>
      <c r="R287" s="202"/>
      <c r="S287" s="207"/>
      <c r="T287" s="202"/>
      <c r="U287" s="207"/>
      <c r="V287" s="202"/>
      <c r="W287" s="207"/>
      <c r="X287" s="202"/>
      <c r="Y287" s="207"/>
      <c r="Z287" s="202"/>
      <c r="AA287" s="207"/>
      <c r="AB287" s="202"/>
      <c r="AC287" s="208"/>
      <c r="AD287" s="202"/>
      <c r="AE287" s="203">
        <f t="shared" si="5"/>
        <v>0</v>
      </c>
      <c r="AF287" s="202"/>
      <c r="AG287" s="204"/>
      <c r="AH287" s="202"/>
      <c r="AI287" s="204"/>
      <c r="AJ287" s="202"/>
      <c r="AK287" s="204"/>
      <c r="AL287" s="202"/>
      <c r="AM287" s="204"/>
      <c r="AN287" s="202"/>
      <c r="AO287" s="204"/>
      <c r="AP287" s="202"/>
      <c r="AQ287" s="208"/>
      <c r="AR287" s="202"/>
      <c r="AS287" s="203">
        <f t="shared" si="6"/>
        <v>0</v>
      </c>
      <c r="AT287" s="202"/>
      <c r="AU287" s="204"/>
      <c r="AV287" s="202"/>
      <c r="AW287" s="204"/>
      <c r="AX287" s="202"/>
      <c r="AY287" s="204"/>
      <c r="AZ287" s="202"/>
      <c r="BA287" s="204"/>
      <c r="BB287" s="202"/>
      <c r="BC287" s="204"/>
      <c r="BD287" s="202"/>
      <c r="BE287" s="208"/>
      <c r="BF287" s="202"/>
      <c r="BG287" s="203">
        <f t="shared" si="7"/>
        <v>0</v>
      </c>
      <c r="BH287" s="202"/>
      <c r="BI287" s="204"/>
      <c r="BJ287" s="202"/>
      <c r="BK287" s="204"/>
      <c r="BL287" s="202"/>
      <c r="BM287" s="204"/>
      <c r="BN287" s="202"/>
      <c r="BO287" s="203">
        <f t="shared" si="8"/>
        <v>0</v>
      </c>
      <c r="BP287" s="202"/>
      <c r="BQ287" s="138"/>
      <c r="BR287" s="128"/>
      <c r="BS287" s="128"/>
      <c r="BT287" s="128"/>
      <c r="BU287" s="128"/>
      <c r="BV287" s="128"/>
      <c r="BW287" s="139"/>
      <c r="BX287" s="140"/>
      <c r="BY287" s="139"/>
      <c r="BZ287" s="139"/>
      <c r="CA287" s="134"/>
      <c r="CB287" s="134"/>
      <c r="CC287" s="134"/>
      <c r="CD287" s="134"/>
      <c r="CE287" s="134"/>
      <c r="CF287" s="134"/>
      <c r="CG287" s="92"/>
      <c r="CH287" s="92"/>
      <c r="CI287" s="92"/>
      <c r="CJ287" s="92"/>
      <c r="CK287" s="92"/>
    </row>
    <row r="288" spans="1:89" ht="17.25" customHeight="1">
      <c r="A288" s="160"/>
      <c r="B288" s="165"/>
      <c r="C288" s="164"/>
      <c r="D288" s="137">
        <f t="shared" si="3"/>
        <v>0</v>
      </c>
      <c r="E288" s="207"/>
      <c r="F288" s="202"/>
      <c r="G288" s="207"/>
      <c r="H288" s="202"/>
      <c r="I288" s="207"/>
      <c r="J288" s="202"/>
      <c r="K288" s="207"/>
      <c r="L288" s="202"/>
      <c r="M288" s="207"/>
      <c r="N288" s="202"/>
      <c r="O288" s="201"/>
      <c r="P288" s="202"/>
      <c r="Q288" s="203">
        <f t="shared" si="4"/>
        <v>0</v>
      </c>
      <c r="R288" s="202"/>
      <c r="S288" s="207"/>
      <c r="T288" s="202"/>
      <c r="U288" s="207"/>
      <c r="V288" s="202"/>
      <c r="W288" s="207"/>
      <c r="X288" s="202"/>
      <c r="Y288" s="207"/>
      <c r="Z288" s="202"/>
      <c r="AA288" s="207"/>
      <c r="AB288" s="202"/>
      <c r="AC288" s="208"/>
      <c r="AD288" s="202"/>
      <c r="AE288" s="203">
        <f t="shared" si="5"/>
        <v>0</v>
      </c>
      <c r="AF288" s="202"/>
      <c r="AG288" s="204"/>
      <c r="AH288" s="202"/>
      <c r="AI288" s="204"/>
      <c r="AJ288" s="202"/>
      <c r="AK288" s="204"/>
      <c r="AL288" s="202"/>
      <c r="AM288" s="204"/>
      <c r="AN288" s="202"/>
      <c r="AO288" s="204"/>
      <c r="AP288" s="202"/>
      <c r="AQ288" s="208"/>
      <c r="AR288" s="202"/>
      <c r="AS288" s="203">
        <f t="shared" si="6"/>
        <v>0</v>
      </c>
      <c r="AT288" s="202"/>
      <c r="AU288" s="204"/>
      <c r="AV288" s="202"/>
      <c r="AW288" s="204"/>
      <c r="AX288" s="202"/>
      <c r="AY288" s="204"/>
      <c r="AZ288" s="202"/>
      <c r="BA288" s="204"/>
      <c r="BB288" s="202"/>
      <c r="BC288" s="204"/>
      <c r="BD288" s="202"/>
      <c r="BE288" s="208"/>
      <c r="BF288" s="202"/>
      <c r="BG288" s="203">
        <f t="shared" si="7"/>
        <v>0</v>
      </c>
      <c r="BH288" s="202"/>
      <c r="BI288" s="204"/>
      <c r="BJ288" s="202"/>
      <c r="BK288" s="204"/>
      <c r="BL288" s="202"/>
      <c r="BM288" s="204"/>
      <c r="BN288" s="202"/>
      <c r="BO288" s="203">
        <f t="shared" si="8"/>
        <v>0</v>
      </c>
      <c r="BP288" s="202"/>
      <c r="BQ288" s="138"/>
      <c r="BR288" s="128"/>
      <c r="BS288" s="128"/>
      <c r="BT288" s="128"/>
      <c r="BU288" s="128"/>
      <c r="BV288" s="128"/>
      <c r="BW288" s="139"/>
      <c r="BX288" s="140"/>
      <c r="BY288" s="139"/>
      <c r="BZ288" s="139"/>
      <c r="CA288" s="134"/>
      <c r="CB288" s="134"/>
      <c r="CC288" s="134"/>
      <c r="CD288" s="134"/>
      <c r="CE288" s="134"/>
      <c r="CF288" s="134"/>
      <c r="CG288" s="92"/>
      <c r="CH288" s="92"/>
      <c r="CI288" s="92"/>
      <c r="CJ288" s="92"/>
      <c r="CK288" s="92"/>
    </row>
    <row r="289" spans="1:89" ht="17.25" customHeight="1">
      <c r="A289" s="160"/>
      <c r="B289" s="165"/>
      <c r="C289" s="164"/>
      <c r="D289" s="137">
        <f t="shared" si="3"/>
        <v>0</v>
      </c>
      <c r="E289" s="207"/>
      <c r="F289" s="202"/>
      <c r="G289" s="207"/>
      <c r="H289" s="202"/>
      <c r="I289" s="207"/>
      <c r="J289" s="202"/>
      <c r="K289" s="207"/>
      <c r="L289" s="202"/>
      <c r="M289" s="207"/>
      <c r="N289" s="202"/>
      <c r="O289" s="201"/>
      <c r="P289" s="202"/>
      <c r="Q289" s="203">
        <f t="shared" si="4"/>
        <v>0</v>
      </c>
      <c r="R289" s="202"/>
      <c r="S289" s="207"/>
      <c r="T289" s="202"/>
      <c r="U289" s="207"/>
      <c r="V289" s="202"/>
      <c r="W289" s="207"/>
      <c r="X289" s="202"/>
      <c r="Y289" s="207"/>
      <c r="Z289" s="202"/>
      <c r="AA289" s="207"/>
      <c r="AB289" s="202"/>
      <c r="AC289" s="208"/>
      <c r="AD289" s="202"/>
      <c r="AE289" s="203">
        <f t="shared" si="5"/>
        <v>0</v>
      </c>
      <c r="AF289" s="202"/>
      <c r="AG289" s="204"/>
      <c r="AH289" s="202"/>
      <c r="AI289" s="204"/>
      <c r="AJ289" s="202"/>
      <c r="AK289" s="204"/>
      <c r="AL289" s="202"/>
      <c r="AM289" s="204"/>
      <c r="AN289" s="202"/>
      <c r="AO289" s="204"/>
      <c r="AP289" s="202"/>
      <c r="AQ289" s="208"/>
      <c r="AR289" s="202"/>
      <c r="AS289" s="203">
        <f t="shared" si="6"/>
        <v>0</v>
      </c>
      <c r="AT289" s="202"/>
      <c r="AU289" s="204"/>
      <c r="AV289" s="202"/>
      <c r="AW289" s="204"/>
      <c r="AX289" s="202"/>
      <c r="AY289" s="204"/>
      <c r="AZ289" s="202"/>
      <c r="BA289" s="204"/>
      <c r="BB289" s="202"/>
      <c r="BC289" s="204"/>
      <c r="BD289" s="202"/>
      <c r="BE289" s="208"/>
      <c r="BF289" s="202"/>
      <c r="BG289" s="203">
        <f t="shared" si="7"/>
        <v>0</v>
      </c>
      <c r="BH289" s="202"/>
      <c r="BI289" s="204"/>
      <c r="BJ289" s="202"/>
      <c r="BK289" s="204"/>
      <c r="BL289" s="202"/>
      <c r="BM289" s="204"/>
      <c r="BN289" s="202"/>
      <c r="BO289" s="203">
        <f t="shared" si="8"/>
        <v>0</v>
      </c>
      <c r="BP289" s="202"/>
      <c r="BQ289" s="138"/>
      <c r="BR289" s="128"/>
      <c r="BS289" s="128"/>
      <c r="BT289" s="128"/>
      <c r="BU289" s="128"/>
      <c r="BV289" s="128"/>
      <c r="BW289" s="139"/>
      <c r="BX289" s="140"/>
      <c r="BY289" s="139"/>
      <c r="BZ289" s="139"/>
      <c r="CA289" s="134"/>
      <c r="CB289" s="134"/>
      <c r="CC289" s="134"/>
      <c r="CD289" s="134"/>
      <c r="CE289" s="134"/>
      <c r="CF289" s="134"/>
      <c r="CG289" s="92"/>
      <c r="CH289" s="92"/>
      <c r="CI289" s="92"/>
      <c r="CJ289" s="92"/>
      <c r="CK289" s="92"/>
    </row>
    <row r="290" spans="1:89" ht="17.25" customHeight="1">
      <c r="A290" s="160"/>
      <c r="B290" s="165"/>
      <c r="C290" s="164"/>
      <c r="D290" s="137">
        <f t="shared" si="3"/>
        <v>0</v>
      </c>
      <c r="E290" s="207"/>
      <c r="F290" s="202"/>
      <c r="G290" s="207"/>
      <c r="H290" s="202"/>
      <c r="I290" s="207"/>
      <c r="J290" s="202"/>
      <c r="K290" s="207"/>
      <c r="L290" s="202"/>
      <c r="M290" s="207"/>
      <c r="N290" s="202"/>
      <c r="O290" s="201"/>
      <c r="P290" s="202"/>
      <c r="Q290" s="203">
        <f t="shared" si="4"/>
        <v>0</v>
      </c>
      <c r="R290" s="202"/>
      <c r="S290" s="207"/>
      <c r="T290" s="202"/>
      <c r="U290" s="207"/>
      <c r="V290" s="202"/>
      <c r="W290" s="207"/>
      <c r="X290" s="202"/>
      <c r="Y290" s="207"/>
      <c r="Z290" s="202"/>
      <c r="AA290" s="207"/>
      <c r="AB290" s="202"/>
      <c r="AC290" s="208"/>
      <c r="AD290" s="202"/>
      <c r="AE290" s="203">
        <f t="shared" si="5"/>
        <v>0</v>
      </c>
      <c r="AF290" s="202"/>
      <c r="AG290" s="204"/>
      <c r="AH290" s="202"/>
      <c r="AI290" s="204"/>
      <c r="AJ290" s="202"/>
      <c r="AK290" s="204"/>
      <c r="AL290" s="202"/>
      <c r="AM290" s="204"/>
      <c r="AN290" s="202"/>
      <c r="AO290" s="204"/>
      <c r="AP290" s="202"/>
      <c r="AQ290" s="208"/>
      <c r="AR290" s="202"/>
      <c r="AS290" s="203">
        <f t="shared" si="6"/>
        <v>0</v>
      </c>
      <c r="AT290" s="202"/>
      <c r="AU290" s="204"/>
      <c r="AV290" s="202"/>
      <c r="AW290" s="204"/>
      <c r="AX290" s="202"/>
      <c r="AY290" s="204"/>
      <c r="AZ290" s="202"/>
      <c r="BA290" s="204"/>
      <c r="BB290" s="202"/>
      <c r="BC290" s="204"/>
      <c r="BD290" s="202"/>
      <c r="BE290" s="208"/>
      <c r="BF290" s="202"/>
      <c r="BG290" s="203">
        <f t="shared" si="7"/>
        <v>0</v>
      </c>
      <c r="BH290" s="202"/>
      <c r="BI290" s="204"/>
      <c r="BJ290" s="202"/>
      <c r="BK290" s="204"/>
      <c r="BL290" s="202"/>
      <c r="BM290" s="204"/>
      <c r="BN290" s="202"/>
      <c r="BO290" s="203">
        <f t="shared" si="8"/>
        <v>0</v>
      </c>
      <c r="BP290" s="202"/>
      <c r="BQ290" s="138"/>
      <c r="BR290" s="128"/>
      <c r="BS290" s="128"/>
      <c r="BT290" s="128"/>
      <c r="BU290" s="128"/>
      <c r="BV290" s="128"/>
      <c r="BW290" s="139"/>
      <c r="BX290" s="140"/>
      <c r="BY290" s="139"/>
      <c r="BZ290" s="139"/>
      <c r="CA290" s="134"/>
      <c r="CB290" s="134"/>
      <c r="CC290" s="134"/>
      <c r="CD290" s="134"/>
      <c r="CE290" s="134"/>
      <c r="CF290" s="134"/>
      <c r="CG290" s="92"/>
      <c r="CH290" s="92"/>
      <c r="CI290" s="92"/>
      <c r="CJ290" s="92"/>
      <c r="CK290" s="92"/>
    </row>
    <row r="291" spans="1:89" ht="17.25" customHeight="1">
      <c r="A291" s="160"/>
      <c r="B291" s="165"/>
      <c r="C291" s="164"/>
      <c r="D291" s="137">
        <f t="shared" si="3"/>
        <v>0</v>
      </c>
      <c r="E291" s="207"/>
      <c r="F291" s="202"/>
      <c r="G291" s="207"/>
      <c r="H291" s="202"/>
      <c r="I291" s="207"/>
      <c r="J291" s="202"/>
      <c r="K291" s="207"/>
      <c r="L291" s="202"/>
      <c r="M291" s="207"/>
      <c r="N291" s="202"/>
      <c r="O291" s="201"/>
      <c r="P291" s="202"/>
      <c r="Q291" s="203">
        <f t="shared" si="4"/>
        <v>0</v>
      </c>
      <c r="R291" s="202"/>
      <c r="S291" s="207"/>
      <c r="T291" s="202"/>
      <c r="U291" s="207"/>
      <c r="V291" s="202"/>
      <c r="W291" s="207"/>
      <c r="X291" s="202"/>
      <c r="Y291" s="207"/>
      <c r="Z291" s="202"/>
      <c r="AA291" s="207"/>
      <c r="AB291" s="202"/>
      <c r="AC291" s="208"/>
      <c r="AD291" s="202"/>
      <c r="AE291" s="203">
        <f t="shared" si="5"/>
        <v>0</v>
      </c>
      <c r="AF291" s="202"/>
      <c r="AG291" s="204"/>
      <c r="AH291" s="202"/>
      <c r="AI291" s="204"/>
      <c r="AJ291" s="202"/>
      <c r="AK291" s="204"/>
      <c r="AL291" s="202"/>
      <c r="AM291" s="204"/>
      <c r="AN291" s="202"/>
      <c r="AO291" s="204"/>
      <c r="AP291" s="202"/>
      <c r="AQ291" s="208"/>
      <c r="AR291" s="202"/>
      <c r="AS291" s="203">
        <f t="shared" si="6"/>
        <v>0</v>
      </c>
      <c r="AT291" s="202"/>
      <c r="AU291" s="204"/>
      <c r="AV291" s="202"/>
      <c r="AW291" s="204"/>
      <c r="AX291" s="202"/>
      <c r="AY291" s="204"/>
      <c r="AZ291" s="202"/>
      <c r="BA291" s="204"/>
      <c r="BB291" s="202"/>
      <c r="BC291" s="204"/>
      <c r="BD291" s="202"/>
      <c r="BE291" s="208"/>
      <c r="BF291" s="202"/>
      <c r="BG291" s="203">
        <f t="shared" si="7"/>
        <v>0</v>
      </c>
      <c r="BH291" s="202"/>
      <c r="BI291" s="204"/>
      <c r="BJ291" s="202"/>
      <c r="BK291" s="204"/>
      <c r="BL291" s="202"/>
      <c r="BM291" s="204"/>
      <c r="BN291" s="202"/>
      <c r="BO291" s="203">
        <f t="shared" si="8"/>
        <v>0</v>
      </c>
      <c r="BP291" s="202"/>
      <c r="BQ291" s="138"/>
      <c r="BR291" s="128"/>
      <c r="BS291" s="128"/>
      <c r="BT291" s="128"/>
      <c r="BU291" s="128"/>
      <c r="BV291" s="128"/>
      <c r="BW291" s="139"/>
      <c r="BX291" s="140"/>
      <c r="BY291" s="139"/>
      <c r="BZ291" s="139"/>
      <c r="CA291" s="134"/>
      <c r="CB291" s="134"/>
      <c r="CC291" s="134"/>
      <c r="CD291" s="134"/>
      <c r="CE291" s="134"/>
      <c r="CF291" s="134"/>
      <c r="CG291" s="92"/>
      <c r="CH291" s="92"/>
      <c r="CI291" s="92"/>
      <c r="CJ291" s="92"/>
      <c r="CK291" s="92"/>
    </row>
    <row r="292" spans="1:89" ht="17.25" customHeight="1">
      <c r="A292" s="160"/>
      <c r="B292" s="165"/>
      <c r="C292" s="164"/>
      <c r="D292" s="137">
        <f t="shared" si="3"/>
        <v>0</v>
      </c>
      <c r="E292" s="207"/>
      <c r="F292" s="202"/>
      <c r="G292" s="207"/>
      <c r="H292" s="202"/>
      <c r="I292" s="207"/>
      <c r="J292" s="202"/>
      <c r="K292" s="207"/>
      <c r="L292" s="202"/>
      <c r="M292" s="207"/>
      <c r="N292" s="202"/>
      <c r="O292" s="201"/>
      <c r="P292" s="202"/>
      <c r="Q292" s="203">
        <f t="shared" si="4"/>
        <v>0</v>
      </c>
      <c r="R292" s="202"/>
      <c r="S292" s="207"/>
      <c r="T292" s="202"/>
      <c r="U292" s="207"/>
      <c r="V292" s="202"/>
      <c r="W292" s="207"/>
      <c r="X292" s="202"/>
      <c r="Y292" s="207"/>
      <c r="Z292" s="202"/>
      <c r="AA292" s="207"/>
      <c r="AB292" s="202"/>
      <c r="AC292" s="208"/>
      <c r="AD292" s="202"/>
      <c r="AE292" s="203">
        <f t="shared" si="5"/>
        <v>0</v>
      </c>
      <c r="AF292" s="202"/>
      <c r="AG292" s="204"/>
      <c r="AH292" s="202"/>
      <c r="AI292" s="204"/>
      <c r="AJ292" s="202"/>
      <c r="AK292" s="204"/>
      <c r="AL292" s="202"/>
      <c r="AM292" s="204"/>
      <c r="AN292" s="202"/>
      <c r="AO292" s="204"/>
      <c r="AP292" s="202"/>
      <c r="AQ292" s="208"/>
      <c r="AR292" s="202"/>
      <c r="AS292" s="203">
        <f t="shared" si="6"/>
        <v>0</v>
      </c>
      <c r="AT292" s="202"/>
      <c r="AU292" s="204"/>
      <c r="AV292" s="202"/>
      <c r="AW292" s="204"/>
      <c r="AX292" s="202"/>
      <c r="AY292" s="204"/>
      <c r="AZ292" s="202"/>
      <c r="BA292" s="204"/>
      <c r="BB292" s="202"/>
      <c r="BC292" s="204"/>
      <c r="BD292" s="202"/>
      <c r="BE292" s="208"/>
      <c r="BF292" s="202"/>
      <c r="BG292" s="203">
        <f t="shared" si="7"/>
        <v>0</v>
      </c>
      <c r="BH292" s="202"/>
      <c r="BI292" s="204"/>
      <c r="BJ292" s="202"/>
      <c r="BK292" s="204"/>
      <c r="BL292" s="202"/>
      <c r="BM292" s="204"/>
      <c r="BN292" s="202"/>
      <c r="BO292" s="203">
        <f t="shared" si="8"/>
        <v>0</v>
      </c>
      <c r="BP292" s="202"/>
      <c r="BQ292" s="138"/>
      <c r="BR292" s="128"/>
      <c r="BS292" s="128"/>
      <c r="BT292" s="128"/>
      <c r="BU292" s="128"/>
      <c r="BV292" s="128"/>
      <c r="BW292" s="139"/>
      <c r="BX292" s="140"/>
      <c r="BY292" s="139"/>
      <c r="BZ292" s="139"/>
      <c r="CA292" s="134"/>
      <c r="CB292" s="134"/>
      <c r="CC292" s="134"/>
      <c r="CD292" s="134"/>
      <c r="CE292" s="134"/>
      <c r="CF292" s="134"/>
      <c r="CG292" s="92"/>
      <c r="CH292" s="92"/>
      <c r="CI292" s="92"/>
      <c r="CJ292" s="92"/>
      <c r="CK292" s="92"/>
    </row>
    <row r="293" spans="1:89" ht="17.25" customHeight="1">
      <c r="A293" s="160"/>
      <c r="B293" s="165"/>
      <c r="C293" s="164"/>
      <c r="D293" s="137">
        <f t="shared" si="3"/>
        <v>0</v>
      </c>
      <c r="E293" s="207"/>
      <c r="F293" s="202"/>
      <c r="G293" s="207"/>
      <c r="H293" s="202"/>
      <c r="I293" s="207"/>
      <c r="J293" s="202"/>
      <c r="K293" s="207"/>
      <c r="L293" s="202"/>
      <c r="M293" s="207"/>
      <c r="N293" s="202"/>
      <c r="O293" s="201"/>
      <c r="P293" s="202"/>
      <c r="Q293" s="203">
        <f t="shared" si="4"/>
        <v>0</v>
      </c>
      <c r="R293" s="202"/>
      <c r="S293" s="207"/>
      <c r="T293" s="202"/>
      <c r="U293" s="207"/>
      <c r="V293" s="202"/>
      <c r="W293" s="207"/>
      <c r="X293" s="202"/>
      <c r="Y293" s="207"/>
      <c r="Z293" s="202"/>
      <c r="AA293" s="207"/>
      <c r="AB293" s="202"/>
      <c r="AC293" s="208"/>
      <c r="AD293" s="202"/>
      <c r="AE293" s="203">
        <f t="shared" si="5"/>
        <v>0</v>
      </c>
      <c r="AF293" s="202"/>
      <c r="AG293" s="204"/>
      <c r="AH293" s="202"/>
      <c r="AI293" s="204"/>
      <c r="AJ293" s="202"/>
      <c r="AK293" s="204"/>
      <c r="AL293" s="202"/>
      <c r="AM293" s="204"/>
      <c r="AN293" s="202"/>
      <c r="AO293" s="204"/>
      <c r="AP293" s="202"/>
      <c r="AQ293" s="208"/>
      <c r="AR293" s="202"/>
      <c r="AS293" s="203">
        <f t="shared" si="6"/>
        <v>0</v>
      </c>
      <c r="AT293" s="202"/>
      <c r="AU293" s="204"/>
      <c r="AV293" s="202"/>
      <c r="AW293" s="204"/>
      <c r="AX293" s="202"/>
      <c r="AY293" s="204"/>
      <c r="AZ293" s="202"/>
      <c r="BA293" s="204"/>
      <c r="BB293" s="202"/>
      <c r="BC293" s="204"/>
      <c r="BD293" s="202"/>
      <c r="BE293" s="208"/>
      <c r="BF293" s="202"/>
      <c r="BG293" s="203">
        <f t="shared" si="7"/>
        <v>0</v>
      </c>
      <c r="BH293" s="202"/>
      <c r="BI293" s="204"/>
      <c r="BJ293" s="202"/>
      <c r="BK293" s="204"/>
      <c r="BL293" s="202"/>
      <c r="BM293" s="204"/>
      <c r="BN293" s="202"/>
      <c r="BO293" s="203">
        <f t="shared" si="8"/>
        <v>0</v>
      </c>
      <c r="BP293" s="202"/>
      <c r="BQ293" s="138"/>
      <c r="BR293" s="128"/>
      <c r="BS293" s="128"/>
      <c r="BT293" s="128"/>
      <c r="BU293" s="128"/>
      <c r="BV293" s="128"/>
      <c r="BW293" s="139"/>
      <c r="BX293" s="140"/>
      <c r="BY293" s="139"/>
      <c r="BZ293" s="139"/>
      <c r="CA293" s="134"/>
      <c r="CB293" s="134"/>
      <c r="CC293" s="134"/>
      <c r="CD293" s="134"/>
      <c r="CE293" s="134"/>
      <c r="CF293" s="134"/>
      <c r="CG293" s="92"/>
      <c r="CH293" s="92"/>
      <c r="CI293" s="92"/>
      <c r="CJ293" s="92"/>
      <c r="CK293" s="92"/>
    </row>
    <row r="294" spans="1:89" ht="17.25" customHeight="1">
      <c r="A294" s="160"/>
      <c r="B294" s="165"/>
      <c r="C294" s="164"/>
      <c r="D294" s="137">
        <f t="shared" si="3"/>
        <v>0</v>
      </c>
      <c r="E294" s="207"/>
      <c r="F294" s="202"/>
      <c r="G294" s="207"/>
      <c r="H294" s="202"/>
      <c r="I294" s="207"/>
      <c r="J294" s="202"/>
      <c r="K294" s="207"/>
      <c r="L294" s="202"/>
      <c r="M294" s="207"/>
      <c r="N294" s="202"/>
      <c r="O294" s="201"/>
      <c r="P294" s="202"/>
      <c r="Q294" s="203">
        <f t="shared" si="4"/>
        <v>0</v>
      </c>
      <c r="R294" s="202"/>
      <c r="S294" s="207"/>
      <c r="T294" s="202"/>
      <c r="U294" s="207"/>
      <c r="V294" s="202"/>
      <c r="W294" s="207"/>
      <c r="X294" s="202"/>
      <c r="Y294" s="207"/>
      <c r="Z294" s="202"/>
      <c r="AA294" s="207"/>
      <c r="AB294" s="202"/>
      <c r="AC294" s="208"/>
      <c r="AD294" s="202"/>
      <c r="AE294" s="203">
        <f t="shared" si="5"/>
        <v>0</v>
      </c>
      <c r="AF294" s="202"/>
      <c r="AG294" s="204"/>
      <c r="AH294" s="202"/>
      <c r="AI294" s="204"/>
      <c r="AJ294" s="202"/>
      <c r="AK294" s="204"/>
      <c r="AL294" s="202"/>
      <c r="AM294" s="204"/>
      <c r="AN294" s="202"/>
      <c r="AO294" s="204"/>
      <c r="AP294" s="202"/>
      <c r="AQ294" s="208"/>
      <c r="AR294" s="202"/>
      <c r="AS294" s="203">
        <f t="shared" si="6"/>
        <v>0</v>
      </c>
      <c r="AT294" s="202"/>
      <c r="AU294" s="204"/>
      <c r="AV294" s="202"/>
      <c r="AW294" s="204"/>
      <c r="AX294" s="202"/>
      <c r="AY294" s="204"/>
      <c r="AZ294" s="202"/>
      <c r="BA294" s="204"/>
      <c r="BB294" s="202"/>
      <c r="BC294" s="204"/>
      <c r="BD294" s="202"/>
      <c r="BE294" s="208"/>
      <c r="BF294" s="202"/>
      <c r="BG294" s="203">
        <f t="shared" si="7"/>
        <v>0</v>
      </c>
      <c r="BH294" s="202"/>
      <c r="BI294" s="204"/>
      <c r="BJ294" s="202"/>
      <c r="BK294" s="204"/>
      <c r="BL294" s="202"/>
      <c r="BM294" s="204"/>
      <c r="BN294" s="202"/>
      <c r="BO294" s="203">
        <f t="shared" si="8"/>
        <v>0</v>
      </c>
      <c r="BP294" s="202"/>
      <c r="BQ294" s="138"/>
      <c r="BR294" s="128"/>
      <c r="BS294" s="128"/>
      <c r="BT294" s="128"/>
      <c r="BU294" s="128"/>
      <c r="BV294" s="128"/>
      <c r="BW294" s="139"/>
      <c r="BX294" s="140"/>
      <c r="BY294" s="139"/>
      <c r="BZ294" s="139"/>
      <c r="CA294" s="134"/>
      <c r="CB294" s="134"/>
      <c r="CC294" s="134"/>
      <c r="CD294" s="134"/>
      <c r="CE294" s="134"/>
      <c r="CF294" s="134"/>
      <c r="CG294" s="92"/>
      <c r="CH294" s="92"/>
      <c r="CI294" s="92"/>
      <c r="CJ294" s="92"/>
      <c r="CK294" s="92"/>
    </row>
    <row r="295" spans="1:89" ht="17.25" customHeight="1">
      <c r="A295" s="160"/>
      <c r="B295" s="165"/>
      <c r="C295" s="164"/>
      <c r="D295" s="137">
        <f t="shared" si="3"/>
        <v>0</v>
      </c>
      <c r="E295" s="207"/>
      <c r="F295" s="202"/>
      <c r="G295" s="207"/>
      <c r="H295" s="202"/>
      <c r="I295" s="207"/>
      <c r="J295" s="202"/>
      <c r="K295" s="207"/>
      <c r="L295" s="202"/>
      <c r="M295" s="207"/>
      <c r="N295" s="202"/>
      <c r="O295" s="201"/>
      <c r="P295" s="202"/>
      <c r="Q295" s="203">
        <f t="shared" si="4"/>
        <v>0</v>
      </c>
      <c r="R295" s="202"/>
      <c r="S295" s="207"/>
      <c r="T295" s="202"/>
      <c r="U295" s="207"/>
      <c r="V295" s="202"/>
      <c r="W295" s="207"/>
      <c r="X295" s="202"/>
      <c r="Y295" s="207"/>
      <c r="Z295" s="202"/>
      <c r="AA295" s="207"/>
      <c r="AB295" s="202"/>
      <c r="AC295" s="208"/>
      <c r="AD295" s="202"/>
      <c r="AE295" s="203">
        <f t="shared" si="5"/>
        <v>0</v>
      </c>
      <c r="AF295" s="202"/>
      <c r="AG295" s="204"/>
      <c r="AH295" s="202"/>
      <c r="AI295" s="204"/>
      <c r="AJ295" s="202"/>
      <c r="AK295" s="204"/>
      <c r="AL295" s="202"/>
      <c r="AM295" s="204"/>
      <c r="AN295" s="202"/>
      <c r="AO295" s="204"/>
      <c r="AP295" s="202"/>
      <c r="AQ295" s="208"/>
      <c r="AR295" s="202"/>
      <c r="AS295" s="203">
        <f t="shared" si="6"/>
        <v>0</v>
      </c>
      <c r="AT295" s="202"/>
      <c r="AU295" s="204"/>
      <c r="AV295" s="202"/>
      <c r="AW295" s="204"/>
      <c r="AX295" s="202"/>
      <c r="AY295" s="204"/>
      <c r="AZ295" s="202"/>
      <c r="BA295" s="204"/>
      <c r="BB295" s="202"/>
      <c r="BC295" s="204"/>
      <c r="BD295" s="202"/>
      <c r="BE295" s="208"/>
      <c r="BF295" s="202"/>
      <c r="BG295" s="203">
        <f t="shared" si="7"/>
        <v>0</v>
      </c>
      <c r="BH295" s="202"/>
      <c r="BI295" s="204"/>
      <c r="BJ295" s="202"/>
      <c r="BK295" s="204"/>
      <c r="BL295" s="202"/>
      <c r="BM295" s="204"/>
      <c r="BN295" s="202"/>
      <c r="BO295" s="203">
        <f t="shared" si="8"/>
        <v>0</v>
      </c>
      <c r="BP295" s="202"/>
      <c r="BQ295" s="138"/>
      <c r="BR295" s="128"/>
      <c r="BS295" s="128"/>
      <c r="BT295" s="128"/>
      <c r="BU295" s="128"/>
      <c r="BV295" s="128"/>
      <c r="BW295" s="139"/>
      <c r="BX295" s="140"/>
      <c r="BY295" s="139"/>
      <c r="BZ295" s="139"/>
      <c r="CA295" s="134"/>
      <c r="CB295" s="134"/>
      <c r="CC295" s="134"/>
      <c r="CD295" s="134"/>
      <c r="CE295" s="134"/>
      <c r="CF295" s="134"/>
      <c r="CG295" s="92"/>
      <c r="CH295" s="92"/>
      <c r="CI295" s="92"/>
      <c r="CJ295" s="92"/>
      <c r="CK295" s="92"/>
    </row>
    <row r="296" spans="1:89" ht="17.25" customHeight="1">
      <c r="A296" s="160"/>
      <c r="B296" s="165"/>
      <c r="C296" s="164"/>
      <c r="D296" s="137">
        <f t="shared" si="3"/>
        <v>0</v>
      </c>
      <c r="E296" s="207"/>
      <c r="F296" s="202"/>
      <c r="G296" s="207"/>
      <c r="H296" s="202"/>
      <c r="I296" s="207"/>
      <c r="J296" s="202"/>
      <c r="K296" s="207"/>
      <c r="L296" s="202"/>
      <c r="M296" s="207"/>
      <c r="N296" s="202"/>
      <c r="O296" s="201"/>
      <c r="P296" s="202"/>
      <c r="Q296" s="203">
        <f t="shared" si="4"/>
        <v>0</v>
      </c>
      <c r="R296" s="202"/>
      <c r="S296" s="207"/>
      <c r="T296" s="202"/>
      <c r="U296" s="207"/>
      <c r="V296" s="202"/>
      <c r="W296" s="207"/>
      <c r="X296" s="202"/>
      <c r="Y296" s="207"/>
      <c r="Z296" s="202"/>
      <c r="AA296" s="207"/>
      <c r="AB296" s="202"/>
      <c r="AC296" s="208"/>
      <c r="AD296" s="202"/>
      <c r="AE296" s="203">
        <f t="shared" si="5"/>
        <v>0</v>
      </c>
      <c r="AF296" s="202"/>
      <c r="AG296" s="204"/>
      <c r="AH296" s="202"/>
      <c r="AI296" s="204"/>
      <c r="AJ296" s="202"/>
      <c r="AK296" s="204"/>
      <c r="AL296" s="202"/>
      <c r="AM296" s="204"/>
      <c r="AN296" s="202"/>
      <c r="AO296" s="204"/>
      <c r="AP296" s="202"/>
      <c r="AQ296" s="208"/>
      <c r="AR296" s="202"/>
      <c r="AS296" s="203">
        <f t="shared" si="6"/>
        <v>0</v>
      </c>
      <c r="AT296" s="202"/>
      <c r="AU296" s="204"/>
      <c r="AV296" s="202"/>
      <c r="AW296" s="204"/>
      <c r="AX296" s="202"/>
      <c r="AY296" s="204"/>
      <c r="AZ296" s="202"/>
      <c r="BA296" s="204"/>
      <c r="BB296" s="202"/>
      <c r="BC296" s="204"/>
      <c r="BD296" s="202"/>
      <c r="BE296" s="208"/>
      <c r="BF296" s="202"/>
      <c r="BG296" s="203">
        <f t="shared" si="7"/>
        <v>0</v>
      </c>
      <c r="BH296" s="202"/>
      <c r="BI296" s="204"/>
      <c r="BJ296" s="202"/>
      <c r="BK296" s="204"/>
      <c r="BL296" s="202"/>
      <c r="BM296" s="204"/>
      <c r="BN296" s="202"/>
      <c r="BO296" s="203">
        <f t="shared" si="8"/>
        <v>0</v>
      </c>
      <c r="BP296" s="202"/>
      <c r="BQ296" s="138"/>
      <c r="BR296" s="128"/>
      <c r="BS296" s="128"/>
      <c r="BT296" s="128"/>
      <c r="BU296" s="128"/>
      <c r="BV296" s="128"/>
      <c r="BW296" s="139"/>
      <c r="BX296" s="140"/>
      <c r="BY296" s="139"/>
      <c r="BZ296" s="139"/>
      <c r="CA296" s="134"/>
      <c r="CB296" s="134"/>
      <c r="CC296" s="134"/>
      <c r="CD296" s="134"/>
      <c r="CE296" s="134"/>
      <c r="CF296" s="134"/>
      <c r="CG296" s="92"/>
      <c r="CH296" s="92"/>
      <c r="CI296" s="92"/>
      <c r="CJ296" s="92"/>
      <c r="CK296" s="92"/>
    </row>
    <row r="297" spans="1:89" ht="17.25" customHeight="1">
      <c r="A297" s="160" t="s">
        <v>447</v>
      </c>
      <c r="B297" s="165"/>
      <c r="C297" s="164"/>
      <c r="D297" s="137">
        <f t="shared" si="3"/>
        <v>0</v>
      </c>
      <c r="E297" s="207"/>
      <c r="F297" s="202"/>
      <c r="G297" s="207"/>
      <c r="H297" s="202"/>
      <c r="I297" s="207"/>
      <c r="J297" s="202"/>
      <c r="K297" s="207"/>
      <c r="L297" s="202"/>
      <c r="M297" s="207"/>
      <c r="N297" s="202"/>
      <c r="O297" s="201"/>
      <c r="P297" s="202"/>
      <c r="Q297" s="203">
        <f t="shared" si="4"/>
        <v>0</v>
      </c>
      <c r="R297" s="202"/>
      <c r="S297" s="207"/>
      <c r="T297" s="202"/>
      <c r="U297" s="207"/>
      <c r="V297" s="202"/>
      <c r="W297" s="207"/>
      <c r="X297" s="202"/>
      <c r="Y297" s="207"/>
      <c r="Z297" s="202"/>
      <c r="AA297" s="207"/>
      <c r="AB297" s="202"/>
      <c r="AC297" s="208"/>
      <c r="AD297" s="202"/>
      <c r="AE297" s="203">
        <f t="shared" si="5"/>
        <v>0</v>
      </c>
      <c r="AF297" s="202"/>
      <c r="AG297" s="204"/>
      <c r="AH297" s="202"/>
      <c r="AI297" s="204"/>
      <c r="AJ297" s="202"/>
      <c r="AK297" s="204"/>
      <c r="AL297" s="202"/>
      <c r="AM297" s="204"/>
      <c r="AN297" s="202"/>
      <c r="AO297" s="204"/>
      <c r="AP297" s="202"/>
      <c r="AQ297" s="208"/>
      <c r="AR297" s="202"/>
      <c r="AS297" s="203">
        <f t="shared" si="6"/>
        <v>0</v>
      </c>
      <c r="AT297" s="202"/>
      <c r="AU297" s="204"/>
      <c r="AV297" s="202"/>
      <c r="AW297" s="204"/>
      <c r="AX297" s="202"/>
      <c r="AY297" s="204"/>
      <c r="AZ297" s="202"/>
      <c r="BA297" s="204"/>
      <c r="BB297" s="202"/>
      <c r="BC297" s="204"/>
      <c r="BD297" s="202"/>
      <c r="BE297" s="208"/>
      <c r="BF297" s="202"/>
      <c r="BG297" s="203">
        <f t="shared" si="7"/>
        <v>0</v>
      </c>
      <c r="BH297" s="202"/>
      <c r="BI297" s="204"/>
      <c r="BJ297" s="202"/>
      <c r="BK297" s="204"/>
      <c r="BL297" s="202"/>
      <c r="BM297" s="204"/>
      <c r="BN297" s="202"/>
      <c r="BO297" s="203">
        <f t="shared" si="8"/>
        <v>0</v>
      </c>
      <c r="BP297" s="202"/>
      <c r="BQ297" s="138"/>
      <c r="BR297" s="128"/>
      <c r="BS297" s="128"/>
      <c r="BT297" s="128"/>
      <c r="BU297" s="128"/>
      <c r="BV297" s="128"/>
      <c r="BW297" s="139"/>
      <c r="BX297" s="140"/>
      <c r="BY297" s="139"/>
      <c r="BZ297" s="139"/>
      <c r="CA297" s="134"/>
      <c r="CB297" s="134"/>
      <c r="CC297" s="134"/>
      <c r="CD297" s="134"/>
      <c r="CE297" s="134"/>
      <c r="CF297" s="134"/>
      <c r="CG297" s="92"/>
      <c r="CH297" s="92"/>
      <c r="CI297" s="92"/>
      <c r="CJ297" s="92"/>
      <c r="CK297" s="92"/>
    </row>
    <row r="298" spans="1:89" ht="17.25" customHeight="1">
      <c r="A298" s="160"/>
      <c r="B298" s="165"/>
      <c r="C298" s="164"/>
      <c r="D298" s="137">
        <f t="shared" si="3"/>
        <v>0</v>
      </c>
      <c r="E298" s="207"/>
      <c r="F298" s="202"/>
      <c r="G298" s="207"/>
      <c r="H298" s="202"/>
      <c r="I298" s="207"/>
      <c r="J298" s="202"/>
      <c r="K298" s="207"/>
      <c r="L298" s="202"/>
      <c r="M298" s="207"/>
      <c r="N298" s="202"/>
      <c r="O298" s="201"/>
      <c r="P298" s="202"/>
      <c r="Q298" s="203">
        <f t="shared" si="4"/>
        <v>0</v>
      </c>
      <c r="R298" s="202"/>
      <c r="S298" s="207"/>
      <c r="T298" s="202"/>
      <c r="U298" s="207"/>
      <c r="V298" s="202"/>
      <c r="W298" s="207"/>
      <c r="X298" s="202"/>
      <c r="Y298" s="207"/>
      <c r="Z298" s="202"/>
      <c r="AA298" s="207"/>
      <c r="AB298" s="202"/>
      <c r="AC298" s="208"/>
      <c r="AD298" s="202"/>
      <c r="AE298" s="203">
        <f t="shared" si="5"/>
        <v>0</v>
      </c>
      <c r="AF298" s="202"/>
      <c r="AG298" s="204"/>
      <c r="AH298" s="202"/>
      <c r="AI298" s="204"/>
      <c r="AJ298" s="202"/>
      <c r="AK298" s="204"/>
      <c r="AL298" s="202"/>
      <c r="AM298" s="204"/>
      <c r="AN298" s="202"/>
      <c r="AO298" s="204"/>
      <c r="AP298" s="202"/>
      <c r="AQ298" s="208"/>
      <c r="AR298" s="202"/>
      <c r="AS298" s="203">
        <f t="shared" si="6"/>
        <v>0</v>
      </c>
      <c r="AT298" s="202"/>
      <c r="AU298" s="204"/>
      <c r="AV298" s="202"/>
      <c r="AW298" s="204"/>
      <c r="AX298" s="202"/>
      <c r="AY298" s="204"/>
      <c r="AZ298" s="202"/>
      <c r="BA298" s="204"/>
      <c r="BB298" s="202"/>
      <c r="BC298" s="204"/>
      <c r="BD298" s="202"/>
      <c r="BE298" s="208"/>
      <c r="BF298" s="202"/>
      <c r="BG298" s="203">
        <f t="shared" si="7"/>
        <v>0</v>
      </c>
      <c r="BH298" s="202"/>
      <c r="BI298" s="204"/>
      <c r="BJ298" s="202"/>
      <c r="BK298" s="204"/>
      <c r="BL298" s="202"/>
      <c r="BM298" s="204"/>
      <c r="BN298" s="202"/>
      <c r="BO298" s="203">
        <f t="shared" si="8"/>
        <v>0</v>
      </c>
      <c r="BP298" s="202"/>
      <c r="BQ298" s="138"/>
      <c r="BR298" s="128"/>
      <c r="BS298" s="128"/>
      <c r="BT298" s="128"/>
      <c r="BU298" s="128"/>
      <c r="BV298" s="128"/>
      <c r="BW298" s="139"/>
      <c r="BX298" s="140"/>
      <c r="BY298" s="139"/>
      <c r="BZ298" s="139"/>
      <c r="CA298" s="134"/>
      <c r="CB298" s="134"/>
      <c r="CC298" s="134"/>
      <c r="CD298" s="134"/>
      <c r="CE298" s="134"/>
      <c r="CF298" s="134"/>
      <c r="CG298" s="92"/>
      <c r="CH298" s="92"/>
      <c r="CI298" s="92"/>
      <c r="CJ298" s="92"/>
      <c r="CK298" s="92"/>
    </row>
    <row r="299" spans="1:89" ht="17.25" customHeight="1">
      <c r="A299" s="160"/>
      <c r="B299" s="165"/>
      <c r="C299" s="164"/>
      <c r="D299" s="137">
        <f t="shared" si="3"/>
        <v>0</v>
      </c>
      <c r="E299" s="207"/>
      <c r="F299" s="202"/>
      <c r="G299" s="207"/>
      <c r="H299" s="202"/>
      <c r="I299" s="207"/>
      <c r="J299" s="202"/>
      <c r="K299" s="207"/>
      <c r="L299" s="202"/>
      <c r="M299" s="207"/>
      <c r="N299" s="202"/>
      <c r="O299" s="201"/>
      <c r="P299" s="202"/>
      <c r="Q299" s="203">
        <f t="shared" si="4"/>
        <v>0</v>
      </c>
      <c r="R299" s="202"/>
      <c r="S299" s="207"/>
      <c r="T299" s="202"/>
      <c r="U299" s="207"/>
      <c r="V299" s="202"/>
      <c r="W299" s="207"/>
      <c r="X299" s="202"/>
      <c r="Y299" s="207"/>
      <c r="Z299" s="202"/>
      <c r="AA299" s="207"/>
      <c r="AB299" s="202"/>
      <c r="AC299" s="208"/>
      <c r="AD299" s="202"/>
      <c r="AE299" s="203">
        <f t="shared" si="5"/>
        <v>0</v>
      </c>
      <c r="AF299" s="202"/>
      <c r="AG299" s="204"/>
      <c r="AH299" s="202"/>
      <c r="AI299" s="204"/>
      <c r="AJ299" s="202"/>
      <c r="AK299" s="204"/>
      <c r="AL299" s="202"/>
      <c r="AM299" s="204"/>
      <c r="AN299" s="202"/>
      <c r="AO299" s="204"/>
      <c r="AP299" s="202"/>
      <c r="AQ299" s="208"/>
      <c r="AR299" s="202"/>
      <c r="AS299" s="203">
        <f t="shared" si="6"/>
        <v>0</v>
      </c>
      <c r="AT299" s="202"/>
      <c r="AU299" s="204"/>
      <c r="AV299" s="202"/>
      <c r="AW299" s="204"/>
      <c r="AX299" s="202"/>
      <c r="AY299" s="204"/>
      <c r="AZ299" s="202"/>
      <c r="BA299" s="204"/>
      <c r="BB299" s="202"/>
      <c r="BC299" s="204"/>
      <c r="BD299" s="202"/>
      <c r="BE299" s="208"/>
      <c r="BF299" s="202"/>
      <c r="BG299" s="203">
        <f t="shared" si="7"/>
        <v>0</v>
      </c>
      <c r="BH299" s="202"/>
      <c r="BI299" s="204"/>
      <c r="BJ299" s="202"/>
      <c r="BK299" s="204"/>
      <c r="BL299" s="202"/>
      <c r="BM299" s="204"/>
      <c r="BN299" s="202"/>
      <c r="BO299" s="203">
        <f t="shared" si="8"/>
        <v>0</v>
      </c>
      <c r="BP299" s="202"/>
      <c r="BQ299" s="138"/>
      <c r="BR299" s="128"/>
      <c r="BS299" s="128"/>
      <c r="BT299" s="128"/>
      <c r="BU299" s="128"/>
      <c r="BV299" s="128"/>
      <c r="BW299" s="139"/>
      <c r="BX299" s="140"/>
      <c r="BY299" s="139"/>
      <c r="BZ299" s="139"/>
      <c r="CA299" s="134"/>
      <c r="CB299" s="134"/>
      <c r="CC299" s="134"/>
      <c r="CD299" s="134"/>
      <c r="CE299" s="134"/>
      <c r="CF299" s="134"/>
      <c r="CG299" s="92"/>
      <c r="CH299" s="92"/>
      <c r="CI299" s="92"/>
      <c r="CJ299" s="92"/>
      <c r="CK299" s="92"/>
    </row>
    <row r="300" spans="1:89" ht="17.25" customHeight="1">
      <c r="A300" s="160"/>
      <c r="B300" s="165"/>
      <c r="C300" s="164"/>
      <c r="D300" s="137">
        <f t="shared" si="3"/>
        <v>0</v>
      </c>
      <c r="E300" s="207"/>
      <c r="F300" s="202"/>
      <c r="G300" s="207"/>
      <c r="H300" s="202"/>
      <c r="I300" s="207"/>
      <c r="J300" s="202"/>
      <c r="K300" s="207"/>
      <c r="L300" s="202"/>
      <c r="M300" s="207"/>
      <c r="N300" s="202"/>
      <c r="O300" s="201"/>
      <c r="P300" s="202"/>
      <c r="Q300" s="203">
        <f t="shared" si="4"/>
        <v>0</v>
      </c>
      <c r="R300" s="202"/>
      <c r="S300" s="207"/>
      <c r="T300" s="202"/>
      <c r="U300" s="207"/>
      <c r="V300" s="202"/>
      <c r="W300" s="207"/>
      <c r="X300" s="202"/>
      <c r="Y300" s="207"/>
      <c r="Z300" s="202"/>
      <c r="AA300" s="207"/>
      <c r="AB300" s="202"/>
      <c r="AC300" s="208"/>
      <c r="AD300" s="202"/>
      <c r="AE300" s="203">
        <f t="shared" si="5"/>
        <v>0</v>
      </c>
      <c r="AF300" s="202"/>
      <c r="AG300" s="204"/>
      <c r="AH300" s="202"/>
      <c r="AI300" s="204"/>
      <c r="AJ300" s="202"/>
      <c r="AK300" s="204"/>
      <c r="AL300" s="202"/>
      <c r="AM300" s="204"/>
      <c r="AN300" s="202"/>
      <c r="AO300" s="204"/>
      <c r="AP300" s="202"/>
      <c r="AQ300" s="208"/>
      <c r="AR300" s="202"/>
      <c r="AS300" s="203">
        <f t="shared" si="6"/>
        <v>0</v>
      </c>
      <c r="AT300" s="202"/>
      <c r="AU300" s="204"/>
      <c r="AV300" s="202"/>
      <c r="AW300" s="204"/>
      <c r="AX300" s="202"/>
      <c r="AY300" s="204"/>
      <c r="AZ300" s="202"/>
      <c r="BA300" s="204"/>
      <c r="BB300" s="202"/>
      <c r="BC300" s="204"/>
      <c r="BD300" s="202"/>
      <c r="BE300" s="208"/>
      <c r="BF300" s="202"/>
      <c r="BG300" s="203">
        <f t="shared" si="7"/>
        <v>0</v>
      </c>
      <c r="BH300" s="202"/>
      <c r="BI300" s="204"/>
      <c r="BJ300" s="202"/>
      <c r="BK300" s="204"/>
      <c r="BL300" s="202"/>
      <c r="BM300" s="204"/>
      <c r="BN300" s="202"/>
      <c r="BO300" s="203">
        <f t="shared" si="8"/>
        <v>0</v>
      </c>
      <c r="BP300" s="202"/>
      <c r="BQ300" s="138"/>
      <c r="BR300" s="128"/>
      <c r="BS300" s="128"/>
      <c r="BT300" s="128"/>
      <c r="BU300" s="128"/>
      <c r="BV300" s="128"/>
      <c r="BW300" s="139"/>
      <c r="BX300" s="140"/>
      <c r="BY300" s="139"/>
      <c r="BZ300" s="139"/>
      <c r="CA300" s="134"/>
      <c r="CB300" s="134"/>
      <c r="CC300" s="134"/>
      <c r="CD300" s="134"/>
      <c r="CE300" s="134"/>
      <c r="CF300" s="134"/>
      <c r="CG300" s="92"/>
      <c r="CH300" s="92"/>
      <c r="CI300" s="92"/>
      <c r="CJ300" s="92"/>
      <c r="CK300" s="92"/>
    </row>
    <row r="301" spans="1:89" ht="17.25" customHeight="1">
      <c r="A301" s="160"/>
      <c r="B301" s="165"/>
      <c r="C301" s="164"/>
      <c r="D301" s="137">
        <f t="shared" si="3"/>
        <v>0</v>
      </c>
      <c r="E301" s="207"/>
      <c r="F301" s="202"/>
      <c r="G301" s="207"/>
      <c r="H301" s="202"/>
      <c r="I301" s="207"/>
      <c r="J301" s="202"/>
      <c r="K301" s="207"/>
      <c r="L301" s="202"/>
      <c r="M301" s="207"/>
      <c r="N301" s="202"/>
      <c r="O301" s="201"/>
      <c r="P301" s="202"/>
      <c r="Q301" s="203">
        <f t="shared" si="4"/>
        <v>0</v>
      </c>
      <c r="R301" s="202"/>
      <c r="S301" s="207"/>
      <c r="T301" s="202"/>
      <c r="U301" s="207"/>
      <c r="V301" s="202"/>
      <c r="W301" s="207"/>
      <c r="X301" s="202"/>
      <c r="Y301" s="207"/>
      <c r="Z301" s="202"/>
      <c r="AA301" s="207"/>
      <c r="AB301" s="202"/>
      <c r="AC301" s="208"/>
      <c r="AD301" s="202"/>
      <c r="AE301" s="203">
        <f t="shared" si="5"/>
        <v>0</v>
      </c>
      <c r="AF301" s="202"/>
      <c r="AG301" s="204"/>
      <c r="AH301" s="202"/>
      <c r="AI301" s="204"/>
      <c r="AJ301" s="202"/>
      <c r="AK301" s="204"/>
      <c r="AL301" s="202"/>
      <c r="AM301" s="204"/>
      <c r="AN301" s="202"/>
      <c r="AO301" s="204"/>
      <c r="AP301" s="202"/>
      <c r="AQ301" s="208"/>
      <c r="AR301" s="202"/>
      <c r="AS301" s="203">
        <f t="shared" si="6"/>
        <v>0</v>
      </c>
      <c r="AT301" s="202"/>
      <c r="AU301" s="204"/>
      <c r="AV301" s="202"/>
      <c r="AW301" s="204"/>
      <c r="AX301" s="202"/>
      <c r="AY301" s="204"/>
      <c r="AZ301" s="202"/>
      <c r="BA301" s="204"/>
      <c r="BB301" s="202"/>
      <c r="BC301" s="204"/>
      <c r="BD301" s="202"/>
      <c r="BE301" s="208"/>
      <c r="BF301" s="202"/>
      <c r="BG301" s="203">
        <f t="shared" si="7"/>
        <v>0</v>
      </c>
      <c r="BH301" s="202"/>
      <c r="BI301" s="204"/>
      <c r="BJ301" s="202"/>
      <c r="BK301" s="204"/>
      <c r="BL301" s="202"/>
      <c r="BM301" s="204"/>
      <c r="BN301" s="202"/>
      <c r="BO301" s="203">
        <f t="shared" si="8"/>
        <v>0</v>
      </c>
      <c r="BP301" s="202"/>
      <c r="BQ301" s="138"/>
      <c r="BR301" s="128"/>
      <c r="BS301" s="128"/>
      <c r="BT301" s="128"/>
      <c r="BU301" s="128"/>
      <c r="BV301" s="128"/>
      <c r="BW301" s="139"/>
      <c r="BX301" s="140"/>
      <c r="BY301" s="139"/>
      <c r="BZ301" s="139"/>
      <c r="CA301" s="134"/>
      <c r="CB301" s="134"/>
      <c r="CC301" s="134"/>
      <c r="CD301" s="134"/>
      <c r="CE301" s="134"/>
      <c r="CF301" s="134"/>
      <c r="CG301" s="92"/>
      <c r="CH301" s="92"/>
      <c r="CI301" s="92"/>
      <c r="CJ301" s="92"/>
      <c r="CK301" s="92"/>
    </row>
    <row r="302" spans="1:89" ht="17.25" customHeight="1">
      <c r="A302" s="160"/>
      <c r="B302" s="165"/>
      <c r="C302" s="164"/>
      <c r="D302" s="137">
        <f t="shared" si="3"/>
        <v>0</v>
      </c>
      <c r="E302" s="207"/>
      <c r="F302" s="202"/>
      <c r="G302" s="207"/>
      <c r="H302" s="202"/>
      <c r="I302" s="207"/>
      <c r="J302" s="202"/>
      <c r="K302" s="207"/>
      <c r="L302" s="202"/>
      <c r="M302" s="207"/>
      <c r="N302" s="202"/>
      <c r="O302" s="201"/>
      <c r="P302" s="202"/>
      <c r="Q302" s="203">
        <f t="shared" si="4"/>
        <v>0</v>
      </c>
      <c r="R302" s="202"/>
      <c r="S302" s="207"/>
      <c r="T302" s="202"/>
      <c r="U302" s="207"/>
      <c r="V302" s="202"/>
      <c r="W302" s="207"/>
      <c r="X302" s="202"/>
      <c r="Y302" s="207"/>
      <c r="Z302" s="202"/>
      <c r="AA302" s="207"/>
      <c r="AB302" s="202"/>
      <c r="AC302" s="208"/>
      <c r="AD302" s="202"/>
      <c r="AE302" s="203">
        <f t="shared" si="5"/>
        <v>0</v>
      </c>
      <c r="AF302" s="202"/>
      <c r="AG302" s="204"/>
      <c r="AH302" s="202"/>
      <c r="AI302" s="204"/>
      <c r="AJ302" s="202"/>
      <c r="AK302" s="204"/>
      <c r="AL302" s="202"/>
      <c r="AM302" s="204"/>
      <c r="AN302" s="202"/>
      <c r="AO302" s="204"/>
      <c r="AP302" s="202"/>
      <c r="AQ302" s="208"/>
      <c r="AR302" s="202"/>
      <c r="AS302" s="203">
        <f t="shared" si="6"/>
        <v>0</v>
      </c>
      <c r="AT302" s="202"/>
      <c r="AU302" s="204"/>
      <c r="AV302" s="202"/>
      <c r="AW302" s="204"/>
      <c r="AX302" s="202"/>
      <c r="AY302" s="204"/>
      <c r="AZ302" s="202"/>
      <c r="BA302" s="204"/>
      <c r="BB302" s="202"/>
      <c r="BC302" s="204"/>
      <c r="BD302" s="202"/>
      <c r="BE302" s="208"/>
      <c r="BF302" s="202"/>
      <c r="BG302" s="203">
        <f t="shared" si="7"/>
        <v>0</v>
      </c>
      <c r="BH302" s="202"/>
      <c r="BI302" s="204"/>
      <c r="BJ302" s="202"/>
      <c r="BK302" s="204"/>
      <c r="BL302" s="202"/>
      <c r="BM302" s="204"/>
      <c r="BN302" s="202"/>
      <c r="BO302" s="203">
        <f t="shared" si="8"/>
        <v>0</v>
      </c>
      <c r="BP302" s="202"/>
      <c r="BQ302" s="138"/>
      <c r="BR302" s="128"/>
      <c r="BS302" s="128"/>
      <c r="BT302" s="128"/>
      <c r="BU302" s="128"/>
      <c r="BV302" s="128"/>
      <c r="BW302" s="139"/>
      <c r="BX302" s="140"/>
      <c r="BY302" s="139"/>
      <c r="BZ302" s="139"/>
      <c r="CA302" s="134"/>
      <c r="CB302" s="134"/>
      <c r="CC302" s="134"/>
      <c r="CD302" s="134"/>
      <c r="CE302" s="134"/>
      <c r="CF302" s="134"/>
      <c r="CG302" s="92"/>
      <c r="CH302" s="92"/>
      <c r="CI302" s="92"/>
      <c r="CJ302" s="92"/>
      <c r="CK302" s="92"/>
    </row>
    <row r="303" spans="1:89" ht="17.25" customHeight="1">
      <c r="A303" s="160"/>
      <c r="B303" s="165"/>
      <c r="C303" s="164"/>
      <c r="D303" s="137">
        <f t="shared" si="3"/>
        <v>0</v>
      </c>
      <c r="E303" s="207"/>
      <c r="F303" s="202"/>
      <c r="G303" s="207"/>
      <c r="H303" s="202"/>
      <c r="I303" s="207"/>
      <c r="J303" s="202"/>
      <c r="K303" s="207"/>
      <c r="L303" s="202"/>
      <c r="M303" s="207"/>
      <c r="N303" s="202"/>
      <c r="O303" s="201"/>
      <c r="P303" s="202"/>
      <c r="Q303" s="203">
        <f t="shared" si="4"/>
        <v>0</v>
      </c>
      <c r="R303" s="202"/>
      <c r="S303" s="207"/>
      <c r="T303" s="202"/>
      <c r="U303" s="207"/>
      <c r="V303" s="202"/>
      <c r="W303" s="207"/>
      <c r="X303" s="202"/>
      <c r="Y303" s="207"/>
      <c r="Z303" s="202"/>
      <c r="AA303" s="207"/>
      <c r="AB303" s="202"/>
      <c r="AC303" s="208"/>
      <c r="AD303" s="202"/>
      <c r="AE303" s="203">
        <f t="shared" si="5"/>
        <v>0</v>
      </c>
      <c r="AF303" s="202"/>
      <c r="AG303" s="204"/>
      <c r="AH303" s="202"/>
      <c r="AI303" s="204"/>
      <c r="AJ303" s="202"/>
      <c r="AK303" s="204"/>
      <c r="AL303" s="202"/>
      <c r="AM303" s="204"/>
      <c r="AN303" s="202"/>
      <c r="AO303" s="204"/>
      <c r="AP303" s="202"/>
      <c r="AQ303" s="208"/>
      <c r="AR303" s="202"/>
      <c r="AS303" s="203">
        <f t="shared" si="6"/>
        <v>0</v>
      </c>
      <c r="AT303" s="202"/>
      <c r="AU303" s="204"/>
      <c r="AV303" s="202"/>
      <c r="AW303" s="204"/>
      <c r="AX303" s="202"/>
      <c r="AY303" s="204"/>
      <c r="AZ303" s="202"/>
      <c r="BA303" s="204"/>
      <c r="BB303" s="202"/>
      <c r="BC303" s="204"/>
      <c r="BD303" s="202"/>
      <c r="BE303" s="208"/>
      <c r="BF303" s="202"/>
      <c r="BG303" s="203">
        <f t="shared" si="7"/>
        <v>0</v>
      </c>
      <c r="BH303" s="202"/>
      <c r="BI303" s="204"/>
      <c r="BJ303" s="202"/>
      <c r="BK303" s="204"/>
      <c r="BL303" s="202"/>
      <c r="BM303" s="204"/>
      <c r="BN303" s="202"/>
      <c r="BO303" s="203">
        <f t="shared" si="8"/>
        <v>0</v>
      </c>
      <c r="BP303" s="202"/>
      <c r="BQ303" s="138"/>
      <c r="BR303" s="128"/>
      <c r="BS303" s="128"/>
      <c r="BT303" s="128"/>
      <c r="BU303" s="128"/>
      <c r="BV303" s="128"/>
      <c r="BW303" s="139"/>
      <c r="BX303" s="140"/>
      <c r="BY303" s="139"/>
      <c r="BZ303" s="139"/>
      <c r="CA303" s="134"/>
      <c r="CB303" s="134"/>
      <c r="CC303" s="134"/>
      <c r="CD303" s="134"/>
      <c r="CE303" s="134"/>
      <c r="CF303" s="134"/>
      <c r="CG303" s="92"/>
      <c r="CH303" s="92"/>
      <c r="CI303" s="92"/>
      <c r="CJ303" s="92"/>
      <c r="CK303" s="92"/>
    </row>
    <row r="304" spans="1:89" ht="17.25" customHeight="1">
      <c r="A304" s="160"/>
      <c r="B304" s="165"/>
      <c r="C304" s="164"/>
      <c r="D304" s="137">
        <f t="shared" si="3"/>
        <v>0</v>
      </c>
      <c r="E304" s="207"/>
      <c r="F304" s="202"/>
      <c r="G304" s="207"/>
      <c r="H304" s="202"/>
      <c r="I304" s="207"/>
      <c r="J304" s="202"/>
      <c r="K304" s="207"/>
      <c r="L304" s="202"/>
      <c r="M304" s="207"/>
      <c r="N304" s="202"/>
      <c r="O304" s="201"/>
      <c r="P304" s="202"/>
      <c r="Q304" s="203">
        <f t="shared" si="4"/>
        <v>0</v>
      </c>
      <c r="R304" s="202"/>
      <c r="S304" s="207"/>
      <c r="T304" s="202"/>
      <c r="U304" s="207"/>
      <c r="V304" s="202"/>
      <c r="W304" s="207"/>
      <c r="X304" s="202"/>
      <c r="Y304" s="207"/>
      <c r="Z304" s="202"/>
      <c r="AA304" s="207"/>
      <c r="AB304" s="202"/>
      <c r="AC304" s="208"/>
      <c r="AD304" s="202"/>
      <c r="AE304" s="203">
        <f t="shared" si="5"/>
        <v>0</v>
      </c>
      <c r="AF304" s="202"/>
      <c r="AG304" s="204"/>
      <c r="AH304" s="202"/>
      <c r="AI304" s="204"/>
      <c r="AJ304" s="202"/>
      <c r="AK304" s="204"/>
      <c r="AL304" s="202"/>
      <c r="AM304" s="204"/>
      <c r="AN304" s="202"/>
      <c r="AO304" s="204"/>
      <c r="AP304" s="202"/>
      <c r="AQ304" s="208"/>
      <c r="AR304" s="202"/>
      <c r="AS304" s="203">
        <f t="shared" si="6"/>
        <v>0</v>
      </c>
      <c r="AT304" s="202"/>
      <c r="AU304" s="204"/>
      <c r="AV304" s="202"/>
      <c r="AW304" s="204"/>
      <c r="AX304" s="202"/>
      <c r="AY304" s="204"/>
      <c r="AZ304" s="202"/>
      <c r="BA304" s="204"/>
      <c r="BB304" s="202"/>
      <c r="BC304" s="204"/>
      <c r="BD304" s="202"/>
      <c r="BE304" s="208"/>
      <c r="BF304" s="202"/>
      <c r="BG304" s="203">
        <f t="shared" si="7"/>
        <v>0</v>
      </c>
      <c r="BH304" s="202"/>
      <c r="BI304" s="204"/>
      <c r="BJ304" s="202"/>
      <c r="BK304" s="204"/>
      <c r="BL304" s="202"/>
      <c r="BM304" s="204"/>
      <c r="BN304" s="202"/>
      <c r="BO304" s="203">
        <f t="shared" si="8"/>
        <v>0</v>
      </c>
      <c r="BP304" s="202"/>
      <c r="BQ304" s="138"/>
      <c r="BR304" s="128"/>
      <c r="BS304" s="128"/>
      <c r="BT304" s="128"/>
      <c r="BU304" s="128"/>
      <c r="BV304" s="128"/>
      <c r="BW304" s="139"/>
      <c r="BX304" s="140"/>
      <c r="BY304" s="139"/>
      <c r="BZ304" s="139"/>
      <c r="CA304" s="134"/>
      <c r="CB304" s="134"/>
      <c r="CC304" s="134"/>
      <c r="CD304" s="134"/>
      <c r="CE304" s="134"/>
      <c r="CF304" s="134"/>
      <c r="CG304" s="92"/>
      <c r="CH304" s="92"/>
      <c r="CI304" s="92"/>
      <c r="CJ304" s="92"/>
      <c r="CK304" s="92"/>
    </row>
    <row r="305" spans="1:89" ht="17.25" customHeight="1">
      <c r="A305" s="160"/>
      <c r="B305" s="165"/>
      <c r="C305" s="164"/>
      <c r="D305" s="137">
        <f t="shared" si="3"/>
        <v>0</v>
      </c>
      <c r="E305" s="207"/>
      <c r="F305" s="202"/>
      <c r="G305" s="207"/>
      <c r="H305" s="202"/>
      <c r="I305" s="207"/>
      <c r="J305" s="202"/>
      <c r="K305" s="207"/>
      <c r="L305" s="202"/>
      <c r="M305" s="207"/>
      <c r="N305" s="202"/>
      <c r="O305" s="201"/>
      <c r="P305" s="202"/>
      <c r="Q305" s="203">
        <f t="shared" si="4"/>
        <v>0</v>
      </c>
      <c r="R305" s="202"/>
      <c r="S305" s="207"/>
      <c r="T305" s="202"/>
      <c r="U305" s="207"/>
      <c r="V305" s="202"/>
      <c r="W305" s="207"/>
      <c r="X305" s="202"/>
      <c r="Y305" s="207"/>
      <c r="Z305" s="202"/>
      <c r="AA305" s="207"/>
      <c r="AB305" s="202"/>
      <c r="AC305" s="208"/>
      <c r="AD305" s="202"/>
      <c r="AE305" s="203">
        <f t="shared" si="5"/>
        <v>0</v>
      </c>
      <c r="AF305" s="202"/>
      <c r="AG305" s="204"/>
      <c r="AH305" s="202"/>
      <c r="AI305" s="204"/>
      <c r="AJ305" s="202"/>
      <c r="AK305" s="204"/>
      <c r="AL305" s="202"/>
      <c r="AM305" s="204"/>
      <c r="AN305" s="202"/>
      <c r="AO305" s="204"/>
      <c r="AP305" s="202"/>
      <c r="AQ305" s="208"/>
      <c r="AR305" s="202"/>
      <c r="AS305" s="203">
        <f t="shared" si="6"/>
        <v>0</v>
      </c>
      <c r="AT305" s="202"/>
      <c r="AU305" s="204"/>
      <c r="AV305" s="202"/>
      <c r="AW305" s="204"/>
      <c r="AX305" s="202"/>
      <c r="AY305" s="204"/>
      <c r="AZ305" s="202"/>
      <c r="BA305" s="204"/>
      <c r="BB305" s="202"/>
      <c r="BC305" s="204"/>
      <c r="BD305" s="202"/>
      <c r="BE305" s="208"/>
      <c r="BF305" s="202"/>
      <c r="BG305" s="203">
        <f t="shared" si="7"/>
        <v>0</v>
      </c>
      <c r="BH305" s="202"/>
      <c r="BI305" s="204"/>
      <c r="BJ305" s="202"/>
      <c r="BK305" s="204"/>
      <c r="BL305" s="202"/>
      <c r="BM305" s="204"/>
      <c r="BN305" s="202"/>
      <c r="BO305" s="203">
        <f t="shared" si="8"/>
        <v>0</v>
      </c>
      <c r="BP305" s="202"/>
      <c r="BQ305" s="138"/>
      <c r="BR305" s="128"/>
      <c r="BS305" s="128"/>
      <c r="BT305" s="128"/>
      <c r="BU305" s="128"/>
      <c r="BV305" s="128"/>
      <c r="BW305" s="139"/>
      <c r="BX305" s="140"/>
      <c r="BY305" s="139"/>
      <c r="BZ305" s="139"/>
      <c r="CA305" s="134"/>
      <c r="CB305" s="134"/>
      <c r="CC305" s="134"/>
      <c r="CD305" s="134"/>
      <c r="CE305" s="134"/>
      <c r="CF305" s="134"/>
      <c r="CG305" s="92"/>
      <c r="CH305" s="92"/>
      <c r="CI305" s="92"/>
      <c r="CJ305" s="92"/>
      <c r="CK305" s="92"/>
    </row>
    <row r="306" spans="1:89" ht="17.25" customHeight="1">
      <c r="A306" s="160"/>
      <c r="B306" s="165"/>
      <c r="C306" s="164"/>
      <c r="D306" s="137">
        <f t="shared" si="3"/>
        <v>0</v>
      </c>
      <c r="E306" s="207"/>
      <c r="F306" s="202"/>
      <c r="G306" s="207"/>
      <c r="H306" s="202"/>
      <c r="I306" s="207"/>
      <c r="J306" s="202"/>
      <c r="K306" s="207"/>
      <c r="L306" s="202"/>
      <c r="M306" s="207"/>
      <c r="N306" s="202"/>
      <c r="O306" s="201"/>
      <c r="P306" s="202"/>
      <c r="Q306" s="203">
        <f t="shared" si="4"/>
        <v>0</v>
      </c>
      <c r="R306" s="202"/>
      <c r="S306" s="207"/>
      <c r="T306" s="202"/>
      <c r="U306" s="207"/>
      <c r="V306" s="202"/>
      <c r="W306" s="207"/>
      <c r="X306" s="202"/>
      <c r="Y306" s="207"/>
      <c r="Z306" s="202"/>
      <c r="AA306" s="207"/>
      <c r="AB306" s="202"/>
      <c r="AC306" s="208"/>
      <c r="AD306" s="202"/>
      <c r="AE306" s="203">
        <f t="shared" si="5"/>
        <v>0</v>
      </c>
      <c r="AF306" s="202"/>
      <c r="AG306" s="204"/>
      <c r="AH306" s="202"/>
      <c r="AI306" s="204"/>
      <c r="AJ306" s="202"/>
      <c r="AK306" s="204"/>
      <c r="AL306" s="202"/>
      <c r="AM306" s="204"/>
      <c r="AN306" s="202"/>
      <c r="AO306" s="204"/>
      <c r="AP306" s="202"/>
      <c r="AQ306" s="208"/>
      <c r="AR306" s="202"/>
      <c r="AS306" s="203">
        <f t="shared" si="6"/>
        <v>0</v>
      </c>
      <c r="AT306" s="202"/>
      <c r="AU306" s="204"/>
      <c r="AV306" s="202"/>
      <c r="AW306" s="204"/>
      <c r="AX306" s="202"/>
      <c r="AY306" s="204"/>
      <c r="AZ306" s="202"/>
      <c r="BA306" s="204"/>
      <c r="BB306" s="202"/>
      <c r="BC306" s="204"/>
      <c r="BD306" s="202"/>
      <c r="BE306" s="208"/>
      <c r="BF306" s="202"/>
      <c r="BG306" s="203">
        <f t="shared" si="7"/>
        <v>0</v>
      </c>
      <c r="BH306" s="202"/>
      <c r="BI306" s="204"/>
      <c r="BJ306" s="202"/>
      <c r="BK306" s="204"/>
      <c r="BL306" s="202"/>
      <c r="BM306" s="204"/>
      <c r="BN306" s="202"/>
      <c r="BO306" s="203">
        <f t="shared" si="8"/>
        <v>0</v>
      </c>
      <c r="BP306" s="202"/>
      <c r="BQ306" s="138"/>
      <c r="BR306" s="128"/>
      <c r="BS306" s="128"/>
      <c r="BT306" s="128"/>
      <c r="BU306" s="128"/>
      <c r="BV306" s="128"/>
      <c r="BW306" s="139"/>
      <c r="BX306" s="140"/>
      <c r="BY306" s="139"/>
      <c r="BZ306" s="139"/>
      <c r="CA306" s="134"/>
      <c r="CB306" s="134"/>
      <c r="CC306" s="134"/>
      <c r="CD306" s="134"/>
      <c r="CE306" s="134"/>
      <c r="CF306" s="134"/>
      <c r="CG306" s="92"/>
      <c r="CH306" s="92"/>
      <c r="CI306" s="92"/>
      <c r="CJ306" s="92"/>
      <c r="CK306" s="92"/>
    </row>
    <row r="307" spans="1:89" ht="17.25" customHeight="1">
      <c r="A307" s="160"/>
      <c r="B307" s="165"/>
      <c r="C307" s="164"/>
      <c r="D307" s="137">
        <f t="shared" si="3"/>
        <v>0</v>
      </c>
      <c r="E307" s="207"/>
      <c r="F307" s="202"/>
      <c r="G307" s="207"/>
      <c r="H307" s="202"/>
      <c r="I307" s="207"/>
      <c r="J307" s="202"/>
      <c r="K307" s="207"/>
      <c r="L307" s="202"/>
      <c r="M307" s="207"/>
      <c r="N307" s="202"/>
      <c r="O307" s="201"/>
      <c r="P307" s="202"/>
      <c r="Q307" s="203">
        <f t="shared" si="4"/>
        <v>0</v>
      </c>
      <c r="R307" s="202"/>
      <c r="S307" s="207"/>
      <c r="T307" s="202"/>
      <c r="U307" s="207"/>
      <c r="V307" s="202"/>
      <c r="W307" s="207"/>
      <c r="X307" s="202"/>
      <c r="Y307" s="207"/>
      <c r="Z307" s="202"/>
      <c r="AA307" s="207"/>
      <c r="AB307" s="202"/>
      <c r="AC307" s="208"/>
      <c r="AD307" s="202"/>
      <c r="AE307" s="203">
        <f t="shared" si="5"/>
        <v>0</v>
      </c>
      <c r="AF307" s="202"/>
      <c r="AG307" s="204"/>
      <c r="AH307" s="202"/>
      <c r="AI307" s="204"/>
      <c r="AJ307" s="202"/>
      <c r="AK307" s="204"/>
      <c r="AL307" s="202"/>
      <c r="AM307" s="204"/>
      <c r="AN307" s="202"/>
      <c r="AO307" s="204"/>
      <c r="AP307" s="202"/>
      <c r="AQ307" s="208"/>
      <c r="AR307" s="202"/>
      <c r="AS307" s="203">
        <f t="shared" si="6"/>
        <v>0</v>
      </c>
      <c r="AT307" s="202"/>
      <c r="AU307" s="204"/>
      <c r="AV307" s="202"/>
      <c r="AW307" s="204"/>
      <c r="AX307" s="202"/>
      <c r="AY307" s="204"/>
      <c r="AZ307" s="202"/>
      <c r="BA307" s="204"/>
      <c r="BB307" s="202"/>
      <c r="BC307" s="204"/>
      <c r="BD307" s="202"/>
      <c r="BE307" s="208"/>
      <c r="BF307" s="202"/>
      <c r="BG307" s="203">
        <f t="shared" si="7"/>
        <v>0</v>
      </c>
      <c r="BH307" s="202"/>
      <c r="BI307" s="204"/>
      <c r="BJ307" s="202"/>
      <c r="BK307" s="204"/>
      <c r="BL307" s="202"/>
      <c r="BM307" s="204"/>
      <c r="BN307" s="202"/>
      <c r="BO307" s="203">
        <f t="shared" si="8"/>
        <v>0</v>
      </c>
      <c r="BP307" s="202"/>
      <c r="BQ307" s="138"/>
      <c r="BR307" s="128"/>
      <c r="BS307" s="128"/>
      <c r="BT307" s="128"/>
      <c r="BU307" s="128"/>
      <c r="BV307" s="128"/>
      <c r="BW307" s="139"/>
      <c r="BX307" s="140"/>
      <c r="BY307" s="139"/>
      <c r="BZ307" s="139"/>
      <c r="CA307" s="134"/>
      <c r="CB307" s="134"/>
      <c r="CC307" s="134"/>
      <c r="CD307" s="134"/>
      <c r="CE307" s="134"/>
      <c r="CF307" s="134"/>
      <c r="CG307" s="92"/>
      <c r="CH307" s="92"/>
      <c r="CI307" s="92"/>
      <c r="CJ307" s="92"/>
      <c r="CK307" s="92"/>
    </row>
    <row r="308" spans="1:89" ht="17.25" customHeight="1">
      <c r="A308" s="160"/>
      <c r="B308" s="165"/>
      <c r="C308" s="164"/>
      <c r="D308" s="137">
        <f t="shared" si="3"/>
        <v>0</v>
      </c>
      <c r="E308" s="207"/>
      <c r="F308" s="202"/>
      <c r="G308" s="207"/>
      <c r="H308" s="202"/>
      <c r="I308" s="207"/>
      <c r="J308" s="202"/>
      <c r="K308" s="207"/>
      <c r="L308" s="202"/>
      <c r="M308" s="207"/>
      <c r="N308" s="202"/>
      <c r="O308" s="201"/>
      <c r="P308" s="202"/>
      <c r="Q308" s="203">
        <f t="shared" si="4"/>
        <v>0</v>
      </c>
      <c r="R308" s="202"/>
      <c r="S308" s="207"/>
      <c r="T308" s="202"/>
      <c r="U308" s="207"/>
      <c r="V308" s="202"/>
      <c r="W308" s="207"/>
      <c r="X308" s="202"/>
      <c r="Y308" s="207"/>
      <c r="Z308" s="202"/>
      <c r="AA308" s="207"/>
      <c r="AB308" s="202"/>
      <c r="AC308" s="208"/>
      <c r="AD308" s="202"/>
      <c r="AE308" s="203">
        <f t="shared" si="5"/>
        <v>0</v>
      </c>
      <c r="AF308" s="202"/>
      <c r="AG308" s="204"/>
      <c r="AH308" s="202"/>
      <c r="AI308" s="204"/>
      <c r="AJ308" s="202"/>
      <c r="AK308" s="204"/>
      <c r="AL308" s="202"/>
      <c r="AM308" s="204"/>
      <c r="AN308" s="202"/>
      <c r="AO308" s="204"/>
      <c r="AP308" s="202"/>
      <c r="AQ308" s="208"/>
      <c r="AR308" s="202"/>
      <c r="AS308" s="203">
        <f t="shared" si="6"/>
        <v>0</v>
      </c>
      <c r="AT308" s="202"/>
      <c r="AU308" s="204"/>
      <c r="AV308" s="202"/>
      <c r="AW308" s="204"/>
      <c r="AX308" s="202"/>
      <c r="AY308" s="204"/>
      <c r="AZ308" s="202"/>
      <c r="BA308" s="204"/>
      <c r="BB308" s="202"/>
      <c r="BC308" s="204"/>
      <c r="BD308" s="202"/>
      <c r="BE308" s="208"/>
      <c r="BF308" s="202"/>
      <c r="BG308" s="203">
        <f t="shared" si="7"/>
        <v>0</v>
      </c>
      <c r="BH308" s="202"/>
      <c r="BI308" s="204"/>
      <c r="BJ308" s="202"/>
      <c r="BK308" s="204"/>
      <c r="BL308" s="202"/>
      <c r="BM308" s="204"/>
      <c r="BN308" s="202"/>
      <c r="BO308" s="203">
        <f t="shared" si="8"/>
        <v>0</v>
      </c>
      <c r="BP308" s="202"/>
      <c r="BQ308" s="138"/>
      <c r="BR308" s="128"/>
      <c r="BS308" s="128"/>
      <c r="BT308" s="128"/>
      <c r="BU308" s="128"/>
      <c r="BV308" s="128"/>
      <c r="BW308" s="139"/>
      <c r="BX308" s="140"/>
      <c r="BY308" s="139"/>
      <c r="BZ308" s="139"/>
      <c r="CA308" s="134"/>
      <c r="CB308" s="134"/>
      <c r="CC308" s="134"/>
      <c r="CD308" s="134"/>
      <c r="CE308" s="134"/>
      <c r="CF308" s="134"/>
      <c r="CG308" s="92"/>
      <c r="CH308" s="92"/>
      <c r="CI308" s="92"/>
      <c r="CJ308" s="92"/>
      <c r="CK308" s="92"/>
    </row>
    <row r="309" spans="1:89" ht="17.25" customHeight="1">
      <c r="A309" s="160"/>
      <c r="B309" s="165"/>
      <c r="C309" s="164"/>
      <c r="D309" s="137">
        <f t="shared" si="3"/>
        <v>0</v>
      </c>
      <c r="E309" s="207"/>
      <c r="F309" s="202"/>
      <c r="G309" s="207"/>
      <c r="H309" s="202"/>
      <c r="I309" s="207"/>
      <c r="J309" s="202"/>
      <c r="K309" s="207"/>
      <c r="L309" s="202"/>
      <c r="M309" s="207"/>
      <c r="N309" s="202"/>
      <c r="O309" s="201"/>
      <c r="P309" s="202"/>
      <c r="Q309" s="203">
        <f t="shared" si="4"/>
        <v>0</v>
      </c>
      <c r="R309" s="202"/>
      <c r="S309" s="207"/>
      <c r="T309" s="202"/>
      <c r="U309" s="207"/>
      <c r="V309" s="202"/>
      <c r="W309" s="207"/>
      <c r="X309" s="202"/>
      <c r="Y309" s="207"/>
      <c r="Z309" s="202"/>
      <c r="AA309" s="207"/>
      <c r="AB309" s="202"/>
      <c r="AC309" s="208"/>
      <c r="AD309" s="202"/>
      <c r="AE309" s="203">
        <f t="shared" si="5"/>
        <v>0</v>
      </c>
      <c r="AF309" s="202"/>
      <c r="AG309" s="204"/>
      <c r="AH309" s="202"/>
      <c r="AI309" s="204"/>
      <c r="AJ309" s="202"/>
      <c r="AK309" s="204"/>
      <c r="AL309" s="202"/>
      <c r="AM309" s="204"/>
      <c r="AN309" s="202"/>
      <c r="AO309" s="204"/>
      <c r="AP309" s="202"/>
      <c r="AQ309" s="208"/>
      <c r="AR309" s="202"/>
      <c r="AS309" s="203">
        <f t="shared" si="6"/>
        <v>0</v>
      </c>
      <c r="AT309" s="202"/>
      <c r="AU309" s="204"/>
      <c r="AV309" s="202"/>
      <c r="AW309" s="204"/>
      <c r="AX309" s="202"/>
      <c r="AY309" s="204"/>
      <c r="AZ309" s="202"/>
      <c r="BA309" s="204"/>
      <c r="BB309" s="202"/>
      <c r="BC309" s="204"/>
      <c r="BD309" s="202"/>
      <c r="BE309" s="208"/>
      <c r="BF309" s="202"/>
      <c r="BG309" s="203">
        <f t="shared" si="7"/>
        <v>0</v>
      </c>
      <c r="BH309" s="202"/>
      <c r="BI309" s="204"/>
      <c r="BJ309" s="202"/>
      <c r="BK309" s="204"/>
      <c r="BL309" s="202"/>
      <c r="BM309" s="204"/>
      <c r="BN309" s="202"/>
      <c r="BO309" s="203">
        <f t="shared" si="8"/>
        <v>0</v>
      </c>
      <c r="BP309" s="202"/>
      <c r="BQ309" s="138"/>
      <c r="BR309" s="128"/>
      <c r="BS309" s="128"/>
      <c r="BT309" s="128"/>
      <c r="BU309" s="128"/>
      <c r="BV309" s="128"/>
      <c r="BW309" s="139"/>
      <c r="BX309" s="140"/>
      <c r="BY309" s="139"/>
      <c r="BZ309" s="139"/>
      <c r="CA309" s="134"/>
      <c r="CB309" s="134"/>
      <c r="CC309" s="134"/>
      <c r="CD309" s="134"/>
      <c r="CE309" s="134"/>
      <c r="CF309" s="134"/>
      <c r="CG309" s="92"/>
      <c r="CH309" s="92"/>
      <c r="CI309" s="92"/>
      <c r="CJ309" s="92"/>
      <c r="CK309" s="92"/>
    </row>
    <row r="310" spans="1:89" ht="17.25" customHeight="1">
      <c r="A310" s="160"/>
      <c r="B310" s="165"/>
      <c r="C310" s="164"/>
      <c r="D310" s="137">
        <f t="shared" si="3"/>
        <v>0</v>
      </c>
      <c r="E310" s="207"/>
      <c r="F310" s="202"/>
      <c r="G310" s="207"/>
      <c r="H310" s="202"/>
      <c r="I310" s="207"/>
      <c r="J310" s="202"/>
      <c r="K310" s="207"/>
      <c r="L310" s="202"/>
      <c r="M310" s="207"/>
      <c r="N310" s="202"/>
      <c r="O310" s="201"/>
      <c r="P310" s="202"/>
      <c r="Q310" s="203">
        <f t="shared" si="4"/>
        <v>0</v>
      </c>
      <c r="R310" s="202"/>
      <c r="S310" s="207"/>
      <c r="T310" s="202"/>
      <c r="U310" s="207"/>
      <c r="V310" s="202"/>
      <c r="W310" s="207"/>
      <c r="X310" s="202"/>
      <c r="Y310" s="207"/>
      <c r="Z310" s="202"/>
      <c r="AA310" s="207"/>
      <c r="AB310" s="202"/>
      <c r="AC310" s="208"/>
      <c r="AD310" s="202"/>
      <c r="AE310" s="203">
        <f t="shared" si="5"/>
        <v>0</v>
      </c>
      <c r="AF310" s="202"/>
      <c r="AG310" s="204"/>
      <c r="AH310" s="202"/>
      <c r="AI310" s="204"/>
      <c r="AJ310" s="202"/>
      <c r="AK310" s="204"/>
      <c r="AL310" s="202"/>
      <c r="AM310" s="204"/>
      <c r="AN310" s="202"/>
      <c r="AO310" s="204"/>
      <c r="AP310" s="202"/>
      <c r="AQ310" s="208"/>
      <c r="AR310" s="202"/>
      <c r="AS310" s="203">
        <f t="shared" si="6"/>
        <v>0</v>
      </c>
      <c r="AT310" s="202"/>
      <c r="AU310" s="204"/>
      <c r="AV310" s="202"/>
      <c r="AW310" s="204"/>
      <c r="AX310" s="202"/>
      <c r="AY310" s="204"/>
      <c r="AZ310" s="202"/>
      <c r="BA310" s="204"/>
      <c r="BB310" s="202"/>
      <c r="BC310" s="204"/>
      <c r="BD310" s="202"/>
      <c r="BE310" s="208"/>
      <c r="BF310" s="202"/>
      <c r="BG310" s="203">
        <f t="shared" si="7"/>
        <v>0</v>
      </c>
      <c r="BH310" s="202"/>
      <c r="BI310" s="204"/>
      <c r="BJ310" s="202"/>
      <c r="BK310" s="204"/>
      <c r="BL310" s="202"/>
      <c r="BM310" s="204"/>
      <c r="BN310" s="202"/>
      <c r="BO310" s="203">
        <f t="shared" si="8"/>
        <v>0</v>
      </c>
      <c r="BP310" s="202"/>
      <c r="BQ310" s="138"/>
      <c r="BR310" s="128"/>
      <c r="BS310" s="128"/>
      <c r="BT310" s="128"/>
      <c r="BU310" s="128"/>
      <c r="BV310" s="128"/>
      <c r="BW310" s="139"/>
      <c r="BX310" s="140"/>
      <c r="BY310" s="139"/>
      <c r="BZ310" s="139"/>
      <c r="CA310" s="134"/>
      <c r="CB310" s="134"/>
      <c r="CC310" s="134"/>
      <c r="CD310" s="134"/>
      <c r="CE310" s="134"/>
      <c r="CF310" s="134"/>
      <c r="CG310" s="92"/>
      <c r="CH310" s="92"/>
      <c r="CI310" s="92"/>
      <c r="CJ310" s="92"/>
      <c r="CK310" s="92"/>
    </row>
    <row r="311" spans="1:89" ht="17.25" customHeight="1">
      <c r="A311" s="160"/>
      <c r="B311" s="165"/>
      <c r="C311" s="164"/>
      <c r="D311" s="137">
        <f t="shared" si="3"/>
        <v>0</v>
      </c>
      <c r="E311" s="207"/>
      <c r="F311" s="202"/>
      <c r="G311" s="207"/>
      <c r="H311" s="202"/>
      <c r="I311" s="207"/>
      <c r="J311" s="202"/>
      <c r="K311" s="207"/>
      <c r="L311" s="202"/>
      <c r="M311" s="207"/>
      <c r="N311" s="202"/>
      <c r="O311" s="201"/>
      <c r="P311" s="202"/>
      <c r="Q311" s="203">
        <f t="shared" si="4"/>
        <v>0</v>
      </c>
      <c r="R311" s="202"/>
      <c r="S311" s="207"/>
      <c r="T311" s="202"/>
      <c r="U311" s="207"/>
      <c r="V311" s="202"/>
      <c r="W311" s="207"/>
      <c r="X311" s="202"/>
      <c r="Y311" s="207"/>
      <c r="Z311" s="202"/>
      <c r="AA311" s="207"/>
      <c r="AB311" s="202"/>
      <c r="AC311" s="208"/>
      <c r="AD311" s="202"/>
      <c r="AE311" s="203">
        <f t="shared" si="5"/>
        <v>0</v>
      </c>
      <c r="AF311" s="202"/>
      <c r="AG311" s="204"/>
      <c r="AH311" s="202"/>
      <c r="AI311" s="204"/>
      <c r="AJ311" s="202"/>
      <c r="AK311" s="204"/>
      <c r="AL311" s="202"/>
      <c r="AM311" s="204"/>
      <c r="AN311" s="202"/>
      <c r="AO311" s="204"/>
      <c r="AP311" s="202"/>
      <c r="AQ311" s="208"/>
      <c r="AR311" s="202"/>
      <c r="AS311" s="203">
        <f t="shared" si="6"/>
        <v>0</v>
      </c>
      <c r="AT311" s="202"/>
      <c r="AU311" s="204"/>
      <c r="AV311" s="202"/>
      <c r="AW311" s="204"/>
      <c r="AX311" s="202"/>
      <c r="AY311" s="204"/>
      <c r="AZ311" s="202"/>
      <c r="BA311" s="204"/>
      <c r="BB311" s="202"/>
      <c r="BC311" s="204"/>
      <c r="BD311" s="202"/>
      <c r="BE311" s="208"/>
      <c r="BF311" s="202"/>
      <c r="BG311" s="203">
        <f t="shared" si="7"/>
        <v>0</v>
      </c>
      <c r="BH311" s="202"/>
      <c r="BI311" s="204"/>
      <c r="BJ311" s="202"/>
      <c r="BK311" s="204"/>
      <c r="BL311" s="202"/>
      <c r="BM311" s="204"/>
      <c r="BN311" s="202"/>
      <c r="BO311" s="203">
        <f t="shared" si="8"/>
        <v>0</v>
      </c>
      <c r="BP311" s="202"/>
      <c r="BQ311" s="138"/>
      <c r="BR311" s="128"/>
      <c r="BS311" s="128"/>
      <c r="BT311" s="128"/>
      <c r="BU311" s="128"/>
      <c r="BV311" s="128"/>
      <c r="BW311" s="139"/>
      <c r="BX311" s="140"/>
      <c r="BY311" s="139"/>
      <c r="BZ311" s="139"/>
      <c r="CA311" s="134"/>
      <c r="CB311" s="134"/>
      <c r="CC311" s="134"/>
      <c r="CD311" s="134"/>
      <c r="CE311" s="134"/>
      <c r="CF311" s="134"/>
      <c r="CG311" s="92"/>
      <c r="CH311" s="92"/>
      <c r="CI311" s="92"/>
      <c r="CJ311" s="92"/>
      <c r="CK311" s="92"/>
    </row>
    <row r="312" spans="1:89" ht="17.25" customHeight="1">
      <c r="A312" s="160"/>
      <c r="B312" s="165"/>
      <c r="C312" s="164"/>
      <c r="D312" s="137">
        <f t="shared" si="3"/>
        <v>0</v>
      </c>
      <c r="E312" s="207"/>
      <c r="F312" s="202"/>
      <c r="G312" s="207"/>
      <c r="H312" s="202"/>
      <c r="I312" s="207"/>
      <c r="J312" s="202"/>
      <c r="K312" s="207"/>
      <c r="L312" s="202"/>
      <c r="M312" s="207"/>
      <c r="N312" s="202"/>
      <c r="O312" s="201"/>
      <c r="P312" s="202"/>
      <c r="Q312" s="203">
        <f t="shared" si="4"/>
        <v>0</v>
      </c>
      <c r="R312" s="202"/>
      <c r="S312" s="207"/>
      <c r="T312" s="202"/>
      <c r="U312" s="207"/>
      <c r="V312" s="202"/>
      <c r="W312" s="207"/>
      <c r="X312" s="202"/>
      <c r="Y312" s="207"/>
      <c r="Z312" s="202"/>
      <c r="AA312" s="207"/>
      <c r="AB312" s="202"/>
      <c r="AC312" s="208"/>
      <c r="AD312" s="202"/>
      <c r="AE312" s="203">
        <f t="shared" si="5"/>
        <v>0</v>
      </c>
      <c r="AF312" s="202"/>
      <c r="AG312" s="204"/>
      <c r="AH312" s="202"/>
      <c r="AI312" s="204"/>
      <c r="AJ312" s="202"/>
      <c r="AK312" s="204"/>
      <c r="AL312" s="202"/>
      <c r="AM312" s="204"/>
      <c r="AN312" s="202"/>
      <c r="AO312" s="204"/>
      <c r="AP312" s="202"/>
      <c r="AQ312" s="208"/>
      <c r="AR312" s="202"/>
      <c r="AS312" s="203">
        <f t="shared" si="6"/>
        <v>0</v>
      </c>
      <c r="AT312" s="202"/>
      <c r="AU312" s="204"/>
      <c r="AV312" s="202"/>
      <c r="AW312" s="204"/>
      <c r="AX312" s="202"/>
      <c r="AY312" s="204"/>
      <c r="AZ312" s="202"/>
      <c r="BA312" s="204"/>
      <c r="BB312" s="202"/>
      <c r="BC312" s="204"/>
      <c r="BD312" s="202"/>
      <c r="BE312" s="208"/>
      <c r="BF312" s="202"/>
      <c r="BG312" s="203">
        <f t="shared" si="7"/>
        <v>0</v>
      </c>
      <c r="BH312" s="202"/>
      <c r="BI312" s="204"/>
      <c r="BJ312" s="202"/>
      <c r="BK312" s="204"/>
      <c r="BL312" s="202"/>
      <c r="BM312" s="204"/>
      <c r="BN312" s="202"/>
      <c r="BO312" s="203">
        <f t="shared" si="8"/>
        <v>0</v>
      </c>
      <c r="BP312" s="202"/>
      <c r="BQ312" s="138"/>
      <c r="BR312" s="128"/>
      <c r="BS312" s="128"/>
      <c r="BT312" s="128"/>
      <c r="BU312" s="128"/>
      <c r="BV312" s="128"/>
      <c r="BW312" s="139"/>
      <c r="BX312" s="140"/>
      <c r="BY312" s="139"/>
      <c r="BZ312" s="139"/>
      <c r="CA312" s="134"/>
      <c r="CB312" s="134"/>
      <c r="CC312" s="134"/>
      <c r="CD312" s="134"/>
      <c r="CE312" s="134"/>
      <c r="CF312" s="134"/>
      <c r="CG312" s="92"/>
      <c r="CH312" s="92"/>
      <c r="CI312" s="92"/>
      <c r="CJ312" s="92"/>
      <c r="CK312" s="92"/>
    </row>
    <row r="313" spans="1:89" ht="17.25" customHeight="1">
      <c r="A313" s="160"/>
      <c r="B313" s="165"/>
      <c r="C313" s="164"/>
      <c r="D313" s="137">
        <f t="shared" si="3"/>
        <v>0</v>
      </c>
      <c r="E313" s="207"/>
      <c r="F313" s="202"/>
      <c r="G313" s="207"/>
      <c r="H313" s="202"/>
      <c r="I313" s="207"/>
      <c r="J313" s="202"/>
      <c r="K313" s="207"/>
      <c r="L313" s="202"/>
      <c r="M313" s="207"/>
      <c r="N313" s="202"/>
      <c r="O313" s="201"/>
      <c r="P313" s="202"/>
      <c r="Q313" s="203">
        <f t="shared" si="4"/>
        <v>0</v>
      </c>
      <c r="R313" s="202"/>
      <c r="S313" s="207"/>
      <c r="T313" s="202"/>
      <c r="U313" s="207"/>
      <c r="V313" s="202"/>
      <c r="W313" s="207"/>
      <c r="X313" s="202"/>
      <c r="Y313" s="207"/>
      <c r="Z313" s="202"/>
      <c r="AA313" s="207"/>
      <c r="AB313" s="202"/>
      <c r="AC313" s="208"/>
      <c r="AD313" s="202"/>
      <c r="AE313" s="203">
        <f t="shared" si="5"/>
        <v>0</v>
      </c>
      <c r="AF313" s="202"/>
      <c r="AG313" s="204"/>
      <c r="AH313" s="202"/>
      <c r="AI313" s="204"/>
      <c r="AJ313" s="202"/>
      <c r="AK313" s="204"/>
      <c r="AL313" s="202"/>
      <c r="AM313" s="204"/>
      <c r="AN313" s="202"/>
      <c r="AO313" s="204"/>
      <c r="AP313" s="202"/>
      <c r="AQ313" s="208"/>
      <c r="AR313" s="202"/>
      <c r="AS313" s="203">
        <f t="shared" si="6"/>
        <v>0</v>
      </c>
      <c r="AT313" s="202"/>
      <c r="AU313" s="204"/>
      <c r="AV313" s="202"/>
      <c r="AW313" s="204"/>
      <c r="AX313" s="202"/>
      <c r="AY313" s="204"/>
      <c r="AZ313" s="202"/>
      <c r="BA313" s="204"/>
      <c r="BB313" s="202"/>
      <c r="BC313" s="204"/>
      <c r="BD313" s="202"/>
      <c r="BE313" s="208"/>
      <c r="BF313" s="202"/>
      <c r="BG313" s="203">
        <f t="shared" si="7"/>
        <v>0</v>
      </c>
      <c r="BH313" s="202"/>
      <c r="BI313" s="204"/>
      <c r="BJ313" s="202"/>
      <c r="BK313" s="204"/>
      <c r="BL313" s="202"/>
      <c r="BM313" s="204"/>
      <c r="BN313" s="202"/>
      <c r="BO313" s="203">
        <f t="shared" si="8"/>
        <v>0</v>
      </c>
      <c r="BP313" s="202"/>
      <c r="BQ313" s="138"/>
      <c r="BR313" s="128"/>
      <c r="BS313" s="128"/>
      <c r="BT313" s="128"/>
      <c r="BU313" s="128"/>
      <c r="BV313" s="128"/>
      <c r="BW313" s="139"/>
      <c r="BX313" s="140"/>
      <c r="BY313" s="139"/>
      <c r="BZ313" s="139"/>
      <c r="CA313" s="134"/>
      <c r="CB313" s="134"/>
      <c r="CC313" s="134"/>
      <c r="CD313" s="134"/>
      <c r="CE313" s="134"/>
      <c r="CF313" s="134"/>
      <c r="CG313" s="92"/>
      <c r="CH313" s="92"/>
      <c r="CI313" s="92"/>
      <c r="CJ313" s="92"/>
      <c r="CK313" s="92"/>
    </row>
    <row r="314" spans="1:89" ht="17.25" customHeight="1">
      <c r="A314" s="160"/>
      <c r="B314" s="165"/>
      <c r="C314" s="164"/>
      <c r="D314" s="137">
        <f t="shared" si="3"/>
        <v>0</v>
      </c>
      <c r="E314" s="207"/>
      <c r="F314" s="202"/>
      <c r="G314" s="207"/>
      <c r="H314" s="202"/>
      <c r="I314" s="207"/>
      <c r="J314" s="202"/>
      <c r="K314" s="207"/>
      <c r="L314" s="202"/>
      <c r="M314" s="207"/>
      <c r="N314" s="202"/>
      <c r="O314" s="201"/>
      <c r="P314" s="202"/>
      <c r="Q314" s="203">
        <f t="shared" si="4"/>
        <v>0</v>
      </c>
      <c r="R314" s="202"/>
      <c r="S314" s="207"/>
      <c r="T314" s="202"/>
      <c r="U314" s="207"/>
      <c r="V314" s="202"/>
      <c r="W314" s="207"/>
      <c r="X314" s="202"/>
      <c r="Y314" s="207"/>
      <c r="Z314" s="202"/>
      <c r="AA314" s="207"/>
      <c r="AB314" s="202"/>
      <c r="AC314" s="208"/>
      <c r="AD314" s="202"/>
      <c r="AE314" s="203">
        <f t="shared" si="5"/>
        <v>0</v>
      </c>
      <c r="AF314" s="202"/>
      <c r="AG314" s="204"/>
      <c r="AH314" s="202"/>
      <c r="AI314" s="204"/>
      <c r="AJ314" s="202"/>
      <c r="AK314" s="204"/>
      <c r="AL314" s="202"/>
      <c r="AM314" s="204"/>
      <c r="AN314" s="202"/>
      <c r="AO314" s="204"/>
      <c r="AP314" s="202"/>
      <c r="AQ314" s="208"/>
      <c r="AR314" s="202"/>
      <c r="AS314" s="203">
        <f t="shared" si="6"/>
        <v>0</v>
      </c>
      <c r="AT314" s="202"/>
      <c r="AU314" s="204"/>
      <c r="AV314" s="202"/>
      <c r="AW314" s="204"/>
      <c r="AX314" s="202"/>
      <c r="AY314" s="204"/>
      <c r="AZ314" s="202"/>
      <c r="BA314" s="204"/>
      <c r="BB314" s="202"/>
      <c r="BC314" s="204"/>
      <c r="BD314" s="202"/>
      <c r="BE314" s="208"/>
      <c r="BF314" s="202"/>
      <c r="BG314" s="203">
        <f t="shared" si="7"/>
        <v>0</v>
      </c>
      <c r="BH314" s="202"/>
      <c r="BI314" s="204"/>
      <c r="BJ314" s="202"/>
      <c r="BK314" s="204"/>
      <c r="BL314" s="202"/>
      <c r="BM314" s="204"/>
      <c r="BN314" s="202"/>
      <c r="BO314" s="203">
        <f t="shared" si="8"/>
        <v>0</v>
      </c>
      <c r="BP314" s="202"/>
      <c r="BQ314" s="138"/>
      <c r="BR314" s="128"/>
      <c r="BS314" s="128"/>
      <c r="BT314" s="128"/>
      <c r="BU314" s="128"/>
      <c r="BV314" s="128"/>
      <c r="BW314" s="139"/>
      <c r="BX314" s="140"/>
      <c r="BY314" s="139"/>
      <c r="BZ314" s="139"/>
      <c r="CA314" s="134"/>
      <c r="CB314" s="134"/>
      <c r="CC314" s="134"/>
      <c r="CD314" s="134"/>
      <c r="CE314" s="134"/>
      <c r="CF314" s="134"/>
      <c r="CG314" s="92"/>
      <c r="CH314" s="92"/>
      <c r="CI314" s="92"/>
      <c r="CJ314" s="92"/>
      <c r="CK314" s="92"/>
    </row>
    <row r="315" spans="1:89" ht="17.25" customHeight="1">
      <c r="A315" s="160"/>
      <c r="B315" s="165"/>
      <c r="C315" s="164"/>
      <c r="D315" s="137">
        <f t="shared" si="3"/>
        <v>0</v>
      </c>
      <c r="E315" s="207"/>
      <c r="F315" s="202"/>
      <c r="G315" s="207"/>
      <c r="H315" s="202"/>
      <c r="I315" s="207"/>
      <c r="J315" s="202"/>
      <c r="K315" s="207"/>
      <c r="L315" s="202"/>
      <c r="M315" s="207"/>
      <c r="N315" s="202"/>
      <c r="O315" s="201"/>
      <c r="P315" s="202"/>
      <c r="Q315" s="203">
        <f t="shared" si="4"/>
        <v>0</v>
      </c>
      <c r="R315" s="202"/>
      <c r="S315" s="207"/>
      <c r="T315" s="202"/>
      <c r="U315" s="207"/>
      <c r="V315" s="202"/>
      <c r="W315" s="207"/>
      <c r="X315" s="202"/>
      <c r="Y315" s="207"/>
      <c r="Z315" s="202"/>
      <c r="AA315" s="207"/>
      <c r="AB315" s="202"/>
      <c r="AC315" s="208"/>
      <c r="AD315" s="202"/>
      <c r="AE315" s="203">
        <f t="shared" si="5"/>
        <v>0</v>
      </c>
      <c r="AF315" s="202"/>
      <c r="AG315" s="204"/>
      <c r="AH315" s="202"/>
      <c r="AI315" s="204"/>
      <c r="AJ315" s="202"/>
      <c r="AK315" s="204"/>
      <c r="AL315" s="202"/>
      <c r="AM315" s="204"/>
      <c r="AN315" s="202"/>
      <c r="AO315" s="204"/>
      <c r="AP315" s="202"/>
      <c r="AQ315" s="208"/>
      <c r="AR315" s="202"/>
      <c r="AS315" s="203">
        <f t="shared" si="6"/>
        <v>0</v>
      </c>
      <c r="AT315" s="202"/>
      <c r="AU315" s="204"/>
      <c r="AV315" s="202"/>
      <c r="AW315" s="204"/>
      <c r="AX315" s="202"/>
      <c r="AY315" s="204"/>
      <c r="AZ315" s="202"/>
      <c r="BA315" s="204"/>
      <c r="BB315" s="202"/>
      <c r="BC315" s="204"/>
      <c r="BD315" s="202"/>
      <c r="BE315" s="208"/>
      <c r="BF315" s="202"/>
      <c r="BG315" s="203">
        <f t="shared" si="7"/>
        <v>0</v>
      </c>
      <c r="BH315" s="202"/>
      <c r="BI315" s="204"/>
      <c r="BJ315" s="202"/>
      <c r="BK315" s="204"/>
      <c r="BL315" s="202"/>
      <c r="BM315" s="204"/>
      <c r="BN315" s="202"/>
      <c r="BO315" s="203">
        <f t="shared" si="8"/>
        <v>0</v>
      </c>
      <c r="BP315" s="202"/>
      <c r="BQ315" s="138"/>
      <c r="BR315" s="128"/>
      <c r="BS315" s="128"/>
      <c r="BT315" s="128"/>
      <c r="BU315" s="128"/>
      <c r="BV315" s="128"/>
      <c r="BW315" s="139"/>
      <c r="BX315" s="140"/>
      <c r="BY315" s="139"/>
      <c r="BZ315" s="139"/>
      <c r="CA315" s="134"/>
      <c r="CB315" s="134"/>
      <c r="CC315" s="134"/>
      <c r="CD315" s="134"/>
      <c r="CE315" s="134"/>
      <c r="CF315" s="134"/>
      <c r="CG315" s="92"/>
      <c r="CH315" s="92"/>
      <c r="CI315" s="92"/>
      <c r="CJ315" s="92"/>
      <c r="CK315" s="92"/>
    </row>
    <row r="316" spans="1:89" ht="17.25" customHeight="1">
      <c r="A316" s="160"/>
      <c r="B316" s="165"/>
      <c r="C316" s="164"/>
      <c r="D316" s="137">
        <f t="shared" si="3"/>
        <v>0</v>
      </c>
      <c r="E316" s="207"/>
      <c r="F316" s="202"/>
      <c r="G316" s="207"/>
      <c r="H316" s="202"/>
      <c r="I316" s="207"/>
      <c r="J316" s="202"/>
      <c r="K316" s="207"/>
      <c r="L316" s="202"/>
      <c r="M316" s="207"/>
      <c r="N316" s="202"/>
      <c r="O316" s="201"/>
      <c r="P316" s="202"/>
      <c r="Q316" s="203">
        <f t="shared" si="4"/>
        <v>0</v>
      </c>
      <c r="R316" s="202"/>
      <c r="S316" s="207"/>
      <c r="T316" s="202"/>
      <c r="U316" s="207"/>
      <c r="V316" s="202"/>
      <c r="W316" s="207"/>
      <c r="X316" s="202"/>
      <c r="Y316" s="207"/>
      <c r="Z316" s="202"/>
      <c r="AA316" s="207"/>
      <c r="AB316" s="202"/>
      <c r="AC316" s="208"/>
      <c r="AD316" s="202"/>
      <c r="AE316" s="203">
        <f t="shared" si="5"/>
        <v>0</v>
      </c>
      <c r="AF316" s="202"/>
      <c r="AG316" s="204"/>
      <c r="AH316" s="202"/>
      <c r="AI316" s="204"/>
      <c r="AJ316" s="202"/>
      <c r="AK316" s="204"/>
      <c r="AL316" s="202"/>
      <c r="AM316" s="204"/>
      <c r="AN316" s="202"/>
      <c r="AO316" s="204"/>
      <c r="AP316" s="202"/>
      <c r="AQ316" s="208"/>
      <c r="AR316" s="202"/>
      <c r="AS316" s="203">
        <f t="shared" si="6"/>
        <v>0</v>
      </c>
      <c r="AT316" s="202"/>
      <c r="AU316" s="204"/>
      <c r="AV316" s="202"/>
      <c r="AW316" s="204"/>
      <c r="AX316" s="202"/>
      <c r="AY316" s="204"/>
      <c r="AZ316" s="202"/>
      <c r="BA316" s="204"/>
      <c r="BB316" s="202"/>
      <c r="BC316" s="204"/>
      <c r="BD316" s="202"/>
      <c r="BE316" s="208"/>
      <c r="BF316" s="202"/>
      <c r="BG316" s="203">
        <f t="shared" si="7"/>
        <v>0</v>
      </c>
      <c r="BH316" s="202"/>
      <c r="BI316" s="204"/>
      <c r="BJ316" s="202"/>
      <c r="BK316" s="204"/>
      <c r="BL316" s="202"/>
      <c r="BM316" s="204"/>
      <c r="BN316" s="202"/>
      <c r="BO316" s="203">
        <f t="shared" si="8"/>
        <v>0</v>
      </c>
      <c r="BP316" s="202"/>
      <c r="BQ316" s="138"/>
      <c r="BR316" s="128"/>
      <c r="BS316" s="128"/>
      <c r="BT316" s="128"/>
      <c r="BU316" s="128"/>
      <c r="BV316" s="128"/>
      <c r="BW316" s="139"/>
      <c r="BX316" s="140"/>
      <c r="BY316" s="139"/>
      <c r="BZ316" s="139"/>
      <c r="CA316" s="134"/>
      <c r="CB316" s="134"/>
      <c r="CC316" s="134"/>
      <c r="CD316" s="134"/>
      <c r="CE316" s="134"/>
      <c r="CF316" s="134"/>
      <c r="CG316" s="92"/>
      <c r="CH316" s="92"/>
      <c r="CI316" s="92"/>
      <c r="CJ316" s="92"/>
      <c r="CK316" s="92"/>
    </row>
    <row r="317" spans="1:89" ht="17.25" customHeight="1">
      <c r="A317" s="160"/>
      <c r="B317" s="165"/>
      <c r="C317" s="164"/>
      <c r="D317" s="137">
        <f t="shared" si="3"/>
        <v>0</v>
      </c>
      <c r="E317" s="207"/>
      <c r="F317" s="202"/>
      <c r="G317" s="207"/>
      <c r="H317" s="202"/>
      <c r="I317" s="207"/>
      <c r="J317" s="202"/>
      <c r="K317" s="207"/>
      <c r="L317" s="202"/>
      <c r="M317" s="207"/>
      <c r="N317" s="202"/>
      <c r="O317" s="201"/>
      <c r="P317" s="202"/>
      <c r="Q317" s="203">
        <f t="shared" si="4"/>
        <v>0</v>
      </c>
      <c r="R317" s="202"/>
      <c r="S317" s="207"/>
      <c r="T317" s="202"/>
      <c r="U317" s="207"/>
      <c r="V317" s="202"/>
      <c r="W317" s="207"/>
      <c r="X317" s="202"/>
      <c r="Y317" s="207"/>
      <c r="Z317" s="202"/>
      <c r="AA317" s="207"/>
      <c r="AB317" s="202"/>
      <c r="AC317" s="208"/>
      <c r="AD317" s="202"/>
      <c r="AE317" s="203">
        <f t="shared" si="5"/>
        <v>0</v>
      </c>
      <c r="AF317" s="202"/>
      <c r="AG317" s="204"/>
      <c r="AH317" s="202"/>
      <c r="AI317" s="204"/>
      <c r="AJ317" s="202"/>
      <c r="AK317" s="204"/>
      <c r="AL317" s="202"/>
      <c r="AM317" s="204"/>
      <c r="AN317" s="202"/>
      <c r="AO317" s="204"/>
      <c r="AP317" s="202"/>
      <c r="AQ317" s="208"/>
      <c r="AR317" s="202"/>
      <c r="AS317" s="203">
        <f t="shared" si="6"/>
        <v>0</v>
      </c>
      <c r="AT317" s="202"/>
      <c r="AU317" s="204"/>
      <c r="AV317" s="202"/>
      <c r="AW317" s="204"/>
      <c r="AX317" s="202"/>
      <c r="AY317" s="204"/>
      <c r="AZ317" s="202"/>
      <c r="BA317" s="204"/>
      <c r="BB317" s="202"/>
      <c r="BC317" s="204"/>
      <c r="BD317" s="202"/>
      <c r="BE317" s="208"/>
      <c r="BF317" s="202"/>
      <c r="BG317" s="203">
        <f t="shared" si="7"/>
        <v>0</v>
      </c>
      <c r="BH317" s="202"/>
      <c r="BI317" s="204"/>
      <c r="BJ317" s="202"/>
      <c r="BK317" s="204"/>
      <c r="BL317" s="202"/>
      <c r="BM317" s="204"/>
      <c r="BN317" s="202"/>
      <c r="BO317" s="203">
        <f t="shared" si="8"/>
        <v>0</v>
      </c>
      <c r="BP317" s="202"/>
      <c r="BQ317" s="138"/>
      <c r="BR317" s="128"/>
      <c r="BS317" s="128"/>
      <c r="BT317" s="128"/>
      <c r="BU317" s="128"/>
      <c r="BV317" s="128"/>
      <c r="BW317" s="139"/>
      <c r="BX317" s="140"/>
      <c r="BY317" s="139"/>
      <c r="BZ317" s="139"/>
      <c r="CA317" s="134"/>
      <c r="CB317" s="134"/>
      <c r="CC317" s="134"/>
      <c r="CD317" s="134"/>
      <c r="CE317" s="134"/>
      <c r="CF317" s="134"/>
      <c r="CG317" s="92"/>
      <c r="CH317" s="92"/>
      <c r="CI317" s="92"/>
      <c r="CJ317" s="92"/>
      <c r="CK317" s="92"/>
    </row>
    <row r="318" spans="1:89" ht="17.25" customHeight="1">
      <c r="A318" s="160"/>
      <c r="B318" s="165"/>
      <c r="C318" s="164"/>
      <c r="D318" s="137">
        <f t="shared" si="3"/>
        <v>0</v>
      </c>
      <c r="E318" s="207"/>
      <c r="F318" s="202"/>
      <c r="G318" s="207"/>
      <c r="H318" s="202"/>
      <c r="I318" s="207"/>
      <c r="J318" s="202"/>
      <c r="K318" s="207"/>
      <c r="L318" s="202"/>
      <c r="M318" s="207"/>
      <c r="N318" s="202"/>
      <c r="O318" s="201"/>
      <c r="P318" s="202"/>
      <c r="Q318" s="203">
        <f t="shared" si="4"/>
        <v>0</v>
      </c>
      <c r="R318" s="202"/>
      <c r="S318" s="207"/>
      <c r="T318" s="202"/>
      <c r="U318" s="207"/>
      <c r="V318" s="202"/>
      <c r="W318" s="207"/>
      <c r="X318" s="202"/>
      <c r="Y318" s="207"/>
      <c r="Z318" s="202"/>
      <c r="AA318" s="207"/>
      <c r="AB318" s="202"/>
      <c r="AC318" s="208"/>
      <c r="AD318" s="202"/>
      <c r="AE318" s="203">
        <f t="shared" si="5"/>
        <v>0</v>
      </c>
      <c r="AF318" s="202"/>
      <c r="AG318" s="204"/>
      <c r="AH318" s="202"/>
      <c r="AI318" s="204"/>
      <c r="AJ318" s="202"/>
      <c r="AK318" s="204"/>
      <c r="AL318" s="202"/>
      <c r="AM318" s="204"/>
      <c r="AN318" s="202"/>
      <c r="AO318" s="204"/>
      <c r="AP318" s="202"/>
      <c r="AQ318" s="208"/>
      <c r="AR318" s="202"/>
      <c r="AS318" s="203">
        <f t="shared" si="6"/>
        <v>0</v>
      </c>
      <c r="AT318" s="202"/>
      <c r="AU318" s="204"/>
      <c r="AV318" s="202"/>
      <c r="AW318" s="204"/>
      <c r="AX318" s="202"/>
      <c r="AY318" s="204"/>
      <c r="AZ318" s="202"/>
      <c r="BA318" s="204"/>
      <c r="BB318" s="202"/>
      <c r="BC318" s="204"/>
      <c r="BD318" s="202"/>
      <c r="BE318" s="208"/>
      <c r="BF318" s="202"/>
      <c r="BG318" s="203">
        <f t="shared" si="7"/>
        <v>0</v>
      </c>
      <c r="BH318" s="202"/>
      <c r="BI318" s="204"/>
      <c r="BJ318" s="202"/>
      <c r="BK318" s="204"/>
      <c r="BL318" s="202"/>
      <c r="BM318" s="204"/>
      <c r="BN318" s="202"/>
      <c r="BO318" s="203">
        <f t="shared" si="8"/>
        <v>0</v>
      </c>
      <c r="BP318" s="202"/>
      <c r="BQ318" s="138"/>
      <c r="BR318" s="128"/>
      <c r="BS318" s="128"/>
      <c r="BT318" s="128"/>
      <c r="BU318" s="128"/>
      <c r="BV318" s="128"/>
      <c r="BW318" s="139"/>
      <c r="BX318" s="140"/>
      <c r="BY318" s="139"/>
      <c r="BZ318" s="139"/>
      <c r="CA318" s="134"/>
      <c r="CB318" s="134"/>
      <c r="CC318" s="134"/>
      <c r="CD318" s="134"/>
      <c r="CE318" s="134"/>
      <c r="CF318" s="134"/>
      <c r="CG318" s="92"/>
      <c r="CH318" s="92"/>
      <c r="CI318" s="92"/>
      <c r="CJ318" s="92"/>
      <c r="CK318" s="92"/>
    </row>
    <row r="319" spans="1:89" ht="17.25" customHeight="1">
      <c r="A319" s="160"/>
      <c r="B319" s="165"/>
      <c r="C319" s="164"/>
      <c r="D319" s="137">
        <f t="shared" si="3"/>
        <v>0</v>
      </c>
      <c r="E319" s="207"/>
      <c r="F319" s="202"/>
      <c r="G319" s="207"/>
      <c r="H319" s="202"/>
      <c r="I319" s="207"/>
      <c r="J319" s="202"/>
      <c r="K319" s="207"/>
      <c r="L319" s="202"/>
      <c r="M319" s="207"/>
      <c r="N319" s="202"/>
      <c r="O319" s="201"/>
      <c r="P319" s="202"/>
      <c r="Q319" s="203">
        <f t="shared" si="4"/>
        <v>0</v>
      </c>
      <c r="R319" s="202"/>
      <c r="S319" s="207"/>
      <c r="T319" s="202"/>
      <c r="U319" s="207"/>
      <c r="V319" s="202"/>
      <c r="W319" s="207"/>
      <c r="X319" s="202"/>
      <c r="Y319" s="207"/>
      <c r="Z319" s="202"/>
      <c r="AA319" s="207"/>
      <c r="AB319" s="202"/>
      <c r="AC319" s="208"/>
      <c r="AD319" s="202"/>
      <c r="AE319" s="203">
        <f t="shared" si="5"/>
        <v>0</v>
      </c>
      <c r="AF319" s="202"/>
      <c r="AG319" s="204"/>
      <c r="AH319" s="202"/>
      <c r="AI319" s="204"/>
      <c r="AJ319" s="202"/>
      <c r="AK319" s="204"/>
      <c r="AL319" s="202"/>
      <c r="AM319" s="204"/>
      <c r="AN319" s="202"/>
      <c r="AO319" s="204"/>
      <c r="AP319" s="202"/>
      <c r="AQ319" s="208"/>
      <c r="AR319" s="202"/>
      <c r="AS319" s="203">
        <f t="shared" si="6"/>
        <v>0</v>
      </c>
      <c r="AT319" s="202"/>
      <c r="AU319" s="204"/>
      <c r="AV319" s="202"/>
      <c r="AW319" s="204"/>
      <c r="AX319" s="202"/>
      <c r="AY319" s="204"/>
      <c r="AZ319" s="202"/>
      <c r="BA319" s="204"/>
      <c r="BB319" s="202"/>
      <c r="BC319" s="204"/>
      <c r="BD319" s="202"/>
      <c r="BE319" s="208"/>
      <c r="BF319" s="202"/>
      <c r="BG319" s="203">
        <f t="shared" si="7"/>
        <v>0</v>
      </c>
      <c r="BH319" s="202"/>
      <c r="BI319" s="204"/>
      <c r="BJ319" s="202"/>
      <c r="BK319" s="204"/>
      <c r="BL319" s="202"/>
      <c r="BM319" s="204"/>
      <c r="BN319" s="202"/>
      <c r="BO319" s="203">
        <f t="shared" si="8"/>
        <v>0</v>
      </c>
      <c r="BP319" s="202"/>
      <c r="BQ319" s="138"/>
      <c r="BR319" s="128"/>
      <c r="BS319" s="128"/>
      <c r="BT319" s="128"/>
      <c r="BU319" s="128"/>
      <c r="BV319" s="128"/>
      <c r="BW319" s="139"/>
      <c r="BX319" s="140"/>
      <c r="BY319" s="139"/>
      <c r="BZ319" s="139"/>
      <c r="CA319" s="134"/>
      <c r="CB319" s="134"/>
      <c r="CC319" s="134"/>
      <c r="CD319" s="134"/>
      <c r="CE319" s="134"/>
      <c r="CF319" s="134"/>
      <c r="CG319" s="92"/>
      <c r="CH319" s="92"/>
      <c r="CI319" s="92"/>
      <c r="CJ319" s="92"/>
      <c r="CK319" s="92"/>
    </row>
    <row r="320" spans="1:89" ht="17.25" customHeight="1">
      <c r="A320" s="160"/>
      <c r="B320" s="165"/>
      <c r="C320" s="164"/>
      <c r="D320" s="137">
        <f t="shared" si="3"/>
        <v>0</v>
      </c>
      <c r="E320" s="207"/>
      <c r="F320" s="202"/>
      <c r="G320" s="207"/>
      <c r="H320" s="202"/>
      <c r="I320" s="207"/>
      <c r="J320" s="202"/>
      <c r="K320" s="207"/>
      <c r="L320" s="202"/>
      <c r="M320" s="207"/>
      <c r="N320" s="202"/>
      <c r="O320" s="201"/>
      <c r="P320" s="202"/>
      <c r="Q320" s="203">
        <f t="shared" si="4"/>
        <v>0</v>
      </c>
      <c r="R320" s="202"/>
      <c r="S320" s="207"/>
      <c r="T320" s="202"/>
      <c r="U320" s="207"/>
      <c r="V320" s="202"/>
      <c r="W320" s="207"/>
      <c r="X320" s="202"/>
      <c r="Y320" s="207"/>
      <c r="Z320" s="202"/>
      <c r="AA320" s="207"/>
      <c r="AB320" s="202"/>
      <c r="AC320" s="208"/>
      <c r="AD320" s="202"/>
      <c r="AE320" s="203">
        <f t="shared" si="5"/>
        <v>0</v>
      </c>
      <c r="AF320" s="202"/>
      <c r="AG320" s="204"/>
      <c r="AH320" s="202"/>
      <c r="AI320" s="204"/>
      <c r="AJ320" s="202"/>
      <c r="AK320" s="204"/>
      <c r="AL320" s="202"/>
      <c r="AM320" s="204"/>
      <c r="AN320" s="202"/>
      <c r="AO320" s="204"/>
      <c r="AP320" s="202"/>
      <c r="AQ320" s="208"/>
      <c r="AR320" s="202"/>
      <c r="AS320" s="203">
        <f t="shared" si="6"/>
        <v>0</v>
      </c>
      <c r="AT320" s="202"/>
      <c r="AU320" s="204"/>
      <c r="AV320" s="202"/>
      <c r="AW320" s="204"/>
      <c r="AX320" s="202"/>
      <c r="AY320" s="204"/>
      <c r="AZ320" s="202"/>
      <c r="BA320" s="204"/>
      <c r="BB320" s="202"/>
      <c r="BC320" s="204"/>
      <c r="BD320" s="202"/>
      <c r="BE320" s="208"/>
      <c r="BF320" s="202"/>
      <c r="BG320" s="203">
        <f t="shared" si="7"/>
        <v>0</v>
      </c>
      <c r="BH320" s="202"/>
      <c r="BI320" s="204"/>
      <c r="BJ320" s="202"/>
      <c r="BK320" s="204"/>
      <c r="BL320" s="202"/>
      <c r="BM320" s="204"/>
      <c r="BN320" s="202"/>
      <c r="BO320" s="203">
        <f t="shared" si="8"/>
        <v>0</v>
      </c>
      <c r="BP320" s="202"/>
      <c r="BQ320" s="138"/>
      <c r="BR320" s="128"/>
      <c r="BS320" s="128"/>
      <c r="BT320" s="128"/>
      <c r="BU320" s="128"/>
      <c r="BV320" s="128"/>
      <c r="BW320" s="139"/>
      <c r="BX320" s="140"/>
      <c r="BY320" s="139"/>
      <c r="BZ320" s="139"/>
      <c r="CA320" s="134"/>
      <c r="CB320" s="134"/>
      <c r="CC320" s="134"/>
      <c r="CD320" s="134"/>
      <c r="CE320" s="134"/>
      <c r="CF320" s="134"/>
      <c r="CG320" s="92"/>
      <c r="CH320" s="92"/>
      <c r="CI320" s="92"/>
      <c r="CJ320" s="92"/>
      <c r="CK320" s="92"/>
    </row>
    <row r="321" spans="1:89" ht="17.25" customHeight="1">
      <c r="A321" s="160"/>
      <c r="B321" s="165"/>
      <c r="C321" s="164"/>
      <c r="D321" s="137">
        <f t="shared" si="3"/>
        <v>0</v>
      </c>
      <c r="E321" s="207"/>
      <c r="F321" s="202"/>
      <c r="G321" s="207"/>
      <c r="H321" s="202"/>
      <c r="I321" s="207"/>
      <c r="J321" s="202"/>
      <c r="K321" s="207"/>
      <c r="L321" s="202"/>
      <c r="M321" s="207"/>
      <c r="N321" s="202"/>
      <c r="O321" s="201"/>
      <c r="P321" s="202"/>
      <c r="Q321" s="203">
        <f t="shared" si="4"/>
        <v>0</v>
      </c>
      <c r="R321" s="202"/>
      <c r="S321" s="207"/>
      <c r="T321" s="202"/>
      <c r="U321" s="207"/>
      <c r="V321" s="202"/>
      <c r="W321" s="207"/>
      <c r="X321" s="202"/>
      <c r="Y321" s="207"/>
      <c r="Z321" s="202"/>
      <c r="AA321" s="207"/>
      <c r="AB321" s="202"/>
      <c r="AC321" s="208"/>
      <c r="AD321" s="202"/>
      <c r="AE321" s="203">
        <f t="shared" si="5"/>
        <v>0</v>
      </c>
      <c r="AF321" s="202"/>
      <c r="AG321" s="204"/>
      <c r="AH321" s="202"/>
      <c r="AI321" s="204"/>
      <c r="AJ321" s="202"/>
      <c r="AK321" s="204"/>
      <c r="AL321" s="202"/>
      <c r="AM321" s="204"/>
      <c r="AN321" s="202"/>
      <c r="AO321" s="204"/>
      <c r="AP321" s="202"/>
      <c r="AQ321" s="208"/>
      <c r="AR321" s="202"/>
      <c r="AS321" s="203">
        <f t="shared" si="6"/>
        <v>0</v>
      </c>
      <c r="AT321" s="202"/>
      <c r="AU321" s="204"/>
      <c r="AV321" s="202"/>
      <c r="AW321" s="204"/>
      <c r="AX321" s="202"/>
      <c r="AY321" s="204"/>
      <c r="AZ321" s="202"/>
      <c r="BA321" s="204"/>
      <c r="BB321" s="202"/>
      <c r="BC321" s="204"/>
      <c r="BD321" s="202"/>
      <c r="BE321" s="208"/>
      <c r="BF321" s="202"/>
      <c r="BG321" s="203">
        <f t="shared" si="7"/>
        <v>0</v>
      </c>
      <c r="BH321" s="202"/>
      <c r="BI321" s="204"/>
      <c r="BJ321" s="202"/>
      <c r="BK321" s="204"/>
      <c r="BL321" s="202"/>
      <c r="BM321" s="204"/>
      <c r="BN321" s="202"/>
      <c r="BO321" s="203">
        <f t="shared" si="8"/>
        <v>0</v>
      </c>
      <c r="BP321" s="202"/>
      <c r="BQ321" s="138"/>
      <c r="BR321" s="128"/>
      <c r="BS321" s="128"/>
      <c r="BT321" s="128"/>
      <c r="BU321" s="128"/>
      <c r="BV321" s="128"/>
      <c r="BW321" s="139"/>
      <c r="BX321" s="140"/>
      <c r="BY321" s="139"/>
      <c r="BZ321" s="139"/>
      <c r="CA321" s="134"/>
      <c r="CB321" s="134"/>
      <c r="CC321" s="134"/>
      <c r="CD321" s="134"/>
      <c r="CE321" s="134"/>
      <c r="CF321" s="134"/>
      <c r="CG321" s="92"/>
      <c r="CH321" s="92"/>
      <c r="CI321" s="92"/>
      <c r="CJ321" s="92"/>
      <c r="CK321" s="92"/>
    </row>
    <row r="322" spans="1:89" ht="17.25" customHeight="1">
      <c r="A322" s="160"/>
      <c r="B322" s="165"/>
      <c r="C322" s="164"/>
      <c r="D322" s="137">
        <f t="shared" si="3"/>
        <v>0</v>
      </c>
      <c r="E322" s="207"/>
      <c r="F322" s="202"/>
      <c r="G322" s="207"/>
      <c r="H322" s="202"/>
      <c r="I322" s="207"/>
      <c r="J322" s="202"/>
      <c r="K322" s="207"/>
      <c r="L322" s="202"/>
      <c r="M322" s="207"/>
      <c r="N322" s="202"/>
      <c r="O322" s="201"/>
      <c r="P322" s="202"/>
      <c r="Q322" s="203">
        <f t="shared" si="4"/>
        <v>0</v>
      </c>
      <c r="R322" s="202"/>
      <c r="S322" s="207"/>
      <c r="T322" s="202"/>
      <c r="U322" s="207"/>
      <c r="V322" s="202"/>
      <c r="W322" s="207"/>
      <c r="X322" s="202"/>
      <c r="Y322" s="207"/>
      <c r="Z322" s="202"/>
      <c r="AA322" s="207"/>
      <c r="AB322" s="202"/>
      <c r="AC322" s="208"/>
      <c r="AD322" s="202"/>
      <c r="AE322" s="203">
        <f t="shared" si="5"/>
        <v>0</v>
      </c>
      <c r="AF322" s="202"/>
      <c r="AG322" s="204"/>
      <c r="AH322" s="202"/>
      <c r="AI322" s="204"/>
      <c r="AJ322" s="202"/>
      <c r="AK322" s="204"/>
      <c r="AL322" s="202"/>
      <c r="AM322" s="204"/>
      <c r="AN322" s="202"/>
      <c r="AO322" s="204"/>
      <c r="AP322" s="202"/>
      <c r="AQ322" s="208"/>
      <c r="AR322" s="202"/>
      <c r="AS322" s="203">
        <f t="shared" si="6"/>
        <v>0</v>
      </c>
      <c r="AT322" s="202"/>
      <c r="AU322" s="204"/>
      <c r="AV322" s="202"/>
      <c r="AW322" s="204"/>
      <c r="AX322" s="202"/>
      <c r="AY322" s="204"/>
      <c r="AZ322" s="202"/>
      <c r="BA322" s="204"/>
      <c r="BB322" s="202"/>
      <c r="BC322" s="204"/>
      <c r="BD322" s="202"/>
      <c r="BE322" s="208"/>
      <c r="BF322" s="202"/>
      <c r="BG322" s="203">
        <f t="shared" si="7"/>
        <v>0</v>
      </c>
      <c r="BH322" s="202"/>
      <c r="BI322" s="204"/>
      <c r="BJ322" s="202"/>
      <c r="BK322" s="204"/>
      <c r="BL322" s="202"/>
      <c r="BM322" s="204"/>
      <c r="BN322" s="202"/>
      <c r="BO322" s="203">
        <f t="shared" si="8"/>
        <v>0</v>
      </c>
      <c r="BP322" s="202"/>
      <c r="BQ322" s="138"/>
      <c r="BR322" s="128"/>
      <c r="BS322" s="128"/>
      <c r="BT322" s="128"/>
      <c r="BU322" s="128"/>
      <c r="BV322" s="128"/>
      <c r="BW322" s="139"/>
      <c r="BX322" s="140"/>
      <c r="BY322" s="139"/>
      <c r="BZ322" s="139"/>
      <c r="CA322" s="134"/>
      <c r="CB322" s="134"/>
      <c r="CC322" s="134"/>
      <c r="CD322" s="134"/>
      <c r="CE322" s="134"/>
      <c r="CF322" s="134"/>
      <c r="CG322" s="92"/>
      <c r="CH322" s="92"/>
      <c r="CI322" s="92"/>
      <c r="CJ322" s="92"/>
      <c r="CK322" s="92"/>
    </row>
    <row r="323" spans="1:89" ht="17.25" customHeight="1">
      <c r="A323" s="160"/>
      <c r="B323" s="165"/>
      <c r="C323" s="164"/>
      <c r="D323" s="137">
        <f t="shared" si="3"/>
        <v>0</v>
      </c>
      <c r="E323" s="207"/>
      <c r="F323" s="202"/>
      <c r="G323" s="207"/>
      <c r="H323" s="202"/>
      <c r="I323" s="207"/>
      <c r="J323" s="202"/>
      <c r="K323" s="207"/>
      <c r="L323" s="202"/>
      <c r="M323" s="207"/>
      <c r="N323" s="202"/>
      <c r="O323" s="201"/>
      <c r="P323" s="202"/>
      <c r="Q323" s="203">
        <f t="shared" si="4"/>
        <v>0</v>
      </c>
      <c r="R323" s="202"/>
      <c r="S323" s="207"/>
      <c r="T323" s="202"/>
      <c r="U323" s="207"/>
      <c r="V323" s="202"/>
      <c r="W323" s="207"/>
      <c r="X323" s="202"/>
      <c r="Y323" s="207"/>
      <c r="Z323" s="202"/>
      <c r="AA323" s="207"/>
      <c r="AB323" s="202"/>
      <c r="AC323" s="208"/>
      <c r="AD323" s="202"/>
      <c r="AE323" s="203">
        <f t="shared" si="5"/>
        <v>0</v>
      </c>
      <c r="AF323" s="202"/>
      <c r="AG323" s="204"/>
      <c r="AH323" s="202"/>
      <c r="AI323" s="204"/>
      <c r="AJ323" s="202"/>
      <c r="AK323" s="204"/>
      <c r="AL323" s="202"/>
      <c r="AM323" s="204"/>
      <c r="AN323" s="202"/>
      <c r="AO323" s="204"/>
      <c r="AP323" s="202"/>
      <c r="AQ323" s="208"/>
      <c r="AR323" s="202"/>
      <c r="AS323" s="203">
        <f t="shared" si="6"/>
        <v>0</v>
      </c>
      <c r="AT323" s="202"/>
      <c r="AU323" s="204"/>
      <c r="AV323" s="202"/>
      <c r="AW323" s="204"/>
      <c r="AX323" s="202"/>
      <c r="AY323" s="204"/>
      <c r="AZ323" s="202"/>
      <c r="BA323" s="204"/>
      <c r="BB323" s="202"/>
      <c r="BC323" s="204"/>
      <c r="BD323" s="202"/>
      <c r="BE323" s="208"/>
      <c r="BF323" s="202"/>
      <c r="BG323" s="203">
        <f t="shared" si="7"/>
        <v>0</v>
      </c>
      <c r="BH323" s="202"/>
      <c r="BI323" s="204"/>
      <c r="BJ323" s="202"/>
      <c r="BK323" s="204"/>
      <c r="BL323" s="202"/>
      <c r="BM323" s="204"/>
      <c r="BN323" s="202"/>
      <c r="BO323" s="203">
        <f t="shared" si="8"/>
        <v>0</v>
      </c>
      <c r="BP323" s="202"/>
      <c r="BQ323" s="138"/>
      <c r="BR323" s="128"/>
      <c r="BS323" s="128"/>
      <c r="BT323" s="128"/>
      <c r="BU323" s="128"/>
      <c r="BV323" s="128"/>
      <c r="BW323" s="139"/>
      <c r="BX323" s="140"/>
      <c r="BY323" s="139"/>
      <c r="BZ323" s="139"/>
      <c r="CA323" s="134"/>
      <c r="CB323" s="134"/>
      <c r="CC323" s="134"/>
      <c r="CD323" s="134"/>
      <c r="CE323" s="134"/>
      <c r="CF323" s="134"/>
      <c r="CG323" s="92"/>
      <c r="CH323" s="92"/>
      <c r="CI323" s="92"/>
      <c r="CJ323" s="92"/>
      <c r="CK323" s="92"/>
    </row>
    <row r="324" spans="1:89" ht="17.25" customHeight="1">
      <c r="A324" s="160"/>
      <c r="B324" s="165"/>
      <c r="C324" s="164"/>
      <c r="D324" s="137">
        <f t="shared" si="3"/>
        <v>0</v>
      </c>
      <c r="E324" s="207"/>
      <c r="F324" s="202"/>
      <c r="G324" s="207"/>
      <c r="H324" s="202"/>
      <c r="I324" s="207"/>
      <c r="J324" s="202"/>
      <c r="K324" s="207"/>
      <c r="L324" s="202"/>
      <c r="M324" s="207"/>
      <c r="N324" s="202"/>
      <c r="O324" s="201"/>
      <c r="P324" s="202"/>
      <c r="Q324" s="203">
        <f t="shared" si="4"/>
        <v>0</v>
      </c>
      <c r="R324" s="202"/>
      <c r="S324" s="207"/>
      <c r="T324" s="202"/>
      <c r="U324" s="207"/>
      <c r="V324" s="202"/>
      <c r="W324" s="207"/>
      <c r="X324" s="202"/>
      <c r="Y324" s="207"/>
      <c r="Z324" s="202"/>
      <c r="AA324" s="207"/>
      <c r="AB324" s="202"/>
      <c r="AC324" s="208"/>
      <c r="AD324" s="202"/>
      <c r="AE324" s="203">
        <f t="shared" si="5"/>
        <v>0</v>
      </c>
      <c r="AF324" s="202"/>
      <c r="AG324" s="204"/>
      <c r="AH324" s="202"/>
      <c r="AI324" s="204"/>
      <c r="AJ324" s="202"/>
      <c r="AK324" s="204"/>
      <c r="AL324" s="202"/>
      <c r="AM324" s="204"/>
      <c r="AN324" s="202"/>
      <c r="AO324" s="204"/>
      <c r="AP324" s="202"/>
      <c r="AQ324" s="208"/>
      <c r="AR324" s="202"/>
      <c r="AS324" s="203">
        <f t="shared" si="6"/>
        <v>0</v>
      </c>
      <c r="AT324" s="202"/>
      <c r="AU324" s="204"/>
      <c r="AV324" s="202"/>
      <c r="AW324" s="204"/>
      <c r="AX324" s="202"/>
      <c r="AY324" s="204"/>
      <c r="AZ324" s="202"/>
      <c r="BA324" s="204"/>
      <c r="BB324" s="202"/>
      <c r="BC324" s="204"/>
      <c r="BD324" s="202"/>
      <c r="BE324" s="208"/>
      <c r="BF324" s="202"/>
      <c r="BG324" s="203">
        <f t="shared" si="7"/>
        <v>0</v>
      </c>
      <c r="BH324" s="202"/>
      <c r="BI324" s="204"/>
      <c r="BJ324" s="202"/>
      <c r="BK324" s="204"/>
      <c r="BL324" s="202"/>
      <c r="BM324" s="204"/>
      <c r="BN324" s="202"/>
      <c r="BO324" s="203">
        <f t="shared" si="8"/>
        <v>0</v>
      </c>
      <c r="BP324" s="202"/>
      <c r="BQ324" s="138"/>
      <c r="BR324" s="128"/>
      <c r="BS324" s="128"/>
      <c r="BT324" s="128"/>
      <c r="BU324" s="128"/>
      <c r="BV324" s="128"/>
      <c r="BW324" s="139"/>
      <c r="BX324" s="140"/>
      <c r="BY324" s="139"/>
      <c r="BZ324" s="139"/>
      <c r="CA324" s="134"/>
      <c r="CB324" s="134"/>
      <c r="CC324" s="134"/>
      <c r="CD324" s="134"/>
      <c r="CE324" s="134"/>
      <c r="CF324" s="134"/>
      <c r="CG324" s="92"/>
      <c r="CH324" s="92"/>
      <c r="CI324" s="92"/>
      <c r="CJ324" s="92"/>
      <c r="CK324" s="92"/>
    </row>
    <row r="325" spans="1:89" ht="17.25" customHeight="1">
      <c r="A325" s="160"/>
      <c r="B325" s="165"/>
      <c r="C325" s="164"/>
      <c r="D325" s="137">
        <f t="shared" si="3"/>
        <v>0</v>
      </c>
      <c r="E325" s="207"/>
      <c r="F325" s="202"/>
      <c r="G325" s="207"/>
      <c r="H325" s="202"/>
      <c r="I325" s="207"/>
      <c r="J325" s="202"/>
      <c r="K325" s="207"/>
      <c r="L325" s="202"/>
      <c r="M325" s="207"/>
      <c r="N325" s="202"/>
      <c r="O325" s="201"/>
      <c r="P325" s="202"/>
      <c r="Q325" s="203">
        <f t="shared" si="4"/>
        <v>0</v>
      </c>
      <c r="R325" s="202"/>
      <c r="S325" s="207"/>
      <c r="T325" s="202"/>
      <c r="U325" s="207"/>
      <c r="V325" s="202"/>
      <c r="W325" s="207"/>
      <c r="X325" s="202"/>
      <c r="Y325" s="207"/>
      <c r="Z325" s="202"/>
      <c r="AA325" s="207"/>
      <c r="AB325" s="202"/>
      <c r="AC325" s="208"/>
      <c r="AD325" s="202"/>
      <c r="AE325" s="203">
        <f t="shared" si="5"/>
        <v>0</v>
      </c>
      <c r="AF325" s="202"/>
      <c r="AG325" s="204"/>
      <c r="AH325" s="202"/>
      <c r="AI325" s="204"/>
      <c r="AJ325" s="202"/>
      <c r="AK325" s="204"/>
      <c r="AL325" s="202"/>
      <c r="AM325" s="204"/>
      <c r="AN325" s="202"/>
      <c r="AO325" s="204"/>
      <c r="AP325" s="202"/>
      <c r="AQ325" s="208"/>
      <c r="AR325" s="202"/>
      <c r="AS325" s="203">
        <f t="shared" si="6"/>
        <v>0</v>
      </c>
      <c r="AT325" s="202"/>
      <c r="AU325" s="204"/>
      <c r="AV325" s="202"/>
      <c r="AW325" s="204"/>
      <c r="AX325" s="202"/>
      <c r="AY325" s="204"/>
      <c r="AZ325" s="202"/>
      <c r="BA325" s="204"/>
      <c r="BB325" s="202"/>
      <c r="BC325" s="204"/>
      <c r="BD325" s="202"/>
      <c r="BE325" s="208"/>
      <c r="BF325" s="202"/>
      <c r="BG325" s="203">
        <f t="shared" si="7"/>
        <v>0</v>
      </c>
      <c r="BH325" s="202"/>
      <c r="BI325" s="204"/>
      <c r="BJ325" s="202"/>
      <c r="BK325" s="204"/>
      <c r="BL325" s="202"/>
      <c r="BM325" s="204"/>
      <c r="BN325" s="202"/>
      <c r="BO325" s="203">
        <f t="shared" si="8"/>
        <v>0</v>
      </c>
      <c r="BP325" s="202"/>
      <c r="BQ325" s="138"/>
      <c r="BR325" s="128"/>
      <c r="BS325" s="128"/>
      <c r="BT325" s="128"/>
      <c r="BU325" s="128"/>
      <c r="BV325" s="128"/>
      <c r="BW325" s="139"/>
      <c r="BX325" s="140"/>
      <c r="BY325" s="139"/>
      <c r="BZ325" s="139"/>
      <c r="CA325" s="134"/>
      <c r="CB325" s="134"/>
      <c r="CC325" s="134"/>
      <c r="CD325" s="134"/>
      <c r="CE325" s="134"/>
      <c r="CF325" s="134"/>
      <c r="CG325" s="92"/>
      <c r="CH325" s="92"/>
      <c r="CI325" s="92"/>
      <c r="CJ325" s="92"/>
      <c r="CK325" s="92"/>
    </row>
    <row r="326" spans="1:89" ht="17.25" customHeight="1">
      <c r="A326" s="160"/>
      <c r="B326" s="165"/>
      <c r="C326" s="164"/>
      <c r="D326" s="137">
        <f t="shared" si="3"/>
        <v>0</v>
      </c>
      <c r="E326" s="207"/>
      <c r="F326" s="202"/>
      <c r="G326" s="207"/>
      <c r="H326" s="202"/>
      <c r="I326" s="207"/>
      <c r="J326" s="202"/>
      <c r="K326" s="207"/>
      <c r="L326" s="202"/>
      <c r="M326" s="207"/>
      <c r="N326" s="202"/>
      <c r="O326" s="201"/>
      <c r="P326" s="202"/>
      <c r="Q326" s="203">
        <f t="shared" si="4"/>
        <v>0</v>
      </c>
      <c r="R326" s="202"/>
      <c r="S326" s="207"/>
      <c r="T326" s="202"/>
      <c r="U326" s="207"/>
      <c r="V326" s="202"/>
      <c r="W326" s="207"/>
      <c r="X326" s="202"/>
      <c r="Y326" s="207"/>
      <c r="Z326" s="202"/>
      <c r="AA326" s="207"/>
      <c r="AB326" s="202"/>
      <c r="AC326" s="208"/>
      <c r="AD326" s="202"/>
      <c r="AE326" s="203">
        <f t="shared" si="5"/>
        <v>0</v>
      </c>
      <c r="AF326" s="202"/>
      <c r="AG326" s="204"/>
      <c r="AH326" s="202"/>
      <c r="AI326" s="204"/>
      <c r="AJ326" s="202"/>
      <c r="AK326" s="204"/>
      <c r="AL326" s="202"/>
      <c r="AM326" s="204"/>
      <c r="AN326" s="202"/>
      <c r="AO326" s="204"/>
      <c r="AP326" s="202"/>
      <c r="AQ326" s="208"/>
      <c r="AR326" s="202"/>
      <c r="AS326" s="203">
        <f t="shared" si="6"/>
        <v>0</v>
      </c>
      <c r="AT326" s="202"/>
      <c r="AU326" s="204"/>
      <c r="AV326" s="202"/>
      <c r="AW326" s="204"/>
      <c r="AX326" s="202"/>
      <c r="AY326" s="204"/>
      <c r="AZ326" s="202"/>
      <c r="BA326" s="204"/>
      <c r="BB326" s="202"/>
      <c r="BC326" s="204"/>
      <c r="BD326" s="202"/>
      <c r="BE326" s="208"/>
      <c r="BF326" s="202"/>
      <c r="BG326" s="203">
        <f t="shared" si="7"/>
        <v>0</v>
      </c>
      <c r="BH326" s="202"/>
      <c r="BI326" s="204"/>
      <c r="BJ326" s="202"/>
      <c r="BK326" s="204"/>
      <c r="BL326" s="202"/>
      <c r="BM326" s="204"/>
      <c r="BN326" s="202"/>
      <c r="BO326" s="203">
        <f t="shared" si="8"/>
        <v>0</v>
      </c>
      <c r="BP326" s="202"/>
      <c r="BQ326" s="138"/>
      <c r="BR326" s="128"/>
      <c r="BS326" s="128"/>
      <c r="BT326" s="128"/>
      <c r="BU326" s="128"/>
      <c r="BV326" s="128"/>
      <c r="BW326" s="139"/>
      <c r="BX326" s="140"/>
      <c r="BY326" s="139"/>
      <c r="BZ326" s="139"/>
      <c r="CA326" s="134"/>
      <c r="CB326" s="134"/>
      <c r="CC326" s="134"/>
      <c r="CD326" s="134"/>
      <c r="CE326" s="134"/>
      <c r="CF326" s="134"/>
      <c r="CG326" s="92"/>
      <c r="CH326" s="92"/>
      <c r="CI326" s="92"/>
      <c r="CJ326" s="92"/>
      <c r="CK326" s="92"/>
    </row>
    <row r="327" spans="1:89" ht="17.25" customHeight="1">
      <c r="A327" s="160"/>
      <c r="B327" s="165"/>
      <c r="C327" s="164"/>
      <c r="D327" s="137">
        <f t="shared" si="3"/>
        <v>0</v>
      </c>
      <c r="E327" s="207"/>
      <c r="F327" s="202"/>
      <c r="G327" s="207"/>
      <c r="H327" s="202"/>
      <c r="I327" s="207"/>
      <c r="J327" s="202"/>
      <c r="K327" s="207"/>
      <c r="L327" s="202"/>
      <c r="M327" s="207"/>
      <c r="N327" s="202"/>
      <c r="O327" s="201"/>
      <c r="P327" s="202"/>
      <c r="Q327" s="203">
        <f t="shared" si="4"/>
        <v>0</v>
      </c>
      <c r="R327" s="202"/>
      <c r="S327" s="207"/>
      <c r="T327" s="202"/>
      <c r="U327" s="207"/>
      <c r="V327" s="202"/>
      <c r="W327" s="207"/>
      <c r="X327" s="202"/>
      <c r="Y327" s="207"/>
      <c r="Z327" s="202"/>
      <c r="AA327" s="207"/>
      <c r="AB327" s="202"/>
      <c r="AC327" s="208"/>
      <c r="AD327" s="202"/>
      <c r="AE327" s="203">
        <f t="shared" si="5"/>
        <v>0</v>
      </c>
      <c r="AF327" s="202"/>
      <c r="AG327" s="204"/>
      <c r="AH327" s="202"/>
      <c r="AI327" s="204"/>
      <c r="AJ327" s="202"/>
      <c r="AK327" s="204"/>
      <c r="AL327" s="202"/>
      <c r="AM327" s="204"/>
      <c r="AN327" s="202"/>
      <c r="AO327" s="204"/>
      <c r="AP327" s="202"/>
      <c r="AQ327" s="208"/>
      <c r="AR327" s="202"/>
      <c r="AS327" s="203">
        <f t="shared" si="6"/>
        <v>0</v>
      </c>
      <c r="AT327" s="202"/>
      <c r="AU327" s="204"/>
      <c r="AV327" s="202"/>
      <c r="AW327" s="204"/>
      <c r="AX327" s="202"/>
      <c r="AY327" s="204"/>
      <c r="AZ327" s="202"/>
      <c r="BA327" s="204"/>
      <c r="BB327" s="202"/>
      <c r="BC327" s="204"/>
      <c r="BD327" s="202"/>
      <c r="BE327" s="208"/>
      <c r="BF327" s="202"/>
      <c r="BG327" s="203">
        <f t="shared" si="7"/>
        <v>0</v>
      </c>
      <c r="BH327" s="202"/>
      <c r="BI327" s="204"/>
      <c r="BJ327" s="202"/>
      <c r="BK327" s="204"/>
      <c r="BL327" s="202"/>
      <c r="BM327" s="204"/>
      <c r="BN327" s="202"/>
      <c r="BO327" s="203">
        <f t="shared" si="8"/>
        <v>0</v>
      </c>
      <c r="BP327" s="202"/>
      <c r="BQ327" s="138"/>
      <c r="BR327" s="128"/>
      <c r="BS327" s="128"/>
      <c r="BT327" s="128"/>
      <c r="BU327" s="128"/>
      <c r="BV327" s="128"/>
      <c r="BW327" s="139"/>
      <c r="BX327" s="140"/>
      <c r="BY327" s="139"/>
      <c r="BZ327" s="139"/>
      <c r="CA327" s="134"/>
      <c r="CB327" s="134"/>
      <c r="CC327" s="134"/>
      <c r="CD327" s="134"/>
      <c r="CE327" s="134"/>
      <c r="CF327" s="134"/>
      <c r="CG327" s="92"/>
      <c r="CH327" s="92"/>
      <c r="CI327" s="92"/>
      <c r="CJ327" s="92"/>
      <c r="CK327" s="92"/>
    </row>
    <row r="328" spans="1:89" ht="17.25" customHeight="1">
      <c r="A328" s="160"/>
      <c r="B328" s="165"/>
      <c r="C328" s="164"/>
      <c r="D328" s="137">
        <f t="shared" si="3"/>
        <v>0</v>
      </c>
      <c r="E328" s="207"/>
      <c r="F328" s="202"/>
      <c r="G328" s="207"/>
      <c r="H328" s="202"/>
      <c r="I328" s="207"/>
      <c r="J328" s="202"/>
      <c r="K328" s="207"/>
      <c r="L328" s="202"/>
      <c r="M328" s="207"/>
      <c r="N328" s="202"/>
      <c r="O328" s="201"/>
      <c r="P328" s="202"/>
      <c r="Q328" s="203">
        <f t="shared" si="4"/>
        <v>0</v>
      </c>
      <c r="R328" s="202"/>
      <c r="S328" s="207"/>
      <c r="T328" s="202"/>
      <c r="U328" s="207"/>
      <c r="V328" s="202"/>
      <c r="W328" s="207"/>
      <c r="X328" s="202"/>
      <c r="Y328" s="207"/>
      <c r="Z328" s="202"/>
      <c r="AA328" s="207"/>
      <c r="AB328" s="202"/>
      <c r="AC328" s="208"/>
      <c r="AD328" s="202"/>
      <c r="AE328" s="203">
        <f t="shared" si="5"/>
        <v>0</v>
      </c>
      <c r="AF328" s="202"/>
      <c r="AG328" s="204"/>
      <c r="AH328" s="202"/>
      <c r="AI328" s="204"/>
      <c r="AJ328" s="202"/>
      <c r="AK328" s="204"/>
      <c r="AL328" s="202"/>
      <c r="AM328" s="204"/>
      <c r="AN328" s="202"/>
      <c r="AO328" s="204"/>
      <c r="AP328" s="202"/>
      <c r="AQ328" s="208"/>
      <c r="AR328" s="202"/>
      <c r="AS328" s="203">
        <f t="shared" si="6"/>
        <v>0</v>
      </c>
      <c r="AT328" s="202"/>
      <c r="AU328" s="204"/>
      <c r="AV328" s="202"/>
      <c r="AW328" s="204"/>
      <c r="AX328" s="202"/>
      <c r="AY328" s="204"/>
      <c r="AZ328" s="202"/>
      <c r="BA328" s="204"/>
      <c r="BB328" s="202"/>
      <c r="BC328" s="204"/>
      <c r="BD328" s="202"/>
      <c r="BE328" s="208"/>
      <c r="BF328" s="202"/>
      <c r="BG328" s="203">
        <f t="shared" si="7"/>
        <v>0</v>
      </c>
      <c r="BH328" s="202"/>
      <c r="BI328" s="204"/>
      <c r="BJ328" s="202"/>
      <c r="BK328" s="204"/>
      <c r="BL328" s="202"/>
      <c r="BM328" s="204"/>
      <c r="BN328" s="202"/>
      <c r="BO328" s="203">
        <f t="shared" si="8"/>
        <v>0</v>
      </c>
      <c r="BP328" s="202"/>
      <c r="BQ328" s="138"/>
      <c r="BR328" s="128"/>
      <c r="BS328" s="128"/>
      <c r="BT328" s="128"/>
      <c r="BU328" s="128"/>
      <c r="BV328" s="128"/>
      <c r="BW328" s="139"/>
      <c r="BX328" s="140"/>
      <c r="BY328" s="139"/>
      <c r="BZ328" s="139"/>
      <c r="CA328" s="134"/>
      <c r="CB328" s="134"/>
      <c r="CC328" s="134"/>
      <c r="CD328" s="134"/>
      <c r="CE328" s="134"/>
      <c r="CF328" s="134"/>
      <c r="CG328" s="92"/>
      <c r="CH328" s="92"/>
      <c r="CI328" s="92"/>
      <c r="CJ328" s="92"/>
      <c r="CK328" s="92"/>
    </row>
    <row r="329" spans="1:89" ht="17.25" customHeight="1">
      <c r="A329" s="160"/>
      <c r="B329" s="165"/>
      <c r="C329" s="164"/>
      <c r="D329" s="137">
        <f t="shared" si="3"/>
        <v>0</v>
      </c>
      <c r="E329" s="207"/>
      <c r="F329" s="202"/>
      <c r="G329" s="207"/>
      <c r="H329" s="202"/>
      <c r="I329" s="207"/>
      <c r="J329" s="202"/>
      <c r="K329" s="207"/>
      <c r="L329" s="202"/>
      <c r="M329" s="207"/>
      <c r="N329" s="202"/>
      <c r="O329" s="201"/>
      <c r="P329" s="202"/>
      <c r="Q329" s="203">
        <f t="shared" si="4"/>
        <v>0</v>
      </c>
      <c r="R329" s="202"/>
      <c r="S329" s="207"/>
      <c r="T329" s="202"/>
      <c r="U329" s="207"/>
      <c r="V329" s="202"/>
      <c r="W329" s="207"/>
      <c r="X329" s="202"/>
      <c r="Y329" s="207"/>
      <c r="Z329" s="202"/>
      <c r="AA329" s="207"/>
      <c r="AB329" s="202"/>
      <c r="AC329" s="208"/>
      <c r="AD329" s="202"/>
      <c r="AE329" s="203">
        <f t="shared" si="5"/>
        <v>0</v>
      </c>
      <c r="AF329" s="202"/>
      <c r="AG329" s="204"/>
      <c r="AH329" s="202"/>
      <c r="AI329" s="204"/>
      <c r="AJ329" s="202"/>
      <c r="AK329" s="204"/>
      <c r="AL329" s="202"/>
      <c r="AM329" s="204"/>
      <c r="AN329" s="202"/>
      <c r="AO329" s="204"/>
      <c r="AP329" s="202"/>
      <c r="AQ329" s="208"/>
      <c r="AR329" s="202"/>
      <c r="AS329" s="203">
        <f t="shared" si="6"/>
        <v>0</v>
      </c>
      <c r="AT329" s="202"/>
      <c r="AU329" s="204"/>
      <c r="AV329" s="202"/>
      <c r="AW329" s="204"/>
      <c r="AX329" s="202"/>
      <c r="AY329" s="204"/>
      <c r="AZ329" s="202"/>
      <c r="BA329" s="204"/>
      <c r="BB329" s="202"/>
      <c r="BC329" s="204"/>
      <c r="BD329" s="202"/>
      <c r="BE329" s="208"/>
      <c r="BF329" s="202"/>
      <c r="BG329" s="203">
        <f t="shared" si="7"/>
        <v>0</v>
      </c>
      <c r="BH329" s="202"/>
      <c r="BI329" s="204"/>
      <c r="BJ329" s="202"/>
      <c r="BK329" s="204"/>
      <c r="BL329" s="202"/>
      <c r="BM329" s="204"/>
      <c r="BN329" s="202"/>
      <c r="BO329" s="203">
        <f t="shared" si="8"/>
        <v>0</v>
      </c>
      <c r="BP329" s="202"/>
      <c r="BQ329" s="138"/>
      <c r="BR329" s="128"/>
      <c r="BS329" s="128"/>
      <c r="BT329" s="128"/>
      <c r="BU329" s="128"/>
      <c r="BV329" s="128"/>
      <c r="BW329" s="139"/>
      <c r="BX329" s="140"/>
      <c r="BY329" s="139"/>
      <c r="BZ329" s="139"/>
      <c r="CA329" s="134"/>
      <c r="CB329" s="134"/>
      <c r="CC329" s="134"/>
      <c r="CD329" s="134"/>
      <c r="CE329" s="134"/>
      <c r="CF329" s="134"/>
      <c r="CG329" s="92"/>
      <c r="CH329" s="92"/>
      <c r="CI329" s="92"/>
      <c r="CJ329" s="92"/>
      <c r="CK329" s="92"/>
    </row>
    <row r="330" spans="1:89" ht="17.25" customHeight="1">
      <c r="A330" s="160"/>
      <c r="B330" s="165"/>
      <c r="C330" s="164"/>
      <c r="D330" s="137">
        <f t="shared" si="3"/>
        <v>0</v>
      </c>
      <c r="E330" s="207"/>
      <c r="F330" s="202"/>
      <c r="G330" s="207"/>
      <c r="H330" s="202"/>
      <c r="I330" s="207"/>
      <c r="J330" s="202"/>
      <c r="K330" s="207"/>
      <c r="L330" s="202"/>
      <c r="M330" s="207"/>
      <c r="N330" s="202"/>
      <c r="O330" s="201"/>
      <c r="P330" s="202"/>
      <c r="Q330" s="203">
        <f t="shared" si="4"/>
        <v>0</v>
      </c>
      <c r="R330" s="202"/>
      <c r="S330" s="207"/>
      <c r="T330" s="202"/>
      <c r="U330" s="207"/>
      <c r="V330" s="202"/>
      <c r="W330" s="207"/>
      <c r="X330" s="202"/>
      <c r="Y330" s="207"/>
      <c r="Z330" s="202"/>
      <c r="AA330" s="207"/>
      <c r="AB330" s="202"/>
      <c r="AC330" s="208"/>
      <c r="AD330" s="202"/>
      <c r="AE330" s="203">
        <f t="shared" si="5"/>
        <v>0</v>
      </c>
      <c r="AF330" s="202"/>
      <c r="AG330" s="204"/>
      <c r="AH330" s="202"/>
      <c r="AI330" s="204"/>
      <c r="AJ330" s="202"/>
      <c r="AK330" s="204"/>
      <c r="AL330" s="202"/>
      <c r="AM330" s="204"/>
      <c r="AN330" s="202"/>
      <c r="AO330" s="204"/>
      <c r="AP330" s="202"/>
      <c r="AQ330" s="208"/>
      <c r="AR330" s="202"/>
      <c r="AS330" s="203">
        <f t="shared" si="6"/>
        <v>0</v>
      </c>
      <c r="AT330" s="202"/>
      <c r="AU330" s="204"/>
      <c r="AV330" s="202"/>
      <c r="AW330" s="204"/>
      <c r="AX330" s="202"/>
      <c r="AY330" s="204"/>
      <c r="AZ330" s="202"/>
      <c r="BA330" s="204"/>
      <c r="BB330" s="202"/>
      <c r="BC330" s="204"/>
      <c r="BD330" s="202"/>
      <c r="BE330" s="208"/>
      <c r="BF330" s="202"/>
      <c r="BG330" s="203">
        <f t="shared" si="7"/>
        <v>0</v>
      </c>
      <c r="BH330" s="202"/>
      <c r="BI330" s="204"/>
      <c r="BJ330" s="202"/>
      <c r="BK330" s="204"/>
      <c r="BL330" s="202"/>
      <c r="BM330" s="204"/>
      <c r="BN330" s="202"/>
      <c r="BO330" s="203">
        <f t="shared" si="8"/>
        <v>0</v>
      </c>
      <c r="BP330" s="202"/>
      <c r="BQ330" s="138"/>
      <c r="BR330" s="128"/>
      <c r="BS330" s="128"/>
      <c r="BT330" s="128"/>
      <c r="BU330" s="128"/>
      <c r="BV330" s="128"/>
      <c r="BW330" s="139"/>
      <c r="BX330" s="140"/>
      <c r="BY330" s="139"/>
      <c r="BZ330" s="139"/>
      <c r="CA330" s="134"/>
      <c r="CB330" s="134"/>
      <c r="CC330" s="134"/>
      <c r="CD330" s="134"/>
      <c r="CE330" s="134"/>
      <c r="CF330" s="134"/>
      <c r="CG330" s="92"/>
      <c r="CH330" s="92"/>
      <c r="CI330" s="92"/>
      <c r="CJ330" s="92"/>
      <c r="CK330" s="92"/>
    </row>
    <row r="331" spans="1:89" ht="17.25" customHeight="1">
      <c r="A331" s="160"/>
      <c r="B331" s="165"/>
      <c r="C331" s="164"/>
      <c r="D331" s="137">
        <f t="shared" si="3"/>
        <v>0</v>
      </c>
      <c r="E331" s="207"/>
      <c r="F331" s="202"/>
      <c r="G331" s="207"/>
      <c r="H331" s="202"/>
      <c r="I331" s="207"/>
      <c r="J331" s="202"/>
      <c r="K331" s="207"/>
      <c r="L331" s="202"/>
      <c r="M331" s="207"/>
      <c r="N331" s="202"/>
      <c r="O331" s="201"/>
      <c r="P331" s="202"/>
      <c r="Q331" s="203">
        <f t="shared" si="4"/>
        <v>0</v>
      </c>
      <c r="R331" s="202"/>
      <c r="S331" s="207"/>
      <c r="T331" s="202"/>
      <c r="U331" s="207"/>
      <c r="V331" s="202"/>
      <c r="W331" s="207"/>
      <c r="X331" s="202"/>
      <c r="Y331" s="207"/>
      <c r="Z331" s="202"/>
      <c r="AA331" s="207"/>
      <c r="AB331" s="202"/>
      <c r="AC331" s="208"/>
      <c r="AD331" s="202"/>
      <c r="AE331" s="203">
        <f t="shared" si="5"/>
        <v>0</v>
      </c>
      <c r="AF331" s="202"/>
      <c r="AG331" s="204"/>
      <c r="AH331" s="202"/>
      <c r="AI331" s="204"/>
      <c r="AJ331" s="202"/>
      <c r="AK331" s="204"/>
      <c r="AL331" s="202"/>
      <c r="AM331" s="204"/>
      <c r="AN331" s="202"/>
      <c r="AO331" s="204"/>
      <c r="AP331" s="202"/>
      <c r="AQ331" s="208"/>
      <c r="AR331" s="202"/>
      <c r="AS331" s="203">
        <f t="shared" si="6"/>
        <v>0</v>
      </c>
      <c r="AT331" s="202"/>
      <c r="AU331" s="204"/>
      <c r="AV331" s="202"/>
      <c r="AW331" s="204"/>
      <c r="AX331" s="202"/>
      <c r="AY331" s="204"/>
      <c r="AZ331" s="202"/>
      <c r="BA331" s="204"/>
      <c r="BB331" s="202"/>
      <c r="BC331" s="204"/>
      <c r="BD331" s="202"/>
      <c r="BE331" s="208"/>
      <c r="BF331" s="202"/>
      <c r="BG331" s="203">
        <f t="shared" si="7"/>
        <v>0</v>
      </c>
      <c r="BH331" s="202"/>
      <c r="BI331" s="204"/>
      <c r="BJ331" s="202"/>
      <c r="BK331" s="204"/>
      <c r="BL331" s="202"/>
      <c r="BM331" s="204"/>
      <c r="BN331" s="202"/>
      <c r="BO331" s="203">
        <f t="shared" si="8"/>
        <v>0</v>
      </c>
      <c r="BP331" s="202"/>
      <c r="BQ331" s="138"/>
      <c r="BR331" s="128"/>
      <c r="BS331" s="128"/>
      <c r="BT331" s="128"/>
      <c r="BU331" s="128"/>
      <c r="BV331" s="128"/>
      <c r="BW331" s="139"/>
      <c r="BX331" s="140"/>
      <c r="BY331" s="139"/>
      <c r="BZ331" s="139"/>
      <c r="CA331" s="134"/>
      <c r="CB331" s="134"/>
      <c r="CC331" s="134"/>
      <c r="CD331" s="134"/>
      <c r="CE331" s="134"/>
      <c r="CF331" s="134"/>
      <c r="CG331" s="92"/>
      <c r="CH331" s="92"/>
      <c r="CI331" s="92"/>
      <c r="CJ331" s="92"/>
      <c r="CK331" s="92"/>
    </row>
    <row r="332" spans="1:89" ht="17.25" customHeight="1">
      <c r="A332" s="160"/>
      <c r="B332" s="165"/>
      <c r="C332" s="164"/>
      <c r="D332" s="137">
        <f t="shared" si="3"/>
        <v>0</v>
      </c>
      <c r="E332" s="207"/>
      <c r="F332" s="202"/>
      <c r="G332" s="207"/>
      <c r="H332" s="202"/>
      <c r="I332" s="207"/>
      <c r="J332" s="202"/>
      <c r="K332" s="207"/>
      <c r="L332" s="202"/>
      <c r="M332" s="207"/>
      <c r="N332" s="202"/>
      <c r="O332" s="201"/>
      <c r="P332" s="202"/>
      <c r="Q332" s="203">
        <f t="shared" si="4"/>
        <v>0</v>
      </c>
      <c r="R332" s="202"/>
      <c r="S332" s="207"/>
      <c r="T332" s="202"/>
      <c r="U332" s="207"/>
      <c r="V332" s="202"/>
      <c r="W332" s="207"/>
      <c r="X332" s="202"/>
      <c r="Y332" s="207"/>
      <c r="Z332" s="202"/>
      <c r="AA332" s="207"/>
      <c r="AB332" s="202"/>
      <c r="AC332" s="208"/>
      <c r="AD332" s="202"/>
      <c r="AE332" s="203">
        <f t="shared" si="5"/>
        <v>0</v>
      </c>
      <c r="AF332" s="202"/>
      <c r="AG332" s="204"/>
      <c r="AH332" s="202"/>
      <c r="AI332" s="204"/>
      <c r="AJ332" s="202"/>
      <c r="AK332" s="204"/>
      <c r="AL332" s="202"/>
      <c r="AM332" s="204"/>
      <c r="AN332" s="202"/>
      <c r="AO332" s="204"/>
      <c r="AP332" s="202"/>
      <c r="AQ332" s="208"/>
      <c r="AR332" s="202"/>
      <c r="AS332" s="203">
        <f t="shared" si="6"/>
        <v>0</v>
      </c>
      <c r="AT332" s="202"/>
      <c r="AU332" s="204"/>
      <c r="AV332" s="202"/>
      <c r="AW332" s="204"/>
      <c r="AX332" s="202"/>
      <c r="AY332" s="204"/>
      <c r="AZ332" s="202"/>
      <c r="BA332" s="204"/>
      <c r="BB332" s="202"/>
      <c r="BC332" s="204"/>
      <c r="BD332" s="202"/>
      <c r="BE332" s="208"/>
      <c r="BF332" s="202"/>
      <c r="BG332" s="203">
        <f t="shared" si="7"/>
        <v>0</v>
      </c>
      <c r="BH332" s="202"/>
      <c r="BI332" s="204"/>
      <c r="BJ332" s="202"/>
      <c r="BK332" s="204"/>
      <c r="BL332" s="202"/>
      <c r="BM332" s="204"/>
      <c r="BN332" s="202"/>
      <c r="BO332" s="203">
        <f t="shared" si="8"/>
        <v>0</v>
      </c>
      <c r="BP332" s="202"/>
      <c r="BQ332" s="138"/>
      <c r="BR332" s="128"/>
      <c r="BS332" s="128"/>
      <c r="BT332" s="128"/>
      <c r="BU332" s="128"/>
      <c r="BV332" s="128"/>
      <c r="BW332" s="139"/>
      <c r="BX332" s="140"/>
      <c r="BY332" s="139"/>
      <c r="BZ332" s="139"/>
      <c r="CA332" s="134"/>
      <c r="CB332" s="134"/>
      <c r="CC332" s="134"/>
      <c r="CD332" s="134"/>
      <c r="CE332" s="134"/>
      <c r="CF332" s="134"/>
      <c r="CG332" s="92"/>
      <c r="CH332" s="92"/>
      <c r="CI332" s="92"/>
      <c r="CJ332" s="92"/>
      <c r="CK332" s="92"/>
    </row>
    <row r="333" spans="1:89" ht="17.25" customHeight="1">
      <c r="A333" s="160"/>
      <c r="B333" s="165"/>
      <c r="C333" s="164"/>
      <c r="D333" s="137">
        <f t="shared" si="3"/>
        <v>0</v>
      </c>
      <c r="E333" s="207"/>
      <c r="F333" s="202"/>
      <c r="G333" s="207"/>
      <c r="H333" s="202"/>
      <c r="I333" s="207"/>
      <c r="J333" s="202"/>
      <c r="K333" s="207"/>
      <c r="L333" s="202"/>
      <c r="M333" s="207"/>
      <c r="N333" s="202"/>
      <c r="O333" s="201"/>
      <c r="P333" s="202"/>
      <c r="Q333" s="203">
        <f t="shared" si="4"/>
        <v>0</v>
      </c>
      <c r="R333" s="202"/>
      <c r="S333" s="207"/>
      <c r="T333" s="202"/>
      <c r="U333" s="207"/>
      <c r="V333" s="202"/>
      <c r="W333" s="207"/>
      <c r="X333" s="202"/>
      <c r="Y333" s="207"/>
      <c r="Z333" s="202"/>
      <c r="AA333" s="207"/>
      <c r="AB333" s="202"/>
      <c r="AC333" s="208"/>
      <c r="AD333" s="202"/>
      <c r="AE333" s="203">
        <f t="shared" si="5"/>
        <v>0</v>
      </c>
      <c r="AF333" s="202"/>
      <c r="AG333" s="204"/>
      <c r="AH333" s="202"/>
      <c r="AI333" s="204"/>
      <c r="AJ333" s="202"/>
      <c r="AK333" s="204"/>
      <c r="AL333" s="202"/>
      <c r="AM333" s="204"/>
      <c r="AN333" s="202"/>
      <c r="AO333" s="204"/>
      <c r="AP333" s="202"/>
      <c r="AQ333" s="208"/>
      <c r="AR333" s="202"/>
      <c r="AS333" s="203">
        <f t="shared" si="6"/>
        <v>0</v>
      </c>
      <c r="AT333" s="202"/>
      <c r="AU333" s="204"/>
      <c r="AV333" s="202"/>
      <c r="AW333" s="204"/>
      <c r="AX333" s="202"/>
      <c r="AY333" s="204"/>
      <c r="AZ333" s="202"/>
      <c r="BA333" s="204"/>
      <c r="BB333" s="202"/>
      <c r="BC333" s="204"/>
      <c r="BD333" s="202"/>
      <c r="BE333" s="208"/>
      <c r="BF333" s="202"/>
      <c r="BG333" s="203">
        <f t="shared" si="7"/>
        <v>0</v>
      </c>
      <c r="BH333" s="202"/>
      <c r="BI333" s="204"/>
      <c r="BJ333" s="202"/>
      <c r="BK333" s="204"/>
      <c r="BL333" s="202"/>
      <c r="BM333" s="204"/>
      <c r="BN333" s="202"/>
      <c r="BO333" s="203">
        <f t="shared" si="8"/>
        <v>0</v>
      </c>
      <c r="BP333" s="202"/>
      <c r="BQ333" s="138"/>
      <c r="BR333" s="128"/>
      <c r="BS333" s="128"/>
      <c r="BT333" s="128"/>
      <c r="BU333" s="128"/>
      <c r="BV333" s="128"/>
      <c r="BW333" s="139"/>
      <c r="BX333" s="140"/>
      <c r="BY333" s="139"/>
      <c r="BZ333" s="139"/>
      <c r="CA333" s="134"/>
      <c r="CB333" s="134"/>
      <c r="CC333" s="134"/>
      <c r="CD333" s="134"/>
      <c r="CE333" s="134"/>
      <c r="CF333" s="134"/>
      <c r="CG333" s="92"/>
      <c r="CH333" s="92"/>
      <c r="CI333" s="92"/>
      <c r="CJ333" s="92"/>
      <c r="CK333" s="92"/>
    </row>
    <row r="334" spans="1:89" ht="17.25" customHeight="1">
      <c r="A334" s="160"/>
      <c r="B334" s="165"/>
      <c r="C334" s="164"/>
      <c r="D334" s="137">
        <f t="shared" si="3"/>
        <v>0</v>
      </c>
      <c r="E334" s="207"/>
      <c r="F334" s="202"/>
      <c r="G334" s="207"/>
      <c r="H334" s="202"/>
      <c r="I334" s="207"/>
      <c r="J334" s="202"/>
      <c r="K334" s="207"/>
      <c r="L334" s="202"/>
      <c r="M334" s="207"/>
      <c r="N334" s="202"/>
      <c r="O334" s="201"/>
      <c r="P334" s="202"/>
      <c r="Q334" s="203">
        <f t="shared" si="4"/>
        <v>0</v>
      </c>
      <c r="R334" s="202"/>
      <c r="S334" s="207"/>
      <c r="T334" s="202"/>
      <c r="U334" s="207"/>
      <c r="V334" s="202"/>
      <c r="W334" s="207"/>
      <c r="X334" s="202"/>
      <c r="Y334" s="207"/>
      <c r="Z334" s="202"/>
      <c r="AA334" s="207"/>
      <c r="AB334" s="202"/>
      <c r="AC334" s="208"/>
      <c r="AD334" s="202"/>
      <c r="AE334" s="203">
        <f t="shared" si="5"/>
        <v>0</v>
      </c>
      <c r="AF334" s="202"/>
      <c r="AG334" s="204"/>
      <c r="AH334" s="202"/>
      <c r="AI334" s="204"/>
      <c r="AJ334" s="202"/>
      <c r="AK334" s="204"/>
      <c r="AL334" s="202"/>
      <c r="AM334" s="204"/>
      <c r="AN334" s="202"/>
      <c r="AO334" s="204"/>
      <c r="AP334" s="202"/>
      <c r="AQ334" s="208"/>
      <c r="AR334" s="202"/>
      <c r="AS334" s="203">
        <f t="shared" si="6"/>
        <v>0</v>
      </c>
      <c r="AT334" s="202"/>
      <c r="AU334" s="204"/>
      <c r="AV334" s="202"/>
      <c r="AW334" s="204"/>
      <c r="AX334" s="202"/>
      <c r="AY334" s="204"/>
      <c r="AZ334" s="202"/>
      <c r="BA334" s="204"/>
      <c r="BB334" s="202"/>
      <c r="BC334" s="204"/>
      <c r="BD334" s="202"/>
      <c r="BE334" s="208"/>
      <c r="BF334" s="202"/>
      <c r="BG334" s="203">
        <f t="shared" si="7"/>
        <v>0</v>
      </c>
      <c r="BH334" s="202"/>
      <c r="BI334" s="204"/>
      <c r="BJ334" s="202"/>
      <c r="BK334" s="204"/>
      <c r="BL334" s="202"/>
      <c r="BM334" s="204"/>
      <c r="BN334" s="202"/>
      <c r="BO334" s="203">
        <f t="shared" si="8"/>
        <v>0</v>
      </c>
      <c r="BP334" s="202"/>
      <c r="BQ334" s="138"/>
      <c r="BR334" s="128"/>
      <c r="BS334" s="128"/>
      <c r="BT334" s="128"/>
      <c r="BU334" s="128"/>
      <c r="BV334" s="128"/>
      <c r="BW334" s="139"/>
      <c r="BX334" s="140"/>
      <c r="BY334" s="139"/>
      <c r="BZ334" s="139"/>
      <c r="CA334" s="134"/>
      <c r="CB334" s="134"/>
      <c r="CC334" s="134"/>
      <c r="CD334" s="134"/>
      <c r="CE334" s="134"/>
      <c r="CF334" s="134"/>
      <c r="CG334" s="92"/>
      <c r="CH334" s="92"/>
      <c r="CI334" s="92"/>
      <c r="CJ334" s="92"/>
      <c r="CK334" s="92"/>
    </row>
    <row r="335" spans="1:89" ht="17.25" customHeight="1">
      <c r="A335" s="160"/>
      <c r="B335" s="165"/>
      <c r="C335" s="164"/>
      <c r="D335" s="137">
        <f t="shared" si="3"/>
        <v>0</v>
      </c>
      <c r="E335" s="207"/>
      <c r="F335" s="202"/>
      <c r="G335" s="207"/>
      <c r="H335" s="202"/>
      <c r="I335" s="207"/>
      <c r="J335" s="202"/>
      <c r="K335" s="207"/>
      <c r="L335" s="202"/>
      <c r="M335" s="207"/>
      <c r="N335" s="202"/>
      <c r="O335" s="201"/>
      <c r="P335" s="202"/>
      <c r="Q335" s="203">
        <f t="shared" si="4"/>
        <v>0</v>
      </c>
      <c r="R335" s="202"/>
      <c r="S335" s="207"/>
      <c r="T335" s="202"/>
      <c r="U335" s="207"/>
      <c r="V335" s="202"/>
      <c r="W335" s="207"/>
      <c r="X335" s="202"/>
      <c r="Y335" s="207"/>
      <c r="Z335" s="202"/>
      <c r="AA335" s="207"/>
      <c r="AB335" s="202"/>
      <c r="AC335" s="208"/>
      <c r="AD335" s="202"/>
      <c r="AE335" s="203">
        <f t="shared" si="5"/>
        <v>0</v>
      </c>
      <c r="AF335" s="202"/>
      <c r="AG335" s="204"/>
      <c r="AH335" s="202"/>
      <c r="AI335" s="204"/>
      <c r="AJ335" s="202"/>
      <c r="AK335" s="204"/>
      <c r="AL335" s="202"/>
      <c r="AM335" s="204"/>
      <c r="AN335" s="202"/>
      <c r="AO335" s="204"/>
      <c r="AP335" s="202"/>
      <c r="AQ335" s="208"/>
      <c r="AR335" s="202"/>
      <c r="AS335" s="203">
        <f t="shared" si="6"/>
        <v>0</v>
      </c>
      <c r="AT335" s="202"/>
      <c r="AU335" s="204"/>
      <c r="AV335" s="202"/>
      <c r="AW335" s="204"/>
      <c r="AX335" s="202"/>
      <c r="AY335" s="204"/>
      <c r="AZ335" s="202"/>
      <c r="BA335" s="204"/>
      <c r="BB335" s="202"/>
      <c r="BC335" s="204"/>
      <c r="BD335" s="202"/>
      <c r="BE335" s="208"/>
      <c r="BF335" s="202"/>
      <c r="BG335" s="203">
        <f t="shared" si="7"/>
        <v>0</v>
      </c>
      <c r="BH335" s="202"/>
      <c r="BI335" s="204"/>
      <c r="BJ335" s="202"/>
      <c r="BK335" s="204"/>
      <c r="BL335" s="202"/>
      <c r="BM335" s="204"/>
      <c r="BN335" s="202"/>
      <c r="BO335" s="203">
        <f t="shared" si="8"/>
        <v>0</v>
      </c>
      <c r="BP335" s="202"/>
      <c r="BQ335" s="138"/>
      <c r="BR335" s="128"/>
      <c r="BS335" s="128"/>
      <c r="BT335" s="128"/>
      <c r="BU335" s="128"/>
      <c r="BV335" s="128"/>
      <c r="BW335" s="139"/>
      <c r="BX335" s="140"/>
      <c r="BY335" s="139"/>
      <c r="BZ335" s="139"/>
      <c r="CA335" s="134"/>
      <c r="CB335" s="134"/>
      <c r="CC335" s="134"/>
      <c r="CD335" s="134"/>
      <c r="CE335" s="134"/>
      <c r="CF335" s="134"/>
      <c r="CG335" s="92"/>
      <c r="CH335" s="92"/>
      <c r="CI335" s="92"/>
      <c r="CJ335" s="92"/>
      <c r="CK335" s="92"/>
    </row>
    <row r="336" spans="1:89" ht="17.25" customHeight="1">
      <c r="A336" s="160"/>
      <c r="B336" s="165"/>
      <c r="C336" s="164"/>
      <c r="D336" s="137">
        <f t="shared" si="3"/>
        <v>0</v>
      </c>
      <c r="E336" s="207"/>
      <c r="F336" s="202"/>
      <c r="G336" s="207"/>
      <c r="H336" s="202"/>
      <c r="I336" s="207"/>
      <c r="J336" s="202"/>
      <c r="K336" s="207"/>
      <c r="L336" s="202"/>
      <c r="M336" s="207"/>
      <c r="N336" s="202"/>
      <c r="O336" s="201"/>
      <c r="P336" s="202"/>
      <c r="Q336" s="203">
        <f t="shared" si="4"/>
        <v>0</v>
      </c>
      <c r="R336" s="202"/>
      <c r="S336" s="207"/>
      <c r="T336" s="202"/>
      <c r="U336" s="207"/>
      <c r="V336" s="202"/>
      <c r="W336" s="207"/>
      <c r="X336" s="202"/>
      <c r="Y336" s="207"/>
      <c r="Z336" s="202"/>
      <c r="AA336" s="207"/>
      <c r="AB336" s="202"/>
      <c r="AC336" s="208"/>
      <c r="AD336" s="202"/>
      <c r="AE336" s="203">
        <f t="shared" si="5"/>
        <v>0</v>
      </c>
      <c r="AF336" s="202"/>
      <c r="AG336" s="204"/>
      <c r="AH336" s="202"/>
      <c r="AI336" s="204"/>
      <c r="AJ336" s="202"/>
      <c r="AK336" s="204"/>
      <c r="AL336" s="202"/>
      <c r="AM336" s="204"/>
      <c r="AN336" s="202"/>
      <c r="AO336" s="204"/>
      <c r="AP336" s="202"/>
      <c r="AQ336" s="208"/>
      <c r="AR336" s="202"/>
      <c r="AS336" s="203">
        <f t="shared" si="6"/>
        <v>0</v>
      </c>
      <c r="AT336" s="202"/>
      <c r="AU336" s="204"/>
      <c r="AV336" s="202"/>
      <c r="AW336" s="204"/>
      <c r="AX336" s="202"/>
      <c r="AY336" s="204"/>
      <c r="AZ336" s="202"/>
      <c r="BA336" s="204"/>
      <c r="BB336" s="202"/>
      <c r="BC336" s="204"/>
      <c r="BD336" s="202"/>
      <c r="BE336" s="208"/>
      <c r="BF336" s="202"/>
      <c r="BG336" s="203">
        <f t="shared" si="7"/>
        <v>0</v>
      </c>
      <c r="BH336" s="202"/>
      <c r="BI336" s="204"/>
      <c r="BJ336" s="202"/>
      <c r="BK336" s="204"/>
      <c r="BL336" s="202"/>
      <c r="BM336" s="204"/>
      <c r="BN336" s="202"/>
      <c r="BO336" s="203">
        <f t="shared" si="8"/>
        <v>0</v>
      </c>
      <c r="BP336" s="202"/>
      <c r="BQ336" s="138"/>
      <c r="BR336" s="128"/>
      <c r="BS336" s="128"/>
      <c r="BT336" s="128"/>
      <c r="BU336" s="128"/>
      <c r="BV336" s="128"/>
      <c r="BW336" s="139"/>
      <c r="BX336" s="140"/>
      <c r="BY336" s="139"/>
      <c r="BZ336" s="139"/>
      <c r="CA336" s="134"/>
      <c r="CB336" s="134"/>
      <c r="CC336" s="134"/>
      <c r="CD336" s="134"/>
      <c r="CE336" s="134"/>
      <c r="CF336" s="134"/>
      <c r="CG336" s="92"/>
      <c r="CH336" s="92"/>
      <c r="CI336" s="92"/>
      <c r="CJ336" s="92"/>
      <c r="CK336" s="92"/>
    </row>
    <row r="337" spans="1:89" ht="17.25" customHeight="1">
      <c r="A337" s="160"/>
      <c r="B337" s="165"/>
      <c r="C337" s="164"/>
      <c r="D337" s="137">
        <f t="shared" si="3"/>
        <v>0</v>
      </c>
      <c r="E337" s="207"/>
      <c r="F337" s="202"/>
      <c r="G337" s="207"/>
      <c r="H337" s="202"/>
      <c r="I337" s="207"/>
      <c r="J337" s="202"/>
      <c r="K337" s="207"/>
      <c r="L337" s="202"/>
      <c r="M337" s="207"/>
      <c r="N337" s="202"/>
      <c r="O337" s="201"/>
      <c r="P337" s="202"/>
      <c r="Q337" s="203">
        <f t="shared" si="4"/>
        <v>0</v>
      </c>
      <c r="R337" s="202"/>
      <c r="S337" s="207"/>
      <c r="T337" s="202"/>
      <c r="U337" s="207"/>
      <c r="V337" s="202"/>
      <c r="W337" s="207"/>
      <c r="X337" s="202"/>
      <c r="Y337" s="207"/>
      <c r="Z337" s="202"/>
      <c r="AA337" s="207"/>
      <c r="AB337" s="202"/>
      <c r="AC337" s="208"/>
      <c r="AD337" s="202"/>
      <c r="AE337" s="203">
        <f t="shared" si="5"/>
        <v>0</v>
      </c>
      <c r="AF337" s="202"/>
      <c r="AG337" s="204"/>
      <c r="AH337" s="202"/>
      <c r="AI337" s="204"/>
      <c r="AJ337" s="202"/>
      <c r="AK337" s="204"/>
      <c r="AL337" s="202"/>
      <c r="AM337" s="204"/>
      <c r="AN337" s="202"/>
      <c r="AO337" s="204"/>
      <c r="AP337" s="202"/>
      <c r="AQ337" s="208"/>
      <c r="AR337" s="202"/>
      <c r="AS337" s="203">
        <f t="shared" si="6"/>
        <v>0</v>
      </c>
      <c r="AT337" s="202"/>
      <c r="AU337" s="204"/>
      <c r="AV337" s="202"/>
      <c r="AW337" s="204"/>
      <c r="AX337" s="202"/>
      <c r="AY337" s="204"/>
      <c r="AZ337" s="202"/>
      <c r="BA337" s="204"/>
      <c r="BB337" s="202"/>
      <c r="BC337" s="204"/>
      <c r="BD337" s="202"/>
      <c r="BE337" s="208"/>
      <c r="BF337" s="202"/>
      <c r="BG337" s="203">
        <f t="shared" si="7"/>
        <v>0</v>
      </c>
      <c r="BH337" s="202"/>
      <c r="BI337" s="204"/>
      <c r="BJ337" s="202"/>
      <c r="BK337" s="204"/>
      <c r="BL337" s="202"/>
      <c r="BM337" s="204"/>
      <c r="BN337" s="202"/>
      <c r="BO337" s="203">
        <f t="shared" si="8"/>
        <v>0</v>
      </c>
      <c r="BP337" s="202"/>
      <c r="BQ337" s="138"/>
      <c r="BR337" s="128"/>
      <c r="BS337" s="128"/>
      <c r="BT337" s="128"/>
      <c r="BU337" s="128"/>
      <c r="BV337" s="128"/>
      <c r="BW337" s="139"/>
      <c r="BX337" s="140"/>
      <c r="BY337" s="139"/>
      <c r="BZ337" s="139"/>
      <c r="CA337" s="134"/>
      <c r="CB337" s="134"/>
      <c r="CC337" s="134"/>
      <c r="CD337" s="134"/>
      <c r="CE337" s="134"/>
      <c r="CF337" s="134"/>
      <c r="CG337" s="92"/>
      <c r="CH337" s="92"/>
      <c r="CI337" s="92"/>
      <c r="CJ337" s="92"/>
      <c r="CK337" s="92"/>
    </row>
    <row r="338" spans="1:89" ht="17.25" customHeight="1">
      <c r="A338" s="160"/>
      <c r="B338" s="165"/>
      <c r="C338" s="164"/>
      <c r="D338" s="137">
        <f t="shared" si="3"/>
        <v>0</v>
      </c>
      <c r="E338" s="207"/>
      <c r="F338" s="202"/>
      <c r="G338" s="207"/>
      <c r="H338" s="202"/>
      <c r="I338" s="207"/>
      <c r="J338" s="202"/>
      <c r="K338" s="207"/>
      <c r="L338" s="202"/>
      <c r="M338" s="207"/>
      <c r="N338" s="202"/>
      <c r="O338" s="201"/>
      <c r="P338" s="202"/>
      <c r="Q338" s="203">
        <f t="shared" si="4"/>
        <v>0</v>
      </c>
      <c r="R338" s="202"/>
      <c r="S338" s="207"/>
      <c r="T338" s="202"/>
      <c r="U338" s="207"/>
      <c r="V338" s="202"/>
      <c r="W338" s="207"/>
      <c r="X338" s="202"/>
      <c r="Y338" s="207"/>
      <c r="Z338" s="202"/>
      <c r="AA338" s="207"/>
      <c r="AB338" s="202"/>
      <c r="AC338" s="208"/>
      <c r="AD338" s="202"/>
      <c r="AE338" s="203">
        <f t="shared" si="5"/>
        <v>0</v>
      </c>
      <c r="AF338" s="202"/>
      <c r="AG338" s="204"/>
      <c r="AH338" s="202"/>
      <c r="AI338" s="204"/>
      <c r="AJ338" s="202"/>
      <c r="AK338" s="204"/>
      <c r="AL338" s="202"/>
      <c r="AM338" s="204"/>
      <c r="AN338" s="202"/>
      <c r="AO338" s="204"/>
      <c r="AP338" s="202"/>
      <c r="AQ338" s="208"/>
      <c r="AR338" s="202"/>
      <c r="AS338" s="203">
        <f t="shared" si="6"/>
        <v>0</v>
      </c>
      <c r="AT338" s="202"/>
      <c r="AU338" s="204"/>
      <c r="AV338" s="202"/>
      <c r="AW338" s="204"/>
      <c r="AX338" s="202"/>
      <c r="AY338" s="204"/>
      <c r="AZ338" s="202"/>
      <c r="BA338" s="204"/>
      <c r="BB338" s="202"/>
      <c r="BC338" s="204"/>
      <c r="BD338" s="202"/>
      <c r="BE338" s="208"/>
      <c r="BF338" s="202"/>
      <c r="BG338" s="203">
        <f t="shared" si="7"/>
        <v>0</v>
      </c>
      <c r="BH338" s="202"/>
      <c r="BI338" s="204"/>
      <c r="BJ338" s="202"/>
      <c r="BK338" s="204"/>
      <c r="BL338" s="202"/>
      <c r="BM338" s="204"/>
      <c r="BN338" s="202"/>
      <c r="BO338" s="203">
        <f t="shared" si="8"/>
        <v>0</v>
      </c>
      <c r="BP338" s="202"/>
      <c r="BQ338" s="138"/>
      <c r="BR338" s="128"/>
      <c r="BS338" s="128"/>
      <c r="BT338" s="128"/>
      <c r="BU338" s="128"/>
      <c r="BV338" s="128"/>
      <c r="BW338" s="139"/>
      <c r="BX338" s="140"/>
      <c r="BY338" s="139"/>
      <c r="BZ338" s="139"/>
      <c r="CA338" s="134"/>
      <c r="CB338" s="134"/>
      <c r="CC338" s="134"/>
      <c r="CD338" s="134"/>
      <c r="CE338" s="134"/>
      <c r="CF338" s="134"/>
      <c r="CG338" s="92"/>
      <c r="CH338" s="92"/>
      <c r="CI338" s="92"/>
      <c r="CJ338" s="92"/>
      <c r="CK338" s="92"/>
    </row>
    <row r="339" spans="1:89" ht="17.25" customHeight="1">
      <c r="A339" s="160"/>
      <c r="B339" s="165"/>
      <c r="C339" s="164"/>
      <c r="D339" s="137">
        <f t="shared" si="3"/>
        <v>0</v>
      </c>
      <c r="E339" s="207"/>
      <c r="F339" s="202"/>
      <c r="G339" s="207"/>
      <c r="H339" s="202"/>
      <c r="I339" s="207"/>
      <c r="J339" s="202"/>
      <c r="K339" s="207"/>
      <c r="L339" s="202"/>
      <c r="M339" s="207"/>
      <c r="N339" s="202"/>
      <c r="O339" s="201"/>
      <c r="P339" s="202"/>
      <c r="Q339" s="203">
        <f t="shared" si="4"/>
        <v>0</v>
      </c>
      <c r="R339" s="202"/>
      <c r="S339" s="207"/>
      <c r="T339" s="202"/>
      <c r="U339" s="207"/>
      <c r="V339" s="202"/>
      <c r="W339" s="207"/>
      <c r="X339" s="202"/>
      <c r="Y339" s="207"/>
      <c r="Z339" s="202"/>
      <c r="AA339" s="207"/>
      <c r="AB339" s="202"/>
      <c r="AC339" s="208"/>
      <c r="AD339" s="202"/>
      <c r="AE339" s="203">
        <f t="shared" si="5"/>
        <v>0</v>
      </c>
      <c r="AF339" s="202"/>
      <c r="AG339" s="204"/>
      <c r="AH339" s="202"/>
      <c r="AI339" s="204"/>
      <c r="AJ339" s="202"/>
      <c r="AK339" s="204"/>
      <c r="AL339" s="202"/>
      <c r="AM339" s="204"/>
      <c r="AN339" s="202"/>
      <c r="AO339" s="204"/>
      <c r="AP339" s="202"/>
      <c r="AQ339" s="208"/>
      <c r="AR339" s="202"/>
      <c r="AS339" s="203">
        <f t="shared" si="6"/>
        <v>0</v>
      </c>
      <c r="AT339" s="202"/>
      <c r="AU339" s="204"/>
      <c r="AV339" s="202"/>
      <c r="AW339" s="204"/>
      <c r="AX339" s="202"/>
      <c r="AY339" s="204"/>
      <c r="AZ339" s="202"/>
      <c r="BA339" s="204"/>
      <c r="BB339" s="202"/>
      <c r="BC339" s="204"/>
      <c r="BD339" s="202"/>
      <c r="BE339" s="208"/>
      <c r="BF339" s="202"/>
      <c r="BG339" s="203">
        <f t="shared" si="7"/>
        <v>0</v>
      </c>
      <c r="BH339" s="202"/>
      <c r="BI339" s="204"/>
      <c r="BJ339" s="202"/>
      <c r="BK339" s="204"/>
      <c r="BL339" s="202"/>
      <c r="BM339" s="204"/>
      <c r="BN339" s="202"/>
      <c r="BO339" s="203">
        <f t="shared" si="8"/>
        <v>0</v>
      </c>
      <c r="BP339" s="202"/>
      <c r="BQ339" s="138"/>
      <c r="BR339" s="128"/>
      <c r="BS339" s="128"/>
      <c r="BT339" s="128"/>
      <c r="BU339" s="128"/>
      <c r="BV339" s="128"/>
      <c r="BW339" s="139"/>
      <c r="BX339" s="140"/>
      <c r="BY339" s="139"/>
      <c r="BZ339" s="139"/>
      <c r="CA339" s="134"/>
      <c r="CB339" s="134"/>
      <c r="CC339" s="134"/>
      <c r="CD339" s="134"/>
      <c r="CE339" s="134"/>
      <c r="CF339" s="134"/>
      <c r="CG339" s="92"/>
      <c r="CH339" s="92"/>
      <c r="CI339" s="92"/>
      <c r="CJ339" s="92"/>
      <c r="CK339" s="92"/>
    </row>
    <row r="340" spans="1:89" ht="17.25" customHeight="1">
      <c r="A340" s="160"/>
      <c r="B340" s="165"/>
      <c r="C340" s="164"/>
      <c r="D340" s="137">
        <f t="shared" si="3"/>
        <v>0</v>
      </c>
      <c r="E340" s="207"/>
      <c r="F340" s="202"/>
      <c r="G340" s="207"/>
      <c r="H340" s="202"/>
      <c r="I340" s="207"/>
      <c r="J340" s="202"/>
      <c r="K340" s="207"/>
      <c r="L340" s="202"/>
      <c r="M340" s="207"/>
      <c r="N340" s="202"/>
      <c r="O340" s="201"/>
      <c r="P340" s="202"/>
      <c r="Q340" s="203">
        <f t="shared" si="4"/>
        <v>0</v>
      </c>
      <c r="R340" s="202"/>
      <c r="S340" s="207"/>
      <c r="T340" s="202"/>
      <c r="U340" s="207"/>
      <c r="V340" s="202"/>
      <c r="W340" s="207"/>
      <c r="X340" s="202"/>
      <c r="Y340" s="207"/>
      <c r="Z340" s="202"/>
      <c r="AA340" s="207"/>
      <c r="AB340" s="202"/>
      <c r="AC340" s="208"/>
      <c r="AD340" s="202"/>
      <c r="AE340" s="203">
        <f t="shared" si="5"/>
        <v>0</v>
      </c>
      <c r="AF340" s="202"/>
      <c r="AG340" s="204"/>
      <c r="AH340" s="202"/>
      <c r="AI340" s="204"/>
      <c r="AJ340" s="202"/>
      <c r="AK340" s="204"/>
      <c r="AL340" s="202"/>
      <c r="AM340" s="204"/>
      <c r="AN340" s="202"/>
      <c r="AO340" s="204"/>
      <c r="AP340" s="202"/>
      <c r="AQ340" s="208"/>
      <c r="AR340" s="202"/>
      <c r="AS340" s="203">
        <f t="shared" si="6"/>
        <v>0</v>
      </c>
      <c r="AT340" s="202"/>
      <c r="AU340" s="204"/>
      <c r="AV340" s="202"/>
      <c r="AW340" s="204"/>
      <c r="AX340" s="202"/>
      <c r="AY340" s="204"/>
      <c r="AZ340" s="202"/>
      <c r="BA340" s="204"/>
      <c r="BB340" s="202"/>
      <c r="BC340" s="204"/>
      <c r="BD340" s="202"/>
      <c r="BE340" s="208"/>
      <c r="BF340" s="202"/>
      <c r="BG340" s="203">
        <f t="shared" si="7"/>
        <v>0</v>
      </c>
      <c r="BH340" s="202"/>
      <c r="BI340" s="204"/>
      <c r="BJ340" s="202"/>
      <c r="BK340" s="204"/>
      <c r="BL340" s="202"/>
      <c r="BM340" s="204"/>
      <c r="BN340" s="202"/>
      <c r="BO340" s="203">
        <f t="shared" si="8"/>
        <v>0</v>
      </c>
      <c r="BP340" s="202"/>
      <c r="BQ340" s="138"/>
      <c r="BR340" s="128"/>
      <c r="BS340" s="128"/>
      <c r="BT340" s="128"/>
      <c r="BU340" s="128"/>
      <c r="BV340" s="128"/>
      <c r="BW340" s="139"/>
      <c r="BX340" s="140"/>
      <c r="BY340" s="139"/>
      <c r="BZ340" s="139"/>
      <c r="CA340" s="134"/>
      <c r="CB340" s="134"/>
      <c r="CC340" s="134"/>
      <c r="CD340" s="134"/>
      <c r="CE340" s="134"/>
      <c r="CF340" s="134"/>
      <c r="CG340" s="92"/>
      <c r="CH340" s="92"/>
      <c r="CI340" s="92"/>
      <c r="CJ340" s="92"/>
      <c r="CK340" s="92"/>
    </row>
    <row r="341" spans="1:89" ht="17.25" customHeight="1">
      <c r="A341" s="160"/>
      <c r="B341" s="165"/>
      <c r="C341" s="164"/>
      <c r="D341" s="137">
        <f t="shared" si="3"/>
        <v>0</v>
      </c>
      <c r="E341" s="207"/>
      <c r="F341" s="202"/>
      <c r="G341" s="207"/>
      <c r="H341" s="202"/>
      <c r="I341" s="207"/>
      <c r="J341" s="202"/>
      <c r="K341" s="207"/>
      <c r="L341" s="202"/>
      <c r="M341" s="207"/>
      <c r="N341" s="202"/>
      <c r="O341" s="201"/>
      <c r="P341" s="202"/>
      <c r="Q341" s="203">
        <f t="shared" si="4"/>
        <v>0</v>
      </c>
      <c r="R341" s="202"/>
      <c r="S341" s="207"/>
      <c r="T341" s="202"/>
      <c r="U341" s="207"/>
      <c r="V341" s="202"/>
      <c r="W341" s="207"/>
      <c r="X341" s="202"/>
      <c r="Y341" s="207"/>
      <c r="Z341" s="202"/>
      <c r="AA341" s="207"/>
      <c r="AB341" s="202"/>
      <c r="AC341" s="208"/>
      <c r="AD341" s="202"/>
      <c r="AE341" s="203">
        <f t="shared" si="5"/>
        <v>0</v>
      </c>
      <c r="AF341" s="202"/>
      <c r="AG341" s="204"/>
      <c r="AH341" s="202"/>
      <c r="AI341" s="204"/>
      <c r="AJ341" s="202"/>
      <c r="AK341" s="204"/>
      <c r="AL341" s="202"/>
      <c r="AM341" s="204"/>
      <c r="AN341" s="202"/>
      <c r="AO341" s="204"/>
      <c r="AP341" s="202"/>
      <c r="AQ341" s="208"/>
      <c r="AR341" s="202"/>
      <c r="AS341" s="203">
        <f t="shared" si="6"/>
        <v>0</v>
      </c>
      <c r="AT341" s="202"/>
      <c r="AU341" s="204"/>
      <c r="AV341" s="202"/>
      <c r="AW341" s="204"/>
      <c r="AX341" s="202"/>
      <c r="AY341" s="204"/>
      <c r="AZ341" s="202"/>
      <c r="BA341" s="204"/>
      <c r="BB341" s="202"/>
      <c r="BC341" s="204"/>
      <c r="BD341" s="202"/>
      <c r="BE341" s="208"/>
      <c r="BF341" s="202"/>
      <c r="BG341" s="203">
        <f t="shared" si="7"/>
        <v>0</v>
      </c>
      <c r="BH341" s="202"/>
      <c r="BI341" s="204"/>
      <c r="BJ341" s="202"/>
      <c r="BK341" s="204"/>
      <c r="BL341" s="202"/>
      <c r="BM341" s="204"/>
      <c r="BN341" s="202"/>
      <c r="BO341" s="203">
        <f t="shared" si="8"/>
        <v>0</v>
      </c>
      <c r="BP341" s="202"/>
      <c r="BQ341" s="138"/>
      <c r="BR341" s="128"/>
      <c r="BS341" s="128"/>
      <c r="BT341" s="128"/>
      <c r="BU341" s="128"/>
      <c r="BV341" s="128"/>
      <c r="BW341" s="139"/>
      <c r="BX341" s="140"/>
      <c r="BY341" s="139"/>
      <c r="BZ341" s="139"/>
      <c r="CA341" s="134"/>
      <c r="CB341" s="134"/>
      <c r="CC341" s="134"/>
      <c r="CD341" s="134"/>
      <c r="CE341" s="134"/>
      <c r="CF341" s="134"/>
      <c r="CG341" s="92"/>
      <c r="CH341" s="92"/>
      <c r="CI341" s="92"/>
      <c r="CJ341" s="92"/>
      <c r="CK341" s="92"/>
    </row>
    <row r="342" spans="1:89" ht="17.25" customHeight="1">
      <c r="A342" s="160"/>
      <c r="B342" s="165"/>
      <c r="C342" s="164"/>
      <c r="D342" s="137">
        <f t="shared" si="3"/>
        <v>0</v>
      </c>
      <c r="E342" s="207"/>
      <c r="F342" s="202"/>
      <c r="G342" s="207"/>
      <c r="H342" s="202"/>
      <c r="I342" s="207"/>
      <c r="J342" s="202"/>
      <c r="K342" s="207"/>
      <c r="L342" s="202"/>
      <c r="M342" s="207"/>
      <c r="N342" s="202"/>
      <c r="O342" s="201"/>
      <c r="P342" s="202"/>
      <c r="Q342" s="203">
        <f t="shared" si="4"/>
        <v>0</v>
      </c>
      <c r="R342" s="202"/>
      <c r="S342" s="207"/>
      <c r="T342" s="202"/>
      <c r="U342" s="207"/>
      <c r="V342" s="202"/>
      <c r="W342" s="207"/>
      <c r="X342" s="202"/>
      <c r="Y342" s="207"/>
      <c r="Z342" s="202"/>
      <c r="AA342" s="207"/>
      <c r="AB342" s="202"/>
      <c r="AC342" s="208"/>
      <c r="AD342" s="202"/>
      <c r="AE342" s="203">
        <f t="shared" si="5"/>
        <v>0</v>
      </c>
      <c r="AF342" s="202"/>
      <c r="AG342" s="204"/>
      <c r="AH342" s="202"/>
      <c r="AI342" s="204"/>
      <c r="AJ342" s="202"/>
      <c r="AK342" s="204"/>
      <c r="AL342" s="202"/>
      <c r="AM342" s="204"/>
      <c r="AN342" s="202"/>
      <c r="AO342" s="204"/>
      <c r="AP342" s="202"/>
      <c r="AQ342" s="208"/>
      <c r="AR342" s="202"/>
      <c r="AS342" s="203">
        <f t="shared" si="6"/>
        <v>0</v>
      </c>
      <c r="AT342" s="202"/>
      <c r="AU342" s="204"/>
      <c r="AV342" s="202"/>
      <c r="AW342" s="204"/>
      <c r="AX342" s="202"/>
      <c r="AY342" s="204"/>
      <c r="AZ342" s="202"/>
      <c r="BA342" s="204"/>
      <c r="BB342" s="202"/>
      <c r="BC342" s="204"/>
      <c r="BD342" s="202"/>
      <c r="BE342" s="208"/>
      <c r="BF342" s="202"/>
      <c r="BG342" s="203">
        <f t="shared" si="7"/>
        <v>0</v>
      </c>
      <c r="BH342" s="202"/>
      <c r="BI342" s="204"/>
      <c r="BJ342" s="202"/>
      <c r="BK342" s="204"/>
      <c r="BL342" s="202"/>
      <c r="BM342" s="204"/>
      <c r="BN342" s="202"/>
      <c r="BO342" s="203">
        <f t="shared" si="8"/>
        <v>0</v>
      </c>
      <c r="BP342" s="202"/>
      <c r="BQ342" s="138"/>
      <c r="BR342" s="128"/>
      <c r="BS342" s="128"/>
      <c r="BT342" s="128"/>
      <c r="BU342" s="128"/>
      <c r="BV342" s="128"/>
      <c r="BW342" s="139"/>
      <c r="BX342" s="140"/>
      <c r="BY342" s="139"/>
      <c r="BZ342" s="139"/>
      <c r="CA342" s="134"/>
      <c r="CB342" s="134"/>
      <c r="CC342" s="134"/>
      <c r="CD342" s="134"/>
      <c r="CE342" s="134"/>
      <c r="CF342" s="134"/>
      <c r="CG342" s="92"/>
      <c r="CH342" s="92"/>
      <c r="CI342" s="92"/>
      <c r="CJ342" s="92"/>
      <c r="CK342" s="92"/>
    </row>
    <row r="343" spans="1:89" ht="17.25" customHeight="1">
      <c r="A343" s="160"/>
      <c r="B343" s="165"/>
      <c r="C343" s="164"/>
      <c r="D343" s="137">
        <f t="shared" si="3"/>
        <v>0</v>
      </c>
      <c r="E343" s="207"/>
      <c r="F343" s="202"/>
      <c r="G343" s="207"/>
      <c r="H343" s="202"/>
      <c r="I343" s="207"/>
      <c r="J343" s="202"/>
      <c r="K343" s="207"/>
      <c r="L343" s="202"/>
      <c r="M343" s="207"/>
      <c r="N343" s="202"/>
      <c r="O343" s="201"/>
      <c r="P343" s="202"/>
      <c r="Q343" s="203">
        <f t="shared" si="4"/>
        <v>0</v>
      </c>
      <c r="R343" s="202"/>
      <c r="S343" s="207"/>
      <c r="T343" s="202"/>
      <c r="U343" s="207"/>
      <c r="V343" s="202"/>
      <c r="W343" s="207"/>
      <c r="X343" s="202"/>
      <c r="Y343" s="207"/>
      <c r="Z343" s="202"/>
      <c r="AA343" s="207"/>
      <c r="AB343" s="202"/>
      <c r="AC343" s="208"/>
      <c r="AD343" s="202"/>
      <c r="AE343" s="203">
        <f t="shared" si="5"/>
        <v>0</v>
      </c>
      <c r="AF343" s="202"/>
      <c r="AG343" s="204"/>
      <c r="AH343" s="202"/>
      <c r="AI343" s="204"/>
      <c r="AJ343" s="202"/>
      <c r="AK343" s="204"/>
      <c r="AL343" s="202"/>
      <c r="AM343" s="204"/>
      <c r="AN343" s="202"/>
      <c r="AO343" s="204"/>
      <c r="AP343" s="202"/>
      <c r="AQ343" s="208"/>
      <c r="AR343" s="202"/>
      <c r="AS343" s="203">
        <f t="shared" si="6"/>
        <v>0</v>
      </c>
      <c r="AT343" s="202"/>
      <c r="AU343" s="204"/>
      <c r="AV343" s="202"/>
      <c r="AW343" s="204"/>
      <c r="AX343" s="202"/>
      <c r="AY343" s="204"/>
      <c r="AZ343" s="202"/>
      <c r="BA343" s="204"/>
      <c r="BB343" s="202"/>
      <c r="BC343" s="204"/>
      <c r="BD343" s="202"/>
      <c r="BE343" s="208"/>
      <c r="BF343" s="202"/>
      <c r="BG343" s="203">
        <f t="shared" si="7"/>
        <v>0</v>
      </c>
      <c r="BH343" s="202"/>
      <c r="BI343" s="204"/>
      <c r="BJ343" s="202"/>
      <c r="BK343" s="204"/>
      <c r="BL343" s="202"/>
      <c r="BM343" s="204"/>
      <c r="BN343" s="202"/>
      <c r="BO343" s="203">
        <f t="shared" si="8"/>
        <v>0</v>
      </c>
      <c r="BP343" s="202"/>
      <c r="BQ343" s="138"/>
      <c r="BR343" s="128"/>
      <c r="BS343" s="128"/>
      <c r="BT343" s="128"/>
      <c r="BU343" s="128"/>
      <c r="BV343" s="128"/>
      <c r="BW343" s="139"/>
      <c r="BX343" s="140"/>
      <c r="BY343" s="139"/>
      <c r="BZ343" s="139"/>
      <c r="CA343" s="134"/>
      <c r="CB343" s="134"/>
      <c r="CC343" s="134"/>
      <c r="CD343" s="134"/>
      <c r="CE343" s="134"/>
      <c r="CF343" s="134"/>
      <c r="CG343" s="92"/>
      <c r="CH343" s="92"/>
      <c r="CI343" s="92"/>
      <c r="CJ343" s="92"/>
      <c r="CK343" s="92"/>
    </row>
    <row r="344" spans="1:89" ht="17.25" customHeight="1">
      <c r="A344" s="160"/>
      <c r="B344" s="165"/>
      <c r="C344" s="164"/>
      <c r="D344" s="137">
        <f t="shared" si="3"/>
        <v>0</v>
      </c>
      <c r="E344" s="207"/>
      <c r="F344" s="202"/>
      <c r="G344" s="207"/>
      <c r="H344" s="202"/>
      <c r="I344" s="207"/>
      <c r="J344" s="202"/>
      <c r="K344" s="207"/>
      <c r="L344" s="202"/>
      <c r="M344" s="207"/>
      <c r="N344" s="202"/>
      <c r="O344" s="201"/>
      <c r="P344" s="202"/>
      <c r="Q344" s="203">
        <f t="shared" si="4"/>
        <v>0</v>
      </c>
      <c r="R344" s="202"/>
      <c r="S344" s="207"/>
      <c r="T344" s="202"/>
      <c r="U344" s="207"/>
      <c r="V344" s="202"/>
      <c r="W344" s="207"/>
      <c r="X344" s="202"/>
      <c r="Y344" s="207"/>
      <c r="Z344" s="202"/>
      <c r="AA344" s="207"/>
      <c r="AB344" s="202"/>
      <c r="AC344" s="208"/>
      <c r="AD344" s="202"/>
      <c r="AE344" s="203">
        <f t="shared" si="5"/>
        <v>0</v>
      </c>
      <c r="AF344" s="202"/>
      <c r="AG344" s="204"/>
      <c r="AH344" s="202"/>
      <c r="AI344" s="204"/>
      <c r="AJ344" s="202"/>
      <c r="AK344" s="204"/>
      <c r="AL344" s="202"/>
      <c r="AM344" s="204"/>
      <c r="AN344" s="202"/>
      <c r="AO344" s="204"/>
      <c r="AP344" s="202"/>
      <c r="AQ344" s="208"/>
      <c r="AR344" s="202"/>
      <c r="AS344" s="203">
        <f t="shared" si="6"/>
        <v>0</v>
      </c>
      <c r="AT344" s="202"/>
      <c r="AU344" s="204"/>
      <c r="AV344" s="202"/>
      <c r="AW344" s="204"/>
      <c r="AX344" s="202"/>
      <c r="AY344" s="204"/>
      <c r="AZ344" s="202"/>
      <c r="BA344" s="204"/>
      <c r="BB344" s="202"/>
      <c r="BC344" s="204"/>
      <c r="BD344" s="202"/>
      <c r="BE344" s="208"/>
      <c r="BF344" s="202"/>
      <c r="BG344" s="203">
        <f t="shared" si="7"/>
        <v>0</v>
      </c>
      <c r="BH344" s="202"/>
      <c r="BI344" s="204"/>
      <c r="BJ344" s="202"/>
      <c r="BK344" s="204"/>
      <c r="BL344" s="202"/>
      <c r="BM344" s="204"/>
      <c r="BN344" s="202"/>
      <c r="BO344" s="203">
        <f t="shared" si="8"/>
        <v>0</v>
      </c>
      <c r="BP344" s="202"/>
      <c r="BQ344" s="138"/>
      <c r="BR344" s="128"/>
      <c r="BS344" s="128"/>
      <c r="BT344" s="128"/>
      <c r="BU344" s="128"/>
      <c r="BV344" s="128"/>
      <c r="BW344" s="139"/>
      <c r="BX344" s="140"/>
      <c r="BY344" s="139"/>
      <c r="BZ344" s="139"/>
      <c r="CA344" s="134"/>
      <c r="CB344" s="134"/>
      <c r="CC344" s="134"/>
      <c r="CD344" s="134"/>
      <c r="CE344" s="134"/>
      <c r="CF344" s="134"/>
      <c r="CG344" s="92"/>
      <c r="CH344" s="92"/>
      <c r="CI344" s="92"/>
      <c r="CJ344" s="92"/>
      <c r="CK344" s="92"/>
    </row>
    <row r="345" spans="1:89" ht="17.25" customHeight="1">
      <c r="A345" s="160"/>
      <c r="B345" s="165"/>
      <c r="C345" s="164"/>
      <c r="D345" s="137">
        <f t="shared" si="3"/>
        <v>0</v>
      </c>
      <c r="E345" s="207"/>
      <c r="F345" s="202"/>
      <c r="G345" s="207"/>
      <c r="H345" s="202"/>
      <c r="I345" s="207"/>
      <c r="J345" s="202"/>
      <c r="K345" s="207"/>
      <c r="L345" s="202"/>
      <c r="M345" s="207"/>
      <c r="N345" s="202"/>
      <c r="O345" s="201"/>
      <c r="P345" s="202"/>
      <c r="Q345" s="203">
        <f t="shared" si="4"/>
        <v>0</v>
      </c>
      <c r="R345" s="202"/>
      <c r="S345" s="207"/>
      <c r="T345" s="202"/>
      <c r="U345" s="207"/>
      <c r="V345" s="202"/>
      <c r="W345" s="207"/>
      <c r="X345" s="202"/>
      <c r="Y345" s="207"/>
      <c r="Z345" s="202"/>
      <c r="AA345" s="207"/>
      <c r="AB345" s="202"/>
      <c r="AC345" s="208"/>
      <c r="AD345" s="202"/>
      <c r="AE345" s="203">
        <f t="shared" si="5"/>
        <v>0</v>
      </c>
      <c r="AF345" s="202"/>
      <c r="AG345" s="204"/>
      <c r="AH345" s="202"/>
      <c r="AI345" s="204"/>
      <c r="AJ345" s="202"/>
      <c r="AK345" s="204"/>
      <c r="AL345" s="202"/>
      <c r="AM345" s="204"/>
      <c r="AN345" s="202"/>
      <c r="AO345" s="204"/>
      <c r="AP345" s="202"/>
      <c r="AQ345" s="208"/>
      <c r="AR345" s="202"/>
      <c r="AS345" s="203">
        <f t="shared" si="6"/>
        <v>0</v>
      </c>
      <c r="AT345" s="202"/>
      <c r="AU345" s="204"/>
      <c r="AV345" s="202"/>
      <c r="AW345" s="204"/>
      <c r="AX345" s="202"/>
      <c r="AY345" s="204"/>
      <c r="AZ345" s="202"/>
      <c r="BA345" s="204"/>
      <c r="BB345" s="202"/>
      <c r="BC345" s="204"/>
      <c r="BD345" s="202"/>
      <c r="BE345" s="208"/>
      <c r="BF345" s="202"/>
      <c r="BG345" s="203">
        <f t="shared" si="7"/>
        <v>0</v>
      </c>
      <c r="BH345" s="202"/>
      <c r="BI345" s="204"/>
      <c r="BJ345" s="202"/>
      <c r="BK345" s="204"/>
      <c r="BL345" s="202"/>
      <c r="BM345" s="204"/>
      <c r="BN345" s="202"/>
      <c r="BO345" s="203">
        <f t="shared" si="8"/>
        <v>0</v>
      </c>
      <c r="BP345" s="202"/>
      <c r="BQ345" s="138"/>
      <c r="BR345" s="128"/>
      <c r="BS345" s="128"/>
      <c r="BT345" s="128"/>
      <c r="BU345" s="128"/>
      <c r="BV345" s="128"/>
      <c r="BW345" s="139"/>
      <c r="BX345" s="140"/>
      <c r="BY345" s="139"/>
      <c r="BZ345" s="139"/>
      <c r="CA345" s="134"/>
      <c r="CB345" s="134"/>
      <c r="CC345" s="134"/>
      <c r="CD345" s="134"/>
      <c r="CE345" s="134"/>
      <c r="CF345" s="134"/>
      <c r="CG345" s="92"/>
      <c r="CH345" s="92"/>
      <c r="CI345" s="92"/>
      <c r="CJ345" s="92"/>
      <c r="CK345" s="92"/>
    </row>
    <row r="346" spans="1:89" ht="17.25" customHeight="1">
      <c r="A346" s="160"/>
      <c r="B346" s="165"/>
      <c r="C346" s="164"/>
      <c r="D346" s="137">
        <f t="shared" si="3"/>
        <v>0</v>
      </c>
      <c r="E346" s="207"/>
      <c r="F346" s="202"/>
      <c r="G346" s="207"/>
      <c r="H346" s="202"/>
      <c r="I346" s="207"/>
      <c r="J346" s="202"/>
      <c r="K346" s="207"/>
      <c r="L346" s="202"/>
      <c r="M346" s="207"/>
      <c r="N346" s="202"/>
      <c r="O346" s="201"/>
      <c r="P346" s="202"/>
      <c r="Q346" s="203">
        <f t="shared" si="4"/>
        <v>0</v>
      </c>
      <c r="R346" s="202"/>
      <c r="S346" s="207"/>
      <c r="T346" s="202"/>
      <c r="U346" s="207"/>
      <c r="V346" s="202"/>
      <c r="W346" s="207"/>
      <c r="X346" s="202"/>
      <c r="Y346" s="207"/>
      <c r="Z346" s="202"/>
      <c r="AA346" s="207"/>
      <c r="AB346" s="202"/>
      <c r="AC346" s="208"/>
      <c r="AD346" s="202"/>
      <c r="AE346" s="203">
        <f t="shared" si="5"/>
        <v>0</v>
      </c>
      <c r="AF346" s="202"/>
      <c r="AG346" s="204"/>
      <c r="AH346" s="202"/>
      <c r="AI346" s="204"/>
      <c r="AJ346" s="202"/>
      <c r="AK346" s="204"/>
      <c r="AL346" s="202"/>
      <c r="AM346" s="204"/>
      <c r="AN346" s="202"/>
      <c r="AO346" s="204"/>
      <c r="AP346" s="202"/>
      <c r="AQ346" s="208"/>
      <c r="AR346" s="202"/>
      <c r="AS346" s="203">
        <f t="shared" si="6"/>
        <v>0</v>
      </c>
      <c r="AT346" s="202"/>
      <c r="AU346" s="204"/>
      <c r="AV346" s="202"/>
      <c r="AW346" s="204"/>
      <c r="AX346" s="202"/>
      <c r="AY346" s="204"/>
      <c r="AZ346" s="202"/>
      <c r="BA346" s="204"/>
      <c r="BB346" s="202"/>
      <c r="BC346" s="204"/>
      <c r="BD346" s="202"/>
      <c r="BE346" s="208"/>
      <c r="BF346" s="202"/>
      <c r="BG346" s="203">
        <f t="shared" si="7"/>
        <v>0</v>
      </c>
      <c r="BH346" s="202"/>
      <c r="BI346" s="204"/>
      <c r="BJ346" s="202"/>
      <c r="BK346" s="204"/>
      <c r="BL346" s="202"/>
      <c r="BM346" s="204"/>
      <c r="BN346" s="202"/>
      <c r="BO346" s="203">
        <f t="shared" si="8"/>
        <v>0</v>
      </c>
      <c r="BP346" s="202"/>
      <c r="BQ346" s="138"/>
      <c r="BR346" s="128"/>
      <c r="BS346" s="128"/>
      <c r="BT346" s="128"/>
      <c r="BU346" s="128"/>
      <c r="BV346" s="128"/>
      <c r="BW346" s="139"/>
      <c r="BX346" s="140"/>
      <c r="BY346" s="139"/>
      <c r="BZ346" s="139"/>
      <c r="CA346" s="134"/>
      <c r="CB346" s="134"/>
      <c r="CC346" s="134"/>
      <c r="CD346" s="134"/>
      <c r="CE346" s="134"/>
      <c r="CF346" s="134"/>
      <c r="CG346" s="92"/>
      <c r="CH346" s="92"/>
      <c r="CI346" s="92"/>
      <c r="CJ346" s="92"/>
      <c r="CK346" s="92"/>
    </row>
    <row r="347" spans="1:89" ht="17.25" customHeight="1">
      <c r="A347" s="160"/>
      <c r="B347" s="165"/>
      <c r="C347" s="164"/>
      <c r="D347" s="137">
        <f t="shared" si="3"/>
        <v>0</v>
      </c>
      <c r="E347" s="207"/>
      <c r="F347" s="202"/>
      <c r="G347" s="207"/>
      <c r="H347" s="202"/>
      <c r="I347" s="207"/>
      <c r="J347" s="202"/>
      <c r="K347" s="207"/>
      <c r="L347" s="202"/>
      <c r="M347" s="207"/>
      <c r="N347" s="202"/>
      <c r="O347" s="201"/>
      <c r="P347" s="202"/>
      <c r="Q347" s="203">
        <f t="shared" si="4"/>
        <v>0</v>
      </c>
      <c r="R347" s="202"/>
      <c r="S347" s="207"/>
      <c r="T347" s="202"/>
      <c r="U347" s="207"/>
      <c r="V347" s="202"/>
      <c r="W347" s="207"/>
      <c r="X347" s="202"/>
      <c r="Y347" s="207"/>
      <c r="Z347" s="202"/>
      <c r="AA347" s="207"/>
      <c r="AB347" s="202"/>
      <c r="AC347" s="208"/>
      <c r="AD347" s="202"/>
      <c r="AE347" s="203">
        <f t="shared" si="5"/>
        <v>0</v>
      </c>
      <c r="AF347" s="202"/>
      <c r="AG347" s="204"/>
      <c r="AH347" s="202"/>
      <c r="AI347" s="204"/>
      <c r="AJ347" s="202"/>
      <c r="AK347" s="204"/>
      <c r="AL347" s="202"/>
      <c r="AM347" s="204"/>
      <c r="AN347" s="202"/>
      <c r="AO347" s="204"/>
      <c r="AP347" s="202"/>
      <c r="AQ347" s="208"/>
      <c r="AR347" s="202"/>
      <c r="AS347" s="203">
        <f t="shared" si="6"/>
        <v>0</v>
      </c>
      <c r="AT347" s="202"/>
      <c r="AU347" s="204"/>
      <c r="AV347" s="202"/>
      <c r="AW347" s="204"/>
      <c r="AX347" s="202"/>
      <c r="AY347" s="204"/>
      <c r="AZ347" s="202"/>
      <c r="BA347" s="204"/>
      <c r="BB347" s="202"/>
      <c r="BC347" s="204"/>
      <c r="BD347" s="202"/>
      <c r="BE347" s="208"/>
      <c r="BF347" s="202"/>
      <c r="BG347" s="203">
        <f t="shared" si="7"/>
        <v>0</v>
      </c>
      <c r="BH347" s="202"/>
      <c r="BI347" s="204"/>
      <c r="BJ347" s="202"/>
      <c r="BK347" s="204"/>
      <c r="BL347" s="202"/>
      <c r="BM347" s="204"/>
      <c r="BN347" s="202"/>
      <c r="BO347" s="203">
        <f t="shared" si="8"/>
        <v>0</v>
      </c>
      <c r="BP347" s="202"/>
      <c r="BQ347" s="138"/>
      <c r="BR347" s="128"/>
      <c r="BS347" s="128"/>
      <c r="BT347" s="128"/>
      <c r="BU347" s="128"/>
      <c r="BV347" s="128"/>
      <c r="BW347" s="139"/>
      <c r="BX347" s="140"/>
      <c r="BY347" s="139"/>
      <c r="BZ347" s="139"/>
      <c r="CA347" s="134"/>
      <c r="CB347" s="134"/>
      <c r="CC347" s="134"/>
      <c r="CD347" s="134"/>
      <c r="CE347" s="134"/>
      <c r="CF347" s="134"/>
      <c r="CG347" s="92"/>
      <c r="CH347" s="92"/>
      <c r="CI347" s="92"/>
      <c r="CJ347" s="92"/>
      <c r="CK347" s="92"/>
    </row>
    <row r="348" spans="1:89" ht="17.25" customHeight="1">
      <c r="A348" s="160"/>
      <c r="B348" s="165"/>
      <c r="C348" s="164"/>
      <c r="D348" s="137">
        <f t="shared" si="3"/>
        <v>0</v>
      </c>
      <c r="E348" s="207"/>
      <c r="F348" s="202"/>
      <c r="G348" s="207"/>
      <c r="H348" s="202"/>
      <c r="I348" s="207"/>
      <c r="J348" s="202"/>
      <c r="K348" s="207"/>
      <c r="L348" s="202"/>
      <c r="M348" s="207"/>
      <c r="N348" s="202"/>
      <c r="O348" s="201"/>
      <c r="P348" s="202"/>
      <c r="Q348" s="203">
        <f t="shared" si="4"/>
        <v>0</v>
      </c>
      <c r="R348" s="202"/>
      <c r="S348" s="207"/>
      <c r="T348" s="202"/>
      <c r="U348" s="207"/>
      <c r="V348" s="202"/>
      <c r="W348" s="207"/>
      <c r="X348" s="202"/>
      <c r="Y348" s="207"/>
      <c r="Z348" s="202"/>
      <c r="AA348" s="207"/>
      <c r="AB348" s="202"/>
      <c r="AC348" s="208"/>
      <c r="AD348" s="202"/>
      <c r="AE348" s="203">
        <f t="shared" si="5"/>
        <v>0</v>
      </c>
      <c r="AF348" s="202"/>
      <c r="AG348" s="204"/>
      <c r="AH348" s="202"/>
      <c r="AI348" s="204"/>
      <c r="AJ348" s="202"/>
      <c r="AK348" s="204"/>
      <c r="AL348" s="202"/>
      <c r="AM348" s="204"/>
      <c r="AN348" s="202"/>
      <c r="AO348" s="204"/>
      <c r="AP348" s="202"/>
      <c r="AQ348" s="208"/>
      <c r="AR348" s="202"/>
      <c r="AS348" s="203">
        <f t="shared" si="6"/>
        <v>0</v>
      </c>
      <c r="AT348" s="202"/>
      <c r="AU348" s="204"/>
      <c r="AV348" s="202"/>
      <c r="AW348" s="204"/>
      <c r="AX348" s="202"/>
      <c r="AY348" s="204"/>
      <c r="AZ348" s="202"/>
      <c r="BA348" s="204"/>
      <c r="BB348" s="202"/>
      <c r="BC348" s="204"/>
      <c r="BD348" s="202"/>
      <c r="BE348" s="208"/>
      <c r="BF348" s="202"/>
      <c r="BG348" s="203">
        <f t="shared" si="7"/>
        <v>0</v>
      </c>
      <c r="BH348" s="202"/>
      <c r="BI348" s="204"/>
      <c r="BJ348" s="202"/>
      <c r="BK348" s="204"/>
      <c r="BL348" s="202"/>
      <c r="BM348" s="204"/>
      <c r="BN348" s="202"/>
      <c r="BO348" s="203">
        <f t="shared" si="8"/>
        <v>0</v>
      </c>
      <c r="BP348" s="202"/>
      <c r="BQ348" s="138"/>
      <c r="BR348" s="128"/>
      <c r="BS348" s="128"/>
      <c r="BT348" s="128"/>
      <c r="BU348" s="128"/>
      <c r="BV348" s="128"/>
      <c r="BW348" s="139"/>
      <c r="BX348" s="140"/>
      <c r="BY348" s="139"/>
      <c r="BZ348" s="139"/>
      <c r="CA348" s="134"/>
      <c r="CB348" s="134"/>
      <c r="CC348" s="134"/>
      <c r="CD348" s="134"/>
      <c r="CE348" s="134"/>
      <c r="CF348" s="134"/>
      <c r="CG348" s="92"/>
      <c r="CH348" s="92"/>
      <c r="CI348" s="92"/>
      <c r="CJ348" s="92"/>
      <c r="CK348" s="92"/>
    </row>
    <row r="349" spans="1:89" ht="17.25" customHeight="1">
      <c r="A349" s="160"/>
      <c r="B349" s="165"/>
      <c r="C349" s="164"/>
      <c r="D349" s="137">
        <f t="shared" si="3"/>
        <v>0</v>
      </c>
      <c r="E349" s="207"/>
      <c r="F349" s="202"/>
      <c r="G349" s="207"/>
      <c r="H349" s="202"/>
      <c r="I349" s="207"/>
      <c r="J349" s="202"/>
      <c r="K349" s="207"/>
      <c r="L349" s="202"/>
      <c r="M349" s="207"/>
      <c r="N349" s="202"/>
      <c r="O349" s="201"/>
      <c r="P349" s="202"/>
      <c r="Q349" s="203">
        <f t="shared" si="4"/>
        <v>0</v>
      </c>
      <c r="R349" s="202"/>
      <c r="S349" s="207"/>
      <c r="T349" s="202"/>
      <c r="U349" s="207"/>
      <c r="V349" s="202"/>
      <c r="W349" s="207"/>
      <c r="X349" s="202"/>
      <c r="Y349" s="207"/>
      <c r="Z349" s="202"/>
      <c r="AA349" s="207"/>
      <c r="AB349" s="202"/>
      <c r="AC349" s="208"/>
      <c r="AD349" s="202"/>
      <c r="AE349" s="203">
        <f t="shared" si="5"/>
        <v>0</v>
      </c>
      <c r="AF349" s="202"/>
      <c r="AG349" s="204"/>
      <c r="AH349" s="202"/>
      <c r="AI349" s="204"/>
      <c r="AJ349" s="202"/>
      <c r="AK349" s="204"/>
      <c r="AL349" s="202"/>
      <c r="AM349" s="204"/>
      <c r="AN349" s="202"/>
      <c r="AO349" s="204"/>
      <c r="AP349" s="202"/>
      <c r="AQ349" s="208"/>
      <c r="AR349" s="202"/>
      <c r="AS349" s="203">
        <f t="shared" si="6"/>
        <v>0</v>
      </c>
      <c r="AT349" s="202"/>
      <c r="AU349" s="204"/>
      <c r="AV349" s="202"/>
      <c r="AW349" s="204"/>
      <c r="AX349" s="202"/>
      <c r="AY349" s="204"/>
      <c r="AZ349" s="202"/>
      <c r="BA349" s="204"/>
      <c r="BB349" s="202"/>
      <c r="BC349" s="204"/>
      <c r="BD349" s="202"/>
      <c r="BE349" s="208"/>
      <c r="BF349" s="202"/>
      <c r="BG349" s="203">
        <f t="shared" si="7"/>
        <v>0</v>
      </c>
      <c r="BH349" s="202"/>
      <c r="BI349" s="204"/>
      <c r="BJ349" s="202"/>
      <c r="BK349" s="204"/>
      <c r="BL349" s="202"/>
      <c r="BM349" s="204"/>
      <c r="BN349" s="202"/>
      <c r="BO349" s="203">
        <f t="shared" si="8"/>
        <v>0</v>
      </c>
      <c r="BP349" s="202"/>
      <c r="BQ349" s="138"/>
      <c r="BR349" s="128"/>
      <c r="BS349" s="128"/>
      <c r="BT349" s="128"/>
      <c r="BU349" s="128"/>
      <c r="BV349" s="128"/>
      <c r="BW349" s="139"/>
      <c r="BX349" s="140"/>
      <c r="BY349" s="139"/>
      <c r="BZ349" s="139"/>
      <c r="CA349" s="134"/>
      <c r="CB349" s="134"/>
      <c r="CC349" s="134"/>
      <c r="CD349" s="134"/>
      <c r="CE349" s="134"/>
      <c r="CF349" s="134"/>
      <c r="CG349" s="92"/>
      <c r="CH349" s="92"/>
      <c r="CI349" s="92"/>
      <c r="CJ349" s="92"/>
      <c r="CK349" s="92"/>
    </row>
    <row r="350" spans="1:89" ht="17.25" customHeight="1">
      <c r="A350" s="160"/>
      <c r="B350" s="165"/>
      <c r="C350" s="164"/>
      <c r="D350" s="137">
        <f t="shared" si="3"/>
        <v>0</v>
      </c>
      <c r="E350" s="207"/>
      <c r="F350" s="202"/>
      <c r="G350" s="207"/>
      <c r="H350" s="202"/>
      <c r="I350" s="207"/>
      <c r="J350" s="202"/>
      <c r="K350" s="207"/>
      <c r="L350" s="202"/>
      <c r="M350" s="207"/>
      <c r="N350" s="202"/>
      <c r="O350" s="201"/>
      <c r="P350" s="202"/>
      <c r="Q350" s="203">
        <f t="shared" si="4"/>
        <v>0</v>
      </c>
      <c r="R350" s="202"/>
      <c r="S350" s="207"/>
      <c r="T350" s="202"/>
      <c r="U350" s="207"/>
      <c r="V350" s="202"/>
      <c r="W350" s="207"/>
      <c r="X350" s="202"/>
      <c r="Y350" s="207"/>
      <c r="Z350" s="202"/>
      <c r="AA350" s="207"/>
      <c r="AB350" s="202"/>
      <c r="AC350" s="208"/>
      <c r="AD350" s="202"/>
      <c r="AE350" s="203">
        <f t="shared" si="5"/>
        <v>0</v>
      </c>
      <c r="AF350" s="202"/>
      <c r="AG350" s="204"/>
      <c r="AH350" s="202"/>
      <c r="AI350" s="204"/>
      <c r="AJ350" s="202"/>
      <c r="AK350" s="204"/>
      <c r="AL350" s="202"/>
      <c r="AM350" s="204"/>
      <c r="AN350" s="202"/>
      <c r="AO350" s="204"/>
      <c r="AP350" s="202"/>
      <c r="AQ350" s="208"/>
      <c r="AR350" s="202"/>
      <c r="AS350" s="203">
        <f t="shared" si="6"/>
        <v>0</v>
      </c>
      <c r="AT350" s="202"/>
      <c r="AU350" s="204"/>
      <c r="AV350" s="202"/>
      <c r="AW350" s="204"/>
      <c r="AX350" s="202"/>
      <c r="AY350" s="204"/>
      <c r="AZ350" s="202"/>
      <c r="BA350" s="204"/>
      <c r="BB350" s="202"/>
      <c r="BC350" s="204"/>
      <c r="BD350" s="202"/>
      <c r="BE350" s="208"/>
      <c r="BF350" s="202"/>
      <c r="BG350" s="203">
        <f t="shared" si="7"/>
        <v>0</v>
      </c>
      <c r="BH350" s="202"/>
      <c r="BI350" s="204"/>
      <c r="BJ350" s="202"/>
      <c r="BK350" s="204"/>
      <c r="BL350" s="202"/>
      <c r="BM350" s="204"/>
      <c r="BN350" s="202"/>
      <c r="BO350" s="203">
        <f t="shared" si="8"/>
        <v>0</v>
      </c>
      <c r="BP350" s="202"/>
      <c r="BQ350" s="138"/>
      <c r="BR350" s="128"/>
      <c r="BS350" s="128"/>
      <c r="BT350" s="128"/>
      <c r="BU350" s="128"/>
      <c r="BV350" s="128"/>
      <c r="BW350" s="139"/>
      <c r="BX350" s="140"/>
      <c r="BY350" s="139"/>
      <c r="BZ350" s="139"/>
      <c r="CA350" s="134"/>
      <c r="CB350" s="134"/>
      <c r="CC350" s="134"/>
      <c r="CD350" s="134"/>
      <c r="CE350" s="134"/>
      <c r="CF350" s="134"/>
      <c r="CG350" s="92"/>
      <c r="CH350" s="92"/>
      <c r="CI350" s="92"/>
      <c r="CJ350" s="92"/>
      <c r="CK350" s="92"/>
    </row>
    <row r="351" spans="1:89" ht="17.25" customHeight="1">
      <c r="A351" s="160"/>
      <c r="B351" s="165"/>
      <c r="C351" s="164"/>
      <c r="D351" s="137">
        <f t="shared" si="3"/>
        <v>0</v>
      </c>
      <c r="E351" s="207"/>
      <c r="F351" s="202"/>
      <c r="G351" s="207"/>
      <c r="H351" s="202"/>
      <c r="I351" s="207"/>
      <c r="J351" s="202"/>
      <c r="K351" s="207"/>
      <c r="L351" s="202"/>
      <c r="M351" s="207"/>
      <c r="N351" s="202"/>
      <c r="O351" s="201"/>
      <c r="P351" s="202"/>
      <c r="Q351" s="203">
        <f t="shared" si="4"/>
        <v>0</v>
      </c>
      <c r="R351" s="202"/>
      <c r="S351" s="207"/>
      <c r="T351" s="202"/>
      <c r="U351" s="207"/>
      <c r="V351" s="202"/>
      <c r="W351" s="207"/>
      <c r="X351" s="202"/>
      <c r="Y351" s="207"/>
      <c r="Z351" s="202"/>
      <c r="AA351" s="207"/>
      <c r="AB351" s="202"/>
      <c r="AC351" s="208"/>
      <c r="AD351" s="202"/>
      <c r="AE351" s="203">
        <f t="shared" si="5"/>
        <v>0</v>
      </c>
      <c r="AF351" s="202"/>
      <c r="AG351" s="204"/>
      <c r="AH351" s="202"/>
      <c r="AI351" s="204"/>
      <c r="AJ351" s="202"/>
      <c r="AK351" s="204"/>
      <c r="AL351" s="202"/>
      <c r="AM351" s="204"/>
      <c r="AN351" s="202"/>
      <c r="AO351" s="204"/>
      <c r="AP351" s="202"/>
      <c r="AQ351" s="208"/>
      <c r="AR351" s="202"/>
      <c r="AS351" s="203">
        <f t="shared" si="6"/>
        <v>0</v>
      </c>
      <c r="AT351" s="202"/>
      <c r="AU351" s="204"/>
      <c r="AV351" s="202"/>
      <c r="AW351" s="204"/>
      <c r="AX351" s="202"/>
      <c r="AY351" s="204"/>
      <c r="AZ351" s="202"/>
      <c r="BA351" s="204"/>
      <c r="BB351" s="202"/>
      <c r="BC351" s="204"/>
      <c r="BD351" s="202"/>
      <c r="BE351" s="208"/>
      <c r="BF351" s="202"/>
      <c r="BG351" s="203">
        <f t="shared" si="7"/>
        <v>0</v>
      </c>
      <c r="BH351" s="202"/>
      <c r="BI351" s="204"/>
      <c r="BJ351" s="202"/>
      <c r="BK351" s="204"/>
      <c r="BL351" s="202"/>
      <c r="BM351" s="204"/>
      <c r="BN351" s="202"/>
      <c r="BO351" s="203">
        <f t="shared" si="8"/>
        <v>0</v>
      </c>
      <c r="BP351" s="202"/>
      <c r="BQ351" s="138"/>
      <c r="BR351" s="128"/>
      <c r="BS351" s="128"/>
      <c r="BT351" s="128"/>
      <c r="BU351" s="128"/>
      <c r="BV351" s="128"/>
      <c r="BW351" s="139"/>
      <c r="BX351" s="140"/>
      <c r="BY351" s="139"/>
      <c r="BZ351" s="139"/>
      <c r="CA351" s="134"/>
      <c r="CB351" s="134"/>
      <c r="CC351" s="134"/>
      <c r="CD351" s="134"/>
      <c r="CE351" s="134"/>
      <c r="CF351" s="134"/>
      <c r="CG351" s="92"/>
      <c r="CH351" s="92"/>
      <c r="CI351" s="92"/>
      <c r="CJ351" s="92"/>
      <c r="CK351" s="92"/>
    </row>
    <row r="352" spans="1:89" ht="17.25" customHeight="1">
      <c r="A352" s="160"/>
      <c r="B352" s="165"/>
      <c r="C352" s="164"/>
      <c r="D352" s="137">
        <f t="shared" si="3"/>
        <v>0</v>
      </c>
      <c r="E352" s="207"/>
      <c r="F352" s="202"/>
      <c r="G352" s="207"/>
      <c r="H352" s="202"/>
      <c r="I352" s="207"/>
      <c r="J352" s="202"/>
      <c r="K352" s="207"/>
      <c r="L352" s="202"/>
      <c r="M352" s="207"/>
      <c r="N352" s="202"/>
      <c r="O352" s="201"/>
      <c r="P352" s="202"/>
      <c r="Q352" s="203">
        <f t="shared" si="4"/>
        <v>0</v>
      </c>
      <c r="R352" s="202"/>
      <c r="S352" s="207"/>
      <c r="T352" s="202"/>
      <c r="U352" s="207"/>
      <c r="V352" s="202"/>
      <c r="W352" s="207"/>
      <c r="X352" s="202"/>
      <c r="Y352" s="207"/>
      <c r="Z352" s="202"/>
      <c r="AA352" s="207"/>
      <c r="AB352" s="202"/>
      <c r="AC352" s="208"/>
      <c r="AD352" s="202"/>
      <c r="AE352" s="203">
        <f t="shared" si="5"/>
        <v>0</v>
      </c>
      <c r="AF352" s="202"/>
      <c r="AG352" s="204"/>
      <c r="AH352" s="202"/>
      <c r="AI352" s="204"/>
      <c r="AJ352" s="202"/>
      <c r="AK352" s="204"/>
      <c r="AL352" s="202"/>
      <c r="AM352" s="204"/>
      <c r="AN352" s="202"/>
      <c r="AO352" s="204"/>
      <c r="AP352" s="202"/>
      <c r="AQ352" s="208"/>
      <c r="AR352" s="202"/>
      <c r="AS352" s="203">
        <f t="shared" si="6"/>
        <v>0</v>
      </c>
      <c r="AT352" s="202"/>
      <c r="AU352" s="204"/>
      <c r="AV352" s="202"/>
      <c r="AW352" s="204"/>
      <c r="AX352" s="202"/>
      <c r="AY352" s="204"/>
      <c r="AZ352" s="202"/>
      <c r="BA352" s="204"/>
      <c r="BB352" s="202"/>
      <c r="BC352" s="204"/>
      <c r="BD352" s="202"/>
      <c r="BE352" s="208"/>
      <c r="BF352" s="202"/>
      <c r="BG352" s="203">
        <f t="shared" si="7"/>
        <v>0</v>
      </c>
      <c r="BH352" s="202"/>
      <c r="BI352" s="204"/>
      <c r="BJ352" s="202"/>
      <c r="BK352" s="204"/>
      <c r="BL352" s="202"/>
      <c r="BM352" s="204"/>
      <c r="BN352" s="202"/>
      <c r="BO352" s="203">
        <f t="shared" si="8"/>
        <v>0</v>
      </c>
      <c r="BP352" s="202"/>
      <c r="BQ352" s="138"/>
      <c r="BR352" s="128"/>
      <c r="BS352" s="128"/>
      <c r="BT352" s="128"/>
      <c r="BU352" s="128"/>
      <c r="BV352" s="128"/>
      <c r="BW352" s="139"/>
      <c r="BX352" s="140"/>
      <c r="BY352" s="139"/>
      <c r="BZ352" s="139"/>
      <c r="CA352" s="134"/>
      <c r="CB352" s="134"/>
      <c r="CC352" s="134"/>
      <c r="CD352" s="134"/>
      <c r="CE352" s="134"/>
      <c r="CF352" s="134"/>
      <c r="CG352" s="92"/>
      <c r="CH352" s="92"/>
      <c r="CI352" s="92"/>
      <c r="CJ352" s="92"/>
      <c r="CK352" s="92"/>
    </row>
    <row r="353" spans="1:89" ht="17.25" customHeight="1">
      <c r="A353" s="160"/>
      <c r="B353" s="165"/>
      <c r="C353" s="164"/>
      <c r="D353" s="137">
        <f t="shared" si="3"/>
        <v>0</v>
      </c>
      <c r="E353" s="207"/>
      <c r="F353" s="202"/>
      <c r="G353" s="207"/>
      <c r="H353" s="202"/>
      <c r="I353" s="207"/>
      <c r="J353" s="202"/>
      <c r="K353" s="207"/>
      <c r="L353" s="202"/>
      <c r="M353" s="207"/>
      <c r="N353" s="202"/>
      <c r="O353" s="201"/>
      <c r="P353" s="202"/>
      <c r="Q353" s="203">
        <f t="shared" si="4"/>
        <v>0</v>
      </c>
      <c r="R353" s="202"/>
      <c r="S353" s="207"/>
      <c r="T353" s="202"/>
      <c r="U353" s="207"/>
      <c r="V353" s="202"/>
      <c r="W353" s="207"/>
      <c r="X353" s="202"/>
      <c r="Y353" s="207"/>
      <c r="Z353" s="202"/>
      <c r="AA353" s="207"/>
      <c r="AB353" s="202"/>
      <c r="AC353" s="208"/>
      <c r="AD353" s="202"/>
      <c r="AE353" s="203">
        <f t="shared" si="5"/>
        <v>0</v>
      </c>
      <c r="AF353" s="202"/>
      <c r="AG353" s="204"/>
      <c r="AH353" s="202"/>
      <c r="AI353" s="204"/>
      <c r="AJ353" s="202"/>
      <c r="AK353" s="204"/>
      <c r="AL353" s="202"/>
      <c r="AM353" s="204"/>
      <c r="AN353" s="202"/>
      <c r="AO353" s="204"/>
      <c r="AP353" s="202"/>
      <c r="AQ353" s="208"/>
      <c r="AR353" s="202"/>
      <c r="AS353" s="203">
        <f t="shared" si="6"/>
        <v>0</v>
      </c>
      <c r="AT353" s="202"/>
      <c r="AU353" s="204"/>
      <c r="AV353" s="202"/>
      <c r="AW353" s="204"/>
      <c r="AX353" s="202"/>
      <c r="AY353" s="204"/>
      <c r="AZ353" s="202"/>
      <c r="BA353" s="204"/>
      <c r="BB353" s="202"/>
      <c r="BC353" s="204"/>
      <c r="BD353" s="202"/>
      <c r="BE353" s="208"/>
      <c r="BF353" s="202"/>
      <c r="BG353" s="203">
        <f t="shared" si="7"/>
        <v>0</v>
      </c>
      <c r="BH353" s="202"/>
      <c r="BI353" s="204"/>
      <c r="BJ353" s="202"/>
      <c r="BK353" s="204"/>
      <c r="BL353" s="202"/>
      <c r="BM353" s="204"/>
      <c r="BN353" s="202"/>
      <c r="BO353" s="203">
        <f t="shared" si="8"/>
        <v>0</v>
      </c>
      <c r="BP353" s="202"/>
      <c r="BQ353" s="138"/>
      <c r="BR353" s="128"/>
      <c r="BS353" s="128"/>
      <c r="BT353" s="128"/>
      <c r="BU353" s="128"/>
      <c r="BV353" s="128"/>
      <c r="BW353" s="139"/>
      <c r="BX353" s="140"/>
      <c r="BY353" s="139"/>
      <c r="BZ353" s="139"/>
      <c r="CA353" s="134"/>
      <c r="CB353" s="134"/>
      <c r="CC353" s="134"/>
      <c r="CD353" s="134"/>
      <c r="CE353" s="134"/>
      <c r="CF353" s="134"/>
      <c r="CG353" s="92"/>
      <c r="CH353" s="92"/>
      <c r="CI353" s="92"/>
      <c r="CJ353" s="92"/>
      <c r="CK353" s="92"/>
    </row>
    <row r="354" spans="1:89" ht="17.25" customHeight="1">
      <c r="A354" s="160"/>
      <c r="B354" s="165"/>
      <c r="C354" s="164"/>
      <c r="D354" s="137">
        <f t="shared" si="3"/>
        <v>0</v>
      </c>
      <c r="E354" s="207"/>
      <c r="F354" s="202"/>
      <c r="G354" s="207"/>
      <c r="H354" s="202"/>
      <c r="I354" s="207"/>
      <c r="J354" s="202"/>
      <c r="K354" s="207"/>
      <c r="L354" s="202"/>
      <c r="M354" s="207"/>
      <c r="N354" s="202"/>
      <c r="O354" s="201"/>
      <c r="P354" s="202"/>
      <c r="Q354" s="203">
        <f t="shared" si="4"/>
        <v>0</v>
      </c>
      <c r="R354" s="202"/>
      <c r="S354" s="207"/>
      <c r="T354" s="202"/>
      <c r="U354" s="207"/>
      <c r="V354" s="202"/>
      <c r="W354" s="207"/>
      <c r="X354" s="202"/>
      <c r="Y354" s="207"/>
      <c r="Z354" s="202"/>
      <c r="AA354" s="207"/>
      <c r="AB354" s="202"/>
      <c r="AC354" s="208"/>
      <c r="AD354" s="202"/>
      <c r="AE354" s="203">
        <f t="shared" si="5"/>
        <v>0</v>
      </c>
      <c r="AF354" s="202"/>
      <c r="AG354" s="204"/>
      <c r="AH354" s="202"/>
      <c r="AI354" s="204"/>
      <c r="AJ354" s="202"/>
      <c r="AK354" s="204"/>
      <c r="AL354" s="202"/>
      <c r="AM354" s="204"/>
      <c r="AN354" s="202"/>
      <c r="AO354" s="204"/>
      <c r="AP354" s="202"/>
      <c r="AQ354" s="208"/>
      <c r="AR354" s="202"/>
      <c r="AS354" s="203">
        <f t="shared" si="6"/>
        <v>0</v>
      </c>
      <c r="AT354" s="202"/>
      <c r="AU354" s="204"/>
      <c r="AV354" s="202"/>
      <c r="AW354" s="204"/>
      <c r="AX354" s="202"/>
      <c r="AY354" s="204"/>
      <c r="AZ354" s="202"/>
      <c r="BA354" s="204"/>
      <c r="BB354" s="202"/>
      <c r="BC354" s="204"/>
      <c r="BD354" s="202"/>
      <c r="BE354" s="208"/>
      <c r="BF354" s="202"/>
      <c r="BG354" s="203">
        <f t="shared" si="7"/>
        <v>0</v>
      </c>
      <c r="BH354" s="202"/>
      <c r="BI354" s="204"/>
      <c r="BJ354" s="202"/>
      <c r="BK354" s="204"/>
      <c r="BL354" s="202"/>
      <c r="BM354" s="204"/>
      <c r="BN354" s="202"/>
      <c r="BO354" s="203">
        <f t="shared" si="8"/>
        <v>0</v>
      </c>
      <c r="BP354" s="202"/>
      <c r="BQ354" s="138"/>
      <c r="BR354" s="128"/>
      <c r="BS354" s="128"/>
      <c r="BT354" s="128"/>
      <c r="BU354" s="128"/>
      <c r="BV354" s="128"/>
      <c r="BW354" s="139"/>
      <c r="BX354" s="140"/>
      <c r="BY354" s="139"/>
      <c r="BZ354" s="139"/>
      <c r="CA354" s="134"/>
      <c r="CB354" s="134"/>
      <c r="CC354" s="134"/>
      <c r="CD354" s="134"/>
      <c r="CE354" s="134"/>
      <c r="CF354" s="134"/>
      <c r="CG354" s="92"/>
      <c r="CH354" s="92"/>
      <c r="CI354" s="92"/>
      <c r="CJ354" s="92"/>
      <c r="CK354" s="92"/>
    </row>
    <row r="355" spans="1:89" ht="17.25" customHeight="1">
      <c r="A355" s="160"/>
      <c r="B355" s="165"/>
      <c r="C355" s="164"/>
      <c r="D355" s="137">
        <f t="shared" si="3"/>
        <v>0</v>
      </c>
      <c r="E355" s="207"/>
      <c r="F355" s="202"/>
      <c r="G355" s="207"/>
      <c r="H355" s="202"/>
      <c r="I355" s="207"/>
      <c r="J355" s="202"/>
      <c r="K355" s="207"/>
      <c r="L355" s="202"/>
      <c r="M355" s="207"/>
      <c r="N355" s="202"/>
      <c r="O355" s="201"/>
      <c r="P355" s="202"/>
      <c r="Q355" s="203">
        <f t="shared" si="4"/>
        <v>0</v>
      </c>
      <c r="R355" s="202"/>
      <c r="S355" s="207"/>
      <c r="T355" s="202"/>
      <c r="U355" s="207"/>
      <c r="V355" s="202"/>
      <c r="W355" s="207"/>
      <c r="X355" s="202"/>
      <c r="Y355" s="207"/>
      <c r="Z355" s="202"/>
      <c r="AA355" s="207"/>
      <c r="AB355" s="202"/>
      <c r="AC355" s="208"/>
      <c r="AD355" s="202"/>
      <c r="AE355" s="203">
        <f t="shared" si="5"/>
        <v>0</v>
      </c>
      <c r="AF355" s="202"/>
      <c r="AG355" s="204"/>
      <c r="AH355" s="202"/>
      <c r="AI355" s="204"/>
      <c r="AJ355" s="202"/>
      <c r="AK355" s="204"/>
      <c r="AL355" s="202"/>
      <c r="AM355" s="204"/>
      <c r="AN355" s="202"/>
      <c r="AO355" s="204"/>
      <c r="AP355" s="202"/>
      <c r="AQ355" s="208"/>
      <c r="AR355" s="202"/>
      <c r="AS355" s="203">
        <f t="shared" si="6"/>
        <v>0</v>
      </c>
      <c r="AT355" s="202"/>
      <c r="AU355" s="204"/>
      <c r="AV355" s="202"/>
      <c r="AW355" s="204"/>
      <c r="AX355" s="202"/>
      <c r="AY355" s="204"/>
      <c r="AZ355" s="202"/>
      <c r="BA355" s="204"/>
      <c r="BB355" s="202"/>
      <c r="BC355" s="204"/>
      <c r="BD355" s="202"/>
      <c r="BE355" s="208"/>
      <c r="BF355" s="202"/>
      <c r="BG355" s="203">
        <f t="shared" si="7"/>
        <v>0</v>
      </c>
      <c r="BH355" s="202"/>
      <c r="BI355" s="204"/>
      <c r="BJ355" s="202"/>
      <c r="BK355" s="204"/>
      <c r="BL355" s="202"/>
      <c r="BM355" s="204"/>
      <c r="BN355" s="202"/>
      <c r="BO355" s="203">
        <f t="shared" si="8"/>
        <v>0</v>
      </c>
      <c r="BP355" s="202"/>
      <c r="BQ355" s="138"/>
      <c r="BR355" s="128"/>
      <c r="BS355" s="128"/>
      <c r="BT355" s="128"/>
      <c r="BU355" s="128"/>
      <c r="BV355" s="128"/>
      <c r="BW355" s="139"/>
      <c r="BX355" s="140"/>
      <c r="BY355" s="139"/>
      <c r="BZ355" s="139"/>
      <c r="CA355" s="134"/>
      <c r="CB355" s="134"/>
      <c r="CC355" s="134"/>
      <c r="CD355" s="134"/>
      <c r="CE355" s="134"/>
      <c r="CF355" s="134"/>
      <c r="CG355" s="92"/>
      <c r="CH355" s="92"/>
      <c r="CI355" s="92"/>
      <c r="CJ355" s="92"/>
      <c r="CK355" s="92"/>
    </row>
    <row r="356" spans="1:89" ht="17.25" customHeight="1">
      <c r="A356" s="160"/>
      <c r="B356" s="165"/>
      <c r="C356" s="164"/>
      <c r="D356" s="137">
        <f t="shared" si="3"/>
        <v>0</v>
      </c>
      <c r="E356" s="207"/>
      <c r="F356" s="202"/>
      <c r="G356" s="207"/>
      <c r="H356" s="202"/>
      <c r="I356" s="207"/>
      <c r="J356" s="202"/>
      <c r="K356" s="207"/>
      <c r="L356" s="202"/>
      <c r="M356" s="207"/>
      <c r="N356" s="202"/>
      <c r="O356" s="201"/>
      <c r="P356" s="202"/>
      <c r="Q356" s="203">
        <f t="shared" si="4"/>
        <v>0</v>
      </c>
      <c r="R356" s="202"/>
      <c r="S356" s="207"/>
      <c r="T356" s="202"/>
      <c r="U356" s="207"/>
      <c r="V356" s="202"/>
      <c r="W356" s="207"/>
      <c r="X356" s="202"/>
      <c r="Y356" s="207"/>
      <c r="Z356" s="202"/>
      <c r="AA356" s="207"/>
      <c r="AB356" s="202"/>
      <c r="AC356" s="208"/>
      <c r="AD356" s="202"/>
      <c r="AE356" s="203">
        <f t="shared" si="5"/>
        <v>0</v>
      </c>
      <c r="AF356" s="202"/>
      <c r="AG356" s="204"/>
      <c r="AH356" s="202"/>
      <c r="AI356" s="204"/>
      <c r="AJ356" s="202"/>
      <c r="AK356" s="204"/>
      <c r="AL356" s="202"/>
      <c r="AM356" s="204"/>
      <c r="AN356" s="202"/>
      <c r="AO356" s="204"/>
      <c r="AP356" s="202"/>
      <c r="AQ356" s="208"/>
      <c r="AR356" s="202"/>
      <c r="AS356" s="203">
        <f t="shared" si="6"/>
        <v>0</v>
      </c>
      <c r="AT356" s="202"/>
      <c r="AU356" s="204"/>
      <c r="AV356" s="202"/>
      <c r="AW356" s="204"/>
      <c r="AX356" s="202"/>
      <c r="AY356" s="204"/>
      <c r="AZ356" s="202"/>
      <c r="BA356" s="204"/>
      <c r="BB356" s="202"/>
      <c r="BC356" s="204"/>
      <c r="BD356" s="202"/>
      <c r="BE356" s="208"/>
      <c r="BF356" s="202"/>
      <c r="BG356" s="203">
        <f t="shared" si="7"/>
        <v>0</v>
      </c>
      <c r="BH356" s="202"/>
      <c r="BI356" s="204"/>
      <c r="BJ356" s="202"/>
      <c r="BK356" s="204"/>
      <c r="BL356" s="202"/>
      <c r="BM356" s="204"/>
      <c r="BN356" s="202"/>
      <c r="BO356" s="203">
        <f t="shared" si="8"/>
        <v>0</v>
      </c>
      <c r="BP356" s="202"/>
      <c r="BQ356" s="138"/>
      <c r="BR356" s="128"/>
      <c r="BS356" s="128"/>
      <c r="BT356" s="128"/>
      <c r="BU356" s="128"/>
      <c r="BV356" s="128"/>
      <c r="BW356" s="139"/>
      <c r="BX356" s="140"/>
      <c r="BY356" s="139"/>
      <c r="BZ356" s="139"/>
      <c r="CA356" s="134"/>
      <c r="CB356" s="134"/>
      <c r="CC356" s="134"/>
      <c r="CD356" s="134"/>
      <c r="CE356" s="134"/>
      <c r="CF356" s="134"/>
      <c r="CG356" s="92"/>
      <c r="CH356" s="92"/>
      <c r="CI356" s="92"/>
      <c r="CJ356" s="92"/>
      <c r="CK356" s="92"/>
    </row>
    <row r="357" spans="1:89" ht="17.25" customHeight="1">
      <c r="A357" s="160"/>
      <c r="B357" s="165"/>
      <c r="C357" s="164"/>
      <c r="D357" s="137">
        <f t="shared" si="3"/>
        <v>0</v>
      </c>
      <c r="E357" s="207"/>
      <c r="F357" s="202"/>
      <c r="G357" s="207"/>
      <c r="H357" s="202"/>
      <c r="I357" s="207"/>
      <c r="J357" s="202"/>
      <c r="K357" s="207"/>
      <c r="L357" s="202"/>
      <c r="M357" s="207"/>
      <c r="N357" s="202"/>
      <c r="O357" s="201"/>
      <c r="P357" s="202"/>
      <c r="Q357" s="203">
        <f t="shared" si="4"/>
        <v>0</v>
      </c>
      <c r="R357" s="202"/>
      <c r="S357" s="207"/>
      <c r="T357" s="202"/>
      <c r="U357" s="207"/>
      <c r="V357" s="202"/>
      <c r="W357" s="207"/>
      <c r="X357" s="202"/>
      <c r="Y357" s="207"/>
      <c r="Z357" s="202"/>
      <c r="AA357" s="207"/>
      <c r="AB357" s="202"/>
      <c r="AC357" s="208"/>
      <c r="AD357" s="202"/>
      <c r="AE357" s="203">
        <f t="shared" si="5"/>
        <v>0</v>
      </c>
      <c r="AF357" s="202"/>
      <c r="AG357" s="204"/>
      <c r="AH357" s="202"/>
      <c r="AI357" s="204"/>
      <c r="AJ357" s="202"/>
      <c r="AK357" s="204"/>
      <c r="AL357" s="202"/>
      <c r="AM357" s="204"/>
      <c r="AN357" s="202"/>
      <c r="AO357" s="204"/>
      <c r="AP357" s="202"/>
      <c r="AQ357" s="208"/>
      <c r="AR357" s="202"/>
      <c r="AS357" s="203">
        <f t="shared" si="6"/>
        <v>0</v>
      </c>
      <c r="AT357" s="202"/>
      <c r="AU357" s="204"/>
      <c r="AV357" s="202"/>
      <c r="AW357" s="204"/>
      <c r="AX357" s="202"/>
      <c r="AY357" s="204"/>
      <c r="AZ357" s="202"/>
      <c r="BA357" s="204"/>
      <c r="BB357" s="202"/>
      <c r="BC357" s="204"/>
      <c r="BD357" s="202"/>
      <c r="BE357" s="208"/>
      <c r="BF357" s="202"/>
      <c r="BG357" s="203">
        <f t="shared" si="7"/>
        <v>0</v>
      </c>
      <c r="BH357" s="202"/>
      <c r="BI357" s="204"/>
      <c r="BJ357" s="202"/>
      <c r="BK357" s="204"/>
      <c r="BL357" s="202"/>
      <c r="BM357" s="204"/>
      <c r="BN357" s="202"/>
      <c r="BO357" s="203">
        <f t="shared" si="8"/>
        <v>0</v>
      </c>
      <c r="BP357" s="202"/>
      <c r="BQ357" s="138"/>
      <c r="BR357" s="128"/>
      <c r="BS357" s="128"/>
      <c r="BT357" s="128"/>
      <c r="BU357" s="128"/>
      <c r="BV357" s="128"/>
      <c r="BW357" s="139"/>
      <c r="BX357" s="140"/>
      <c r="BY357" s="139"/>
      <c r="BZ357" s="139"/>
      <c r="CA357" s="134"/>
      <c r="CB357" s="134"/>
      <c r="CC357" s="134"/>
      <c r="CD357" s="134"/>
      <c r="CE357" s="134"/>
      <c r="CF357" s="134"/>
      <c r="CG357" s="92"/>
      <c r="CH357" s="92"/>
      <c r="CI357" s="92"/>
      <c r="CJ357" s="92"/>
      <c r="CK357" s="92"/>
    </row>
    <row r="358" spans="1:89" ht="17.25" customHeight="1">
      <c r="A358" s="160"/>
      <c r="B358" s="165"/>
      <c r="C358" s="164"/>
      <c r="D358" s="137">
        <f t="shared" si="3"/>
        <v>0</v>
      </c>
      <c r="E358" s="207"/>
      <c r="F358" s="202"/>
      <c r="G358" s="207"/>
      <c r="H358" s="202"/>
      <c r="I358" s="207"/>
      <c r="J358" s="202"/>
      <c r="K358" s="207"/>
      <c r="L358" s="202"/>
      <c r="M358" s="207"/>
      <c r="N358" s="202"/>
      <c r="O358" s="201"/>
      <c r="P358" s="202"/>
      <c r="Q358" s="203">
        <f t="shared" si="4"/>
        <v>0</v>
      </c>
      <c r="R358" s="202"/>
      <c r="S358" s="207"/>
      <c r="T358" s="202"/>
      <c r="U358" s="207"/>
      <c r="V358" s="202"/>
      <c r="W358" s="207"/>
      <c r="X358" s="202"/>
      <c r="Y358" s="207"/>
      <c r="Z358" s="202"/>
      <c r="AA358" s="207"/>
      <c r="AB358" s="202"/>
      <c r="AC358" s="208"/>
      <c r="AD358" s="202"/>
      <c r="AE358" s="203">
        <f t="shared" si="5"/>
        <v>0</v>
      </c>
      <c r="AF358" s="202"/>
      <c r="AG358" s="204"/>
      <c r="AH358" s="202"/>
      <c r="AI358" s="204"/>
      <c r="AJ358" s="202"/>
      <c r="AK358" s="204"/>
      <c r="AL358" s="202"/>
      <c r="AM358" s="204"/>
      <c r="AN358" s="202"/>
      <c r="AO358" s="204"/>
      <c r="AP358" s="202"/>
      <c r="AQ358" s="208"/>
      <c r="AR358" s="202"/>
      <c r="AS358" s="203">
        <f t="shared" si="6"/>
        <v>0</v>
      </c>
      <c r="AT358" s="202"/>
      <c r="AU358" s="204"/>
      <c r="AV358" s="202"/>
      <c r="AW358" s="204"/>
      <c r="AX358" s="202"/>
      <c r="AY358" s="204"/>
      <c r="AZ358" s="202"/>
      <c r="BA358" s="204"/>
      <c r="BB358" s="202"/>
      <c r="BC358" s="204"/>
      <c r="BD358" s="202"/>
      <c r="BE358" s="208"/>
      <c r="BF358" s="202"/>
      <c r="BG358" s="203">
        <f t="shared" si="7"/>
        <v>0</v>
      </c>
      <c r="BH358" s="202"/>
      <c r="BI358" s="204"/>
      <c r="BJ358" s="202"/>
      <c r="BK358" s="204"/>
      <c r="BL358" s="202"/>
      <c r="BM358" s="204"/>
      <c r="BN358" s="202"/>
      <c r="BO358" s="203">
        <f t="shared" si="8"/>
        <v>0</v>
      </c>
      <c r="BP358" s="202"/>
      <c r="BQ358" s="138"/>
      <c r="BR358" s="128"/>
      <c r="BS358" s="128"/>
      <c r="BT358" s="128"/>
      <c r="BU358" s="128"/>
      <c r="BV358" s="128"/>
      <c r="BW358" s="139"/>
      <c r="BX358" s="140"/>
      <c r="BY358" s="139"/>
      <c r="BZ358" s="139"/>
      <c r="CA358" s="134"/>
      <c r="CB358" s="134"/>
      <c r="CC358" s="134"/>
      <c r="CD358" s="134"/>
      <c r="CE358" s="134"/>
      <c r="CF358" s="134"/>
      <c r="CG358" s="92"/>
      <c r="CH358" s="92"/>
      <c r="CI358" s="92"/>
      <c r="CJ358" s="92"/>
      <c r="CK358" s="92"/>
    </row>
    <row r="359" spans="1:89" ht="17.25" customHeight="1">
      <c r="A359" s="160"/>
      <c r="B359" s="165"/>
      <c r="C359" s="164"/>
      <c r="D359" s="137">
        <f t="shared" si="3"/>
        <v>0</v>
      </c>
      <c r="E359" s="207"/>
      <c r="F359" s="202"/>
      <c r="G359" s="207"/>
      <c r="H359" s="202"/>
      <c r="I359" s="207"/>
      <c r="J359" s="202"/>
      <c r="K359" s="207"/>
      <c r="L359" s="202"/>
      <c r="M359" s="207"/>
      <c r="N359" s="202"/>
      <c r="O359" s="201"/>
      <c r="P359" s="202"/>
      <c r="Q359" s="203">
        <f t="shared" si="4"/>
        <v>0</v>
      </c>
      <c r="R359" s="202"/>
      <c r="S359" s="207"/>
      <c r="T359" s="202"/>
      <c r="U359" s="207"/>
      <c r="V359" s="202"/>
      <c r="W359" s="207"/>
      <c r="X359" s="202"/>
      <c r="Y359" s="207"/>
      <c r="Z359" s="202"/>
      <c r="AA359" s="207"/>
      <c r="AB359" s="202"/>
      <c r="AC359" s="208"/>
      <c r="AD359" s="202"/>
      <c r="AE359" s="203">
        <f t="shared" si="5"/>
        <v>0</v>
      </c>
      <c r="AF359" s="202"/>
      <c r="AG359" s="204"/>
      <c r="AH359" s="202"/>
      <c r="AI359" s="204"/>
      <c r="AJ359" s="202"/>
      <c r="AK359" s="204"/>
      <c r="AL359" s="202"/>
      <c r="AM359" s="204"/>
      <c r="AN359" s="202"/>
      <c r="AO359" s="204"/>
      <c r="AP359" s="202"/>
      <c r="AQ359" s="208"/>
      <c r="AR359" s="202"/>
      <c r="AS359" s="203">
        <f t="shared" si="6"/>
        <v>0</v>
      </c>
      <c r="AT359" s="202"/>
      <c r="AU359" s="204"/>
      <c r="AV359" s="202"/>
      <c r="AW359" s="204"/>
      <c r="AX359" s="202"/>
      <c r="AY359" s="204"/>
      <c r="AZ359" s="202"/>
      <c r="BA359" s="204"/>
      <c r="BB359" s="202"/>
      <c r="BC359" s="204"/>
      <c r="BD359" s="202"/>
      <c r="BE359" s="208"/>
      <c r="BF359" s="202"/>
      <c r="BG359" s="203">
        <f t="shared" si="7"/>
        <v>0</v>
      </c>
      <c r="BH359" s="202"/>
      <c r="BI359" s="204"/>
      <c r="BJ359" s="202"/>
      <c r="BK359" s="204"/>
      <c r="BL359" s="202"/>
      <c r="BM359" s="204"/>
      <c r="BN359" s="202"/>
      <c r="BO359" s="203">
        <f t="shared" si="8"/>
        <v>0</v>
      </c>
      <c r="BP359" s="202"/>
      <c r="BQ359" s="138"/>
      <c r="BR359" s="128"/>
      <c r="BS359" s="128"/>
      <c r="BT359" s="128"/>
      <c r="BU359" s="128"/>
      <c r="BV359" s="128"/>
      <c r="BW359" s="139"/>
      <c r="BX359" s="140"/>
      <c r="BY359" s="139"/>
      <c r="BZ359" s="139"/>
      <c r="CA359" s="134"/>
      <c r="CB359" s="134"/>
      <c r="CC359" s="134"/>
      <c r="CD359" s="134"/>
      <c r="CE359" s="134"/>
      <c r="CF359" s="134"/>
      <c r="CG359" s="92"/>
      <c r="CH359" s="92"/>
      <c r="CI359" s="92"/>
      <c r="CJ359" s="92"/>
      <c r="CK359" s="92"/>
    </row>
    <row r="360" spans="1:89" ht="17.25" customHeight="1">
      <c r="A360" s="160"/>
      <c r="B360" s="165"/>
      <c r="C360" s="164"/>
      <c r="D360" s="137">
        <f t="shared" si="3"/>
        <v>0</v>
      </c>
      <c r="E360" s="207"/>
      <c r="F360" s="202"/>
      <c r="G360" s="207"/>
      <c r="H360" s="202"/>
      <c r="I360" s="207"/>
      <c r="J360" s="202"/>
      <c r="K360" s="207"/>
      <c r="L360" s="202"/>
      <c r="M360" s="207"/>
      <c r="N360" s="202"/>
      <c r="O360" s="201"/>
      <c r="P360" s="202"/>
      <c r="Q360" s="203">
        <f t="shared" si="4"/>
        <v>0</v>
      </c>
      <c r="R360" s="202"/>
      <c r="S360" s="207"/>
      <c r="T360" s="202"/>
      <c r="U360" s="207"/>
      <c r="V360" s="202"/>
      <c r="W360" s="207"/>
      <c r="X360" s="202"/>
      <c r="Y360" s="207"/>
      <c r="Z360" s="202"/>
      <c r="AA360" s="207"/>
      <c r="AB360" s="202"/>
      <c r="AC360" s="208"/>
      <c r="AD360" s="202"/>
      <c r="AE360" s="203">
        <f t="shared" si="5"/>
        <v>0</v>
      </c>
      <c r="AF360" s="202"/>
      <c r="AG360" s="204"/>
      <c r="AH360" s="202"/>
      <c r="AI360" s="204"/>
      <c r="AJ360" s="202"/>
      <c r="AK360" s="204"/>
      <c r="AL360" s="202"/>
      <c r="AM360" s="204"/>
      <c r="AN360" s="202"/>
      <c r="AO360" s="204"/>
      <c r="AP360" s="202"/>
      <c r="AQ360" s="208"/>
      <c r="AR360" s="202"/>
      <c r="AS360" s="203">
        <f t="shared" si="6"/>
        <v>0</v>
      </c>
      <c r="AT360" s="202"/>
      <c r="AU360" s="204"/>
      <c r="AV360" s="202"/>
      <c r="AW360" s="204"/>
      <c r="AX360" s="202"/>
      <c r="AY360" s="204"/>
      <c r="AZ360" s="202"/>
      <c r="BA360" s="204"/>
      <c r="BB360" s="202"/>
      <c r="BC360" s="204"/>
      <c r="BD360" s="202"/>
      <c r="BE360" s="208"/>
      <c r="BF360" s="202"/>
      <c r="BG360" s="203">
        <f t="shared" si="7"/>
        <v>0</v>
      </c>
      <c r="BH360" s="202"/>
      <c r="BI360" s="204"/>
      <c r="BJ360" s="202"/>
      <c r="BK360" s="204"/>
      <c r="BL360" s="202"/>
      <c r="BM360" s="204"/>
      <c r="BN360" s="202"/>
      <c r="BO360" s="203">
        <f t="shared" si="8"/>
        <v>0</v>
      </c>
      <c r="BP360" s="202"/>
      <c r="BQ360" s="138"/>
      <c r="BR360" s="128"/>
      <c r="BS360" s="128"/>
      <c r="BT360" s="128"/>
      <c r="BU360" s="128"/>
      <c r="BV360" s="128"/>
      <c r="BW360" s="139"/>
      <c r="BX360" s="140"/>
      <c r="BY360" s="139"/>
      <c r="BZ360" s="139"/>
      <c r="CA360" s="134"/>
      <c r="CB360" s="134"/>
      <c r="CC360" s="134"/>
      <c r="CD360" s="134"/>
      <c r="CE360" s="134"/>
      <c r="CF360" s="134"/>
      <c r="CG360" s="92"/>
      <c r="CH360" s="92"/>
      <c r="CI360" s="92"/>
      <c r="CJ360" s="92"/>
      <c r="CK360" s="92"/>
    </row>
    <row r="361" spans="1:89" ht="17.25" customHeight="1">
      <c r="A361" s="160"/>
      <c r="B361" s="165"/>
      <c r="C361" s="164"/>
      <c r="D361" s="137">
        <f t="shared" si="3"/>
        <v>0</v>
      </c>
      <c r="E361" s="207"/>
      <c r="F361" s="202"/>
      <c r="G361" s="207"/>
      <c r="H361" s="202"/>
      <c r="I361" s="207"/>
      <c r="J361" s="202"/>
      <c r="K361" s="207"/>
      <c r="L361" s="202"/>
      <c r="M361" s="207"/>
      <c r="N361" s="202"/>
      <c r="O361" s="201"/>
      <c r="P361" s="202"/>
      <c r="Q361" s="203">
        <f t="shared" si="4"/>
        <v>0</v>
      </c>
      <c r="R361" s="202"/>
      <c r="S361" s="207"/>
      <c r="T361" s="202"/>
      <c r="U361" s="207"/>
      <c r="V361" s="202"/>
      <c r="W361" s="207"/>
      <c r="X361" s="202"/>
      <c r="Y361" s="207"/>
      <c r="Z361" s="202"/>
      <c r="AA361" s="207"/>
      <c r="AB361" s="202"/>
      <c r="AC361" s="208"/>
      <c r="AD361" s="202"/>
      <c r="AE361" s="203">
        <f t="shared" si="5"/>
        <v>0</v>
      </c>
      <c r="AF361" s="202"/>
      <c r="AG361" s="204"/>
      <c r="AH361" s="202"/>
      <c r="AI361" s="204"/>
      <c r="AJ361" s="202"/>
      <c r="AK361" s="204"/>
      <c r="AL361" s="202"/>
      <c r="AM361" s="204"/>
      <c r="AN361" s="202"/>
      <c r="AO361" s="204"/>
      <c r="AP361" s="202"/>
      <c r="AQ361" s="208"/>
      <c r="AR361" s="202"/>
      <c r="AS361" s="203">
        <f t="shared" si="6"/>
        <v>0</v>
      </c>
      <c r="AT361" s="202"/>
      <c r="AU361" s="204"/>
      <c r="AV361" s="202"/>
      <c r="AW361" s="204"/>
      <c r="AX361" s="202"/>
      <c r="AY361" s="204"/>
      <c r="AZ361" s="202"/>
      <c r="BA361" s="204"/>
      <c r="BB361" s="202"/>
      <c r="BC361" s="204"/>
      <c r="BD361" s="202"/>
      <c r="BE361" s="208"/>
      <c r="BF361" s="202"/>
      <c r="BG361" s="203">
        <f t="shared" si="7"/>
        <v>0</v>
      </c>
      <c r="BH361" s="202"/>
      <c r="BI361" s="204"/>
      <c r="BJ361" s="202"/>
      <c r="BK361" s="204"/>
      <c r="BL361" s="202"/>
      <c r="BM361" s="204"/>
      <c r="BN361" s="202"/>
      <c r="BO361" s="203">
        <f t="shared" si="8"/>
        <v>0</v>
      </c>
      <c r="BP361" s="202"/>
      <c r="BQ361" s="138"/>
      <c r="BR361" s="128"/>
      <c r="BS361" s="128"/>
      <c r="BT361" s="128"/>
      <c r="BU361" s="128"/>
      <c r="BV361" s="128"/>
      <c r="BW361" s="139"/>
      <c r="BX361" s="140"/>
      <c r="BY361" s="139"/>
      <c r="BZ361" s="139"/>
      <c r="CA361" s="134"/>
      <c r="CB361" s="134"/>
      <c r="CC361" s="134"/>
      <c r="CD361" s="134"/>
      <c r="CE361" s="134"/>
      <c r="CF361" s="134"/>
      <c r="CG361" s="92"/>
      <c r="CH361" s="92"/>
      <c r="CI361" s="92"/>
      <c r="CJ361" s="92"/>
      <c r="CK361" s="92"/>
    </row>
    <row r="362" spans="1:89" ht="17.25" customHeight="1">
      <c r="A362" s="160"/>
      <c r="B362" s="165"/>
      <c r="C362" s="164"/>
      <c r="D362" s="137">
        <f t="shared" si="3"/>
        <v>0</v>
      </c>
      <c r="E362" s="207"/>
      <c r="F362" s="202"/>
      <c r="G362" s="207"/>
      <c r="H362" s="202"/>
      <c r="I362" s="207"/>
      <c r="J362" s="202"/>
      <c r="K362" s="207"/>
      <c r="L362" s="202"/>
      <c r="M362" s="207"/>
      <c r="N362" s="202"/>
      <c r="O362" s="201"/>
      <c r="P362" s="202"/>
      <c r="Q362" s="203">
        <f t="shared" si="4"/>
        <v>0</v>
      </c>
      <c r="R362" s="202"/>
      <c r="S362" s="207"/>
      <c r="T362" s="202"/>
      <c r="U362" s="207"/>
      <c r="V362" s="202"/>
      <c r="W362" s="207"/>
      <c r="X362" s="202"/>
      <c r="Y362" s="207"/>
      <c r="Z362" s="202"/>
      <c r="AA362" s="207"/>
      <c r="AB362" s="202"/>
      <c r="AC362" s="208"/>
      <c r="AD362" s="202"/>
      <c r="AE362" s="203">
        <f t="shared" si="5"/>
        <v>0</v>
      </c>
      <c r="AF362" s="202"/>
      <c r="AG362" s="204"/>
      <c r="AH362" s="202"/>
      <c r="AI362" s="204"/>
      <c r="AJ362" s="202"/>
      <c r="AK362" s="204"/>
      <c r="AL362" s="202"/>
      <c r="AM362" s="204"/>
      <c r="AN362" s="202"/>
      <c r="AO362" s="204"/>
      <c r="AP362" s="202"/>
      <c r="AQ362" s="208"/>
      <c r="AR362" s="202"/>
      <c r="AS362" s="203">
        <f t="shared" si="6"/>
        <v>0</v>
      </c>
      <c r="AT362" s="202"/>
      <c r="AU362" s="204"/>
      <c r="AV362" s="202"/>
      <c r="AW362" s="204"/>
      <c r="AX362" s="202"/>
      <c r="AY362" s="204"/>
      <c r="AZ362" s="202"/>
      <c r="BA362" s="204"/>
      <c r="BB362" s="202"/>
      <c r="BC362" s="204"/>
      <c r="BD362" s="202"/>
      <c r="BE362" s="208"/>
      <c r="BF362" s="202"/>
      <c r="BG362" s="203">
        <f t="shared" si="7"/>
        <v>0</v>
      </c>
      <c r="BH362" s="202"/>
      <c r="BI362" s="204"/>
      <c r="BJ362" s="202"/>
      <c r="BK362" s="204"/>
      <c r="BL362" s="202"/>
      <c r="BM362" s="204"/>
      <c r="BN362" s="202"/>
      <c r="BO362" s="203">
        <f t="shared" si="8"/>
        <v>0</v>
      </c>
      <c r="BP362" s="202"/>
      <c r="BQ362" s="138"/>
      <c r="BR362" s="128"/>
      <c r="BS362" s="128"/>
      <c r="BT362" s="128"/>
      <c r="BU362" s="128"/>
      <c r="BV362" s="128"/>
      <c r="BW362" s="139"/>
      <c r="BX362" s="140"/>
      <c r="BY362" s="139"/>
      <c r="BZ362" s="139"/>
      <c r="CA362" s="134"/>
      <c r="CB362" s="134"/>
      <c r="CC362" s="134"/>
      <c r="CD362" s="134"/>
      <c r="CE362" s="134"/>
      <c r="CF362" s="134"/>
      <c r="CG362" s="92"/>
      <c r="CH362" s="92"/>
      <c r="CI362" s="92"/>
      <c r="CJ362" s="92"/>
      <c r="CK362" s="92"/>
    </row>
    <row r="363" spans="1:89" ht="17.25" customHeight="1">
      <c r="A363" s="160"/>
      <c r="B363" s="165"/>
      <c r="C363" s="164"/>
      <c r="D363" s="137">
        <f t="shared" si="3"/>
        <v>0</v>
      </c>
      <c r="E363" s="207"/>
      <c r="F363" s="202"/>
      <c r="G363" s="207"/>
      <c r="H363" s="202"/>
      <c r="I363" s="207"/>
      <c r="J363" s="202"/>
      <c r="K363" s="207"/>
      <c r="L363" s="202"/>
      <c r="M363" s="207"/>
      <c r="N363" s="202"/>
      <c r="O363" s="201"/>
      <c r="P363" s="202"/>
      <c r="Q363" s="203">
        <f t="shared" si="4"/>
        <v>0</v>
      </c>
      <c r="R363" s="202"/>
      <c r="S363" s="207"/>
      <c r="T363" s="202"/>
      <c r="U363" s="207"/>
      <c r="V363" s="202"/>
      <c r="W363" s="207"/>
      <c r="X363" s="202"/>
      <c r="Y363" s="207"/>
      <c r="Z363" s="202"/>
      <c r="AA363" s="207"/>
      <c r="AB363" s="202"/>
      <c r="AC363" s="208"/>
      <c r="AD363" s="202"/>
      <c r="AE363" s="203">
        <f t="shared" si="5"/>
        <v>0</v>
      </c>
      <c r="AF363" s="202"/>
      <c r="AG363" s="204"/>
      <c r="AH363" s="202"/>
      <c r="AI363" s="204"/>
      <c r="AJ363" s="202"/>
      <c r="AK363" s="204"/>
      <c r="AL363" s="202"/>
      <c r="AM363" s="204"/>
      <c r="AN363" s="202"/>
      <c r="AO363" s="204"/>
      <c r="AP363" s="202"/>
      <c r="AQ363" s="208"/>
      <c r="AR363" s="202"/>
      <c r="AS363" s="203">
        <f t="shared" si="6"/>
        <v>0</v>
      </c>
      <c r="AT363" s="202"/>
      <c r="AU363" s="204"/>
      <c r="AV363" s="202"/>
      <c r="AW363" s="204"/>
      <c r="AX363" s="202"/>
      <c r="AY363" s="204"/>
      <c r="AZ363" s="202"/>
      <c r="BA363" s="204"/>
      <c r="BB363" s="202"/>
      <c r="BC363" s="204"/>
      <c r="BD363" s="202"/>
      <c r="BE363" s="208"/>
      <c r="BF363" s="202"/>
      <c r="BG363" s="203">
        <f t="shared" si="7"/>
        <v>0</v>
      </c>
      <c r="BH363" s="202"/>
      <c r="BI363" s="204"/>
      <c r="BJ363" s="202"/>
      <c r="BK363" s="204"/>
      <c r="BL363" s="202"/>
      <c r="BM363" s="204"/>
      <c r="BN363" s="202"/>
      <c r="BO363" s="203">
        <f t="shared" si="8"/>
        <v>0</v>
      </c>
      <c r="BP363" s="202"/>
      <c r="BQ363" s="138"/>
      <c r="BR363" s="128"/>
      <c r="BS363" s="128"/>
      <c r="BT363" s="128"/>
      <c r="BU363" s="128"/>
      <c r="BV363" s="128"/>
      <c r="BW363" s="139"/>
      <c r="BX363" s="140"/>
      <c r="BY363" s="139"/>
      <c r="BZ363" s="139"/>
      <c r="CA363" s="134"/>
      <c r="CB363" s="134"/>
      <c r="CC363" s="134"/>
      <c r="CD363" s="134"/>
      <c r="CE363" s="134"/>
      <c r="CF363" s="134"/>
      <c r="CG363" s="92"/>
      <c r="CH363" s="92"/>
      <c r="CI363" s="92"/>
      <c r="CJ363" s="92"/>
      <c r="CK363" s="92"/>
    </row>
    <row r="364" spans="1:89" ht="17.25" customHeight="1">
      <c r="A364" s="160"/>
      <c r="B364" s="165"/>
      <c r="C364" s="164"/>
      <c r="D364" s="137">
        <f t="shared" si="3"/>
        <v>0</v>
      </c>
      <c r="E364" s="207"/>
      <c r="F364" s="202"/>
      <c r="G364" s="207"/>
      <c r="H364" s="202"/>
      <c r="I364" s="207"/>
      <c r="J364" s="202"/>
      <c r="K364" s="207"/>
      <c r="L364" s="202"/>
      <c r="M364" s="207"/>
      <c r="N364" s="202"/>
      <c r="O364" s="201"/>
      <c r="P364" s="202"/>
      <c r="Q364" s="203">
        <f t="shared" si="4"/>
        <v>0</v>
      </c>
      <c r="R364" s="202"/>
      <c r="S364" s="207"/>
      <c r="T364" s="202"/>
      <c r="U364" s="207"/>
      <c r="V364" s="202"/>
      <c r="W364" s="207"/>
      <c r="X364" s="202"/>
      <c r="Y364" s="207"/>
      <c r="Z364" s="202"/>
      <c r="AA364" s="207"/>
      <c r="AB364" s="202"/>
      <c r="AC364" s="208"/>
      <c r="AD364" s="202"/>
      <c r="AE364" s="203">
        <f t="shared" si="5"/>
        <v>0</v>
      </c>
      <c r="AF364" s="202"/>
      <c r="AG364" s="204"/>
      <c r="AH364" s="202"/>
      <c r="AI364" s="204"/>
      <c r="AJ364" s="202"/>
      <c r="AK364" s="204"/>
      <c r="AL364" s="202"/>
      <c r="AM364" s="204"/>
      <c r="AN364" s="202"/>
      <c r="AO364" s="204"/>
      <c r="AP364" s="202"/>
      <c r="AQ364" s="208"/>
      <c r="AR364" s="202"/>
      <c r="AS364" s="203">
        <f t="shared" si="6"/>
        <v>0</v>
      </c>
      <c r="AT364" s="202"/>
      <c r="AU364" s="204"/>
      <c r="AV364" s="202"/>
      <c r="AW364" s="204"/>
      <c r="AX364" s="202"/>
      <c r="AY364" s="204"/>
      <c r="AZ364" s="202"/>
      <c r="BA364" s="204"/>
      <c r="BB364" s="202"/>
      <c r="BC364" s="204"/>
      <c r="BD364" s="202"/>
      <c r="BE364" s="208"/>
      <c r="BF364" s="202"/>
      <c r="BG364" s="203">
        <f t="shared" si="7"/>
        <v>0</v>
      </c>
      <c r="BH364" s="202"/>
      <c r="BI364" s="204"/>
      <c r="BJ364" s="202"/>
      <c r="BK364" s="204"/>
      <c r="BL364" s="202"/>
      <c r="BM364" s="204"/>
      <c r="BN364" s="202"/>
      <c r="BO364" s="203">
        <f t="shared" si="8"/>
        <v>0</v>
      </c>
      <c r="BP364" s="202"/>
      <c r="BQ364" s="138"/>
      <c r="BR364" s="128"/>
      <c r="BS364" s="128"/>
      <c r="BT364" s="128"/>
      <c r="BU364" s="128"/>
      <c r="BV364" s="128"/>
      <c r="BW364" s="139"/>
      <c r="BX364" s="140"/>
      <c r="BY364" s="139"/>
      <c r="BZ364" s="139"/>
      <c r="CA364" s="134"/>
      <c r="CB364" s="134"/>
      <c r="CC364" s="134"/>
      <c r="CD364" s="134"/>
      <c r="CE364" s="134"/>
      <c r="CF364" s="134"/>
      <c r="CG364" s="92"/>
      <c r="CH364" s="92"/>
      <c r="CI364" s="92"/>
      <c r="CJ364" s="92"/>
      <c r="CK364" s="92"/>
    </row>
    <row r="365" spans="1:89" ht="17.25" customHeight="1">
      <c r="A365" s="160"/>
      <c r="B365" s="165"/>
      <c r="C365" s="164"/>
      <c r="D365" s="137">
        <f t="shared" si="3"/>
        <v>0</v>
      </c>
      <c r="E365" s="207"/>
      <c r="F365" s="202"/>
      <c r="G365" s="207"/>
      <c r="H365" s="202"/>
      <c r="I365" s="207"/>
      <c r="J365" s="202"/>
      <c r="K365" s="207"/>
      <c r="L365" s="202"/>
      <c r="M365" s="207"/>
      <c r="N365" s="202"/>
      <c r="O365" s="201"/>
      <c r="P365" s="202"/>
      <c r="Q365" s="203">
        <f t="shared" si="4"/>
        <v>0</v>
      </c>
      <c r="R365" s="202"/>
      <c r="S365" s="207"/>
      <c r="T365" s="202"/>
      <c r="U365" s="207"/>
      <c r="V365" s="202"/>
      <c r="W365" s="207"/>
      <c r="X365" s="202"/>
      <c r="Y365" s="207"/>
      <c r="Z365" s="202"/>
      <c r="AA365" s="207"/>
      <c r="AB365" s="202"/>
      <c r="AC365" s="208"/>
      <c r="AD365" s="202"/>
      <c r="AE365" s="203">
        <f t="shared" si="5"/>
        <v>0</v>
      </c>
      <c r="AF365" s="202"/>
      <c r="AG365" s="204"/>
      <c r="AH365" s="202"/>
      <c r="AI365" s="204"/>
      <c r="AJ365" s="202"/>
      <c r="AK365" s="204"/>
      <c r="AL365" s="202"/>
      <c r="AM365" s="204"/>
      <c r="AN365" s="202"/>
      <c r="AO365" s="204"/>
      <c r="AP365" s="202"/>
      <c r="AQ365" s="208"/>
      <c r="AR365" s="202"/>
      <c r="AS365" s="203">
        <f t="shared" si="6"/>
        <v>0</v>
      </c>
      <c r="AT365" s="202"/>
      <c r="AU365" s="204"/>
      <c r="AV365" s="202"/>
      <c r="AW365" s="204"/>
      <c r="AX365" s="202"/>
      <c r="AY365" s="204"/>
      <c r="AZ365" s="202"/>
      <c r="BA365" s="204"/>
      <c r="BB365" s="202"/>
      <c r="BC365" s="204"/>
      <c r="BD365" s="202"/>
      <c r="BE365" s="208"/>
      <c r="BF365" s="202"/>
      <c r="BG365" s="203">
        <f t="shared" si="7"/>
        <v>0</v>
      </c>
      <c r="BH365" s="202"/>
      <c r="BI365" s="204"/>
      <c r="BJ365" s="202"/>
      <c r="BK365" s="204"/>
      <c r="BL365" s="202"/>
      <c r="BM365" s="204"/>
      <c r="BN365" s="202"/>
      <c r="BO365" s="203">
        <f t="shared" si="8"/>
        <v>0</v>
      </c>
      <c r="BP365" s="202"/>
      <c r="BQ365" s="138"/>
      <c r="BR365" s="128"/>
      <c r="BS365" s="128"/>
      <c r="BT365" s="128"/>
      <c r="BU365" s="128"/>
      <c r="BV365" s="128"/>
      <c r="BW365" s="139"/>
      <c r="BX365" s="140"/>
      <c r="BY365" s="139"/>
      <c r="BZ365" s="139"/>
      <c r="CA365" s="134"/>
      <c r="CB365" s="134"/>
      <c r="CC365" s="134"/>
      <c r="CD365" s="134"/>
      <c r="CE365" s="134"/>
      <c r="CF365" s="134"/>
      <c r="CG365" s="92"/>
      <c r="CH365" s="92"/>
      <c r="CI365" s="92"/>
      <c r="CJ365" s="92"/>
      <c r="CK365" s="92"/>
    </row>
    <row r="366" spans="1:89" ht="17.25" customHeight="1">
      <c r="A366" s="160"/>
      <c r="B366" s="165"/>
      <c r="C366" s="164"/>
      <c r="D366" s="137">
        <f t="shared" si="3"/>
        <v>0</v>
      </c>
      <c r="E366" s="207"/>
      <c r="F366" s="202"/>
      <c r="G366" s="207"/>
      <c r="H366" s="202"/>
      <c r="I366" s="207"/>
      <c r="J366" s="202"/>
      <c r="K366" s="207"/>
      <c r="L366" s="202"/>
      <c r="M366" s="207"/>
      <c r="N366" s="202"/>
      <c r="O366" s="201"/>
      <c r="P366" s="202"/>
      <c r="Q366" s="203">
        <f t="shared" si="4"/>
        <v>0</v>
      </c>
      <c r="R366" s="202"/>
      <c r="S366" s="207"/>
      <c r="T366" s="202"/>
      <c r="U366" s="207"/>
      <c r="V366" s="202"/>
      <c r="W366" s="207"/>
      <c r="X366" s="202"/>
      <c r="Y366" s="207"/>
      <c r="Z366" s="202"/>
      <c r="AA366" s="207"/>
      <c r="AB366" s="202"/>
      <c r="AC366" s="208"/>
      <c r="AD366" s="202"/>
      <c r="AE366" s="203">
        <f t="shared" si="5"/>
        <v>0</v>
      </c>
      <c r="AF366" s="202"/>
      <c r="AG366" s="204"/>
      <c r="AH366" s="202"/>
      <c r="AI366" s="204"/>
      <c r="AJ366" s="202"/>
      <c r="AK366" s="204"/>
      <c r="AL366" s="202"/>
      <c r="AM366" s="204"/>
      <c r="AN366" s="202"/>
      <c r="AO366" s="204"/>
      <c r="AP366" s="202"/>
      <c r="AQ366" s="208"/>
      <c r="AR366" s="202"/>
      <c r="AS366" s="203">
        <f t="shared" si="6"/>
        <v>0</v>
      </c>
      <c r="AT366" s="202"/>
      <c r="AU366" s="204"/>
      <c r="AV366" s="202"/>
      <c r="AW366" s="204"/>
      <c r="AX366" s="202"/>
      <c r="AY366" s="204"/>
      <c r="AZ366" s="202"/>
      <c r="BA366" s="204"/>
      <c r="BB366" s="202"/>
      <c r="BC366" s="204"/>
      <c r="BD366" s="202"/>
      <c r="BE366" s="208"/>
      <c r="BF366" s="202"/>
      <c r="BG366" s="203">
        <f t="shared" si="7"/>
        <v>0</v>
      </c>
      <c r="BH366" s="202"/>
      <c r="BI366" s="204"/>
      <c r="BJ366" s="202"/>
      <c r="BK366" s="204"/>
      <c r="BL366" s="202"/>
      <c r="BM366" s="204"/>
      <c r="BN366" s="202"/>
      <c r="BO366" s="203">
        <f t="shared" si="8"/>
        <v>0</v>
      </c>
      <c r="BP366" s="202"/>
      <c r="BQ366" s="138"/>
      <c r="BR366" s="128"/>
      <c r="BS366" s="128"/>
      <c r="BT366" s="128"/>
      <c r="BU366" s="128"/>
      <c r="BV366" s="128"/>
      <c r="BW366" s="139"/>
      <c r="BX366" s="140"/>
      <c r="BY366" s="139"/>
      <c r="BZ366" s="139"/>
      <c r="CA366" s="134"/>
      <c r="CB366" s="134"/>
      <c r="CC366" s="134"/>
      <c r="CD366" s="134"/>
      <c r="CE366" s="134"/>
      <c r="CF366" s="134"/>
      <c r="CG366" s="92"/>
      <c r="CH366" s="92"/>
      <c r="CI366" s="92"/>
      <c r="CJ366" s="92"/>
      <c r="CK366" s="92"/>
    </row>
    <row r="367" spans="1:89" ht="17.25" customHeight="1">
      <c r="A367" s="160"/>
      <c r="B367" s="165"/>
      <c r="C367" s="164"/>
      <c r="D367" s="137">
        <f t="shared" si="3"/>
        <v>0</v>
      </c>
      <c r="E367" s="207"/>
      <c r="F367" s="202"/>
      <c r="G367" s="207"/>
      <c r="H367" s="202"/>
      <c r="I367" s="207"/>
      <c r="J367" s="202"/>
      <c r="K367" s="207"/>
      <c r="L367" s="202"/>
      <c r="M367" s="207"/>
      <c r="N367" s="202"/>
      <c r="O367" s="201"/>
      <c r="P367" s="202"/>
      <c r="Q367" s="203">
        <f t="shared" si="4"/>
        <v>0</v>
      </c>
      <c r="R367" s="202"/>
      <c r="S367" s="207"/>
      <c r="T367" s="202"/>
      <c r="U367" s="207"/>
      <c r="V367" s="202"/>
      <c r="W367" s="207"/>
      <c r="X367" s="202"/>
      <c r="Y367" s="207"/>
      <c r="Z367" s="202"/>
      <c r="AA367" s="207"/>
      <c r="AB367" s="202"/>
      <c r="AC367" s="208"/>
      <c r="AD367" s="202"/>
      <c r="AE367" s="203">
        <f t="shared" si="5"/>
        <v>0</v>
      </c>
      <c r="AF367" s="202"/>
      <c r="AG367" s="204"/>
      <c r="AH367" s="202"/>
      <c r="AI367" s="204"/>
      <c r="AJ367" s="202"/>
      <c r="AK367" s="204"/>
      <c r="AL367" s="202"/>
      <c r="AM367" s="204"/>
      <c r="AN367" s="202"/>
      <c r="AO367" s="204"/>
      <c r="AP367" s="202"/>
      <c r="AQ367" s="208"/>
      <c r="AR367" s="202"/>
      <c r="AS367" s="203">
        <f t="shared" si="6"/>
        <v>0</v>
      </c>
      <c r="AT367" s="202"/>
      <c r="AU367" s="204"/>
      <c r="AV367" s="202"/>
      <c r="AW367" s="204"/>
      <c r="AX367" s="202"/>
      <c r="AY367" s="204"/>
      <c r="AZ367" s="202"/>
      <c r="BA367" s="204"/>
      <c r="BB367" s="202"/>
      <c r="BC367" s="204"/>
      <c r="BD367" s="202"/>
      <c r="BE367" s="208"/>
      <c r="BF367" s="202"/>
      <c r="BG367" s="203">
        <f t="shared" si="7"/>
        <v>0</v>
      </c>
      <c r="BH367" s="202"/>
      <c r="BI367" s="204"/>
      <c r="BJ367" s="202"/>
      <c r="BK367" s="204"/>
      <c r="BL367" s="202"/>
      <c r="BM367" s="204"/>
      <c r="BN367" s="202"/>
      <c r="BO367" s="203">
        <f t="shared" si="8"/>
        <v>0</v>
      </c>
      <c r="BP367" s="202"/>
      <c r="BQ367" s="138"/>
      <c r="BR367" s="128"/>
      <c r="BS367" s="128"/>
      <c r="BT367" s="128"/>
      <c r="BU367" s="128"/>
      <c r="BV367" s="128"/>
      <c r="BW367" s="139"/>
      <c r="BX367" s="140"/>
      <c r="BY367" s="139"/>
      <c r="BZ367" s="139"/>
      <c r="CA367" s="134"/>
      <c r="CB367" s="134"/>
      <c r="CC367" s="134"/>
      <c r="CD367" s="134"/>
      <c r="CE367" s="134"/>
      <c r="CF367" s="134"/>
      <c r="CG367" s="92"/>
      <c r="CH367" s="92"/>
      <c r="CI367" s="92"/>
      <c r="CJ367" s="92"/>
      <c r="CK367" s="92"/>
    </row>
    <row r="368" spans="1:89" ht="17.25" customHeight="1">
      <c r="A368" s="160"/>
      <c r="B368" s="165"/>
      <c r="C368" s="164"/>
      <c r="D368" s="137">
        <f t="shared" si="3"/>
        <v>0</v>
      </c>
      <c r="E368" s="207"/>
      <c r="F368" s="202"/>
      <c r="G368" s="207"/>
      <c r="H368" s="202"/>
      <c r="I368" s="207"/>
      <c r="J368" s="202"/>
      <c r="K368" s="207"/>
      <c r="L368" s="202"/>
      <c r="M368" s="207"/>
      <c r="N368" s="202"/>
      <c r="O368" s="201"/>
      <c r="P368" s="202"/>
      <c r="Q368" s="203">
        <f t="shared" si="4"/>
        <v>0</v>
      </c>
      <c r="R368" s="202"/>
      <c r="S368" s="207"/>
      <c r="T368" s="202"/>
      <c r="U368" s="207"/>
      <c r="V368" s="202"/>
      <c r="W368" s="207"/>
      <c r="X368" s="202"/>
      <c r="Y368" s="207"/>
      <c r="Z368" s="202"/>
      <c r="AA368" s="207"/>
      <c r="AB368" s="202"/>
      <c r="AC368" s="208"/>
      <c r="AD368" s="202"/>
      <c r="AE368" s="203">
        <f t="shared" si="5"/>
        <v>0</v>
      </c>
      <c r="AF368" s="202"/>
      <c r="AG368" s="204"/>
      <c r="AH368" s="202"/>
      <c r="AI368" s="204"/>
      <c r="AJ368" s="202"/>
      <c r="AK368" s="204"/>
      <c r="AL368" s="202"/>
      <c r="AM368" s="204"/>
      <c r="AN368" s="202"/>
      <c r="AO368" s="204"/>
      <c r="AP368" s="202"/>
      <c r="AQ368" s="208"/>
      <c r="AR368" s="202"/>
      <c r="AS368" s="203">
        <f t="shared" si="6"/>
        <v>0</v>
      </c>
      <c r="AT368" s="202"/>
      <c r="AU368" s="204"/>
      <c r="AV368" s="202"/>
      <c r="AW368" s="204"/>
      <c r="AX368" s="202"/>
      <c r="AY368" s="204"/>
      <c r="AZ368" s="202"/>
      <c r="BA368" s="204"/>
      <c r="BB368" s="202"/>
      <c r="BC368" s="204"/>
      <c r="BD368" s="202"/>
      <c r="BE368" s="208"/>
      <c r="BF368" s="202"/>
      <c r="BG368" s="203">
        <f t="shared" si="7"/>
        <v>0</v>
      </c>
      <c r="BH368" s="202"/>
      <c r="BI368" s="204"/>
      <c r="BJ368" s="202"/>
      <c r="BK368" s="204"/>
      <c r="BL368" s="202"/>
      <c r="BM368" s="204"/>
      <c r="BN368" s="202"/>
      <c r="BO368" s="203">
        <f t="shared" si="8"/>
        <v>0</v>
      </c>
      <c r="BP368" s="202"/>
      <c r="BQ368" s="138"/>
      <c r="BR368" s="128"/>
      <c r="BS368" s="128"/>
      <c r="BT368" s="128"/>
      <c r="BU368" s="128"/>
      <c r="BV368" s="128"/>
      <c r="BW368" s="139"/>
      <c r="BX368" s="140"/>
      <c r="BY368" s="139"/>
      <c r="BZ368" s="139"/>
      <c r="CA368" s="134"/>
      <c r="CB368" s="134"/>
      <c r="CC368" s="134"/>
      <c r="CD368" s="134"/>
      <c r="CE368" s="134"/>
      <c r="CF368" s="134"/>
      <c r="CG368" s="92"/>
      <c r="CH368" s="92"/>
      <c r="CI368" s="92"/>
      <c r="CJ368" s="92"/>
      <c r="CK368" s="92"/>
    </row>
    <row r="369" spans="1:89" ht="17.25" customHeight="1">
      <c r="A369" s="160"/>
      <c r="B369" s="165"/>
      <c r="C369" s="164"/>
      <c r="D369" s="137">
        <f t="shared" si="3"/>
        <v>0</v>
      </c>
      <c r="E369" s="207"/>
      <c r="F369" s="202"/>
      <c r="G369" s="207"/>
      <c r="H369" s="202"/>
      <c r="I369" s="207"/>
      <c r="J369" s="202"/>
      <c r="K369" s="207"/>
      <c r="L369" s="202"/>
      <c r="M369" s="207"/>
      <c r="N369" s="202"/>
      <c r="O369" s="201"/>
      <c r="P369" s="202"/>
      <c r="Q369" s="203">
        <f t="shared" si="4"/>
        <v>0</v>
      </c>
      <c r="R369" s="202"/>
      <c r="S369" s="207"/>
      <c r="T369" s="202"/>
      <c r="U369" s="207"/>
      <c r="V369" s="202"/>
      <c r="W369" s="207"/>
      <c r="X369" s="202"/>
      <c r="Y369" s="207"/>
      <c r="Z369" s="202"/>
      <c r="AA369" s="207"/>
      <c r="AB369" s="202"/>
      <c r="AC369" s="208"/>
      <c r="AD369" s="202"/>
      <c r="AE369" s="203">
        <f t="shared" si="5"/>
        <v>0</v>
      </c>
      <c r="AF369" s="202"/>
      <c r="AG369" s="204"/>
      <c r="AH369" s="202"/>
      <c r="AI369" s="204"/>
      <c r="AJ369" s="202"/>
      <c r="AK369" s="204"/>
      <c r="AL369" s="202"/>
      <c r="AM369" s="204"/>
      <c r="AN369" s="202"/>
      <c r="AO369" s="204"/>
      <c r="AP369" s="202"/>
      <c r="AQ369" s="208"/>
      <c r="AR369" s="202"/>
      <c r="AS369" s="203">
        <f t="shared" si="6"/>
        <v>0</v>
      </c>
      <c r="AT369" s="202"/>
      <c r="AU369" s="204"/>
      <c r="AV369" s="202"/>
      <c r="AW369" s="204"/>
      <c r="AX369" s="202"/>
      <c r="AY369" s="204"/>
      <c r="AZ369" s="202"/>
      <c r="BA369" s="204"/>
      <c r="BB369" s="202"/>
      <c r="BC369" s="204"/>
      <c r="BD369" s="202"/>
      <c r="BE369" s="208"/>
      <c r="BF369" s="202"/>
      <c r="BG369" s="203">
        <f t="shared" si="7"/>
        <v>0</v>
      </c>
      <c r="BH369" s="202"/>
      <c r="BI369" s="204"/>
      <c r="BJ369" s="202"/>
      <c r="BK369" s="204"/>
      <c r="BL369" s="202"/>
      <c r="BM369" s="204"/>
      <c r="BN369" s="202"/>
      <c r="BO369" s="203">
        <f t="shared" si="8"/>
        <v>0</v>
      </c>
      <c r="BP369" s="202"/>
      <c r="BQ369" s="138"/>
      <c r="BR369" s="128"/>
      <c r="BS369" s="128"/>
      <c r="BT369" s="128"/>
      <c r="BU369" s="128"/>
      <c r="BV369" s="128"/>
      <c r="BW369" s="139"/>
      <c r="BX369" s="140"/>
      <c r="BY369" s="139"/>
      <c r="BZ369" s="139"/>
      <c r="CA369" s="134"/>
      <c r="CB369" s="134"/>
      <c r="CC369" s="134"/>
      <c r="CD369" s="134"/>
      <c r="CE369" s="134"/>
      <c r="CF369" s="134"/>
      <c r="CG369" s="92"/>
      <c r="CH369" s="92"/>
      <c r="CI369" s="92"/>
      <c r="CJ369" s="92"/>
      <c r="CK369" s="92"/>
    </row>
    <row r="370" spans="1:89" ht="17.25" customHeight="1">
      <c r="A370" s="160"/>
      <c r="B370" s="165"/>
      <c r="C370" s="164"/>
      <c r="D370" s="137">
        <f t="shared" si="3"/>
        <v>0</v>
      </c>
      <c r="E370" s="207"/>
      <c r="F370" s="202"/>
      <c r="G370" s="207"/>
      <c r="H370" s="202"/>
      <c r="I370" s="207"/>
      <c r="J370" s="202"/>
      <c r="K370" s="207"/>
      <c r="L370" s="202"/>
      <c r="M370" s="207"/>
      <c r="N370" s="202"/>
      <c r="O370" s="201"/>
      <c r="P370" s="202"/>
      <c r="Q370" s="203">
        <f t="shared" si="4"/>
        <v>0</v>
      </c>
      <c r="R370" s="202"/>
      <c r="S370" s="207"/>
      <c r="T370" s="202"/>
      <c r="U370" s="207"/>
      <c r="V370" s="202"/>
      <c r="W370" s="207"/>
      <c r="X370" s="202"/>
      <c r="Y370" s="207"/>
      <c r="Z370" s="202"/>
      <c r="AA370" s="207"/>
      <c r="AB370" s="202"/>
      <c r="AC370" s="208"/>
      <c r="AD370" s="202"/>
      <c r="AE370" s="203">
        <f t="shared" si="5"/>
        <v>0</v>
      </c>
      <c r="AF370" s="202"/>
      <c r="AG370" s="204"/>
      <c r="AH370" s="202"/>
      <c r="AI370" s="204"/>
      <c r="AJ370" s="202"/>
      <c r="AK370" s="204"/>
      <c r="AL370" s="202"/>
      <c r="AM370" s="204"/>
      <c r="AN370" s="202"/>
      <c r="AO370" s="204"/>
      <c r="AP370" s="202"/>
      <c r="AQ370" s="208"/>
      <c r="AR370" s="202"/>
      <c r="AS370" s="203">
        <f t="shared" si="6"/>
        <v>0</v>
      </c>
      <c r="AT370" s="202"/>
      <c r="AU370" s="204"/>
      <c r="AV370" s="202"/>
      <c r="AW370" s="204"/>
      <c r="AX370" s="202"/>
      <c r="AY370" s="204"/>
      <c r="AZ370" s="202"/>
      <c r="BA370" s="204"/>
      <c r="BB370" s="202"/>
      <c r="BC370" s="204"/>
      <c r="BD370" s="202"/>
      <c r="BE370" s="208"/>
      <c r="BF370" s="202"/>
      <c r="BG370" s="203">
        <f t="shared" si="7"/>
        <v>0</v>
      </c>
      <c r="BH370" s="202"/>
      <c r="BI370" s="204"/>
      <c r="BJ370" s="202"/>
      <c r="BK370" s="204"/>
      <c r="BL370" s="202"/>
      <c r="BM370" s="204"/>
      <c r="BN370" s="202"/>
      <c r="BO370" s="203">
        <f t="shared" si="8"/>
        <v>0</v>
      </c>
      <c r="BP370" s="202"/>
      <c r="BQ370" s="138"/>
      <c r="BR370" s="128"/>
      <c r="BS370" s="128"/>
      <c r="BT370" s="128"/>
      <c r="BU370" s="128"/>
      <c r="BV370" s="128"/>
      <c r="BW370" s="139"/>
      <c r="BX370" s="140"/>
      <c r="BY370" s="139"/>
      <c r="BZ370" s="139"/>
      <c r="CA370" s="134"/>
      <c r="CB370" s="134"/>
      <c r="CC370" s="134"/>
      <c r="CD370" s="134"/>
      <c r="CE370" s="134"/>
      <c r="CF370" s="134"/>
      <c r="CG370" s="92"/>
      <c r="CH370" s="92"/>
      <c r="CI370" s="92"/>
      <c r="CJ370" s="92"/>
      <c r="CK370" s="92"/>
    </row>
    <row r="371" spans="1:89" ht="17.25" customHeight="1">
      <c r="A371" s="160"/>
      <c r="B371" s="165"/>
      <c r="C371" s="164"/>
      <c r="D371" s="137">
        <f t="shared" si="3"/>
        <v>0</v>
      </c>
      <c r="E371" s="207"/>
      <c r="F371" s="202"/>
      <c r="G371" s="207"/>
      <c r="H371" s="202"/>
      <c r="I371" s="207"/>
      <c r="J371" s="202"/>
      <c r="K371" s="207"/>
      <c r="L371" s="202"/>
      <c r="M371" s="207"/>
      <c r="N371" s="202"/>
      <c r="O371" s="201"/>
      <c r="P371" s="202"/>
      <c r="Q371" s="203">
        <f t="shared" si="4"/>
        <v>0</v>
      </c>
      <c r="R371" s="202"/>
      <c r="S371" s="207"/>
      <c r="T371" s="202"/>
      <c r="U371" s="207"/>
      <c r="V371" s="202"/>
      <c r="W371" s="207"/>
      <c r="X371" s="202"/>
      <c r="Y371" s="207"/>
      <c r="Z371" s="202"/>
      <c r="AA371" s="207"/>
      <c r="AB371" s="202"/>
      <c r="AC371" s="208"/>
      <c r="AD371" s="202"/>
      <c r="AE371" s="203">
        <f t="shared" si="5"/>
        <v>0</v>
      </c>
      <c r="AF371" s="202"/>
      <c r="AG371" s="204"/>
      <c r="AH371" s="202"/>
      <c r="AI371" s="204"/>
      <c r="AJ371" s="202"/>
      <c r="AK371" s="204"/>
      <c r="AL371" s="202"/>
      <c r="AM371" s="204"/>
      <c r="AN371" s="202"/>
      <c r="AO371" s="204"/>
      <c r="AP371" s="202"/>
      <c r="AQ371" s="208"/>
      <c r="AR371" s="202"/>
      <c r="AS371" s="203">
        <f t="shared" si="6"/>
        <v>0</v>
      </c>
      <c r="AT371" s="202"/>
      <c r="AU371" s="204"/>
      <c r="AV371" s="202"/>
      <c r="AW371" s="204"/>
      <c r="AX371" s="202"/>
      <c r="AY371" s="204"/>
      <c r="AZ371" s="202"/>
      <c r="BA371" s="204"/>
      <c r="BB371" s="202"/>
      <c r="BC371" s="204"/>
      <c r="BD371" s="202"/>
      <c r="BE371" s="208"/>
      <c r="BF371" s="202"/>
      <c r="BG371" s="203">
        <f t="shared" si="7"/>
        <v>0</v>
      </c>
      <c r="BH371" s="202"/>
      <c r="BI371" s="204"/>
      <c r="BJ371" s="202"/>
      <c r="BK371" s="204"/>
      <c r="BL371" s="202"/>
      <c r="BM371" s="204"/>
      <c r="BN371" s="202"/>
      <c r="BO371" s="203">
        <f t="shared" si="8"/>
        <v>0</v>
      </c>
      <c r="BP371" s="202"/>
      <c r="BQ371" s="138"/>
      <c r="BR371" s="128"/>
      <c r="BS371" s="128"/>
      <c r="BT371" s="128"/>
      <c r="BU371" s="128"/>
      <c r="BV371" s="128"/>
      <c r="BW371" s="139"/>
      <c r="BX371" s="140"/>
      <c r="BY371" s="139"/>
      <c r="BZ371" s="139"/>
      <c r="CA371" s="134"/>
      <c r="CB371" s="134"/>
      <c r="CC371" s="134"/>
      <c r="CD371" s="134"/>
      <c r="CE371" s="134"/>
      <c r="CF371" s="134"/>
      <c r="CG371" s="92"/>
      <c r="CH371" s="92"/>
      <c r="CI371" s="92"/>
      <c r="CJ371" s="92"/>
      <c r="CK371" s="92"/>
    </row>
    <row r="372" spans="1:89" ht="17.25" customHeight="1">
      <c r="A372" s="160"/>
      <c r="B372" s="165"/>
      <c r="C372" s="164"/>
      <c r="D372" s="137">
        <f t="shared" si="3"/>
        <v>0</v>
      </c>
      <c r="E372" s="207"/>
      <c r="F372" s="202"/>
      <c r="G372" s="207"/>
      <c r="H372" s="202"/>
      <c r="I372" s="207"/>
      <c r="J372" s="202"/>
      <c r="K372" s="207"/>
      <c r="L372" s="202"/>
      <c r="M372" s="207"/>
      <c r="N372" s="202"/>
      <c r="O372" s="201"/>
      <c r="P372" s="202"/>
      <c r="Q372" s="203">
        <f t="shared" si="4"/>
        <v>0</v>
      </c>
      <c r="R372" s="202"/>
      <c r="S372" s="207"/>
      <c r="T372" s="202"/>
      <c r="U372" s="207"/>
      <c r="V372" s="202"/>
      <c r="W372" s="207"/>
      <c r="X372" s="202"/>
      <c r="Y372" s="207"/>
      <c r="Z372" s="202"/>
      <c r="AA372" s="207"/>
      <c r="AB372" s="202"/>
      <c r="AC372" s="208"/>
      <c r="AD372" s="202"/>
      <c r="AE372" s="203">
        <f t="shared" si="5"/>
        <v>0</v>
      </c>
      <c r="AF372" s="202"/>
      <c r="AG372" s="204"/>
      <c r="AH372" s="202"/>
      <c r="AI372" s="204"/>
      <c r="AJ372" s="202"/>
      <c r="AK372" s="204"/>
      <c r="AL372" s="202"/>
      <c r="AM372" s="204"/>
      <c r="AN372" s="202"/>
      <c r="AO372" s="204"/>
      <c r="AP372" s="202"/>
      <c r="AQ372" s="208"/>
      <c r="AR372" s="202"/>
      <c r="AS372" s="203">
        <f t="shared" si="6"/>
        <v>0</v>
      </c>
      <c r="AT372" s="202"/>
      <c r="AU372" s="204"/>
      <c r="AV372" s="202"/>
      <c r="AW372" s="204"/>
      <c r="AX372" s="202"/>
      <c r="AY372" s="204"/>
      <c r="AZ372" s="202"/>
      <c r="BA372" s="204"/>
      <c r="BB372" s="202"/>
      <c r="BC372" s="204"/>
      <c r="BD372" s="202"/>
      <c r="BE372" s="208"/>
      <c r="BF372" s="202"/>
      <c r="BG372" s="203">
        <f t="shared" si="7"/>
        <v>0</v>
      </c>
      <c r="BH372" s="202"/>
      <c r="BI372" s="204"/>
      <c r="BJ372" s="202"/>
      <c r="BK372" s="204"/>
      <c r="BL372" s="202"/>
      <c r="BM372" s="204"/>
      <c r="BN372" s="202"/>
      <c r="BO372" s="203">
        <f t="shared" si="8"/>
        <v>0</v>
      </c>
      <c r="BP372" s="202"/>
      <c r="BQ372" s="138"/>
      <c r="BR372" s="128"/>
      <c r="BS372" s="128"/>
      <c r="BT372" s="128"/>
      <c r="BU372" s="128"/>
      <c r="BV372" s="128"/>
      <c r="BW372" s="139"/>
      <c r="BX372" s="140"/>
      <c r="BY372" s="139"/>
      <c r="BZ372" s="139"/>
      <c r="CA372" s="134"/>
      <c r="CB372" s="134"/>
      <c r="CC372" s="134"/>
      <c r="CD372" s="134"/>
      <c r="CE372" s="134"/>
      <c r="CF372" s="134"/>
      <c r="CG372" s="92"/>
      <c r="CH372" s="92"/>
      <c r="CI372" s="92"/>
      <c r="CJ372" s="92"/>
      <c r="CK372" s="92"/>
    </row>
    <row r="373" spans="1:89" ht="17.25" customHeight="1">
      <c r="A373" s="160"/>
      <c r="B373" s="165"/>
      <c r="C373" s="164"/>
      <c r="D373" s="137">
        <f t="shared" si="3"/>
        <v>0</v>
      </c>
      <c r="E373" s="207"/>
      <c r="F373" s="202"/>
      <c r="G373" s="207"/>
      <c r="H373" s="202"/>
      <c r="I373" s="207"/>
      <c r="J373" s="202"/>
      <c r="K373" s="207"/>
      <c r="L373" s="202"/>
      <c r="M373" s="207"/>
      <c r="N373" s="202"/>
      <c r="O373" s="201"/>
      <c r="P373" s="202"/>
      <c r="Q373" s="203">
        <f t="shared" si="4"/>
        <v>0</v>
      </c>
      <c r="R373" s="202"/>
      <c r="S373" s="207"/>
      <c r="T373" s="202"/>
      <c r="U373" s="207"/>
      <c r="V373" s="202"/>
      <c r="W373" s="207"/>
      <c r="X373" s="202"/>
      <c r="Y373" s="207"/>
      <c r="Z373" s="202"/>
      <c r="AA373" s="207"/>
      <c r="AB373" s="202"/>
      <c r="AC373" s="208"/>
      <c r="AD373" s="202"/>
      <c r="AE373" s="203">
        <f t="shared" si="5"/>
        <v>0</v>
      </c>
      <c r="AF373" s="202"/>
      <c r="AG373" s="204"/>
      <c r="AH373" s="202"/>
      <c r="AI373" s="204"/>
      <c r="AJ373" s="202"/>
      <c r="AK373" s="204"/>
      <c r="AL373" s="202"/>
      <c r="AM373" s="204"/>
      <c r="AN373" s="202"/>
      <c r="AO373" s="204"/>
      <c r="AP373" s="202"/>
      <c r="AQ373" s="208"/>
      <c r="AR373" s="202"/>
      <c r="AS373" s="203">
        <f t="shared" si="6"/>
        <v>0</v>
      </c>
      <c r="AT373" s="202"/>
      <c r="AU373" s="204"/>
      <c r="AV373" s="202"/>
      <c r="AW373" s="204"/>
      <c r="AX373" s="202"/>
      <c r="AY373" s="204"/>
      <c r="AZ373" s="202"/>
      <c r="BA373" s="204"/>
      <c r="BB373" s="202"/>
      <c r="BC373" s="204"/>
      <c r="BD373" s="202"/>
      <c r="BE373" s="208"/>
      <c r="BF373" s="202"/>
      <c r="BG373" s="203">
        <f t="shared" si="7"/>
        <v>0</v>
      </c>
      <c r="BH373" s="202"/>
      <c r="BI373" s="204"/>
      <c r="BJ373" s="202"/>
      <c r="BK373" s="204"/>
      <c r="BL373" s="202"/>
      <c r="BM373" s="204"/>
      <c r="BN373" s="202"/>
      <c r="BO373" s="203">
        <f t="shared" si="8"/>
        <v>0</v>
      </c>
      <c r="BP373" s="202"/>
      <c r="BQ373" s="138"/>
      <c r="BR373" s="128"/>
      <c r="BS373" s="128"/>
      <c r="BT373" s="128"/>
      <c r="BU373" s="128"/>
      <c r="BV373" s="128"/>
      <c r="BW373" s="139"/>
      <c r="BX373" s="140"/>
      <c r="BY373" s="139"/>
      <c r="BZ373" s="139"/>
      <c r="CA373" s="134"/>
      <c r="CB373" s="134"/>
      <c r="CC373" s="134"/>
      <c r="CD373" s="134"/>
      <c r="CE373" s="134"/>
      <c r="CF373" s="134"/>
      <c r="CG373" s="92"/>
      <c r="CH373" s="92"/>
      <c r="CI373" s="92"/>
      <c r="CJ373" s="92"/>
      <c r="CK373" s="92"/>
    </row>
    <row r="374" spans="1:89" ht="17.25" customHeight="1">
      <c r="A374" s="160"/>
      <c r="B374" s="165"/>
      <c r="C374" s="164"/>
      <c r="D374" s="137">
        <f t="shared" si="3"/>
        <v>0</v>
      </c>
      <c r="E374" s="207"/>
      <c r="F374" s="202"/>
      <c r="G374" s="207"/>
      <c r="H374" s="202"/>
      <c r="I374" s="207"/>
      <c r="J374" s="202"/>
      <c r="K374" s="207"/>
      <c r="L374" s="202"/>
      <c r="M374" s="207"/>
      <c r="N374" s="202"/>
      <c r="O374" s="201"/>
      <c r="P374" s="202"/>
      <c r="Q374" s="203">
        <f t="shared" si="4"/>
        <v>0</v>
      </c>
      <c r="R374" s="202"/>
      <c r="S374" s="207"/>
      <c r="T374" s="202"/>
      <c r="U374" s="207"/>
      <c r="V374" s="202"/>
      <c r="W374" s="207"/>
      <c r="X374" s="202"/>
      <c r="Y374" s="207"/>
      <c r="Z374" s="202"/>
      <c r="AA374" s="207"/>
      <c r="AB374" s="202"/>
      <c r="AC374" s="208"/>
      <c r="AD374" s="202"/>
      <c r="AE374" s="203">
        <f t="shared" si="5"/>
        <v>0</v>
      </c>
      <c r="AF374" s="202"/>
      <c r="AG374" s="204"/>
      <c r="AH374" s="202"/>
      <c r="AI374" s="204"/>
      <c r="AJ374" s="202"/>
      <c r="AK374" s="204"/>
      <c r="AL374" s="202"/>
      <c r="AM374" s="204"/>
      <c r="AN374" s="202"/>
      <c r="AO374" s="204"/>
      <c r="AP374" s="202"/>
      <c r="AQ374" s="208"/>
      <c r="AR374" s="202"/>
      <c r="AS374" s="203">
        <f t="shared" si="6"/>
        <v>0</v>
      </c>
      <c r="AT374" s="202"/>
      <c r="AU374" s="204"/>
      <c r="AV374" s="202"/>
      <c r="AW374" s="204"/>
      <c r="AX374" s="202"/>
      <c r="AY374" s="204"/>
      <c r="AZ374" s="202"/>
      <c r="BA374" s="204"/>
      <c r="BB374" s="202"/>
      <c r="BC374" s="204"/>
      <c r="BD374" s="202"/>
      <c r="BE374" s="208"/>
      <c r="BF374" s="202"/>
      <c r="BG374" s="203">
        <f t="shared" si="7"/>
        <v>0</v>
      </c>
      <c r="BH374" s="202"/>
      <c r="BI374" s="204"/>
      <c r="BJ374" s="202"/>
      <c r="BK374" s="204"/>
      <c r="BL374" s="202"/>
      <c r="BM374" s="204"/>
      <c r="BN374" s="202"/>
      <c r="BO374" s="203">
        <f t="shared" si="8"/>
        <v>0</v>
      </c>
      <c r="BP374" s="202"/>
      <c r="BQ374" s="138"/>
      <c r="BR374" s="128"/>
      <c r="BS374" s="128"/>
      <c r="BT374" s="128"/>
      <c r="BU374" s="128"/>
      <c r="BV374" s="128"/>
      <c r="BW374" s="139"/>
      <c r="BX374" s="140"/>
      <c r="BY374" s="139"/>
      <c r="BZ374" s="139"/>
      <c r="CA374" s="134"/>
      <c r="CB374" s="134"/>
      <c r="CC374" s="134"/>
      <c r="CD374" s="134"/>
      <c r="CE374" s="134"/>
      <c r="CF374" s="134"/>
      <c r="CG374" s="92"/>
      <c r="CH374" s="92"/>
      <c r="CI374" s="92"/>
      <c r="CJ374" s="92"/>
      <c r="CK374" s="92"/>
    </row>
    <row r="375" spans="1:89" ht="17.25" customHeight="1">
      <c r="A375" s="160"/>
      <c r="B375" s="165"/>
      <c r="C375" s="164"/>
      <c r="D375" s="137">
        <f t="shared" si="3"/>
        <v>0</v>
      </c>
      <c r="E375" s="207"/>
      <c r="F375" s="202"/>
      <c r="G375" s="207"/>
      <c r="H375" s="202"/>
      <c r="I375" s="207"/>
      <c r="J375" s="202"/>
      <c r="K375" s="207"/>
      <c r="L375" s="202"/>
      <c r="M375" s="207"/>
      <c r="N375" s="202"/>
      <c r="O375" s="201"/>
      <c r="P375" s="202"/>
      <c r="Q375" s="203">
        <f t="shared" si="4"/>
        <v>0</v>
      </c>
      <c r="R375" s="202"/>
      <c r="S375" s="207"/>
      <c r="T375" s="202"/>
      <c r="U375" s="207"/>
      <c r="V375" s="202"/>
      <c r="W375" s="207"/>
      <c r="X375" s="202"/>
      <c r="Y375" s="207"/>
      <c r="Z375" s="202"/>
      <c r="AA375" s="207"/>
      <c r="AB375" s="202"/>
      <c r="AC375" s="208"/>
      <c r="AD375" s="202"/>
      <c r="AE375" s="203">
        <f t="shared" si="5"/>
        <v>0</v>
      </c>
      <c r="AF375" s="202"/>
      <c r="AG375" s="204"/>
      <c r="AH375" s="202"/>
      <c r="AI375" s="204"/>
      <c r="AJ375" s="202"/>
      <c r="AK375" s="204"/>
      <c r="AL375" s="202"/>
      <c r="AM375" s="204"/>
      <c r="AN375" s="202"/>
      <c r="AO375" s="204"/>
      <c r="AP375" s="202"/>
      <c r="AQ375" s="208"/>
      <c r="AR375" s="202"/>
      <c r="AS375" s="203">
        <f t="shared" si="6"/>
        <v>0</v>
      </c>
      <c r="AT375" s="202"/>
      <c r="AU375" s="204"/>
      <c r="AV375" s="202"/>
      <c r="AW375" s="204"/>
      <c r="AX375" s="202"/>
      <c r="AY375" s="204"/>
      <c r="AZ375" s="202"/>
      <c r="BA375" s="204"/>
      <c r="BB375" s="202"/>
      <c r="BC375" s="204"/>
      <c r="BD375" s="202"/>
      <c r="BE375" s="208"/>
      <c r="BF375" s="202"/>
      <c r="BG375" s="203">
        <f t="shared" si="7"/>
        <v>0</v>
      </c>
      <c r="BH375" s="202"/>
      <c r="BI375" s="204"/>
      <c r="BJ375" s="202"/>
      <c r="BK375" s="204"/>
      <c r="BL375" s="202"/>
      <c r="BM375" s="204"/>
      <c r="BN375" s="202"/>
      <c r="BO375" s="203">
        <f t="shared" si="8"/>
        <v>0</v>
      </c>
      <c r="BP375" s="202"/>
      <c r="BQ375" s="138"/>
      <c r="BR375" s="128"/>
      <c r="BS375" s="128"/>
      <c r="BT375" s="128"/>
      <c r="BU375" s="128"/>
      <c r="BV375" s="128"/>
      <c r="BW375" s="139"/>
      <c r="BX375" s="140"/>
      <c r="BY375" s="139"/>
      <c r="BZ375" s="139"/>
      <c r="CA375" s="134"/>
      <c r="CB375" s="134"/>
      <c r="CC375" s="134"/>
      <c r="CD375" s="134"/>
      <c r="CE375" s="134"/>
      <c r="CF375" s="134"/>
      <c r="CG375" s="92"/>
      <c r="CH375" s="92"/>
      <c r="CI375" s="92"/>
      <c r="CJ375" s="92"/>
      <c r="CK375" s="92"/>
    </row>
    <row r="376" spans="1:89" ht="17.25" customHeight="1">
      <c r="A376" s="160"/>
      <c r="B376" s="165"/>
      <c r="C376" s="164"/>
      <c r="D376" s="137">
        <f t="shared" si="3"/>
        <v>0</v>
      </c>
      <c r="E376" s="207"/>
      <c r="F376" s="202"/>
      <c r="G376" s="207"/>
      <c r="H376" s="202"/>
      <c r="I376" s="207"/>
      <c r="J376" s="202"/>
      <c r="K376" s="207"/>
      <c r="L376" s="202"/>
      <c r="M376" s="207"/>
      <c r="N376" s="202"/>
      <c r="O376" s="201"/>
      <c r="P376" s="202"/>
      <c r="Q376" s="203">
        <f t="shared" si="4"/>
        <v>0</v>
      </c>
      <c r="R376" s="202"/>
      <c r="S376" s="207"/>
      <c r="T376" s="202"/>
      <c r="U376" s="207"/>
      <c r="V376" s="202"/>
      <c r="W376" s="207"/>
      <c r="X376" s="202"/>
      <c r="Y376" s="207"/>
      <c r="Z376" s="202"/>
      <c r="AA376" s="207"/>
      <c r="AB376" s="202"/>
      <c r="AC376" s="208"/>
      <c r="AD376" s="202"/>
      <c r="AE376" s="203">
        <f t="shared" si="5"/>
        <v>0</v>
      </c>
      <c r="AF376" s="202"/>
      <c r="AG376" s="204"/>
      <c r="AH376" s="202"/>
      <c r="AI376" s="204"/>
      <c r="AJ376" s="202"/>
      <c r="AK376" s="204"/>
      <c r="AL376" s="202"/>
      <c r="AM376" s="204"/>
      <c r="AN376" s="202"/>
      <c r="AO376" s="204"/>
      <c r="AP376" s="202"/>
      <c r="AQ376" s="208"/>
      <c r="AR376" s="202"/>
      <c r="AS376" s="203">
        <f t="shared" si="6"/>
        <v>0</v>
      </c>
      <c r="AT376" s="202"/>
      <c r="AU376" s="204"/>
      <c r="AV376" s="202"/>
      <c r="AW376" s="204"/>
      <c r="AX376" s="202"/>
      <c r="AY376" s="204"/>
      <c r="AZ376" s="202"/>
      <c r="BA376" s="204"/>
      <c r="BB376" s="202"/>
      <c r="BC376" s="204"/>
      <c r="BD376" s="202"/>
      <c r="BE376" s="208"/>
      <c r="BF376" s="202"/>
      <c r="BG376" s="203">
        <f t="shared" si="7"/>
        <v>0</v>
      </c>
      <c r="BH376" s="202"/>
      <c r="BI376" s="204"/>
      <c r="BJ376" s="202"/>
      <c r="BK376" s="204"/>
      <c r="BL376" s="202"/>
      <c r="BM376" s="204"/>
      <c r="BN376" s="202"/>
      <c r="BO376" s="203">
        <f t="shared" si="8"/>
        <v>0</v>
      </c>
      <c r="BP376" s="202"/>
      <c r="BQ376" s="138"/>
      <c r="BR376" s="128"/>
      <c r="BS376" s="128"/>
      <c r="BT376" s="128"/>
      <c r="BU376" s="128"/>
      <c r="BV376" s="128"/>
      <c r="BW376" s="139"/>
      <c r="BX376" s="140"/>
      <c r="BY376" s="139"/>
      <c r="BZ376" s="139"/>
      <c r="CA376" s="134"/>
      <c r="CB376" s="134"/>
      <c r="CC376" s="134"/>
      <c r="CD376" s="134"/>
      <c r="CE376" s="134"/>
      <c r="CF376" s="134"/>
      <c r="CG376" s="92"/>
      <c r="CH376" s="92"/>
      <c r="CI376" s="92"/>
      <c r="CJ376" s="92"/>
      <c r="CK376" s="92"/>
    </row>
    <row r="377" spans="1:89" ht="17.25" customHeight="1">
      <c r="A377" s="160"/>
      <c r="B377" s="165"/>
      <c r="C377" s="164"/>
      <c r="D377" s="137">
        <f t="shared" si="3"/>
        <v>0</v>
      </c>
      <c r="E377" s="207"/>
      <c r="F377" s="202"/>
      <c r="G377" s="207"/>
      <c r="H377" s="202"/>
      <c r="I377" s="207"/>
      <c r="J377" s="202"/>
      <c r="K377" s="207"/>
      <c r="L377" s="202"/>
      <c r="M377" s="207"/>
      <c r="N377" s="202"/>
      <c r="O377" s="201"/>
      <c r="P377" s="202"/>
      <c r="Q377" s="203">
        <f t="shared" si="4"/>
        <v>0</v>
      </c>
      <c r="R377" s="202"/>
      <c r="S377" s="207"/>
      <c r="T377" s="202"/>
      <c r="U377" s="207"/>
      <c r="V377" s="202"/>
      <c r="W377" s="207"/>
      <c r="X377" s="202"/>
      <c r="Y377" s="207"/>
      <c r="Z377" s="202"/>
      <c r="AA377" s="207"/>
      <c r="AB377" s="202"/>
      <c r="AC377" s="208"/>
      <c r="AD377" s="202"/>
      <c r="AE377" s="203">
        <f t="shared" si="5"/>
        <v>0</v>
      </c>
      <c r="AF377" s="202"/>
      <c r="AG377" s="204"/>
      <c r="AH377" s="202"/>
      <c r="AI377" s="204"/>
      <c r="AJ377" s="202"/>
      <c r="AK377" s="204"/>
      <c r="AL377" s="202"/>
      <c r="AM377" s="204"/>
      <c r="AN377" s="202"/>
      <c r="AO377" s="204"/>
      <c r="AP377" s="202"/>
      <c r="AQ377" s="208"/>
      <c r="AR377" s="202"/>
      <c r="AS377" s="203">
        <f t="shared" si="6"/>
        <v>0</v>
      </c>
      <c r="AT377" s="202"/>
      <c r="AU377" s="204"/>
      <c r="AV377" s="202"/>
      <c r="AW377" s="204"/>
      <c r="AX377" s="202"/>
      <c r="AY377" s="204"/>
      <c r="AZ377" s="202"/>
      <c r="BA377" s="204"/>
      <c r="BB377" s="202"/>
      <c r="BC377" s="204"/>
      <c r="BD377" s="202"/>
      <c r="BE377" s="208"/>
      <c r="BF377" s="202"/>
      <c r="BG377" s="203">
        <f t="shared" si="7"/>
        <v>0</v>
      </c>
      <c r="BH377" s="202"/>
      <c r="BI377" s="204"/>
      <c r="BJ377" s="202"/>
      <c r="BK377" s="204"/>
      <c r="BL377" s="202"/>
      <c r="BM377" s="204"/>
      <c r="BN377" s="202"/>
      <c r="BO377" s="203">
        <f t="shared" si="8"/>
        <v>0</v>
      </c>
      <c r="BP377" s="202"/>
      <c r="BQ377" s="138"/>
      <c r="BR377" s="128"/>
      <c r="BS377" s="128"/>
      <c r="BT377" s="128"/>
      <c r="BU377" s="128"/>
      <c r="BV377" s="128"/>
      <c r="BW377" s="139"/>
      <c r="BX377" s="140"/>
      <c r="BY377" s="139"/>
      <c r="BZ377" s="139"/>
      <c r="CA377" s="134"/>
      <c r="CB377" s="134"/>
      <c r="CC377" s="134"/>
      <c r="CD377" s="134"/>
      <c r="CE377" s="134"/>
      <c r="CF377" s="134"/>
      <c r="CG377" s="92"/>
      <c r="CH377" s="92"/>
      <c r="CI377" s="92"/>
      <c r="CJ377" s="92"/>
      <c r="CK377" s="92"/>
    </row>
    <row r="378" spans="1:89" ht="17.25" customHeight="1">
      <c r="A378" s="160"/>
      <c r="B378" s="165"/>
      <c r="C378" s="164"/>
      <c r="D378" s="137">
        <f t="shared" si="3"/>
        <v>0</v>
      </c>
      <c r="E378" s="207"/>
      <c r="F378" s="202"/>
      <c r="G378" s="207"/>
      <c r="H378" s="202"/>
      <c r="I378" s="207"/>
      <c r="J378" s="202"/>
      <c r="K378" s="207"/>
      <c r="L378" s="202"/>
      <c r="M378" s="207"/>
      <c r="N378" s="202"/>
      <c r="O378" s="201"/>
      <c r="P378" s="202"/>
      <c r="Q378" s="203">
        <f t="shared" si="4"/>
        <v>0</v>
      </c>
      <c r="R378" s="202"/>
      <c r="S378" s="207"/>
      <c r="T378" s="202"/>
      <c r="U378" s="207"/>
      <c r="V378" s="202"/>
      <c r="W378" s="207"/>
      <c r="X378" s="202"/>
      <c r="Y378" s="207"/>
      <c r="Z378" s="202"/>
      <c r="AA378" s="207"/>
      <c r="AB378" s="202"/>
      <c r="AC378" s="208"/>
      <c r="AD378" s="202"/>
      <c r="AE378" s="203">
        <f t="shared" si="5"/>
        <v>0</v>
      </c>
      <c r="AF378" s="202"/>
      <c r="AG378" s="204"/>
      <c r="AH378" s="202"/>
      <c r="AI378" s="204"/>
      <c r="AJ378" s="202"/>
      <c r="AK378" s="204"/>
      <c r="AL378" s="202"/>
      <c r="AM378" s="204"/>
      <c r="AN378" s="202"/>
      <c r="AO378" s="204"/>
      <c r="AP378" s="202"/>
      <c r="AQ378" s="208"/>
      <c r="AR378" s="202"/>
      <c r="AS378" s="203">
        <f t="shared" si="6"/>
        <v>0</v>
      </c>
      <c r="AT378" s="202"/>
      <c r="AU378" s="204"/>
      <c r="AV378" s="202"/>
      <c r="AW378" s="204"/>
      <c r="AX378" s="202"/>
      <c r="AY378" s="204"/>
      <c r="AZ378" s="202"/>
      <c r="BA378" s="204"/>
      <c r="BB378" s="202"/>
      <c r="BC378" s="204"/>
      <c r="BD378" s="202"/>
      <c r="BE378" s="208"/>
      <c r="BF378" s="202"/>
      <c r="BG378" s="203">
        <f t="shared" si="7"/>
        <v>0</v>
      </c>
      <c r="BH378" s="202"/>
      <c r="BI378" s="204"/>
      <c r="BJ378" s="202"/>
      <c r="BK378" s="204"/>
      <c r="BL378" s="202"/>
      <c r="BM378" s="204"/>
      <c r="BN378" s="202"/>
      <c r="BO378" s="203">
        <f t="shared" si="8"/>
        <v>0</v>
      </c>
      <c r="BP378" s="202"/>
      <c r="BQ378" s="138"/>
      <c r="BR378" s="128"/>
      <c r="BS378" s="128"/>
      <c r="BT378" s="128"/>
      <c r="BU378" s="128"/>
      <c r="BV378" s="128"/>
      <c r="BW378" s="139"/>
      <c r="BX378" s="140"/>
      <c r="BY378" s="139"/>
      <c r="BZ378" s="139"/>
      <c r="CA378" s="134"/>
      <c r="CB378" s="134"/>
      <c r="CC378" s="134"/>
      <c r="CD378" s="134"/>
      <c r="CE378" s="134"/>
      <c r="CF378" s="134"/>
      <c r="CG378" s="92"/>
      <c r="CH378" s="92"/>
      <c r="CI378" s="92"/>
      <c r="CJ378" s="92"/>
      <c r="CK378" s="92"/>
    </row>
    <row r="379" spans="1:89" ht="17.25" customHeight="1">
      <c r="A379" s="160"/>
      <c r="B379" s="165"/>
      <c r="C379" s="164"/>
      <c r="D379" s="137">
        <f t="shared" si="3"/>
        <v>0</v>
      </c>
      <c r="E379" s="207"/>
      <c r="F379" s="202"/>
      <c r="G379" s="207"/>
      <c r="H379" s="202"/>
      <c r="I379" s="207"/>
      <c r="J379" s="202"/>
      <c r="K379" s="207"/>
      <c r="L379" s="202"/>
      <c r="M379" s="207"/>
      <c r="N379" s="202"/>
      <c r="O379" s="201"/>
      <c r="P379" s="202"/>
      <c r="Q379" s="203">
        <f t="shared" si="4"/>
        <v>0</v>
      </c>
      <c r="R379" s="202"/>
      <c r="S379" s="207"/>
      <c r="T379" s="202"/>
      <c r="U379" s="207"/>
      <c r="V379" s="202"/>
      <c r="W379" s="207"/>
      <c r="X379" s="202"/>
      <c r="Y379" s="207"/>
      <c r="Z379" s="202"/>
      <c r="AA379" s="207"/>
      <c r="AB379" s="202"/>
      <c r="AC379" s="208"/>
      <c r="AD379" s="202"/>
      <c r="AE379" s="203">
        <f t="shared" si="5"/>
        <v>0</v>
      </c>
      <c r="AF379" s="202"/>
      <c r="AG379" s="204"/>
      <c r="AH379" s="202"/>
      <c r="AI379" s="204"/>
      <c r="AJ379" s="202"/>
      <c r="AK379" s="204"/>
      <c r="AL379" s="202"/>
      <c r="AM379" s="204"/>
      <c r="AN379" s="202"/>
      <c r="AO379" s="204"/>
      <c r="AP379" s="202"/>
      <c r="AQ379" s="208"/>
      <c r="AR379" s="202"/>
      <c r="AS379" s="203">
        <f t="shared" si="6"/>
        <v>0</v>
      </c>
      <c r="AT379" s="202"/>
      <c r="AU379" s="204"/>
      <c r="AV379" s="202"/>
      <c r="AW379" s="204"/>
      <c r="AX379" s="202"/>
      <c r="AY379" s="204"/>
      <c r="AZ379" s="202"/>
      <c r="BA379" s="204"/>
      <c r="BB379" s="202"/>
      <c r="BC379" s="204"/>
      <c r="BD379" s="202"/>
      <c r="BE379" s="208"/>
      <c r="BF379" s="202"/>
      <c r="BG379" s="203">
        <f t="shared" si="7"/>
        <v>0</v>
      </c>
      <c r="BH379" s="202"/>
      <c r="BI379" s="204"/>
      <c r="BJ379" s="202"/>
      <c r="BK379" s="204"/>
      <c r="BL379" s="202"/>
      <c r="BM379" s="204"/>
      <c r="BN379" s="202"/>
      <c r="BO379" s="203">
        <f t="shared" si="8"/>
        <v>0</v>
      </c>
      <c r="BP379" s="202"/>
      <c r="BQ379" s="138"/>
      <c r="BR379" s="128"/>
      <c r="BS379" s="128"/>
      <c r="BT379" s="128"/>
      <c r="BU379" s="128"/>
      <c r="BV379" s="128"/>
      <c r="BW379" s="139"/>
      <c r="BX379" s="140"/>
      <c r="BY379" s="139"/>
      <c r="BZ379" s="139"/>
      <c r="CA379" s="134"/>
      <c r="CB379" s="134"/>
      <c r="CC379" s="134"/>
      <c r="CD379" s="134"/>
      <c r="CE379" s="134"/>
      <c r="CF379" s="134"/>
      <c r="CG379" s="92"/>
      <c r="CH379" s="92"/>
      <c r="CI379" s="92"/>
      <c r="CJ379" s="92"/>
      <c r="CK379" s="92"/>
    </row>
    <row r="380" spans="1:89" ht="17.25" customHeight="1">
      <c r="A380" s="160"/>
      <c r="B380" s="165"/>
      <c r="C380" s="164"/>
      <c r="D380" s="137">
        <f t="shared" si="3"/>
        <v>0</v>
      </c>
      <c r="E380" s="207"/>
      <c r="F380" s="202"/>
      <c r="G380" s="207"/>
      <c r="H380" s="202"/>
      <c r="I380" s="207"/>
      <c r="J380" s="202"/>
      <c r="K380" s="207"/>
      <c r="L380" s="202"/>
      <c r="M380" s="207"/>
      <c r="N380" s="202"/>
      <c r="O380" s="201"/>
      <c r="P380" s="202"/>
      <c r="Q380" s="203">
        <f t="shared" si="4"/>
        <v>0</v>
      </c>
      <c r="R380" s="202"/>
      <c r="S380" s="207"/>
      <c r="T380" s="202"/>
      <c r="U380" s="207"/>
      <c r="V380" s="202"/>
      <c r="W380" s="207"/>
      <c r="X380" s="202"/>
      <c r="Y380" s="207"/>
      <c r="Z380" s="202"/>
      <c r="AA380" s="207"/>
      <c r="AB380" s="202"/>
      <c r="AC380" s="208"/>
      <c r="AD380" s="202"/>
      <c r="AE380" s="203">
        <f t="shared" si="5"/>
        <v>0</v>
      </c>
      <c r="AF380" s="202"/>
      <c r="AG380" s="204"/>
      <c r="AH380" s="202"/>
      <c r="AI380" s="204"/>
      <c r="AJ380" s="202"/>
      <c r="AK380" s="204"/>
      <c r="AL380" s="202"/>
      <c r="AM380" s="204"/>
      <c r="AN380" s="202"/>
      <c r="AO380" s="204"/>
      <c r="AP380" s="202"/>
      <c r="AQ380" s="208"/>
      <c r="AR380" s="202"/>
      <c r="AS380" s="203">
        <f t="shared" si="6"/>
        <v>0</v>
      </c>
      <c r="AT380" s="202"/>
      <c r="AU380" s="204"/>
      <c r="AV380" s="202"/>
      <c r="AW380" s="204"/>
      <c r="AX380" s="202"/>
      <c r="AY380" s="204"/>
      <c r="AZ380" s="202"/>
      <c r="BA380" s="204"/>
      <c r="BB380" s="202"/>
      <c r="BC380" s="204"/>
      <c r="BD380" s="202"/>
      <c r="BE380" s="208"/>
      <c r="BF380" s="202"/>
      <c r="BG380" s="203">
        <f t="shared" si="7"/>
        <v>0</v>
      </c>
      <c r="BH380" s="202"/>
      <c r="BI380" s="204"/>
      <c r="BJ380" s="202"/>
      <c r="BK380" s="204"/>
      <c r="BL380" s="202"/>
      <c r="BM380" s="204"/>
      <c r="BN380" s="202"/>
      <c r="BO380" s="203">
        <f t="shared" si="8"/>
        <v>0</v>
      </c>
      <c r="BP380" s="202"/>
      <c r="BQ380" s="138"/>
      <c r="BR380" s="128"/>
      <c r="BS380" s="128"/>
      <c r="BT380" s="128"/>
      <c r="BU380" s="128"/>
      <c r="BV380" s="128"/>
      <c r="BW380" s="139"/>
      <c r="BX380" s="140"/>
      <c r="BY380" s="139"/>
      <c r="BZ380" s="139"/>
      <c r="CA380" s="134"/>
      <c r="CB380" s="134"/>
      <c r="CC380" s="134"/>
      <c r="CD380" s="134"/>
      <c r="CE380" s="134"/>
      <c r="CF380" s="134"/>
      <c r="CG380" s="92"/>
      <c r="CH380" s="92"/>
      <c r="CI380" s="92"/>
      <c r="CJ380" s="92"/>
      <c r="CK380" s="92"/>
    </row>
    <row r="381" spans="1:89" ht="17.25" customHeight="1">
      <c r="A381" s="160"/>
      <c r="B381" s="165"/>
      <c r="C381" s="164"/>
      <c r="D381" s="137">
        <f t="shared" si="3"/>
        <v>0</v>
      </c>
      <c r="E381" s="207"/>
      <c r="F381" s="202"/>
      <c r="G381" s="207"/>
      <c r="H381" s="202"/>
      <c r="I381" s="207"/>
      <c r="J381" s="202"/>
      <c r="K381" s="207"/>
      <c r="L381" s="202"/>
      <c r="M381" s="207"/>
      <c r="N381" s="202"/>
      <c r="O381" s="201"/>
      <c r="P381" s="202"/>
      <c r="Q381" s="203">
        <f t="shared" si="4"/>
        <v>0</v>
      </c>
      <c r="R381" s="202"/>
      <c r="S381" s="207"/>
      <c r="T381" s="202"/>
      <c r="U381" s="207"/>
      <c r="V381" s="202"/>
      <c r="W381" s="207"/>
      <c r="X381" s="202"/>
      <c r="Y381" s="207"/>
      <c r="Z381" s="202"/>
      <c r="AA381" s="207"/>
      <c r="AB381" s="202"/>
      <c r="AC381" s="208"/>
      <c r="AD381" s="202"/>
      <c r="AE381" s="203">
        <f t="shared" si="5"/>
        <v>0</v>
      </c>
      <c r="AF381" s="202"/>
      <c r="AG381" s="204"/>
      <c r="AH381" s="202"/>
      <c r="AI381" s="204"/>
      <c r="AJ381" s="202"/>
      <c r="AK381" s="204"/>
      <c r="AL381" s="202"/>
      <c r="AM381" s="204"/>
      <c r="AN381" s="202"/>
      <c r="AO381" s="204"/>
      <c r="AP381" s="202"/>
      <c r="AQ381" s="208"/>
      <c r="AR381" s="202"/>
      <c r="AS381" s="203">
        <f t="shared" si="6"/>
        <v>0</v>
      </c>
      <c r="AT381" s="202"/>
      <c r="AU381" s="204"/>
      <c r="AV381" s="202"/>
      <c r="AW381" s="204"/>
      <c r="AX381" s="202"/>
      <c r="AY381" s="204"/>
      <c r="AZ381" s="202"/>
      <c r="BA381" s="204"/>
      <c r="BB381" s="202"/>
      <c r="BC381" s="204"/>
      <c r="BD381" s="202"/>
      <c r="BE381" s="208"/>
      <c r="BF381" s="202"/>
      <c r="BG381" s="203">
        <f t="shared" si="7"/>
        <v>0</v>
      </c>
      <c r="BH381" s="202"/>
      <c r="BI381" s="204"/>
      <c r="BJ381" s="202"/>
      <c r="BK381" s="204"/>
      <c r="BL381" s="202"/>
      <c r="BM381" s="204"/>
      <c r="BN381" s="202"/>
      <c r="BO381" s="203">
        <f t="shared" si="8"/>
        <v>0</v>
      </c>
      <c r="BP381" s="202"/>
      <c r="BQ381" s="138"/>
      <c r="BR381" s="128"/>
      <c r="BS381" s="128"/>
      <c r="BT381" s="128"/>
      <c r="BU381" s="128"/>
      <c r="BV381" s="128"/>
      <c r="BW381" s="139"/>
      <c r="BX381" s="140"/>
      <c r="BY381" s="139"/>
      <c r="BZ381" s="139"/>
      <c r="CA381" s="134"/>
      <c r="CB381" s="134"/>
      <c r="CC381" s="134"/>
      <c r="CD381" s="134"/>
      <c r="CE381" s="134"/>
      <c r="CF381" s="134"/>
      <c r="CG381" s="92"/>
      <c r="CH381" s="92"/>
      <c r="CI381" s="92"/>
      <c r="CJ381" s="92"/>
      <c r="CK381" s="92"/>
    </row>
    <row r="382" spans="1:89" ht="17.25" customHeight="1">
      <c r="A382" s="160"/>
      <c r="B382" s="165"/>
      <c r="C382" s="164"/>
      <c r="D382" s="137">
        <f t="shared" si="3"/>
        <v>0</v>
      </c>
      <c r="E382" s="207"/>
      <c r="F382" s="202"/>
      <c r="G382" s="207"/>
      <c r="H382" s="202"/>
      <c r="I382" s="207"/>
      <c r="J382" s="202"/>
      <c r="K382" s="207"/>
      <c r="L382" s="202"/>
      <c r="M382" s="207"/>
      <c r="N382" s="202"/>
      <c r="O382" s="201"/>
      <c r="P382" s="202"/>
      <c r="Q382" s="203">
        <f t="shared" si="4"/>
        <v>0</v>
      </c>
      <c r="R382" s="202"/>
      <c r="S382" s="207"/>
      <c r="T382" s="202"/>
      <c r="U382" s="207"/>
      <c r="V382" s="202"/>
      <c r="W382" s="207"/>
      <c r="X382" s="202"/>
      <c r="Y382" s="207"/>
      <c r="Z382" s="202"/>
      <c r="AA382" s="207"/>
      <c r="AB382" s="202"/>
      <c r="AC382" s="208"/>
      <c r="AD382" s="202"/>
      <c r="AE382" s="203">
        <f t="shared" si="5"/>
        <v>0</v>
      </c>
      <c r="AF382" s="202"/>
      <c r="AG382" s="204"/>
      <c r="AH382" s="202"/>
      <c r="AI382" s="204"/>
      <c r="AJ382" s="202"/>
      <c r="AK382" s="204"/>
      <c r="AL382" s="202"/>
      <c r="AM382" s="204"/>
      <c r="AN382" s="202"/>
      <c r="AO382" s="204"/>
      <c r="AP382" s="202"/>
      <c r="AQ382" s="208"/>
      <c r="AR382" s="202"/>
      <c r="AS382" s="203">
        <f t="shared" si="6"/>
        <v>0</v>
      </c>
      <c r="AT382" s="202"/>
      <c r="AU382" s="204"/>
      <c r="AV382" s="202"/>
      <c r="AW382" s="204"/>
      <c r="AX382" s="202"/>
      <c r="AY382" s="204"/>
      <c r="AZ382" s="202"/>
      <c r="BA382" s="204"/>
      <c r="BB382" s="202"/>
      <c r="BC382" s="204"/>
      <c r="BD382" s="202"/>
      <c r="BE382" s="208"/>
      <c r="BF382" s="202"/>
      <c r="BG382" s="203">
        <f t="shared" si="7"/>
        <v>0</v>
      </c>
      <c r="BH382" s="202"/>
      <c r="BI382" s="204"/>
      <c r="BJ382" s="202"/>
      <c r="BK382" s="204"/>
      <c r="BL382" s="202"/>
      <c r="BM382" s="204"/>
      <c r="BN382" s="202"/>
      <c r="BO382" s="203">
        <f t="shared" si="8"/>
        <v>0</v>
      </c>
      <c r="BP382" s="202"/>
      <c r="BQ382" s="138"/>
      <c r="BR382" s="128"/>
      <c r="BS382" s="128"/>
      <c r="BT382" s="128"/>
      <c r="BU382" s="128"/>
      <c r="BV382" s="128"/>
      <c r="BW382" s="139"/>
      <c r="BX382" s="140"/>
      <c r="BY382" s="139"/>
      <c r="BZ382" s="139"/>
      <c r="CA382" s="134"/>
      <c r="CB382" s="134"/>
      <c r="CC382" s="134"/>
      <c r="CD382" s="134"/>
      <c r="CE382" s="134"/>
      <c r="CF382" s="134"/>
      <c r="CG382" s="92"/>
      <c r="CH382" s="92"/>
      <c r="CI382" s="92"/>
      <c r="CJ382" s="92"/>
      <c r="CK382" s="92"/>
    </row>
    <row r="383" spans="1:89" ht="17.25" customHeight="1">
      <c r="A383" s="160"/>
      <c r="B383" s="165"/>
      <c r="C383" s="164"/>
      <c r="D383" s="137">
        <f t="shared" si="3"/>
        <v>0</v>
      </c>
      <c r="E383" s="207"/>
      <c r="F383" s="202"/>
      <c r="G383" s="207"/>
      <c r="H383" s="202"/>
      <c r="I383" s="207"/>
      <c r="J383" s="202"/>
      <c r="K383" s="207"/>
      <c r="L383" s="202"/>
      <c r="M383" s="207"/>
      <c r="N383" s="202"/>
      <c r="O383" s="201"/>
      <c r="P383" s="202"/>
      <c r="Q383" s="203">
        <f t="shared" si="4"/>
        <v>0</v>
      </c>
      <c r="R383" s="202"/>
      <c r="S383" s="207"/>
      <c r="T383" s="202"/>
      <c r="U383" s="207"/>
      <c r="V383" s="202"/>
      <c r="W383" s="207"/>
      <c r="X383" s="202"/>
      <c r="Y383" s="207"/>
      <c r="Z383" s="202"/>
      <c r="AA383" s="207"/>
      <c r="AB383" s="202"/>
      <c r="AC383" s="208"/>
      <c r="AD383" s="202"/>
      <c r="AE383" s="203">
        <f t="shared" si="5"/>
        <v>0</v>
      </c>
      <c r="AF383" s="202"/>
      <c r="AG383" s="204"/>
      <c r="AH383" s="202"/>
      <c r="AI383" s="204"/>
      <c r="AJ383" s="202"/>
      <c r="AK383" s="204"/>
      <c r="AL383" s="202"/>
      <c r="AM383" s="204"/>
      <c r="AN383" s="202"/>
      <c r="AO383" s="204"/>
      <c r="AP383" s="202"/>
      <c r="AQ383" s="208"/>
      <c r="AR383" s="202"/>
      <c r="AS383" s="203">
        <f t="shared" si="6"/>
        <v>0</v>
      </c>
      <c r="AT383" s="202"/>
      <c r="AU383" s="204"/>
      <c r="AV383" s="202"/>
      <c r="AW383" s="204"/>
      <c r="AX383" s="202"/>
      <c r="AY383" s="204"/>
      <c r="AZ383" s="202"/>
      <c r="BA383" s="204"/>
      <c r="BB383" s="202"/>
      <c r="BC383" s="204"/>
      <c r="BD383" s="202"/>
      <c r="BE383" s="208"/>
      <c r="BF383" s="202"/>
      <c r="BG383" s="203">
        <f t="shared" si="7"/>
        <v>0</v>
      </c>
      <c r="BH383" s="202"/>
      <c r="BI383" s="204"/>
      <c r="BJ383" s="202"/>
      <c r="BK383" s="204"/>
      <c r="BL383" s="202"/>
      <c r="BM383" s="204"/>
      <c r="BN383" s="202"/>
      <c r="BO383" s="203">
        <f t="shared" si="8"/>
        <v>0</v>
      </c>
      <c r="BP383" s="202"/>
      <c r="BQ383" s="138"/>
      <c r="BR383" s="128"/>
      <c r="BS383" s="128"/>
      <c r="BT383" s="128"/>
      <c r="BU383" s="128"/>
      <c r="BV383" s="128"/>
      <c r="BW383" s="139"/>
      <c r="BX383" s="140"/>
      <c r="BY383" s="139"/>
      <c r="BZ383" s="139"/>
      <c r="CA383" s="134"/>
      <c r="CB383" s="134"/>
      <c r="CC383" s="134"/>
      <c r="CD383" s="134"/>
      <c r="CE383" s="134"/>
      <c r="CF383" s="134"/>
      <c r="CG383" s="92"/>
      <c r="CH383" s="92"/>
      <c r="CI383" s="92"/>
      <c r="CJ383" s="92"/>
      <c r="CK383" s="92"/>
    </row>
    <row r="384" spans="1:89" ht="17.25" customHeight="1">
      <c r="A384" s="160"/>
      <c r="B384" s="165"/>
      <c r="C384" s="164"/>
      <c r="D384" s="137">
        <f t="shared" si="3"/>
        <v>0</v>
      </c>
      <c r="E384" s="207"/>
      <c r="F384" s="202"/>
      <c r="G384" s="207"/>
      <c r="H384" s="202"/>
      <c r="I384" s="207"/>
      <c r="J384" s="202"/>
      <c r="K384" s="207"/>
      <c r="L384" s="202"/>
      <c r="M384" s="207"/>
      <c r="N384" s="202"/>
      <c r="O384" s="201"/>
      <c r="P384" s="202"/>
      <c r="Q384" s="203">
        <f t="shared" si="4"/>
        <v>0</v>
      </c>
      <c r="R384" s="202"/>
      <c r="S384" s="207"/>
      <c r="T384" s="202"/>
      <c r="U384" s="207"/>
      <c r="V384" s="202"/>
      <c r="W384" s="207"/>
      <c r="X384" s="202"/>
      <c r="Y384" s="207"/>
      <c r="Z384" s="202"/>
      <c r="AA384" s="207"/>
      <c r="AB384" s="202"/>
      <c r="AC384" s="208"/>
      <c r="AD384" s="202"/>
      <c r="AE384" s="203">
        <f t="shared" si="5"/>
        <v>0</v>
      </c>
      <c r="AF384" s="202"/>
      <c r="AG384" s="204"/>
      <c r="AH384" s="202"/>
      <c r="AI384" s="204"/>
      <c r="AJ384" s="202"/>
      <c r="AK384" s="204"/>
      <c r="AL384" s="202"/>
      <c r="AM384" s="204"/>
      <c r="AN384" s="202"/>
      <c r="AO384" s="204"/>
      <c r="AP384" s="202"/>
      <c r="AQ384" s="208"/>
      <c r="AR384" s="202"/>
      <c r="AS384" s="203">
        <f t="shared" si="6"/>
        <v>0</v>
      </c>
      <c r="AT384" s="202"/>
      <c r="AU384" s="204"/>
      <c r="AV384" s="202"/>
      <c r="AW384" s="204"/>
      <c r="AX384" s="202"/>
      <c r="AY384" s="204"/>
      <c r="AZ384" s="202"/>
      <c r="BA384" s="204"/>
      <c r="BB384" s="202"/>
      <c r="BC384" s="204"/>
      <c r="BD384" s="202"/>
      <c r="BE384" s="208"/>
      <c r="BF384" s="202"/>
      <c r="BG384" s="203">
        <f t="shared" si="7"/>
        <v>0</v>
      </c>
      <c r="BH384" s="202"/>
      <c r="BI384" s="204"/>
      <c r="BJ384" s="202"/>
      <c r="BK384" s="204"/>
      <c r="BL384" s="202"/>
      <c r="BM384" s="204"/>
      <c r="BN384" s="202"/>
      <c r="BO384" s="203">
        <f t="shared" si="8"/>
        <v>0</v>
      </c>
      <c r="BP384" s="202"/>
      <c r="BQ384" s="138"/>
      <c r="BR384" s="128"/>
      <c r="BS384" s="128"/>
      <c r="BT384" s="128"/>
      <c r="BU384" s="128"/>
      <c r="BV384" s="128"/>
      <c r="BW384" s="139"/>
      <c r="BX384" s="140"/>
      <c r="BY384" s="139"/>
      <c r="BZ384" s="139"/>
      <c r="CA384" s="134"/>
      <c r="CB384" s="134"/>
      <c r="CC384" s="134"/>
      <c r="CD384" s="134"/>
      <c r="CE384" s="134"/>
      <c r="CF384" s="134"/>
      <c r="CG384" s="92"/>
      <c r="CH384" s="92"/>
      <c r="CI384" s="92"/>
      <c r="CJ384" s="92"/>
      <c r="CK384" s="92"/>
    </row>
    <row r="385" spans="1:89" ht="17.25" customHeight="1">
      <c r="A385" s="160"/>
      <c r="B385" s="165"/>
      <c r="C385" s="164"/>
      <c r="D385" s="137">
        <f t="shared" si="3"/>
        <v>0</v>
      </c>
      <c r="E385" s="207"/>
      <c r="F385" s="202"/>
      <c r="G385" s="207"/>
      <c r="H385" s="202"/>
      <c r="I385" s="207"/>
      <c r="J385" s="202"/>
      <c r="K385" s="207"/>
      <c r="L385" s="202"/>
      <c r="M385" s="207"/>
      <c r="N385" s="202"/>
      <c r="O385" s="201"/>
      <c r="P385" s="202"/>
      <c r="Q385" s="203">
        <f t="shared" si="4"/>
        <v>0</v>
      </c>
      <c r="R385" s="202"/>
      <c r="S385" s="207"/>
      <c r="T385" s="202"/>
      <c r="U385" s="207"/>
      <c r="V385" s="202"/>
      <c r="W385" s="207"/>
      <c r="X385" s="202"/>
      <c r="Y385" s="207"/>
      <c r="Z385" s="202"/>
      <c r="AA385" s="207"/>
      <c r="AB385" s="202"/>
      <c r="AC385" s="208"/>
      <c r="AD385" s="202"/>
      <c r="AE385" s="203">
        <f t="shared" si="5"/>
        <v>0</v>
      </c>
      <c r="AF385" s="202"/>
      <c r="AG385" s="204"/>
      <c r="AH385" s="202"/>
      <c r="AI385" s="204"/>
      <c r="AJ385" s="202"/>
      <c r="AK385" s="204"/>
      <c r="AL385" s="202"/>
      <c r="AM385" s="204"/>
      <c r="AN385" s="202"/>
      <c r="AO385" s="204"/>
      <c r="AP385" s="202"/>
      <c r="AQ385" s="208"/>
      <c r="AR385" s="202"/>
      <c r="AS385" s="203">
        <f t="shared" si="6"/>
        <v>0</v>
      </c>
      <c r="AT385" s="202"/>
      <c r="AU385" s="204"/>
      <c r="AV385" s="202"/>
      <c r="AW385" s="204"/>
      <c r="AX385" s="202"/>
      <c r="AY385" s="204"/>
      <c r="AZ385" s="202"/>
      <c r="BA385" s="204"/>
      <c r="BB385" s="202"/>
      <c r="BC385" s="204"/>
      <c r="BD385" s="202"/>
      <c r="BE385" s="208"/>
      <c r="BF385" s="202"/>
      <c r="BG385" s="203">
        <f t="shared" si="7"/>
        <v>0</v>
      </c>
      <c r="BH385" s="202"/>
      <c r="BI385" s="204"/>
      <c r="BJ385" s="202"/>
      <c r="BK385" s="204"/>
      <c r="BL385" s="202"/>
      <c r="BM385" s="204"/>
      <c r="BN385" s="202"/>
      <c r="BO385" s="203">
        <f t="shared" si="8"/>
        <v>0</v>
      </c>
      <c r="BP385" s="202"/>
      <c r="BQ385" s="138"/>
      <c r="BR385" s="128"/>
      <c r="BS385" s="128"/>
      <c r="BT385" s="128"/>
      <c r="BU385" s="128"/>
      <c r="BV385" s="128"/>
      <c r="BW385" s="139"/>
      <c r="BX385" s="140"/>
      <c r="BY385" s="139"/>
      <c r="BZ385" s="139"/>
      <c r="CA385" s="134"/>
      <c r="CB385" s="134"/>
      <c r="CC385" s="134"/>
      <c r="CD385" s="134"/>
      <c r="CE385" s="134"/>
      <c r="CF385" s="134"/>
      <c r="CG385" s="92"/>
      <c r="CH385" s="92"/>
      <c r="CI385" s="92"/>
      <c r="CJ385" s="92"/>
      <c r="CK385" s="92"/>
    </row>
    <row r="386" spans="1:89" ht="17.25" customHeight="1">
      <c r="A386" s="160"/>
      <c r="B386" s="165"/>
      <c r="C386" s="164"/>
      <c r="D386" s="137">
        <f t="shared" si="3"/>
        <v>0</v>
      </c>
      <c r="E386" s="207"/>
      <c r="F386" s="202"/>
      <c r="G386" s="207"/>
      <c r="H386" s="202"/>
      <c r="I386" s="207"/>
      <c r="J386" s="202"/>
      <c r="K386" s="207"/>
      <c r="L386" s="202"/>
      <c r="M386" s="207"/>
      <c r="N386" s="202"/>
      <c r="O386" s="201"/>
      <c r="P386" s="202"/>
      <c r="Q386" s="203">
        <f t="shared" si="4"/>
        <v>0</v>
      </c>
      <c r="R386" s="202"/>
      <c r="S386" s="207"/>
      <c r="T386" s="202"/>
      <c r="U386" s="207"/>
      <c r="V386" s="202"/>
      <c r="W386" s="207"/>
      <c r="X386" s="202"/>
      <c r="Y386" s="207"/>
      <c r="Z386" s="202"/>
      <c r="AA386" s="207"/>
      <c r="AB386" s="202"/>
      <c r="AC386" s="208"/>
      <c r="AD386" s="202"/>
      <c r="AE386" s="203">
        <f t="shared" si="5"/>
        <v>0</v>
      </c>
      <c r="AF386" s="202"/>
      <c r="AG386" s="204"/>
      <c r="AH386" s="202"/>
      <c r="AI386" s="204"/>
      <c r="AJ386" s="202"/>
      <c r="AK386" s="204"/>
      <c r="AL386" s="202"/>
      <c r="AM386" s="204"/>
      <c r="AN386" s="202"/>
      <c r="AO386" s="204"/>
      <c r="AP386" s="202"/>
      <c r="AQ386" s="208"/>
      <c r="AR386" s="202"/>
      <c r="AS386" s="203">
        <f t="shared" si="6"/>
        <v>0</v>
      </c>
      <c r="AT386" s="202"/>
      <c r="AU386" s="204"/>
      <c r="AV386" s="202"/>
      <c r="AW386" s="204"/>
      <c r="AX386" s="202"/>
      <c r="AY386" s="204"/>
      <c r="AZ386" s="202"/>
      <c r="BA386" s="204"/>
      <c r="BB386" s="202"/>
      <c r="BC386" s="204"/>
      <c r="BD386" s="202"/>
      <c r="BE386" s="208"/>
      <c r="BF386" s="202"/>
      <c r="BG386" s="203">
        <f t="shared" si="7"/>
        <v>0</v>
      </c>
      <c r="BH386" s="202"/>
      <c r="BI386" s="204"/>
      <c r="BJ386" s="202"/>
      <c r="BK386" s="204"/>
      <c r="BL386" s="202"/>
      <c r="BM386" s="204"/>
      <c r="BN386" s="202"/>
      <c r="BO386" s="203">
        <f t="shared" si="8"/>
        <v>0</v>
      </c>
      <c r="BP386" s="202"/>
      <c r="BQ386" s="138"/>
      <c r="BR386" s="128"/>
      <c r="BS386" s="128"/>
      <c r="BT386" s="128"/>
      <c r="BU386" s="128"/>
      <c r="BV386" s="128"/>
      <c r="BW386" s="139"/>
      <c r="BX386" s="140"/>
      <c r="BY386" s="139"/>
      <c r="BZ386" s="139"/>
      <c r="CA386" s="134"/>
      <c r="CB386" s="134"/>
      <c r="CC386" s="134"/>
      <c r="CD386" s="134"/>
      <c r="CE386" s="134"/>
      <c r="CF386" s="134"/>
      <c r="CG386" s="92"/>
      <c r="CH386" s="92"/>
      <c r="CI386" s="92"/>
      <c r="CJ386" s="92"/>
      <c r="CK386" s="92"/>
    </row>
    <row r="387" spans="1:89" ht="17.25" customHeight="1">
      <c r="A387" s="160"/>
      <c r="B387" s="165"/>
      <c r="C387" s="164"/>
      <c r="D387" s="137">
        <f t="shared" si="3"/>
        <v>0</v>
      </c>
      <c r="E387" s="207"/>
      <c r="F387" s="202"/>
      <c r="G387" s="207"/>
      <c r="H387" s="202"/>
      <c r="I387" s="207"/>
      <c r="J387" s="202"/>
      <c r="K387" s="207"/>
      <c r="L387" s="202"/>
      <c r="M387" s="207"/>
      <c r="N387" s="202"/>
      <c r="O387" s="201"/>
      <c r="P387" s="202"/>
      <c r="Q387" s="203">
        <f t="shared" si="4"/>
        <v>0</v>
      </c>
      <c r="R387" s="202"/>
      <c r="S387" s="207"/>
      <c r="T387" s="202"/>
      <c r="U387" s="207"/>
      <c r="V387" s="202"/>
      <c r="W387" s="207"/>
      <c r="X387" s="202"/>
      <c r="Y387" s="207"/>
      <c r="Z387" s="202"/>
      <c r="AA387" s="207"/>
      <c r="AB387" s="202"/>
      <c r="AC387" s="208"/>
      <c r="AD387" s="202"/>
      <c r="AE387" s="203">
        <f t="shared" si="5"/>
        <v>0</v>
      </c>
      <c r="AF387" s="202"/>
      <c r="AG387" s="204"/>
      <c r="AH387" s="202"/>
      <c r="AI387" s="204"/>
      <c r="AJ387" s="202"/>
      <c r="AK387" s="204"/>
      <c r="AL387" s="202"/>
      <c r="AM387" s="204"/>
      <c r="AN387" s="202"/>
      <c r="AO387" s="204"/>
      <c r="AP387" s="202"/>
      <c r="AQ387" s="208"/>
      <c r="AR387" s="202"/>
      <c r="AS387" s="203">
        <f t="shared" si="6"/>
        <v>0</v>
      </c>
      <c r="AT387" s="202"/>
      <c r="AU387" s="204"/>
      <c r="AV387" s="202"/>
      <c r="AW387" s="204"/>
      <c r="AX387" s="202"/>
      <c r="AY387" s="204"/>
      <c r="AZ387" s="202"/>
      <c r="BA387" s="204"/>
      <c r="BB387" s="202"/>
      <c r="BC387" s="204"/>
      <c r="BD387" s="202"/>
      <c r="BE387" s="208"/>
      <c r="BF387" s="202"/>
      <c r="BG387" s="203">
        <f t="shared" si="7"/>
        <v>0</v>
      </c>
      <c r="BH387" s="202"/>
      <c r="BI387" s="204"/>
      <c r="BJ387" s="202"/>
      <c r="BK387" s="204"/>
      <c r="BL387" s="202"/>
      <c r="BM387" s="204"/>
      <c r="BN387" s="202"/>
      <c r="BO387" s="203">
        <f t="shared" si="8"/>
        <v>0</v>
      </c>
      <c r="BP387" s="202"/>
      <c r="BQ387" s="138"/>
      <c r="BR387" s="128"/>
      <c r="BS387" s="128"/>
      <c r="BT387" s="128"/>
      <c r="BU387" s="128"/>
      <c r="BV387" s="128"/>
      <c r="BW387" s="139"/>
      <c r="BX387" s="140"/>
      <c r="BY387" s="139"/>
      <c r="BZ387" s="139"/>
      <c r="CA387" s="134"/>
      <c r="CB387" s="134"/>
      <c r="CC387" s="134"/>
      <c r="CD387" s="134"/>
      <c r="CE387" s="134"/>
      <c r="CF387" s="134"/>
      <c r="CG387" s="92"/>
      <c r="CH387" s="92"/>
      <c r="CI387" s="92"/>
      <c r="CJ387" s="92"/>
      <c r="CK387" s="92"/>
    </row>
    <row r="388" spans="1:89" ht="17.25" customHeight="1">
      <c r="A388" s="160"/>
      <c r="B388" s="165"/>
      <c r="C388" s="164"/>
      <c r="D388" s="137">
        <f t="shared" si="3"/>
        <v>0</v>
      </c>
      <c r="E388" s="207"/>
      <c r="F388" s="202"/>
      <c r="G388" s="207"/>
      <c r="H388" s="202"/>
      <c r="I388" s="207"/>
      <c r="J388" s="202"/>
      <c r="K388" s="207"/>
      <c r="L388" s="202"/>
      <c r="M388" s="207"/>
      <c r="N388" s="202"/>
      <c r="O388" s="201"/>
      <c r="P388" s="202"/>
      <c r="Q388" s="203">
        <f t="shared" si="4"/>
        <v>0</v>
      </c>
      <c r="R388" s="202"/>
      <c r="S388" s="207"/>
      <c r="T388" s="202"/>
      <c r="U388" s="207"/>
      <c r="V388" s="202"/>
      <c r="W388" s="207"/>
      <c r="X388" s="202"/>
      <c r="Y388" s="207"/>
      <c r="Z388" s="202"/>
      <c r="AA388" s="207"/>
      <c r="AB388" s="202"/>
      <c r="AC388" s="208"/>
      <c r="AD388" s="202"/>
      <c r="AE388" s="203">
        <f t="shared" si="5"/>
        <v>0</v>
      </c>
      <c r="AF388" s="202"/>
      <c r="AG388" s="204"/>
      <c r="AH388" s="202"/>
      <c r="AI388" s="204"/>
      <c r="AJ388" s="202"/>
      <c r="AK388" s="204"/>
      <c r="AL388" s="202"/>
      <c r="AM388" s="204"/>
      <c r="AN388" s="202"/>
      <c r="AO388" s="204"/>
      <c r="AP388" s="202"/>
      <c r="AQ388" s="208"/>
      <c r="AR388" s="202"/>
      <c r="AS388" s="203">
        <f t="shared" si="6"/>
        <v>0</v>
      </c>
      <c r="AT388" s="202"/>
      <c r="AU388" s="204"/>
      <c r="AV388" s="202"/>
      <c r="AW388" s="204"/>
      <c r="AX388" s="202"/>
      <c r="AY388" s="204"/>
      <c r="AZ388" s="202"/>
      <c r="BA388" s="204"/>
      <c r="BB388" s="202"/>
      <c r="BC388" s="204"/>
      <c r="BD388" s="202"/>
      <c r="BE388" s="208"/>
      <c r="BF388" s="202"/>
      <c r="BG388" s="203">
        <f t="shared" si="7"/>
        <v>0</v>
      </c>
      <c r="BH388" s="202"/>
      <c r="BI388" s="204"/>
      <c r="BJ388" s="202"/>
      <c r="BK388" s="204"/>
      <c r="BL388" s="202"/>
      <c r="BM388" s="204"/>
      <c r="BN388" s="202"/>
      <c r="BO388" s="203">
        <f t="shared" si="8"/>
        <v>0</v>
      </c>
      <c r="BP388" s="202"/>
      <c r="BQ388" s="138"/>
      <c r="BR388" s="128"/>
      <c r="BS388" s="128"/>
      <c r="BT388" s="128"/>
      <c r="BU388" s="128"/>
      <c r="BV388" s="128"/>
      <c r="BW388" s="139"/>
      <c r="BX388" s="140"/>
      <c r="BY388" s="139"/>
      <c r="BZ388" s="139"/>
      <c r="CA388" s="134"/>
      <c r="CB388" s="134"/>
      <c r="CC388" s="134"/>
      <c r="CD388" s="134"/>
      <c r="CE388" s="134"/>
      <c r="CF388" s="134"/>
      <c r="CG388" s="92"/>
      <c r="CH388" s="92"/>
      <c r="CI388" s="92"/>
      <c r="CJ388" s="92"/>
      <c r="CK388" s="92"/>
    </row>
    <row r="389" spans="1:89" ht="17.25" customHeight="1">
      <c r="A389" s="160"/>
      <c r="B389" s="165"/>
      <c r="C389" s="164"/>
      <c r="D389" s="137">
        <f t="shared" si="3"/>
        <v>0</v>
      </c>
      <c r="E389" s="207"/>
      <c r="F389" s="202"/>
      <c r="G389" s="207"/>
      <c r="H389" s="202"/>
      <c r="I389" s="207"/>
      <c r="J389" s="202"/>
      <c r="K389" s="207"/>
      <c r="L389" s="202"/>
      <c r="M389" s="207"/>
      <c r="N389" s="202"/>
      <c r="O389" s="201"/>
      <c r="P389" s="202"/>
      <c r="Q389" s="203">
        <f t="shared" si="4"/>
        <v>0</v>
      </c>
      <c r="R389" s="202"/>
      <c r="S389" s="207"/>
      <c r="T389" s="202"/>
      <c r="U389" s="207"/>
      <c r="V389" s="202"/>
      <c r="W389" s="207"/>
      <c r="X389" s="202"/>
      <c r="Y389" s="207"/>
      <c r="Z389" s="202"/>
      <c r="AA389" s="207"/>
      <c r="AB389" s="202"/>
      <c r="AC389" s="208"/>
      <c r="AD389" s="202"/>
      <c r="AE389" s="203">
        <f t="shared" si="5"/>
        <v>0</v>
      </c>
      <c r="AF389" s="202"/>
      <c r="AG389" s="204"/>
      <c r="AH389" s="202"/>
      <c r="AI389" s="204"/>
      <c r="AJ389" s="202"/>
      <c r="AK389" s="204"/>
      <c r="AL389" s="202"/>
      <c r="AM389" s="204"/>
      <c r="AN389" s="202"/>
      <c r="AO389" s="204"/>
      <c r="AP389" s="202"/>
      <c r="AQ389" s="208"/>
      <c r="AR389" s="202"/>
      <c r="AS389" s="203">
        <f t="shared" si="6"/>
        <v>0</v>
      </c>
      <c r="AT389" s="202"/>
      <c r="AU389" s="204"/>
      <c r="AV389" s="202"/>
      <c r="AW389" s="204"/>
      <c r="AX389" s="202"/>
      <c r="AY389" s="204"/>
      <c r="AZ389" s="202"/>
      <c r="BA389" s="204"/>
      <c r="BB389" s="202"/>
      <c r="BC389" s="204"/>
      <c r="BD389" s="202"/>
      <c r="BE389" s="208"/>
      <c r="BF389" s="202"/>
      <c r="BG389" s="203">
        <f t="shared" si="7"/>
        <v>0</v>
      </c>
      <c r="BH389" s="202"/>
      <c r="BI389" s="204"/>
      <c r="BJ389" s="202"/>
      <c r="BK389" s="204"/>
      <c r="BL389" s="202"/>
      <c r="BM389" s="204"/>
      <c r="BN389" s="202"/>
      <c r="BO389" s="203">
        <f t="shared" si="8"/>
        <v>0</v>
      </c>
      <c r="BP389" s="202"/>
      <c r="BQ389" s="138"/>
      <c r="BR389" s="128"/>
      <c r="BS389" s="128"/>
      <c r="BT389" s="128"/>
      <c r="BU389" s="128"/>
      <c r="BV389" s="128"/>
      <c r="BW389" s="139"/>
      <c r="BX389" s="140"/>
      <c r="BY389" s="139"/>
      <c r="BZ389" s="139"/>
      <c r="CA389" s="134"/>
      <c r="CB389" s="134"/>
      <c r="CC389" s="134"/>
      <c r="CD389" s="134"/>
      <c r="CE389" s="134"/>
      <c r="CF389" s="134"/>
      <c r="CG389" s="92"/>
      <c r="CH389" s="92"/>
      <c r="CI389" s="92"/>
      <c r="CJ389" s="92"/>
      <c r="CK389" s="92"/>
    </row>
    <row r="390" spans="1:89" ht="17.25" customHeight="1">
      <c r="A390" s="160"/>
      <c r="B390" s="165"/>
      <c r="C390" s="164"/>
      <c r="D390" s="137">
        <f t="shared" si="3"/>
        <v>0</v>
      </c>
      <c r="E390" s="207"/>
      <c r="F390" s="202"/>
      <c r="G390" s="207"/>
      <c r="H390" s="202"/>
      <c r="I390" s="207"/>
      <c r="J390" s="202"/>
      <c r="K390" s="207"/>
      <c r="L390" s="202"/>
      <c r="M390" s="207"/>
      <c r="N390" s="202"/>
      <c r="O390" s="201"/>
      <c r="P390" s="202"/>
      <c r="Q390" s="203">
        <f t="shared" si="4"/>
        <v>0</v>
      </c>
      <c r="R390" s="202"/>
      <c r="S390" s="207"/>
      <c r="T390" s="202"/>
      <c r="U390" s="207"/>
      <c r="V390" s="202"/>
      <c r="W390" s="207"/>
      <c r="X390" s="202"/>
      <c r="Y390" s="207"/>
      <c r="Z390" s="202"/>
      <c r="AA390" s="207"/>
      <c r="AB390" s="202"/>
      <c r="AC390" s="208"/>
      <c r="AD390" s="202"/>
      <c r="AE390" s="203">
        <f t="shared" si="5"/>
        <v>0</v>
      </c>
      <c r="AF390" s="202"/>
      <c r="AG390" s="204"/>
      <c r="AH390" s="202"/>
      <c r="AI390" s="204"/>
      <c r="AJ390" s="202"/>
      <c r="AK390" s="204"/>
      <c r="AL390" s="202"/>
      <c r="AM390" s="204"/>
      <c r="AN390" s="202"/>
      <c r="AO390" s="204"/>
      <c r="AP390" s="202"/>
      <c r="AQ390" s="208"/>
      <c r="AR390" s="202"/>
      <c r="AS390" s="203">
        <f t="shared" si="6"/>
        <v>0</v>
      </c>
      <c r="AT390" s="202"/>
      <c r="AU390" s="204"/>
      <c r="AV390" s="202"/>
      <c r="AW390" s="204"/>
      <c r="AX390" s="202"/>
      <c r="AY390" s="204"/>
      <c r="AZ390" s="202"/>
      <c r="BA390" s="204"/>
      <c r="BB390" s="202"/>
      <c r="BC390" s="204"/>
      <c r="BD390" s="202"/>
      <c r="BE390" s="208"/>
      <c r="BF390" s="202"/>
      <c r="BG390" s="203">
        <f t="shared" si="7"/>
        <v>0</v>
      </c>
      <c r="BH390" s="202"/>
      <c r="BI390" s="204"/>
      <c r="BJ390" s="202"/>
      <c r="BK390" s="204"/>
      <c r="BL390" s="202"/>
      <c r="BM390" s="204"/>
      <c r="BN390" s="202"/>
      <c r="BO390" s="203">
        <f t="shared" si="8"/>
        <v>0</v>
      </c>
      <c r="BP390" s="202"/>
      <c r="BQ390" s="138"/>
      <c r="BR390" s="128"/>
      <c r="BS390" s="128"/>
      <c r="BT390" s="128"/>
      <c r="BU390" s="128"/>
      <c r="BV390" s="128"/>
      <c r="BW390" s="139"/>
      <c r="BX390" s="140"/>
      <c r="BY390" s="139"/>
      <c r="BZ390" s="139"/>
      <c r="CA390" s="134"/>
      <c r="CB390" s="134"/>
      <c r="CC390" s="134"/>
      <c r="CD390" s="134"/>
      <c r="CE390" s="134"/>
      <c r="CF390" s="134"/>
      <c r="CG390" s="92"/>
      <c r="CH390" s="92"/>
      <c r="CI390" s="92"/>
      <c r="CJ390" s="92"/>
      <c r="CK390" s="92"/>
    </row>
    <row r="391" spans="1:89" ht="17.25" customHeight="1">
      <c r="A391" s="160"/>
      <c r="B391" s="165"/>
      <c r="C391" s="164"/>
      <c r="D391" s="137">
        <f t="shared" si="3"/>
        <v>0</v>
      </c>
      <c r="E391" s="207"/>
      <c r="F391" s="202"/>
      <c r="G391" s="207"/>
      <c r="H391" s="202"/>
      <c r="I391" s="207"/>
      <c r="J391" s="202"/>
      <c r="K391" s="207"/>
      <c r="L391" s="202"/>
      <c r="M391" s="207"/>
      <c r="N391" s="202"/>
      <c r="O391" s="201"/>
      <c r="P391" s="202"/>
      <c r="Q391" s="203">
        <f t="shared" si="4"/>
        <v>0</v>
      </c>
      <c r="R391" s="202"/>
      <c r="S391" s="207"/>
      <c r="T391" s="202"/>
      <c r="U391" s="207"/>
      <c r="V391" s="202"/>
      <c r="W391" s="207"/>
      <c r="X391" s="202"/>
      <c r="Y391" s="207"/>
      <c r="Z391" s="202"/>
      <c r="AA391" s="207"/>
      <c r="AB391" s="202"/>
      <c r="AC391" s="208"/>
      <c r="AD391" s="202"/>
      <c r="AE391" s="203">
        <f t="shared" si="5"/>
        <v>0</v>
      </c>
      <c r="AF391" s="202"/>
      <c r="AG391" s="204"/>
      <c r="AH391" s="202"/>
      <c r="AI391" s="204"/>
      <c r="AJ391" s="202"/>
      <c r="AK391" s="204"/>
      <c r="AL391" s="202"/>
      <c r="AM391" s="204"/>
      <c r="AN391" s="202"/>
      <c r="AO391" s="204"/>
      <c r="AP391" s="202"/>
      <c r="AQ391" s="208"/>
      <c r="AR391" s="202"/>
      <c r="AS391" s="203">
        <f t="shared" si="6"/>
        <v>0</v>
      </c>
      <c r="AT391" s="202"/>
      <c r="AU391" s="204"/>
      <c r="AV391" s="202"/>
      <c r="AW391" s="204"/>
      <c r="AX391" s="202"/>
      <c r="AY391" s="204"/>
      <c r="AZ391" s="202"/>
      <c r="BA391" s="204"/>
      <c r="BB391" s="202"/>
      <c r="BC391" s="204"/>
      <c r="BD391" s="202"/>
      <c r="BE391" s="208"/>
      <c r="BF391" s="202"/>
      <c r="BG391" s="203">
        <f t="shared" si="7"/>
        <v>0</v>
      </c>
      <c r="BH391" s="202"/>
      <c r="BI391" s="204"/>
      <c r="BJ391" s="202"/>
      <c r="BK391" s="204"/>
      <c r="BL391" s="202"/>
      <c r="BM391" s="204"/>
      <c r="BN391" s="202"/>
      <c r="BO391" s="203">
        <f t="shared" si="8"/>
        <v>0</v>
      </c>
      <c r="BP391" s="202"/>
      <c r="BQ391" s="138"/>
      <c r="BR391" s="128"/>
      <c r="BS391" s="128"/>
      <c r="BT391" s="128"/>
      <c r="BU391" s="128"/>
      <c r="BV391" s="128"/>
      <c r="BW391" s="139"/>
      <c r="BX391" s="140"/>
      <c r="BY391" s="139"/>
      <c r="BZ391" s="139"/>
      <c r="CA391" s="134"/>
      <c r="CB391" s="134"/>
      <c r="CC391" s="134"/>
      <c r="CD391" s="134"/>
      <c r="CE391" s="134"/>
      <c r="CF391" s="134"/>
      <c r="CG391" s="92"/>
      <c r="CH391" s="92"/>
      <c r="CI391" s="92"/>
      <c r="CJ391" s="92"/>
      <c r="CK391" s="92"/>
    </row>
    <row r="392" spans="1:89" ht="17.25" customHeight="1">
      <c r="A392" s="160"/>
      <c r="B392" s="165"/>
      <c r="C392" s="164"/>
      <c r="D392" s="137">
        <f t="shared" si="3"/>
        <v>0</v>
      </c>
      <c r="E392" s="207"/>
      <c r="F392" s="202"/>
      <c r="G392" s="207"/>
      <c r="H392" s="202"/>
      <c r="I392" s="207"/>
      <c r="J392" s="202"/>
      <c r="K392" s="207"/>
      <c r="L392" s="202"/>
      <c r="M392" s="207"/>
      <c r="N392" s="202"/>
      <c r="O392" s="201"/>
      <c r="P392" s="202"/>
      <c r="Q392" s="203">
        <f t="shared" si="4"/>
        <v>0</v>
      </c>
      <c r="R392" s="202"/>
      <c r="S392" s="207"/>
      <c r="T392" s="202"/>
      <c r="U392" s="207"/>
      <c r="V392" s="202"/>
      <c r="W392" s="207"/>
      <c r="X392" s="202"/>
      <c r="Y392" s="207"/>
      <c r="Z392" s="202"/>
      <c r="AA392" s="207"/>
      <c r="AB392" s="202"/>
      <c r="AC392" s="208"/>
      <c r="AD392" s="202"/>
      <c r="AE392" s="203">
        <f t="shared" si="5"/>
        <v>0</v>
      </c>
      <c r="AF392" s="202"/>
      <c r="AG392" s="204"/>
      <c r="AH392" s="202"/>
      <c r="AI392" s="204"/>
      <c r="AJ392" s="202"/>
      <c r="AK392" s="204"/>
      <c r="AL392" s="202"/>
      <c r="AM392" s="204"/>
      <c r="AN392" s="202"/>
      <c r="AO392" s="204"/>
      <c r="AP392" s="202"/>
      <c r="AQ392" s="208"/>
      <c r="AR392" s="202"/>
      <c r="AS392" s="203">
        <f t="shared" si="6"/>
        <v>0</v>
      </c>
      <c r="AT392" s="202"/>
      <c r="AU392" s="204"/>
      <c r="AV392" s="202"/>
      <c r="AW392" s="204"/>
      <c r="AX392" s="202"/>
      <c r="AY392" s="204"/>
      <c r="AZ392" s="202"/>
      <c r="BA392" s="204"/>
      <c r="BB392" s="202"/>
      <c r="BC392" s="204"/>
      <c r="BD392" s="202"/>
      <c r="BE392" s="208"/>
      <c r="BF392" s="202"/>
      <c r="BG392" s="203">
        <f t="shared" si="7"/>
        <v>0</v>
      </c>
      <c r="BH392" s="202"/>
      <c r="BI392" s="204"/>
      <c r="BJ392" s="202"/>
      <c r="BK392" s="204"/>
      <c r="BL392" s="202"/>
      <c r="BM392" s="204"/>
      <c r="BN392" s="202"/>
      <c r="BO392" s="203">
        <f t="shared" si="8"/>
        <v>0</v>
      </c>
      <c r="BP392" s="202"/>
      <c r="BQ392" s="138"/>
      <c r="BR392" s="128"/>
      <c r="BS392" s="128"/>
      <c r="BT392" s="128"/>
      <c r="BU392" s="128"/>
      <c r="BV392" s="128"/>
      <c r="BW392" s="139"/>
      <c r="BX392" s="140"/>
      <c r="BY392" s="139"/>
      <c r="BZ392" s="139"/>
      <c r="CA392" s="134"/>
      <c r="CB392" s="134"/>
      <c r="CC392" s="134"/>
      <c r="CD392" s="134"/>
      <c r="CE392" s="134"/>
      <c r="CF392" s="134"/>
      <c r="CG392" s="92"/>
      <c r="CH392" s="92"/>
      <c r="CI392" s="92"/>
      <c r="CJ392" s="92"/>
      <c r="CK392" s="92"/>
    </row>
    <row r="393" spans="1:89" ht="17.25" customHeight="1">
      <c r="A393" s="160"/>
      <c r="B393" s="165"/>
      <c r="C393" s="164"/>
      <c r="D393" s="137">
        <f t="shared" si="3"/>
        <v>0</v>
      </c>
      <c r="E393" s="207"/>
      <c r="F393" s="202"/>
      <c r="G393" s="207"/>
      <c r="H393" s="202"/>
      <c r="I393" s="207"/>
      <c r="J393" s="202"/>
      <c r="K393" s="207"/>
      <c r="L393" s="202"/>
      <c r="M393" s="207"/>
      <c r="N393" s="202"/>
      <c r="O393" s="201"/>
      <c r="P393" s="202"/>
      <c r="Q393" s="203">
        <f t="shared" si="4"/>
        <v>0</v>
      </c>
      <c r="R393" s="202"/>
      <c r="S393" s="207"/>
      <c r="T393" s="202"/>
      <c r="U393" s="207"/>
      <c r="V393" s="202"/>
      <c r="W393" s="207"/>
      <c r="X393" s="202"/>
      <c r="Y393" s="207"/>
      <c r="Z393" s="202"/>
      <c r="AA393" s="207"/>
      <c r="AB393" s="202"/>
      <c r="AC393" s="208"/>
      <c r="AD393" s="202"/>
      <c r="AE393" s="203">
        <f t="shared" si="5"/>
        <v>0</v>
      </c>
      <c r="AF393" s="202"/>
      <c r="AG393" s="204"/>
      <c r="AH393" s="202"/>
      <c r="AI393" s="204"/>
      <c r="AJ393" s="202"/>
      <c r="AK393" s="204"/>
      <c r="AL393" s="202"/>
      <c r="AM393" s="204"/>
      <c r="AN393" s="202"/>
      <c r="AO393" s="204"/>
      <c r="AP393" s="202"/>
      <c r="AQ393" s="208"/>
      <c r="AR393" s="202"/>
      <c r="AS393" s="203">
        <f t="shared" si="6"/>
        <v>0</v>
      </c>
      <c r="AT393" s="202"/>
      <c r="AU393" s="204"/>
      <c r="AV393" s="202"/>
      <c r="AW393" s="204"/>
      <c r="AX393" s="202"/>
      <c r="AY393" s="204"/>
      <c r="AZ393" s="202"/>
      <c r="BA393" s="204"/>
      <c r="BB393" s="202"/>
      <c r="BC393" s="204"/>
      <c r="BD393" s="202"/>
      <c r="BE393" s="208"/>
      <c r="BF393" s="202"/>
      <c r="BG393" s="203">
        <f t="shared" si="7"/>
        <v>0</v>
      </c>
      <c r="BH393" s="202"/>
      <c r="BI393" s="204"/>
      <c r="BJ393" s="202"/>
      <c r="BK393" s="204"/>
      <c r="BL393" s="202"/>
      <c r="BM393" s="204"/>
      <c r="BN393" s="202"/>
      <c r="BO393" s="203">
        <f t="shared" si="8"/>
        <v>0</v>
      </c>
      <c r="BP393" s="202"/>
      <c r="BQ393" s="138"/>
      <c r="BR393" s="128"/>
      <c r="BS393" s="128"/>
      <c r="BT393" s="128"/>
      <c r="BU393" s="128"/>
      <c r="BV393" s="128"/>
      <c r="BW393" s="139"/>
      <c r="BX393" s="140"/>
      <c r="BY393" s="139"/>
      <c r="BZ393" s="139"/>
      <c r="CA393" s="134"/>
      <c r="CB393" s="134"/>
      <c r="CC393" s="134"/>
      <c r="CD393" s="134"/>
      <c r="CE393" s="134"/>
      <c r="CF393" s="134"/>
      <c r="CG393" s="92"/>
      <c r="CH393" s="92"/>
      <c r="CI393" s="92"/>
      <c r="CJ393" s="92"/>
      <c r="CK393" s="92"/>
    </row>
    <row r="394" spans="1:89" ht="17.25" customHeight="1">
      <c r="A394" s="160"/>
      <c r="B394" s="165"/>
      <c r="C394" s="164"/>
      <c r="D394" s="137">
        <f t="shared" si="3"/>
        <v>0</v>
      </c>
      <c r="E394" s="207"/>
      <c r="F394" s="202"/>
      <c r="G394" s="207"/>
      <c r="H394" s="202"/>
      <c r="I394" s="207"/>
      <c r="J394" s="202"/>
      <c r="K394" s="207"/>
      <c r="L394" s="202"/>
      <c r="M394" s="207"/>
      <c r="N394" s="202"/>
      <c r="O394" s="201"/>
      <c r="P394" s="202"/>
      <c r="Q394" s="203">
        <f t="shared" si="4"/>
        <v>0</v>
      </c>
      <c r="R394" s="202"/>
      <c r="S394" s="207"/>
      <c r="T394" s="202"/>
      <c r="U394" s="207"/>
      <c r="V394" s="202"/>
      <c r="W394" s="207"/>
      <c r="X394" s="202"/>
      <c r="Y394" s="207"/>
      <c r="Z394" s="202"/>
      <c r="AA394" s="207"/>
      <c r="AB394" s="202"/>
      <c r="AC394" s="208"/>
      <c r="AD394" s="202"/>
      <c r="AE394" s="203">
        <f t="shared" si="5"/>
        <v>0</v>
      </c>
      <c r="AF394" s="202"/>
      <c r="AG394" s="204"/>
      <c r="AH394" s="202"/>
      <c r="AI394" s="204"/>
      <c r="AJ394" s="202"/>
      <c r="AK394" s="204"/>
      <c r="AL394" s="202"/>
      <c r="AM394" s="204"/>
      <c r="AN394" s="202"/>
      <c r="AO394" s="204"/>
      <c r="AP394" s="202"/>
      <c r="AQ394" s="208"/>
      <c r="AR394" s="202"/>
      <c r="AS394" s="203">
        <f t="shared" si="6"/>
        <v>0</v>
      </c>
      <c r="AT394" s="202"/>
      <c r="AU394" s="204"/>
      <c r="AV394" s="202"/>
      <c r="AW394" s="204"/>
      <c r="AX394" s="202"/>
      <c r="AY394" s="204"/>
      <c r="AZ394" s="202"/>
      <c r="BA394" s="204"/>
      <c r="BB394" s="202"/>
      <c r="BC394" s="204"/>
      <c r="BD394" s="202"/>
      <c r="BE394" s="208"/>
      <c r="BF394" s="202"/>
      <c r="BG394" s="203">
        <f t="shared" si="7"/>
        <v>0</v>
      </c>
      <c r="BH394" s="202"/>
      <c r="BI394" s="204"/>
      <c r="BJ394" s="202"/>
      <c r="BK394" s="204"/>
      <c r="BL394" s="202"/>
      <c r="BM394" s="204"/>
      <c r="BN394" s="202"/>
      <c r="BO394" s="203">
        <f t="shared" si="8"/>
        <v>0</v>
      </c>
      <c r="BP394" s="202"/>
      <c r="BQ394" s="138"/>
      <c r="BR394" s="128"/>
      <c r="BS394" s="128"/>
      <c r="BT394" s="128"/>
      <c r="BU394" s="128"/>
      <c r="BV394" s="128"/>
      <c r="BW394" s="139"/>
      <c r="BX394" s="140"/>
      <c r="BY394" s="139"/>
      <c r="BZ394" s="139"/>
      <c r="CA394" s="134"/>
      <c r="CB394" s="134"/>
      <c r="CC394" s="134"/>
      <c r="CD394" s="134"/>
      <c r="CE394" s="134"/>
      <c r="CF394" s="134"/>
      <c r="CG394" s="92"/>
      <c r="CH394" s="92"/>
      <c r="CI394" s="92"/>
      <c r="CJ394" s="92"/>
      <c r="CK394" s="92"/>
    </row>
    <row r="395" spans="1:89" ht="17.25" customHeight="1">
      <c r="A395" s="160"/>
      <c r="B395" s="165"/>
      <c r="C395" s="164"/>
      <c r="D395" s="137">
        <f t="shared" si="3"/>
        <v>0</v>
      </c>
      <c r="E395" s="207"/>
      <c r="F395" s="202"/>
      <c r="G395" s="207"/>
      <c r="H395" s="202"/>
      <c r="I395" s="207"/>
      <c r="J395" s="202"/>
      <c r="K395" s="207"/>
      <c r="L395" s="202"/>
      <c r="M395" s="207"/>
      <c r="N395" s="202"/>
      <c r="O395" s="201"/>
      <c r="P395" s="202"/>
      <c r="Q395" s="203">
        <f t="shared" si="4"/>
        <v>0</v>
      </c>
      <c r="R395" s="202"/>
      <c r="S395" s="207"/>
      <c r="T395" s="202"/>
      <c r="U395" s="207"/>
      <c r="V395" s="202"/>
      <c r="W395" s="207"/>
      <c r="X395" s="202"/>
      <c r="Y395" s="207"/>
      <c r="Z395" s="202"/>
      <c r="AA395" s="207"/>
      <c r="AB395" s="202"/>
      <c r="AC395" s="208"/>
      <c r="AD395" s="202"/>
      <c r="AE395" s="203">
        <f t="shared" si="5"/>
        <v>0</v>
      </c>
      <c r="AF395" s="202"/>
      <c r="AG395" s="204"/>
      <c r="AH395" s="202"/>
      <c r="AI395" s="204"/>
      <c r="AJ395" s="202"/>
      <c r="AK395" s="204"/>
      <c r="AL395" s="202"/>
      <c r="AM395" s="204"/>
      <c r="AN395" s="202"/>
      <c r="AO395" s="204"/>
      <c r="AP395" s="202"/>
      <c r="AQ395" s="208"/>
      <c r="AR395" s="202"/>
      <c r="AS395" s="203">
        <f t="shared" si="6"/>
        <v>0</v>
      </c>
      <c r="AT395" s="202"/>
      <c r="AU395" s="204"/>
      <c r="AV395" s="202"/>
      <c r="AW395" s="204"/>
      <c r="AX395" s="202"/>
      <c r="AY395" s="204"/>
      <c r="AZ395" s="202"/>
      <c r="BA395" s="204"/>
      <c r="BB395" s="202"/>
      <c r="BC395" s="204"/>
      <c r="BD395" s="202"/>
      <c r="BE395" s="208"/>
      <c r="BF395" s="202"/>
      <c r="BG395" s="203">
        <f t="shared" si="7"/>
        <v>0</v>
      </c>
      <c r="BH395" s="202"/>
      <c r="BI395" s="204"/>
      <c r="BJ395" s="202"/>
      <c r="BK395" s="204"/>
      <c r="BL395" s="202"/>
      <c r="BM395" s="204"/>
      <c r="BN395" s="202"/>
      <c r="BO395" s="203">
        <f t="shared" si="8"/>
        <v>0</v>
      </c>
      <c r="BP395" s="202"/>
      <c r="BQ395" s="138"/>
      <c r="BR395" s="128"/>
      <c r="BS395" s="128"/>
      <c r="BT395" s="128"/>
      <c r="BU395" s="128"/>
      <c r="BV395" s="128"/>
      <c r="BW395" s="139"/>
      <c r="BX395" s="140"/>
      <c r="BY395" s="139"/>
      <c r="BZ395" s="139"/>
      <c r="CA395" s="134"/>
      <c r="CB395" s="134"/>
      <c r="CC395" s="134"/>
      <c r="CD395" s="134"/>
      <c r="CE395" s="134"/>
      <c r="CF395" s="134"/>
      <c r="CG395" s="92"/>
      <c r="CH395" s="92"/>
      <c r="CI395" s="92"/>
      <c r="CJ395" s="92"/>
      <c r="CK395" s="92"/>
    </row>
    <row r="396" spans="1:89" ht="17.25" customHeight="1">
      <c r="A396" s="160"/>
      <c r="B396" s="165"/>
      <c r="C396" s="164"/>
      <c r="D396" s="137">
        <f t="shared" si="3"/>
        <v>0</v>
      </c>
      <c r="E396" s="207"/>
      <c r="F396" s="202"/>
      <c r="G396" s="207"/>
      <c r="H396" s="202"/>
      <c r="I396" s="207"/>
      <c r="J396" s="202"/>
      <c r="K396" s="207"/>
      <c r="L396" s="202"/>
      <c r="M396" s="207"/>
      <c r="N396" s="202"/>
      <c r="O396" s="201"/>
      <c r="P396" s="202"/>
      <c r="Q396" s="203">
        <f t="shared" si="4"/>
        <v>0</v>
      </c>
      <c r="R396" s="202"/>
      <c r="S396" s="207"/>
      <c r="T396" s="202"/>
      <c r="U396" s="207"/>
      <c r="V396" s="202"/>
      <c r="W396" s="207"/>
      <c r="X396" s="202"/>
      <c r="Y396" s="207"/>
      <c r="Z396" s="202"/>
      <c r="AA396" s="207"/>
      <c r="AB396" s="202"/>
      <c r="AC396" s="208"/>
      <c r="AD396" s="202"/>
      <c r="AE396" s="203">
        <f t="shared" si="5"/>
        <v>0</v>
      </c>
      <c r="AF396" s="202"/>
      <c r="AG396" s="204"/>
      <c r="AH396" s="202"/>
      <c r="AI396" s="204"/>
      <c r="AJ396" s="202"/>
      <c r="AK396" s="204"/>
      <c r="AL396" s="202"/>
      <c r="AM396" s="204"/>
      <c r="AN396" s="202"/>
      <c r="AO396" s="204"/>
      <c r="AP396" s="202"/>
      <c r="AQ396" s="208"/>
      <c r="AR396" s="202"/>
      <c r="AS396" s="203">
        <f t="shared" si="6"/>
        <v>0</v>
      </c>
      <c r="AT396" s="202"/>
      <c r="AU396" s="204"/>
      <c r="AV396" s="202"/>
      <c r="AW396" s="204"/>
      <c r="AX396" s="202"/>
      <c r="AY396" s="204"/>
      <c r="AZ396" s="202"/>
      <c r="BA396" s="204"/>
      <c r="BB396" s="202"/>
      <c r="BC396" s="204"/>
      <c r="BD396" s="202"/>
      <c r="BE396" s="208"/>
      <c r="BF396" s="202"/>
      <c r="BG396" s="203">
        <f t="shared" si="7"/>
        <v>0</v>
      </c>
      <c r="BH396" s="202"/>
      <c r="BI396" s="204"/>
      <c r="BJ396" s="202"/>
      <c r="BK396" s="204"/>
      <c r="BL396" s="202"/>
      <c r="BM396" s="204"/>
      <c r="BN396" s="202"/>
      <c r="BO396" s="203">
        <f t="shared" si="8"/>
        <v>0</v>
      </c>
      <c r="BP396" s="202"/>
      <c r="BQ396" s="138"/>
      <c r="BR396" s="128"/>
      <c r="BS396" s="128"/>
      <c r="BT396" s="128"/>
      <c r="BU396" s="128"/>
      <c r="BV396" s="128"/>
      <c r="BW396" s="139"/>
      <c r="BX396" s="140"/>
      <c r="BY396" s="139"/>
      <c r="BZ396" s="139"/>
      <c r="CA396" s="134"/>
      <c r="CB396" s="134"/>
      <c r="CC396" s="134"/>
      <c r="CD396" s="134"/>
      <c r="CE396" s="134"/>
      <c r="CF396" s="134"/>
      <c r="CG396" s="92"/>
      <c r="CH396" s="92"/>
      <c r="CI396" s="92"/>
      <c r="CJ396" s="92"/>
      <c r="CK396" s="92"/>
    </row>
    <row r="397" spans="1:89" ht="17.25" customHeight="1">
      <c r="A397" s="160"/>
      <c r="B397" s="165"/>
      <c r="C397" s="164"/>
      <c r="D397" s="137">
        <f t="shared" si="3"/>
        <v>0</v>
      </c>
      <c r="E397" s="207"/>
      <c r="F397" s="202"/>
      <c r="G397" s="207"/>
      <c r="H397" s="202"/>
      <c r="I397" s="207"/>
      <c r="J397" s="202"/>
      <c r="K397" s="207"/>
      <c r="L397" s="202"/>
      <c r="M397" s="207"/>
      <c r="N397" s="202"/>
      <c r="O397" s="201"/>
      <c r="P397" s="202"/>
      <c r="Q397" s="203">
        <f t="shared" si="4"/>
        <v>0</v>
      </c>
      <c r="R397" s="202"/>
      <c r="S397" s="207"/>
      <c r="T397" s="202"/>
      <c r="U397" s="207"/>
      <c r="V397" s="202"/>
      <c r="W397" s="207"/>
      <c r="X397" s="202"/>
      <c r="Y397" s="207"/>
      <c r="Z397" s="202"/>
      <c r="AA397" s="207"/>
      <c r="AB397" s="202"/>
      <c r="AC397" s="208"/>
      <c r="AD397" s="202"/>
      <c r="AE397" s="203">
        <f t="shared" si="5"/>
        <v>0</v>
      </c>
      <c r="AF397" s="202"/>
      <c r="AG397" s="204"/>
      <c r="AH397" s="202"/>
      <c r="AI397" s="204"/>
      <c r="AJ397" s="202"/>
      <c r="AK397" s="204"/>
      <c r="AL397" s="202"/>
      <c r="AM397" s="204"/>
      <c r="AN397" s="202"/>
      <c r="AO397" s="204"/>
      <c r="AP397" s="202"/>
      <c r="AQ397" s="208"/>
      <c r="AR397" s="202"/>
      <c r="AS397" s="203">
        <f t="shared" si="6"/>
        <v>0</v>
      </c>
      <c r="AT397" s="202"/>
      <c r="AU397" s="204"/>
      <c r="AV397" s="202"/>
      <c r="AW397" s="204"/>
      <c r="AX397" s="202"/>
      <c r="AY397" s="204"/>
      <c r="AZ397" s="202"/>
      <c r="BA397" s="204"/>
      <c r="BB397" s="202"/>
      <c r="BC397" s="204"/>
      <c r="BD397" s="202"/>
      <c r="BE397" s="208"/>
      <c r="BF397" s="202"/>
      <c r="BG397" s="203">
        <f t="shared" si="7"/>
        <v>0</v>
      </c>
      <c r="BH397" s="202"/>
      <c r="BI397" s="204"/>
      <c r="BJ397" s="202"/>
      <c r="BK397" s="204"/>
      <c r="BL397" s="202"/>
      <c r="BM397" s="204"/>
      <c r="BN397" s="202"/>
      <c r="BO397" s="203">
        <f t="shared" si="8"/>
        <v>0</v>
      </c>
      <c r="BP397" s="202"/>
      <c r="BQ397" s="138"/>
      <c r="BR397" s="128"/>
      <c r="BS397" s="128"/>
      <c r="BT397" s="128"/>
      <c r="BU397" s="128"/>
      <c r="BV397" s="128"/>
      <c r="BW397" s="139"/>
      <c r="BX397" s="140"/>
      <c r="BY397" s="139"/>
      <c r="BZ397" s="139"/>
      <c r="CA397" s="134"/>
      <c r="CB397" s="134"/>
      <c r="CC397" s="134"/>
      <c r="CD397" s="134"/>
      <c r="CE397" s="134"/>
      <c r="CF397" s="134"/>
      <c r="CG397" s="92"/>
      <c r="CH397" s="92"/>
      <c r="CI397" s="92"/>
      <c r="CJ397" s="92"/>
      <c r="CK397" s="92"/>
    </row>
    <row r="398" spans="1:89" ht="17.25" customHeight="1">
      <c r="A398" s="160"/>
      <c r="B398" s="165"/>
      <c r="C398" s="164"/>
      <c r="D398" s="137">
        <f t="shared" si="3"/>
        <v>0</v>
      </c>
      <c r="E398" s="207"/>
      <c r="F398" s="202"/>
      <c r="G398" s="207"/>
      <c r="H398" s="202"/>
      <c r="I398" s="207"/>
      <c r="J398" s="202"/>
      <c r="K398" s="207"/>
      <c r="L398" s="202"/>
      <c r="M398" s="207"/>
      <c r="N398" s="202"/>
      <c r="O398" s="201"/>
      <c r="P398" s="202"/>
      <c r="Q398" s="203">
        <f t="shared" si="4"/>
        <v>0</v>
      </c>
      <c r="R398" s="202"/>
      <c r="S398" s="207"/>
      <c r="T398" s="202"/>
      <c r="U398" s="207"/>
      <c r="V398" s="202"/>
      <c r="W398" s="207"/>
      <c r="X398" s="202"/>
      <c r="Y398" s="207"/>
      <c r="Z398" s="202"/>
      <c r="AA398" s="207"/>
      <c r="AB398" s="202"/>
      <c r="AC398" s="208"/>
      <c r="AD398" s="202"/>
      <c r="AE398" s="203">
        <f t="shared" si="5"/>
        <v>0</v>
      </c>
      <c r="AF398" s="202"/>
      <c r="AG398" s="204"/>
      <c r="AH398" s="202"/>
      <c r="AI398" s="204"/>
      <c r="AJ398" s="202"/>
      <c r="AK398" s="204"/>
      <c r="AL398" s="202"/>
      <c r="AM398" s="204"/>
      <c r="AN398" s="202"/>
      <c r="AO398" s="204"/>
      <c r="AP398" s="202"/>
      <c r="AQ398" s="208"/>
      <c r="AR398" s="202"/>
      <c r="AS398" s="203">
        <f t="shared" si="6"/>
        <v>0</v>
      </c>
      <c r="AT398" s="202"/>
      <c r="AU398" s="204"/>
      <c r="AV398" s="202"/>
      <c r="AW398" s="204"/>
      <c r="AX398" s="202"/>
      <c r="AY398" s="204"/>
      <c r="AZ398" s="202"/>
      <c r="BA398" s="204"/>
      <c r="BB398" s="202"/>
      <c r="BC398" s="204"/>
      <c r="BD398" s="202"/>
      <c r="BE398" s="208"/>
      <c r="BF398" s="202"/>
      <c r="BG398" s="203">
        <f t="shared" si="7"/>
        <v>0</v>
      </c>
      <c r="BH398" s="202"/>
      <c r="BI398" s="204"/>
      <c r="BJ398" s="202"/>
      <c r="BK398" s="204"/>
      <c r="BL398" s="202"/>
      <c r="BM398" s="204"/>
      <c r="BN398" s="202"/>
      <c r="BO398" s="203">
        <f t="shared" si="8"/>
        <v>0</v>
      </c>
      <c r="BP398" s="202"/>
      <c r="BQ398" s="138"/>
      <c r="BR398" s="128"/>
      <c r="BS398" s="128"/>
      <c r="BT398" s="128"/>
      <c r="BU398" s="128"/>
      <c r="BV398" s="128"/>
      <c r="BW398" s="139"/>
      <c r="BX398" s="140"/>
      <c r="BY398" s="139"/>
      <c r="BZ398" s="139"/>
      <c r="CA398" s="134"/>
      <c r="CB398" s="134"/>
      <c r="CC398" s="134"/>
      <c r="CD398" s="134"/>
      <c r="CE398" s="134"/>
      <c r="CF398" s="134"/>
      <c r="CG398" s="92"/>
      <c r="CH398" s="92"/>
      <c r="CI398" s="92"/>
      <c r="CJ398" s="92"/>
      <c r="CK398" s="92"/>
    </row>
    <row r="399" spans="1:89" ht="17.25" customHeight="1">
      <c r="A399" s="160"/>
      <c r="B399" s="165"/>
      <c r="C399" s="164"/>
      <c r="D399" s="137">
        <f t="shared" si="3"/>
        <v>0</v>
      </c>
      <c r="E399" s="207"/>
      <c r="F399" s="202"/>
      <c r="G399" s="207"/>
      <c r="H399" s="202"/>
      <c r="I399" s="207"/>
      <c r="J399" s="202"/>
      <c r="K399" s="207"/>
      <c r="L399" s="202"/>
      <c r="M399" s="207"/>
      <c r="N399" s="202"/>
      <c r="O399" s="201"/>
      <c r="P399" s="202"/>
      <c r="Q399" s="203">
        <f t="shared" si="4"/>
        <v>0</v>
      </c>
      <c r="R399" s="202"/>
      <c r="S399" s="207"/>
      <c r="T399" s="202"/>
      <c r="U399" s="207"/>
      <c r="V399" s="202"/>
      <c r="W399" s="207"/>
      <c r="X399" s="202"/>
      <c r="Y399" s="207"/>
      <c r="Z399" s="202"/>
      <c r="AA399" s="207"/>
      <c r="AB399" s="202"/>
      <c r="AC399" s="208"/>
      <c r="AD399" s="202"/>
      <c r="AE399" s="203">
        <f t="shared" si="5"/>
        <v>0</v>
      </c>
      <c r="AF399" s="202"/>
      <c r="AG399" s="204"/>
      <c r="AH399" s="202"/>
      <c r="AI399" s="204"/>
      <c r="AJ399" s="202"/>
      <c r="AK399" s="204"/>
      <c r="AL399" s="202"/>
      <c r="AM399" s="204"/>
      <c r="AN399" s="202"/>
      <c r="AO399" s="204"/>
      <c r="AP399" s="202"/>
      <c r="AQ399" s="208"/>
      <c r="AR399" s="202"/>
      <c r="AS399" s="203">
        <f t="shared" si="6"/>
        <v>0</v>
      </c>
      <c r="AT399" s="202"/>
      <c r="AU399" s="204"/>
      <c r="AV399" s="202"/>
      <c r="AW399" s="204"/>
      <c r="AX399" s="202"/>
      <c r="AY399" s="204"/>
      <c r="AZ399" s="202"/>
      <c r="BA399" s="204"/>
      <c r="BB399" s="202"/>
      <c r="BC399" s="204"/>
      <c r="BD399" s="202"/>
      <c r="BE399" s="208"/>
      <c r="BF399" s="202"/>
      <c r="BG399" s="203">
        <f t="shared" si="7"/>
        <v>0</v>
      </c>
      <c r="BH399" s="202"/>
      <c r="BI399" s="204"/>
      <c r="BJ399" s="202"/>
      <c r="BK399" s="204"/>
      <c r="BL399" s="202"/>
      <c r="BM399" s="204"/>
      <c r="BN399" s="202"/>
      <c r="BO399" s="203">
        <f t="shared" si="8"/>
        <v>0</v>
      </c>
      <c r="BP399" s="202"/>
      <c r="BQ399" s="138"/>
      <c r="BR399" s="128"/>
      <c r="BS399" s="128"/>
      <c r="BT399" s="128"/>
      <c r="BU399" s="128"/>
      <c r="BV399" s="128"/>
      <c r="BW399" s="139"/>
      <c r="BX399" s="140"/>
      <c r="BY399" s="139"/>
      <c r="BZ399" s="139"/>
      <c r="CA399" s="134"/>
      <c r="CB399" s="134"/>
      <c r="CC399" s="134"/>
      <c r="CD399" s="134"/>
      <c r="CE399" s="134"/>
      <c r="CF399" s="134"/>
      <c r="CG399" s="92"/>
      <c r="CH399" s="92"/>
      <c r="CI399" s="92"/>
      <c r="CJ399" s="92"/>
      <c r="CK399" s="92"/>
    </row>
    <row r="400" spans="1:89" ht="17.25" customHeight="1">
      <c r="A400" s="160"/>
      <c r="B400" s="165"/>
      <c r="C400" s="164"/>
      <c r="D400" s="137">
        <f t="shared" si="3"/>
        <v>0</v>
      </c>
      <c r="E400" s="207"/>
      <c r="F400" s="202"/>
      <c r="G400" s="207"/>
      <c r="H400" s="202"/>
      <c r="I400" s="207"/>
      <c r="J400" s="202"/>
      <c r="K400" s="207"/>
      <c r="L400" s="202"/>
      <c r="M400" s="207"/>
      <c r="N400" s="202"/>
      <c r="O400" s="201"/>
      <c r="P400" s="202"/>
      <c r="Q400" s="203">
        <f t="shared" si="4"/>
        <v>0</v>
      </c>
      <c r="R400" s="202"/>
      <c r="S400" s="207"/>
      <c r="T400" s="202"/>
      <c r="U400" s="207"/>
      <c r="V400" s="202"/>
      <c r="W400" s="207"/>
      <c r="X400" s="202"/>
      <c r="Y400" s="207"/>
      <c r="Z400" s="202"/>
      <c r="AA400" s="207"/>
      <c r="AB400" s="202"/>
      <c r="AC400" s="208"/>
      <c r="AD400" s="202"/>
      <c r="AE400" s="203">
        <f t="shared" si="5"/>
        <v>0</v>
      </c>
      <c r="AF400" s="202"/>
      <c r="AG400" s="204"/>
      <c r="AH400" s="202"/>
      <c r="AI400" s="204"/>
      <c r="AJ400" s="202"/>
      <c r="AK400" s="204"/>
      <c r="AL400" s="202"/>
      <c r="AM400" s="204"/>
      <c r="AN400" s="202"/>
      <c r="AO400" s="204"/>
      <c r="AP400" s="202"/>
      <c r="AQ400" s="208"/>
      <c r="AR400" s="202"/>
      <c r="AS400" s="203">
        <f t="shared" si="6"/>
        <v>0</v>
      </c>
      <c r="AT400" s="202"/>
      <c r="AU400" s="204"/>
      <c r="AV400" s="202"/>
      <c r="AW400" s="204"/>
      <c r="AX400" s="202"/>
      <c r="AY400" s="204"/>
      <c r="AZ400" s="202"/>
      <c r="BA400" s="204"/>
      <c r="BB400" s="202"/>
      <c r="BC400" s="204"/>
      <c r="BD400" s="202"/>
      <c r="BE400" s="208"/>
      <c r="BF400" s="202"/>
      <c r="BG400" s="203">
        <f t="shared" si="7"/>
        <v>0</v>
      </c>
      <c r="BH400" s="202"/>
      <c r="BI400" s="204"/>
      <c r="BJ400" s="202"/>
      <c r="BK400" s="204"/>
      <c r="BL400" s="202"/>
      <c r="BM400" s="204"/>
      <c r="BN400" s="202"/>
      <c r="BO400" s="203">
        <f t="shared" si="8"/>
        <v>0</v>
      </c>
      <c r="BP400" s="202"/>
      <c r="BQ400" s="138"/>
      <c r="BR400" s="128"/>
      <c r="BS400" s="128"/>
      <c r="BT400" s="128"/>
      <c r="BU400" s="128"/>
      <c r="BV400" s="128"/>
      <c r="BW400" s="139"/>
      <c r="BX400" s="140"/>
      <c r="BY400" s="139"/>
      <c r="BZ400" s="139"/>
      <c r="CA400" s="134"/>
      <c r="CB400" s="134"/>
      <c r="CC400" s="134"/>
      <c r="CD400" s="134"/>
      <c r="CE400" s="134"/>
      <c r="CF400" s="134"/>
      <c r="CG400" s="92"/>
      <c r="CH400" s="92"/>
      <c r="CI400" s="92"/>
      <c r="CJ400" s="92"/>
      <c r="CK400" s="92"/>
    </row>
    <row r="401" spans="1:89" ht="17.25" customHeight="1">
      <c r="A401" s="160"/>
      <c r="B401" s="165"/>
      <c r="C401" s="164"/>
      <c r="D401" s="137">
        <f t="shared" si="3"/>
        <v>0</v>
      </c>
      <c r="E401" s="207"/>
      <c r="F401" s="202"/>
      <c r="G401" s="207"/>
      <c r="H401" s="202"/>
      <c r="I401" s="207"/>
      <c r="J401" s="202"/>
      <c r="K401" s="207"/>
      <c r="L401" s="202"/>
      <c r="M401" s="207"/>
      <c r="N401" s="202"/>
      <c r="O401" s="201"/>
      <c r="P401" s="202"/>
      <c r="Q401" s="203">
        <f t="shared" si="4"/>
        <v>0</v>
      </c>
      <c r="R401" s="202"/>
      <c r="S401" s="207"/>
      <c r="T401" s="202"/>
      <c r="U401" s="207"/>
      <c r="V401" s="202"/>
      <c r="W401" s="207"/>
      <c r="X401" s="202"/>
      <c r="Y401" s="207"/>
      <c r="Z401" s="202"/>
      <c r="AA401" s="207"/>
      <c r="AB401" s="202"/>
      <c r="AC401" s="208"/>
      <c r="AD401" s="202"/>
      <c r="AE401" s="203">
        <f t="shared" si="5"/>
        <v>0</v>
      </c>
      <c r="AF401" s="202"/>
      <c r="AG401" s="204"/>
      <c r="AH401" s="202"/>
      <c r="AI401" s="204"/>
      <c r="AJ401" s="202"/>
      <c r="AK401" s="204"/>
      <c r="AL401" s="202"/>
      <c r="AM401" s="204"/>
      <c r="AN401" s="202"/>
      <c r="AO401" s="204"/>
      <c r="AP401" s="202"/>
      <c r="AQ401" s="208"/>
      <c r="AR401" s="202"/>
      <c r="AS401" s="203">
        <f t="shared" si="6"/>
        <v>0</v>
      </c>
      <c r="AT401" s="202"/>
      <c r="AU401" s="204"/>
      <c r="AV401" s="202"/>
      <c r="AW401" s="204"/>
      <c r="AX401" s="202"/>
      <c r="AY401" s="204"/>
      <c r="AZ401" s="202"/>
      <c r="BA401" s="204"/>
      <c r="BB401" s="202"/>
      <c r="BC401" s="204"/>
      <c r="BD401" s="202"/>
      <c r="BE401" s="208"/>
      <c r="BF401" s="202"/>
      <c r="BG401" s="203">
        <f t="shared" si="7"/>
        <v>0</v>
      </c>
      <c r="BH401" s="202"/>
      <c r="BI401" s="204"/>
      <c r="BJ401" s="202"/>
      <c r="BK401" s="204"/>
      <c r="BL401" s="202"/>
      <c r="BM401" s="204"/>
      <c r="BN401" s="202"/>
      <c r="BO401" s="203">
        <f t="shared" si="8"/>
        <v>0</v>
      </c>
      <c r="BP401" s="202"/>
      <c r="BQ401" s="138"/>
      <c r="BR401" s="128"/>
      <c r="BS401" s="128"/>
      <c r="BT401" s="128"/>
      <c r="BU401" s="128"/>
      <c r="BV401" s="128"/>
      <c r="BW401" s="139"/>
      <c r="BX401" s="140"/>
      <c r="BY401" s="139"/>
      <c r="BZ401" s="139"/>
      <c r="CA401" s="134"/>
      <c r="CB401" s="134"/>
      <c r="CC401" s="134"/>
      <c r="CD401" s="134"/>
      <c r="CE401" s="134"/>
      <c r="CF401" s="134"/>
      <c r="CG401" s="92"/>
      <c r="CH401" s="92"/>
      <c r="CI401" s="92"/>
      <c r="CJ401" s="92"/>
      <c r="CK401" s="92"/>
    </row>
    <row r="402" spans="1:89" ht="17.25" customHeight="1">
      <c r="A402" s="160"/>
      <c r="B402" s="165"/>
      <c r="C402" s="164"/>
      <c r="D402" s="137">
        <f t="shared" si="3"/>
        <v>0</v>
      </c>
      <c r="E402" s="207"/>
      <c r="F402" s="202"/>
      <c r="G402" s="207"/>
      <c r="H402" s="202"/>
      <c r="I402" s="207"/>
      <c r="J402" s="202"/>
      <c r="K402" s="207"/>
      <c r="L402" s="202"/>
      <c r="M402" s="207"/>
      <c r="N402" s="202"/>
      <c r="O402" s="201"/>
      <c r="P402" s="202"/>
      <c r="Q402" s="203">
        <f t="shared" si="4"/>
        <v>0</v>
      </c>
      <c r="R402" s="202"/>
      <c r="S402" s="207"/>
      <c r="T402" s="202"/>
      <c r="U402" s="207"/>
      <c r="V402" s="202"/>
      <c r="W402" s="207"/>
      <c r="X402" s="202"/>
      <c r="Y402" s="207"/>
      <c r="Z402" s="202"/>
      <c r="AA402" s="207"/>
      <c r="AB402" s="202"/>
      <c r="AC402" s="208"/>
      <c r="AD402" s="202"/>
      <c r="AE402" s="203">
        <f t="shared" si="5"/>
        <v>0</v>
      </c>
      <c r="AF402" s="202"/>
      <c r="AG402" s="204"/>
      <c r="AH402" s="202"/>
      <c r="AI402" s="204"/>
      <c r="AJ402" s="202"/>
      <c r="AK402" s="204"/>
      <c r="AL402" s="202"/>
      <c r="AM402" s="204"/>
      <c r="AN402" s="202"/>
      <c r="AO402" s="204"/>
      <c r="AP402" s="202"/>
      <c r="AQ402" s="208"/>
      <c r="AR402" s="202"/>
      <c r="AS402" s="203">
        <f t="shared" si="6"/>
        <v>0</v>
      </c>
      <c r="AT402" s="202"/>
      <c r="AU402" s="204"/>
      <c r="AV402" s="202"/>
      <c r="AW402" s="204"/>
      <c r="AX402" s="202"/>
      <c r="AY402" s="204"/>
      <c r="AZ402" s="202"/>
      <c r="BA402" s="204"/>
      <c r="BB402" s="202"/>
      <c r="BC402" s="204"/>
      <c r="BD402" s="202"/>
      <c r="BE402" s="208"/>
      <c r="BF402" s="202"/>
      <c r="BG402" s="203">
        <f t="shared" si="7"/>
        <v>0</v>
      </c>
      <c r="BH402" s="202"/>
      <c r="BI402" s="204"/>
      <c r="BJ402" s="202"/>
      <c r="BK402" s="204"/>
      <c r="BL402" s="202"/>
      <c r="BM402" s="204"/>
      <c r="BN402" s="202"/>
      <c r="BO402" s="203">
        <f t="shared" si="8"/>
        <v>0</v>
      </c>
      <c r="BP402" s="202"/>
      <c r="BQ402" s="138"/>
      <c r="BR402" s="128"/>
      <c r="BS402" s="128"/>
      <c r="BT402" s="128"/>
      <c r="BU402" s="128"/>
      <c r="BV402" s="128"/>
      <c r="BW402" s="139"/>
      <c r="BX402" s="140"/>
      <c r="BY402" s="139"/>
      <c r="BZ402" s="139"/>
      <c r="CA402" s="134"/>
      <c r="CB402" s="134"/>
      <c r="CC402" s="134"/>
      <c r="CD402" s="134"/>
      <c r="CE402" s="134"/>
      <c r="CF402" s="134"/>
      <c r="CG402" s="92"/>
      <c r="CH402" s="92"/>
      <c r="CI402" s="92"/>
      <c r="CJ402" s="92"/>
      <c r="CK402" s="92"/>
    </row>
    <row r="403" spans="1:89" ht="17.25" customHeight="1">
      <c r="A403" s="160"/>
      <c r="B403" s="165"/>
      <c r="C403" s="164"/>
      <c r="D403" s="137">
        <f t="shared" si="3"/>
        <v>0</v>
      </c>
      <c r="E403" s="207"/>
      <c r="F403" s="202"/>
      <c r="G403" s="207"/>
      <c r="H403" s="202"/>
      <c r="I403" s="207"/>
      <c r="J403" s="202"/>
      <c r="K403" s="207"/>
      <c r="L403" s="202"/>
      <c r="M403" s="207"/>
      <c r="N403" s="202"/>
      <c r="O403" s="201"/>
      <c r="P403" s="202"/>
      <c r="Q403" s="203">
        <f t="shared" si="4"/>
        <v>0</v>
      </c>
      <c r="R403" s="202"/>
      <c r="S403" s="207"/>
      <c r="T403" s="202"/>
      <c r="U403" s="207"/>
      <c r="V403" s="202"/>
      <c r="W403" s="207"/>
      <c r="X403" s="202"/>
      <c r="Y403" s="207"/>
      <c r="Z403" s="202"/>
      <c r="AA403" s="207"/>
      <c r="AB403" s="202"/>
      <c r="AC403" s="208"/>
      <c r="AD403" s="202"/>
      <c r="AE403" s="203">
        <f t="shared" si="5"/>
        <v>0</v>
      </c>
      <c r="AF403" s="202"/>
      <c r="AG403" s="204"/>
      <c r="AH403" s="202"/>
      <c r="AI403" s="204"/>
      <c r="AJ403" s="202"/>
      <c r="AK403" s="204"/>
      <c r="AL403" s="202"/>
      <c r="AM403" s="204"/>
      <c r="AN403" s="202"/>
      <c r="AO403" s="204"/>
      <c r="AP403" s="202"/>
      <c r="AQ403" s="208"/>
      <c r="AR403" s="202"/>
      <c r="AS403" s="203">
        <f t="shared" si="6"/>
        <v>0</v>
      </c>
      <c r="AT403" s="202"/>
      <c r="AU403" s="204"/>
      <c r="AV403" s="202"/>
      <c r="AW403" s="204"/>
      <c r="AX403" s="202"/>
      <c r="AY403" s="204"/>
      <c r="AZ403" s="202"/>
      <c r="BA403" s="204"/>
      <c r="BB403" s="202"/>
      <c r="BC403" s="204"/>
      <c r="BD403" s="202"/>
      <c r="BE403" s="208"/>
      <c r="BF403" s="202"/>
      <c r="BG403" s="203">
        <f t="shared" si="7"/>
        <v>0</v>
      </c>
      <c r="BH403" s="202"/>
      <c r="BI403" s="204"/>
      <c r="BJ403" s="202"/>
      <c r="BK403" s="204"/>
      <c r="BL403" s="202"/>
      <c r="BM403" s="204"/>
      <c r="BN403" s="202"/>
      <c r="BO403" s="203">
        <f t="shared" si="8"/>
        <v>0</v>
      </c>
      <c r="BP403" s="202"/>
      <c r="BQ403" s="138"/>
      <c r="BR403" s="128"/>
      <c r="BS403" s="128"/>
      <c r="BT403" s="128"/>
      <c r="BU403" s="128"/>
      <c r="BV403" s="128"/>
      <c r="BW403" s="139"/>
      <c r="BX403" s="140"/>
      <c r="BY403" s="139"/>
      <c r="BZ403" s="139"/>
      <c r="CA403" s="134"/>
      <c r="CB403" s="134"/>
      <c r="CC403" s="134"/>
      <c r="CD403" s="134"/>
      <c r="CE403" s="134"/>
      <c r="CF403" s="134"/>
      <c r="CG403" s="92"/>
      <c r="CH403" s="92"/>
      <c r="CI403" s="92"/>
      <c r="CJ403" s="92"/>
      <c r="CK403" s="92"/>
    </row>
    <row r="404" spans="1:89" ht="17.25" customHeight="1">
      <c r="A404" s="160"/>
      <c r="B404" s="165"/>
      <c r="C404" s="164"/>
      <c r="D404" s="137">
        <f t="shared" si="3"/>
        <v>0</v>
      </c>
      <c r="E404" s="207"/>
      <c r="F404" s="202"/>
      <c r="G404" s="207"/>
      <c r="H404" s="202"/>
      <c r="I404" s="207"/>
      <c r="J404" s="202"/>
      <c r="K404" s="207"/>
      <c r="L404" s="202"/>
      <c r="M404" s="207"/>
      <c r="N404" s="202"/>
      <c r="O404" s="201"/>
      <c r="P404" s="202"/>
      <c r="Q404" s="203">
        <f t="shared" si="4"/>
        <v>0</v>
      </c>
      <c r="R404" s="202"/>
      <c r="S404" s="207"/>
      <c r="T404" s="202"/>
      <c r="U404" s="207"/>
      <c r="V404" s="202"/>
      <c r="W404" s="207"/>
      <c r="X404" s="202"/>
      <c r="Y404" s="207"/>
      <c r="Z404" s="202"/>
      <c r="AA404" s="207"/>
      <c r="AB404" s="202"/>
      <c r="AC404" s="208"/>
      <c r="AD404" s="202"/>
      <c r="AE404" s="203">
        <f t="shared" si="5"/>
        <v>0</v>
      </c>
      <c r="AF404" s="202"/>
      <c r="AG404" s="204"/>
      <c r="AH404" s="202"/>
      <c r="AI404" s="204"/>
      <c r="AJ404" s="202"/>
      <c r="AK404" s="204"/>
      <c r="AL404" s="202"/>
      <c r="AM404" s="204"/>
      <c r="AN404" s="202"/>
      <c r="AO404" s="204"/>
      <c r="AP404" s="202"/>
      <c r="AQ404" s="208"/>
      <c r="AR404" s="202"/>
      <c r="AS404" s="203">
        <f t="shared" si="6"/>
        <v>0</v>
      </c>
      <c r="AT404" s="202"/>
      <c r="AU404" s="204"/>
      <c r="AV404" s="202"/>
      <c r="AW404" s="204"/>
      <c r="AX404" s="202"/>
      <c r="AY404" s="204"/>
      <c r="AZ404" s="202"/>
      <c r="BA404" s="204"/>
      <c r="BB404" s="202"/>
      <c r="BC404" s="204"/>
      <c r="BD404" s="202"/>
      <c r="BE404" s="208"/>
      <c r="BF404" s="202"/>
      <c r="BG404" s="203">
        <f t="shared" si="7"/>
        <v>0</v>
      </c>
      <c r="BH404" s="202"/>
      <c r="BI404" s="204"/>
      <c r="BJ404" s="202"/>
      <c r="BK404" s="204"/>
      <c r="BL404" s="202"/>
      <c r="BM404" s="204"/>
      <c r="BN404" s="202"/>
      <c r="BO404" s="203">
        <f t="shared" si="8"/>
        <v>0</v>
      </c>
      <c r="BP404" s="202"/>
      <c r="BQ404" s="138"/>
      <c r="BR404" s="128"/>
      <c r="BS404" s="128"/>
      <c r="BT404" s="128"/>
      <c r="BU404" s="128"/>
      <c r="BV404" s="128"/>
      <c r="BW404" s="139"/>
      <c r="BX404" s="140"/>
      <c r="BY404" s="139"/>
      <c r="BZ404" s="139"/>
      <c r="CA404" s="134"/>
      <c r="CB404" s="134"/>
      <c r="CC404" s="134"/>
      <c r="CD404" s="134"/>
      <c r="CE404" s="134"/>
      <c r="CF404" s="134"/>
      <c r="CG404" s="92"/>
      <c r="CH404" s="92"/>
      <c r="CI404" s="92"/>
      <c r="CJ404" s="92"/>
      <c r="CK404" s="92"/>
    </row>
    <row r="405" spans="1:89" ht="17.25" customHeight="1">
      <c r="A405" s="160"/>
      <c r="B405" s="165"/>
      <c r="C405" s="164"/>
      <c r="D405" s="137">
        <f t="shared" si="3"/>
        <v>0</v>
      </c>
      <c r="E405" s="207"/>
      <c r="F405" s="202"/>
      <c r="G405" s="207"/>
      <c r="H405" s="202"/>
      <c r="I405" s="207"/>
      <c r="J405" s="202"/>
      <c r="K405" s="207"/>
      <c r="L405" s="202"/>
      <c r="M405" s="207"/>
      <c r="N405" s="202"/>
      <c r="O405" s="201"/>
      <c r="P405" s="202"/>
      <c r="Q405" s="203">
        <f t="shared" si="4"/>
        <v>0</v>
      </c>
      <c r="R405" s="202"/>
      <c r="S405" s="207"/>
      <c r="T405" s="202"/>
      <c r="U405" s="207"/>
      <c r="V405" s="202"/>
      <c r="W405" s="207"/>
      <c r="X405" s="202"/>
      <c r="Y405" s="207"/>
      <c r="Z405" s="202"/>
      <c r="AA405" s="207"/>
      <c r="AB405" s="202"/>
      <c r="AC405" s="208"/>
      <c r="AD405" s="202"/>
      <c r="AE405" s="203">
        <f t="shared" si="5"/>
        <v>0</v>
      </c>
      <c r="AF405" s="202"/>
      <c r="AG405" s="204"/>
      <c r="AH405" s="202"/>
      <c r="AI405" s="204"/>
      <c r="AJ405" s="202"/>
      <c r="AK405" s="204"/>
      <c r="AL405" s="202"/>
      <c r="AM405" s="204"/>
      <c r="AN405" s="202"/>
      <c r="AO405" s="204"/>
      <c r="AP405" s="202"/>
      <c r="AQ405" s="208"/>
      <c r="AR405" s="202"/>
      <c r="AS405" s="203">
        <f t="shared" si="6"/>
        <v>0</v>
      </c>
      <c r="AT405" s="202"/>
      <c r="AU405" s="204"/>
      <c r="AV405" s="202"/>
      <c r="AW405" s="204"/>
      <c r="AX405" s="202"/>
      <c r="AY405" s="204"/>
      <c r="AZ405" s="202"/>
      <c r="BA405" s="204"/>
      <c r="BB405" s="202"/>
      <c r="BC405" s="204"/>
      <c r="BD405" s="202"/>
      <c r="BE405" s="208"/>
      <c r="BF405" s="202"/>
      <c r="BG405" s="203">
        <f t="shared" si="7"/>
        <v>0</v>
      </c>
      <c r="BH405" s="202"/>
      <c r="BI405" s="204"/>
      <c r="BJ405" s="202"/>
      <c r="BK405" s="204"/>
      <c r="BL405" s="202"/>
      <c r="BM405" s="204"/>
      <c r="BN405" s="202"/>
      <c r="BO405" s="203">
        <f t="shared" si="8"/>
        <v>0</v>
      </c>
      <c r="BP405" s="202"/>
      <c r="BQ405" s="138"/>
      <c r="BR405" s="128"/>
      <c r="BS405" s="128"/>
      <c r="BT405" s="128"/>
      <c r="BU405" s="128"/>
      <c r="BV405" s="128"/>
      <c r="BW405" s="139"/>
      <c r="BX405" s="140"/>
      <c r="BY405" s="139"/>
      <c r="BZ405" s="139"/>
      <c r="CA405" s="134"/>
      <c r="CB405" s="134"/>
      <c r="CC405" s="134"/>
      <c r="CD405" s="134"/>
      <c r="CE405" s="134"/>
      <c r="CF405" s="134"/>
      <c r="CG405" s="92"/>
      <c r="CH405" s="92"/>
      <c r="CI405" s="92"/>
      <c r="CJ405" s="92"/>
      <c r="CK405" s="92"/>
    </row>
    <row r="406" spans="1:89" ht="17.25" customHeight="1">
      <c r="A406" s="160"/>
      <c r="B406" s="165"/>
      <c r="C406" s="164"/>
      <c r="D406" s="137">
        <f t="shared" si="3"/>
        <v>0</v>
      </c>
      <c r="E406" s="207"/>
      <c r="F406" s="202"/>
      <c r="G406" s="207"/>
      <c r="H406" s="202"/>
      <c r="I406" s="207"/>
      <c r="J406" s="202"/>
      <c r="K406" s="207"/>
      <c r="L406" s="202"/>
      <c r="M406" s="207"/>
      <c r="N406" s="202"/>
      <c r="O406" s="201"/>
      <c r="P406" s="202"/>
      <c r="Q406" s="203">
        <f t="shared" si="4"/>
        <v>0</v>
      </c>
      <c r="R406" s="202"/>
      <c r="S406" s="207"/>
      <c r="T406" s="202"/>
      <c r="U406" s="207"/>
      <c r="V406" s="202"/>
      <c r="W406" s="207"/>
      <c r="X406" s="202"/>
      <c r="Y406" s="207"/>
      <c r="Z406" s="202"/>
      <c r="AA406" s="207"/>
      <c r="AB406" s="202"/>
      <c r="AC406" s="208"/>
      <c r="AD406" s="202"/>
      <c r="AE406" s="203">
        <f t="shared" si="5"/>
        <v>0</v>
      </c>
      <c r="AF406" s="202"/>
      <c r="AG406" s="204"/>
      <c r="AH406" s="202"/>
      <c r="AI406" s="204"/>
      <c r="AJ406" s="202"/>
      <c r="AK406" s="204"/>
      <c r="AL406" s="202"/>
      <c r="AM406" s="204"/>
      <c r="AN406" s="202"/>
      <c r="AO406" s="204"/>
      <c r="AP406" s="202"/>
      <c r="AQ406" s="208"/>
      <c r="AR406" s="202"/>
      <c r="AS406" s="203">
        <f t="shared" si="6"/>
        <v>0</v>
      </c>
      <c r="AT406" s="202"/>
      <c r="AU406" s="204"/>
      <c r="AV406" s="202"/>
      <c r="AW406" s="204"/>
      <c r="AX406" s="202"/>
      <c r="AY406" s="204"/>
      <c r="AZ406" s="202"/>
      <c r="BA406" s="204"/>
      <c r="BB406" s="202"/>
      <c r="BC406" s="204"/>
      <c r="BD406" s="202"/>
      <c r="BE406" s="208"/>
      <c r="BF406" s="202"/>
      <c r="BG406" s="203">
        <f t="shared" si="7"/>
        <v>0</v>
      </c>
      <c r="BH406" s="202"/>
      <c r="BI406" s="204"/>
      <c r="BJ406" s="202"/>
      <c r="BK406" s="204"/>
      <c r="BL406" s="202"/>
      <c r="BM406" s="204"/>
      <c r="BN406" s="202"/>
      <c r="BO406" s="203">
        <f t="shared" si="8"/>
        <v>0</v>
      </c>
      <c r="BP406" s="202"/>
      <c r="BQ406" s="138"/>
      <c r="BR406" s="128"/>
      <c r="BS406" s="128"/>
      <c r="BT406" s="128"/>
      <c r="BU406" s="128"/>
      <c r="BV406" s="128"/>
      <c r="BW406" s="139"/>
      <c r="BX406" s="140"/>
      <c r="BY406" s="139"/>
      <c r="BZ406" s="139"/>
      <c r="CA406" s="134"/>
      <c r="CB406" s="134"/>
      <c r="CC406" s="134"/>
      <c r="CD406" s="134"/>
      <c r="CE406" s="134"/>
      <c r="CF406" s="134"/>
      <c r="CG406" s="92"/>
      <c r="CH406" s="92"/>
      <c r="CI406" s="92"/>
      <c r="CJ406" s="92"/>
      <c r="CK406" s="92"/>
    </row>
    <row r="407" spans="1:89" ht="17.25" customHeight="1">
      <c r="A407" s="160"/>
      <c r="B407" s="165"/>
      <c r="C407" s="164"/>
      <c r="D407" s="137">
        <f t="shared" si="3"/>
        <v>0</v>
      </c>
      <c r="E407" s="207"/>
      <c r="F407" s="202"/>
      <c r="G407" s="207"/>
      <c r="H407" s="202"/>
      <c r="I407" s="207"/>
      <c r="J407" s="202"/>
      <c r="K407" s="207"/>
      <c r="L407" s="202"/>
      <c r="M407" s="207"/>
      <c r="N407" s="202"/>
      <c r="O407" s="201"/>
      <c r="P407" s="202"/>
      <c r="Q407" s="203">
        <f t="shared" si="4"/>
        <v>0</v>
      </c>
      <c r="R407" s="202"/>
      <c r="S407" s="207"/>
      <c r="T407" s="202"/>
      <c r="U407" s="207"/>
      <c r="V407" s="202"/>
      <c r="W407" s="207"/>
      <c r="X407" s="202"/>
      <c r="Y407" s="207"/>
      <c r="Z407" s="202"/>
      <c r="AA407" s="207"/>
      <c r="AB407" s="202"/>
      <c r="AC407" s="208"/>
      <c r="AD407" s="202"/>
      <c r="AE407" s="203">
        <f t="shared" si="5"/>
        <v>0</v>
      </c>
      <c r="AF407" s="202"/>
      <c r="AG407" s="204"/>
      <c r="AH407" s="202"/>
      <c r="AI407" s="204"/>
      <c r="AJ407" s="202"/>
      <c r="AK407" s="204"/>
      <c r="AL407" s="202"/>
      <c r="AM407" s="204"/>
      <c r="AN407" s="202"/>
      <c r="AO407" s="204"/>
      <c r="AP407" s="202"/>
      <c r="AQ407" s="208"/>
      <c r="AR407" s="202"/>
      <c r="AS407" s="203">
        <f t="shared" si="6"/>
        <v>0</v>
      </c>
      <c r="AT407" s="202"/>
      <c r="AU407" s="204"/>
      <c r="AV407" s="202"/>
      <c r="AW407" s="204"/>
      <c r="AX407" s="202"/>
      <c r="AY407" s="204"/>
      <c r="AZ407" s="202"/>
      <c r="BA407" s="204"/>
      <c r="BB407" s="202"/>
      <c r="BC407" s="204"/>
      <c r="BD407" s="202"/>
      <c r="BE407" s="208"/>
      <c r="BF407" s="202"/>
      <c r="BG407" s="203">
        <f t="shared" si="7"/>
        <v>0</v>
      </c>
      <c r="BH407" s="202"/>
      <c r="BI407" s="204"/>
      <c r="BJ407" s="202"/>
      <c r="BK407" s="204"/>
      <c r="BL407" s="202"/>
      <c r="BM407" s="204"/>
      <c r="BN407" s="202"/>
      <c r="BO407" s="203">
        <f t="shared" si="8"/>
        <v>0</v>
      </c>
      <c r="BP407" s="202"/>
      <c r="BQ407" s="138"/>
      <c r="BR407" s="128"/>
      <c r="BS407" s="128"/>
      <c r="BT407" s="128"/>
      <c r="BU407" s="128"/>
      <c r="BV407" s="128"/>
      <c r="BW407" s="139"/>
      <c r="BX407" s="140"/>
      <c r="BY407" s="139"/>
      <c r="BZ407" s="139"/>
      <c r="CA407" s="134"/>
      <c r="CB407" s="134"/>
      <c r="CC407" s="134"/>
      <c r="CD407" s="134"/>
      <c r="CE407" s="134"/>
      <c r="CF407" s="134"/>
      <c r="CG407" s="92"/>
      <c r="CH407" s="92"/>
      <c r="CI407" s="92"/>
      <c r="CJ407" s="92"/>
      <c r="CK407" s="92"/>
    </row>
    <row r="408" spans="1:89" ht="17.25" customHeight="1">
      <c r="A408" s="160"/>
      <c r="B408" s="165"/>
      <c r="C408" s="164"/>
      <c r="D408" s="137">
        <f t="shared" si="3"/>
        <v>0</v>
      </c>
      <c r="E408" s="207"/>
      <c r="F408" s="202"/>
      <c r="G408" s="207"/>
      <c r="H408" s="202"/>
      <c r="I408" s="207"/>
      <c r="J408" s="202"/>
      <c r="K408" s="207"/>
      <c r="L408" s="202"/>
      <c r="M408" s="207"/>
      <c r="N408" s="202"/>
      <c r="O408" s="201"/>
      <c r="P408" s="202"/>
      <c r="Q408" s="203">
        <f t="shared" si="4"/>
        <v>0</v>
      </c>
      <c r="R408" s="202"/>
      <c r="S408" s="207"/>
      <c r="T408" s="202"/>
      <c r="U408" s="207"/>
      <c r="V408" s="202"/>
      <c r="W408" s="207"/>
      <c r="X408" s="202"/>
      <c r="Y408" s="207"/>
      <c r="Z408" s="202"/>
      <c r="AA408" s="207"/>
      <c r="AB408" s="202"/>
      <c r="AC408" s="208"/>
      <c r="AD408" s="202"/>
      <c r="AE408" s="203">
        <f t="shared" si="5"/>
        <v>0</v>
      </c>
      <c r="AF408" s="202"/>
      <c r="AG408" s="204"/>
      <c r="AH408" s="202"/>
      <c r="AI408" s="204"/>
      <c r="AJ408" s="202"/>
      <c r="AK408" s="204"/>
      <c r="AL408" s="202"/>
      <c r="AM408" s="204"/>
      <c r="AN408" s="202"/>
      <c r="AO408" s="204"/>
      <c r="AP408" s="202"/>
      <c r="AQ408" s="208"/>
      <c r="AR408" s="202"/>
      <c r="AS408" s="203">
        <f t="shared" si="6"/>
        <v>0</v>
      </c>
      <c r="AT408" s="202"/>
      <c r="AU408" s="204"/>
      <c r="AV408" s="202"/>
      <c r="AW408" s="204"/>
      <c r="AX408" s="202"/>
      <c r="AY408" s="204"/>
      <c r="AZ408" s="202"/>
      <c r="BA408" s="204"/>
      <c r="BB408" s="202"/>
      <c r="BC408" s="204"/>
      <c r="BD408" s="202"/>
      <c r="BE408" s="208"/>
      <c r="BF408" s="202"/>
      <c r="BG408" s="203">
        <f t="shared" si="7"/>
        <v>0</v>
      </c>
      <c r="BH408" s="202"/>
      <c r="BI408" s="204"/>
      <c r="BJ408" s="202"/>
      <c r="BK408" s="204"/>
      <c r="BL408" s="202"/>
      <c r="BM408" s="204"/>
      <c r="BN408" s="202"/>
      <c r="BO408" s="203">
        <f t="shared" si="8"/>
        <v>0</v>
      </c>
      <c r="BP408" s="202"/>
      <c r="BQ408" s="138"/>
      <c r="BR408" s="128"/>
      <c r="BS408" s="128"/>
      <c r="BT408" s="128"/>
      <c r="BU408" s="128"/>
      <c r="BV408" s="128"/>
      <c r="BW408" s="139"/>
      <c r="BX408" s="140"/>
      <c r="BY408" s="139"/>
      <c r="BZ408" s="139"/>
      <c r="CA408" s="134"/>
      <c r="CB408" s="134"/>
      <c r="CC408" s="134"/>
      <c r="CD408" s="134"/>
      <c r="CE408" s="134"/>
      <c r="CF408" s="134"/>
      <c r="CG408" s="92"/>
      <c r="CH408" s="92"/>
      <c r="CI408" s="92"/>
      <c r="CJ408" s="92"/>
      <c r="CK408" s="92"/>
    </row>
    <row r="409" spans="1:89" ht="17.25" customHeight="1">
      <c r="A409" s="160"/>
      <c r="B409" s="165"/>
      <c r="C409" s="164"/>
      <c r="D409" s="137">
        <f t="shared" si="3"/>
        <v>0</v>
      </c>
      <c r="E409" s="207"/>
      <c r="F409" s="202"/>
      <c r="G409" s="207"/>
      <c r="H409" s="202"/>
      <c r="I409" s="207"/>
      <c r="J409" s="202"/>
      <c r="K409" s="207"/>
      <c r="L409" s="202"/>
      <c r="M409" s="207"/>
      <c r="N409" s="202"/>
      <c r="O409" s="201"/>
      <c r="P409" s="202"/>
      <c r="Q409" s="203">
        <f t="shared" si="4"/>
        <v>0</v>
      </c>
      <c r="R409" s="202"/>
      <c r="S409" s="207"/>
      <c r="T409" s="202"/>
      <c r="U409" s="207"/>
      <c r="V409" s="202"/>
      <c r="W409" s="207"/>
      <c r="X409" s="202"/>
      <c r="Y409" s="207"/>
      <c r="Z409" s="202"/>
      <c r="AA409" s="207"/>
      <c r="AB409" s="202"/>
      <c r="AC409" s="208"/>
      <c r="AD409" s="202"/>
      <c r="AE409" s="203">
        <f t="shared" si="5"/>
        <v>0</v>
      </c>
      <c r="AF409" s="202"/>
      <c r="AG409" s="204"/>
      <c r="AH409" s="202"/>
      <c r="AI409" s="204"/>
      <c r="AJ409" s="202"/>
      <c r="AK409" s="204"/>
      <c r="AL409" s="202"/>
      <c r="AM409" s="204"/>
      <c r="AN409" s="202"/>
      <c r="AO409" s="204"/>
      <c r="AP409" s="202"/>
      <c r="AQ409" s="208"/>
      <c r="AR409" s="202"/>
      <c r="AS409" s="203">
        <f t="shared" si="6"/>
        <v>0</v>
      </c>
      <c r="AT409" s="202"/>
      <c r="AU409" s="204"/>
      <c r="AV409" s="202"/>
      <c r="AW409" s="204"/>
      <c r="AX409" s="202"/>
      <c r="AY409" s="204"/>
      <c r="AZ409" s="202"/>
      <c r="BA409" s="204"/>
      <c r="BB409" s="202"/>
      <c r="BC409" s="204"/>
      <c r="BD409" s="202"/>
      <c r="BE409" s="208"/>
      <c r="BF409" s="202"/>
      <c r="BG409" s="203">
        <f t="shared" si="7"/>
        <v>0</v>
      </c>
      <c r="BH409" s="202"/>
      <c r="BI409" s="204"/>
      <c r="BJ409" s="202"/>
      <c r="BK409" s="204"/>
      <c r="BL409" s="202"/>
      <c r="BM409" s="204"/>
      <c r="BN409" s="202"/>
      <c r="BO409" s="203">
        <f t="shared" si="8"/>
        <v>0</v>
      </c>
      <c r="BP409" s="202"/>
      <c r="BQ409" s="138"/>
      <c r="BR409" s="128"/>
      <c r="BS409" s="128"/>
      <c r="BT409" s="128"/>
      <c r="BU409" s="128"/>
      <c r="BV409" s="128"/>
      <c r="BW409" s="139"/>
      <c r="BX409" s="140"/>
      <c r="BY409" s="139"/>
      <c r="BZ409" s="139"/>
      <c r="CA409" s="134"/>
      <c r="CB409" s="134"/>
      <c r="CC409" s="134"/>
      <c r="CD409" s="134"/>
      <c r="CE409" s="134"/>
      <c r="CF409" s="134"/>
      <c r="CG409" s="92"/>
      <c r="CH409" s="92"/>
      <c r="CI409" s="92"/>
      <c r="CJ409" s="92"/>
      <c r="CK409" s="92"/>
    </row>
    <row r="410" spans="1:89" ht="17.25" customHeight="1">
      <c r="A410" s="160"/>
      <c r="B410" s="165"/>
      <c r="C410" s="164"/>
      <c r="D410" s="137">
        <f t="shared" si="3"/>
        <v>0</v>
      </c>
      <c r="E410" s="207"/>
      <c r="F410" s="202"/>
      <c r="G410" s="207"/>
      <c r="H410" s="202"/>
      <c r="I410" s="207"/>
      <c r="J410" s="202"/>
      <c r="K410" s="207"/>
      <c r="L410" s="202"/>
      <c r="M410" s="207"/>
      <c r="N410" s="202"/>
      <c r="O410" s="201"/>
      <c r="P410" s="202"/>
      <c r="Q410" s="203">
        <f t="shared" si="4"/>
        <v>0</v>
      </c>
      <c r="R410" s="202"/>
      <c r="S410" s="207"/>
      <c r="T410" s="202"/>
      <c r="U410" s="207"/>
      <c r="V410" s="202"/>
      <c r="W410" s="207"/>
      <c r="X410" s="202"/>
      <c r="Y410" s="207"/>
      <c r="Z410" s="202"/>
      <c r="AA410" s="207"/>
      <c r="AB410" s="202"/>
      <c r="AC410" s="208"/>
      <c r="AD410" s="202"/>
      <c r="AE410" s="203">
        <f t="shared" si="5"/>
        <v>0</v>
      </c>
      <c r="AF410" s="202"/>
      <c r="AG410" s="204"/>
      <c r="AH410" s="202"/>
      <c r="AI410" s="204"/>
      <c r="AJ410" s="202"/>
      <c r="AK410" s="204"/>
      <c r="AL410" s="202"/>
      <c r="AM410" s="204"/>
      <c r="AN410" s="202"/>
      <c r="AO410" s="204"/>
      <c r="AP410" s="202"/>
      <c r="AQ410" s="208"/>
      <c r="AR410" s="202"/>
      <c r="AS410" s="203">
        <f t="shared" si="6"/>
        <v>0</v>
      </c>
      <c r="AT410" s="202"/>
      <c r="AU410" s="204"/>
      <c r="AV410" s="202"/>
      <c r="AW410" s="204"/>
      <c r="AX410" s="202"/>
      <c r="AY410" s="204"/>
      <c r="AZ410" s="202"/>
      <c r="BA410" s="204"/>
      <c r="BB410" s="202"/>
      <c r="BC410" s="204"/>
      <c r="BD410" s="202"/>
      <c r="BE410" s="208"/>
      <c r="BF410" s="202"/>
      <c r="BG410" s="203">
        <f t="shared" si="7"/>
        <v>0</v>
      </c>
      <c r="BH410" s="202"/>
      <c r="BI410" s="204"/>
      <c r="BJ410" s="202"/>
      <c r="BK410" s="204"/>
      <c r="BL410" s="202"/>
      <c r="BM410" s="204"/>
      <c r="BN410" s="202"/>
      <c r="BO410" s="203">
        <f t="shared" si="8"/>
        <v>0</v>
      </c>
      <c r="BP410" s="202"/>
      <c r="BQ410" s="138"/>
      <c r="BR410" s="128"/>
      <c r="BS410" s="128"/>
      <c r="BT410" s="128"/>
      <c r="BU410" s="128"/>
      <c r="BV410" s="128"/>
      <c r="BW410" s="139"/>
      <c r="BX410" s="140"/>
      <c r="BY410" s="139"/>
      <c r="BZ410" s="139"/>
      <c r="CA410" s="134"/>
      <c r="CB410" s="134"/>
      <c r="CC410" s="134"/>
      <c r="CD410" s="134"/>
      <c r="CE410" s="134"/>
      <c r="CF410" s="134"/>
      <c r="CG410" s="92"/>
      <c r="CH410" s="92"/>
      <c r="CI410" s="92"/>
      <c r="CJ410" s="92"/>
      <c r="CK410" s="92"/>
    </row>
    <row r="411" spans="1:89" ht="17.25" customHeight="1">
      <c r="A411" s="160"/>
      <c r="B411" s="165"/>
      <c r="C411" s="164"/>
      <c r="D411" s="137">
        <f t="shared" si="3"/>
        <v>0</v>
      </c>
      <c r="E411" s="207"/>
      <c r="F411" s="202"/>
      <c r="G411" s="207"/>
      <c r="H411" s="202"/>
      <c r="I411" s="207"/>
      <c r="J411" s="202"/>
      <c r="K411" s="207"/>
      <c r="L411" s="202"/>
      <c r="M411" s="207"/>
      <c r="N411" s="202"/>
      <c r="O411" s="201"/>
      <c r="P411" s="202"/>
      <c r="Q411" s="203">
        <f t="shared" si="4"/>
        <v>0</v>
      </c>
      <c r="R411" s="202"/>
      <c r="S411" s="207"/>
      <c r="T411" s="202"/>
      <c r="U411" s="207"/>
      <c r="V411" s="202"/>
      <c r="W411" s="207"/>
      <c r="X411" s="202"/>
      <c r="Y411" s="207"/>
      <c r="Z411" s="202"/>
      <c r="AA411" s="207"/>
      <c r="AB411" s="202"/>
      <c r="AC411" s="208"/>
      <c r="AD411" s="202"/>
      <c r="AE411" s="203">
        <f t="shared" si="5"/>
        <v>0</v>
      </c>
      <c r="AF411" s="202"/>
      <c r="AG411" s="204"/>
      <c r="AH411" s="202"/>
      <c r="AI411" s="204"/>
      <c r="AJ411" s="202"/>
      <c r="AK411" s="204"/>
      <c r="AL411" s="202"/>
      <c r="AM411" s="204"/>
      <c r="AN411" s="202"/>
      <c r="AO411" s="204"/>
      <c r="AP411" s="202"/>
      <c r="AQ411" s="208"/>
      <c r="AR411" s="202"/>
      <c r="AS411" s="203">
        <f t="shared" si="6"/>
        <v>0</v>
      </c>
      <c r="AT411" s="202"/>
      <c r="AU411" s="204"/>
      <c r="AV411" s="202"/>
      <c r="AW411" s="204"/>
      <c r="AX411" s="202"/>
      <c r="AY411" s="204"/>
      <c r="AZ411" s="202"/>
      <c r="BA411" s="204"/>
      <c r="BB411" s="202"/>
      <c r="BC411" s="204"/>
      <c r="BD411" s="202"/>
      <c r="BE411" s="208"/>
      <c r="BF411" s="202"/>
      <c r="BG411" s="203">
        <f t="shared" si="7"/>
        <v>0</v>
      </c>
      <c r="BH411" s="202"/>
      <c r="BI411" s="204"/>
      <c r="BJ411" s="202"/>
      <c r="BK411" s="204"/>
      <c r="BL411" s="202"/>
      <c r="BM411" s="204"/>
      <c r="BN411" s="202"/>
      <c r="BO411" s="203">
        <f t="shared" si="8"/>
        <v>0</v>
      </c>
      <c r="BP411" s="202"/>
      <c r="BQ411" s="138"/>
      <c r="BR411" s="128"/>
      <c r="BS411" s="128"/>
      <c r="BT411" s="128"/>
      <c r="BU411" s="128"/>
      <c r="BV411" s="128"/>
      <c r="BW411" s="139"/>
      <c r="BX411" s="140"/>
      <c r="BY411" s="139"/>
      <c r="BZ411" s="139"/>
      <c r="CA411" s="134"/>
      <c r="CB411" s="134"/>
      <c r="CC411" s="134"/>
      <c r="CD411" s="134"/>
      <c r="CE411" s="134"/>
      <c r="CF411" s="134"/>
      <c r="CG411" s="92"/>
      <c r="CH411" s="92"/>
      <c r="CI411" s="92"/>
      <c r="CJ411" s="92"/>
      <c r="CK411" s="92"/>
    </row>
    <row r="412" spans="1:89" ht="17.25" customHeight="1">
      <c r="A412" s="160"/>
      <c r="B412" s="165"/>
      <c r="C412" s="164"/>
      <c r="D412" s="137">
        <f t="shared" si="3"/>
        <v>0</v>
      </c>
      <c r="E412" s="207"/>
      <c r="F412" s="202"/>
      <c r="G412" s="207"/>
      <c r="H412" s="202"/>
      <c r="I412" s="207"/>
      <c r="J412" s="202"/>
      <c r="K412" s="207"/>
      <c r="L412" s="202"/>
      <c r="M412" s="207"/>
      <c r="N412" s="202"/>
      <c r="O412" s="201"/>
      <c r="P412" s="202"/>
      <c r="Q412" s="203">
        <f t="shared" si="4"/>
        <v>0</v>
      </c>
      <c r="R412" s="202"/>
      <c r="S412" s="207"/>
      <c r="T412" s="202"/>
      <c r="U412" s="207"/>
      <c r="V412" s="202"/>
      <c r="W412" s="207"/>
      <c r="X412" s="202"/>
      <c r="Y412" s="207"/>
      <c r="Z412" s="202"/>
      <c r="AA412" s="207"/>
      <c r="AB412" s="202"/>
      <c r="AC412" s="208"/>
      <c r="AD412" s="202"/>
      <c r="AE412" s="203">
        <f t="shared" si="5"/>
        <v>0</v>
      </c>
      <c r="AF412" s="202"/>
      <c r="AG412" s="204"/>
      <c r="AH412" s="202"/>
      <c r="AI412" s="204"/>
      <c r="AJ412" s="202"/>
      <c r="AK412" s="204"/>
      <c r="AL412" s="202"/>
      <c r="AM412" s="204"/>
      <c r="AN412" s="202"/>
      <c r="AO412" s="204"/>
      <c r="AP412" s="202"/>
      <c r="AQ412" s="208"/>
      <c r="AR412" s="202"/>
      <c r="AS412" s="203">
        <f t="shared" si="6"/>
        <v>0</v>
      </c>
      <c r="AT412" s="202"/>
      <c r="AU412" s="204"/>
      <c r="AV412" s="202"/>
      <c r="AW412" s="204"/>
      <c r="AX412" s="202"/>
      <c r="AY412" s="204"/>
      <c r="AZ412" s="202"/>
      <c r="BA412" s="204"/>
      <c r="BB412" s="202"/>
      <c r="BC412" s="204"/>
      <c r="BD412" s="202"/>
      <c r="BE412" s="208"/>
      <c r="BF412" s="202"/>
      <c r="BG412" s="203">
        <f t="shared" si="7"/>
        <v>0</v>
      </c>
      <c r="BH412" s="202"/>
      <c r="BI412" s="204"/>
      <c r="BJ412" s="202"/>
      <c r="BK412" s="204"/>
      <c r="BL412" s="202"/>
      <c r="BM412" s="204"/>
      <c r="BN412" s="202"/>
      <c r="BO412" s="203">
        <f t="shared" si="8"/>
        <v>0</v>
      </c>
      <c r="BP412" s="202"/>
      <c r="BQ412" s="138"/>
      <c r="BR412" s="128"/>
      <c r="BS412" s="128"/>
      <c r="BT412" s="128"/>
      <c r="BU412" s="128"/>
      <c r="BV412" s="128"/>
      <c r="BW412" s="139"/>
      <c r="BX412" s="140"/>
      <c r="BY412" s="139"/>
      <c r="BZ412" s="139"/>
      <c r="CA412" s="134"/>
      <c r="CB412" s="134"/>
      <c r="CC412" s="134"/>
      <c r="CD412" s="134"/>
      <c r="CE412" s="134"/>
      <c r="CF412" s="134"/>
      <c r="CG412" s="92"/>
      <c r="CH412" s="92"/>
      <c r="CI412" s="92"/>
      <c r="CJ412" s="92"/>
      <c r="CK412" s="92"/>
    </row>
    <row r="413" spans="1:89" ht="17.25" customHeight="1">
      <c r="A413" s="160"/>
      <c r="B413" s="165"/>
      <c r="C413" s="164"/>
      <c r="D413" s="137">
        <f t="shared" si="3"/>
        <v>0</v>
      </c>
      <c r="E413" s="207"/>
      <c r="F413" s="202"/>
      <c r="G413" s="207"/>
      <c r="H413" s="202"/>
      <c r="I413" s="207"/>
      <c r="J413" s="202"/>
      <c r="K413" s="207"/>
      <c r="L413" s="202"/>
      <c r="M413" s="207"/>
      <c r="N413" s="202"/>
      <c r="O413" s="201"/>
      <c r="P413" s="202"/>
      <c r="Q413" s="203">
        <f t="shared" si="4"/>
        <v>0</v>
      </c>
      <c r="R413" s="202"/>
      <c r="S413" s="207"/>
      <c r="T413" s="202"/>
      <c r="U413" s="207"/>
      <c r="V413" s="202"/>
      <c r="W413" s="207"/>
      <c r="X413" s="202"/>
      <c r="Y413" s="207"/>
      <c r="Z413" s="202"/>
      <c r="AA413" s="207"/>
      <c r="AB413" s="202"/>
      <c r="AC413" s="208"/>
      <c r="AD413" s="202"/>
      <c r="AE413" s="203">
        <f t="shared" si="5"/>
        <v>0</v>
      </c>
      <c r="AF413" s="202"/>
      <c r="AG413" s="204"/>
      <c r="AH413" s="202"/>
      <c r="AI413" s="204"/>
      <c r="AJ413" s="202"/>
      <c r="AK413" s="204"/>
      <c r="AL413" s="202"/>
      <c r="AM413" s="204"/>
      <c r="AN413" s="202"/>
      <c r="AO413" s="204"/>
      <c r="AP413" s="202"/>
      <c r="AQ413" s="208"/>
      <c r="AR413" s="202"/>
      <c r="AS413" s="203">
        <f t="shared" si="6"/>
        <v>0</v>
      </c>
      <c r="AT413" s="202"/>
      <c r="AU413" s="204"/>
      <c r="AV413" s="202"/>
      <c r="AW413" s="204"/>
      <c r="AX413" s="202"/>
      <c r="AY413" s="204"/>
      <c r="AZ413" s="202"/>
      <c r="BA413" s="204"/>
      <c r="BB413" s="202"/>
      <c r="BC413" s="204"/>
      <c r="BD413" s="202"/>
      <c r="BE413" s="208"/>
      <c r="BF413" s="202"/>
      <c r="BG413" s="203">
        <f t="shared" si="7"/>
        <v>0</v>
      </c>
      <c r="BH413" s="202"/>
      <c r="BI413" s="204"/>
      <c r="BJ413" s="202"/>
      <c r="BK413" s="204"/>
      <c r="BL413" s="202"/>
      <c r="BM413" s="204"/>
      <c r="BN413" s="202"/>
      <c r="BO413" s="203">
        <f t="shared" si="8"/>
        <v>0</v>
      </c>
      <c r="BP413" s="202"/>
      <c r="BQ413" s="138"/>
      <c r="BR413" s="128"/>
      <c r="BS413" s="128"/>
      <c r="BT413" s="128"/>
      <c r="BU413" s="128"/>
      <c r="BV413" s="128"/>
      <c r="BW413" s="139"/>
      <c r="BX413" s="140"/>
      <c r="BY413" s="139"/>
      <c r="BZ413" s="139"/>
      <c r="CA413" s="134"/>
      <c r="CB413" s="134"/>
      <c r="CC413" s="134"/>
      <c r="CD413" s="134"/>
      <c r="CE413" s="134"/>
      <c r="CF413" s="134"/>
      <c r="CG413" s="92"/>
      <c r="CH413" s="92"/>
      <c r="CI413" s="92"/>
      <c r="CJ413" s="92"/>
      <c r="CK413" s="92"/>
    </row>
    <row r="414" spans="1:89" ht="17.25" customHeight="1">
      <c r="A414" s="160"/>
      <c r="B414" s="165"/>
      <c r="C414" s="164"/>
      <c r="D414" s="137">
        <f t="shared" si="3"/>
        <v>0</v>
      </c>
      <c r="E414" s="207"/>
      <c r="F414" s="202"/>
      <c r="G414" s="207"/>
      <c r="H414" s="202"/>
      <c r="I414" s="207"/>
      <c r="J414" s="202"/>
      <c r="K414" s="207"/>
      <c r="L414" s="202"/>
      <c r="M414" s="207"/>
      <c r="N414" s="202"/>
      <c r="O414" s="201"/>
      <c r="P414" s="202"/>
      <c r="Q414" s="203">
        <f t="shared" si="4"/>
        <v>0</v>
      </c>
      <c r="R414" s="202"/>
      <c r="S414" s="207"/>
      <c r="T414" s="202"/>
      <c r="U414" s="207"/>
      <c r="V414" s="202"/>
      <c r="W414" s="207"/>
      <c r="X414" s="202"/>
      <c r="Y414" s="207"/>
      <c r="Z414" s="202"/>
      <c r="AA414" s="207"/>
      <c r="AB414" s="202"/>
      <c r="AC414" s="208"/>
      <c r="AD414" s="202"/>
      <c r="AE414" s="203">
        <f t="shared" si="5"/>
        <v>0</v>
      </c>
      <c r="AF414" s="202"/>
      <c r="AG414" s="204"/>
      <c r="AH414" s="202"/>
      <c r="AI414" s="204"/>
      <c r="AJ414" s="202"/>
      <c r="AK414" s="204"/>
      <c r="AL414" s="202"/>
      <c r="AM414" s="204"/>
      <c r="AN414" s="202"/>
      <c r="AO414" s="204"/>
      <c r="AP414" s="202"/>
      <c r="AQ414" s="208"/>
      <c r="AR414" s="202"/>
      <c r="AS414" s="203">
        <f t="shared" si="6"/>
        <v>0</v>
      </c>
      <c r="AT414" s="202"/>
      <c r="AU414" s="204"/>
      <c r="AV414" s="202"/>
      <c r="AW414" s="204"/>
      <c r="AX414" s="202"/>
      <c r="AY414" s="204"/>
      <c r="AZ414" s="202"/>
      <c r="BA414" s="204"/>
      <c r="BB414" s="202"/>
      <c r="BC414" s="204"/>
      <c r="BD414" s="202"/>
      <c r="BE414" s="208"/>
      <c r="BF414" s="202"/>
      <c r="BG414" s="203">
        <f t="shared" si="7"/>
        <v>0</v>
      </c>
      <c r="BH414" s="202"/>
      <c r="BI414" s="204"/>
      <c r="BJ414" s="202"/>
      <c r="BK414" s="204"/>
      <c r="BL414" s="202"/>
      <c r="BM414" s="204"/>
      <c r="BN414" s="202"/>
      <c r="BO414" s="203">
        <f t="shared" si="8"/>
        <v>0</v>
      </c>
      <c r="BP414" s="202"/>
      <c r="BQ414" s="138"/>
      <c r="BR414" s="128"/>
      <c r="BS414" s="128"/>
      <c r="BT414" s="128"/>
      <c r="BU414" s="128"/>
      <c r="BV414" s="128"/>
      <c r="BW414" s="139"/>
      <c r="BX414" s="140"/>
      <c r="BY414" s="139"/>
      <c r="BZ414" s="139"/>
      <c r="CA414" s="134"/>
      <c r="CB414" s="134"/>
      <c r="CC414" s="134"/>
      <c r="CD414" s="134"/>
      <c r="CE414" s="134"/>
      <c r="CF414" s="134"/>
      <c r="CG414" s="92"/>
      <c r="CH414" s="92"/>
      <c r="CI414" s="92"/>
      <c r="CJ414" s="92"/>
      <c r="CK414" s="92"/>
    </row>
    <row r="415" spans="1:89" ht="17.25" customHeight="1">
      <c r="A415" s="160"/>
      <c r="B415" s="165"/>
      <c r="C415" s="164"/>
      <c r="D415" s="137">
        <f t="shared" si="3"/>
        <v>0</v>
      </c>
      <c r="E415" s="207"/>
      <c r="F415" s="202"/>
      <c r="G415" s="207"/>
      <c r="H415" s="202"/>
      <c r="I415" s="207"/>
      <c r="J415" s="202"/>
      <c r="K415" s="207"/>
      <c r="L415" s="202"/>
      <c r="M415" s="207"/>
      <c r="N415" s="202"/>
      <c r="O415" s="201"/>
      <c r="P415" s="202"/>
      <c r="Q415" s="203">
        <f t="shared" si="4"/>
        <v>0</v>
      </c>
      <c r="R415" s="202"/>
      <c r="S415" s="207"/>
      <c r="T415" s="202"/>
      <c r="U415" s="207"/>
      <c r="V415" s="202"/>
      <c r="W415" s="207"/>
      <c r="X415" s="202"/>
      <c r="Y415" s="207"/>
      <c r="Z415" s="202"/>
      <c r="AA415" s="207"/>
      <c r="AB415" s="202"/>
      <c r="AC415" s="208"/>
      <c r="AD415" s="202"/>
      <c r="AE415" s="203">
        <f t="shared" si="5"/>
        <v>0</v>
      </c>
      <c r="AF415" s="202"/>
      <c r="AG415" s="204"/>
      <c r="AH415" s="202"/>
      <c r="AI415" s="204"/>
      <c r="AJ415" s="202"/>
      <c r="AK415" s="204"/>
      <c r="AL415" s="202"/>
      <c r="AM415" s="204"/>
      <c r="AN415" s="202"/>
      <c r="AO415" s="204"/>
      <c r="AP415" s="202"/>
      <c r="AQ415" s="208"/>
      <c r="AR415" s="202"/>
      <c r="AS415" s="203">
        <f t="shared" si="6"/>
        <v>0</v>
      </c>
      <c r="AT415" s="202"/>
      <c r="AU415" s="204"/>
      <c r="AV415" s="202"/>
      <c r="AW415" s="204"/>
      <c r="AX415" s="202"/>
      <c r="AY415" s="204"/>
      <c r="AZ415" s="202"/>
      <c r="BA415" s="204"/>
      <c r="BB415" s="202"/>
      <c r="BC415" s="204"/>
      <c r="BD415" s="202"/>
      <c r="BE415" s="208"/>
      <c r="BF415" s="202"/>
      <c r="BG415" s="203">
        <f t="shared" si="7"/>
        <v>0</v>
      </c>
      <c r="BH415" s="202"/>
      <c r="BI415" s="204"/>
      <c r="BJ415" s="202"/>
      <c r="BK415" s="204"/>
      <c r="BL415" s="202"/>
      <c r="BM415" s="204"/>
      <c r="BN415" s="202"/>
      <c r="BO415" s="203">
        <f t="shared" si="8"/>
        <v>0</v>
      </c>
      <c r="BP415" s="202"/>
      <c r="BQ415" s="138"/>
      <c r="BR415" s="128"/>
      <c r="BS415" s="128"/>
      <c r="BT415" s="128"/>
      <c r="BU415" s="128"/>
      <c r="BV415" s="128"/>
      <c r="BW415" s="139"/>
      <c r="BX415" s="140"/>
      <c r="BY415" s="139"/>
      <c r="BZ415" s="139"/>
      <c r="CA415" s="134"/>
      <c r="CB415" s="134"/>
      <c r="CC415" s="134"/>
      <c r="CD415" s="134"/>
      <c r="CE415" s="134"/>
      <c r="CF415" s="134"/>
      <c r="CG415" s="92"/>
      <c r="CH415" s="92"/>
      <c r="CI415" s="92"/>
      <c r="CJ415" s="92"/>
      <c r="CK415" s="92"/>
    </row>
    <row r="416" spans="1:89" ht="17.25" customHeight="1">
      <c r="A416" s="160"/>
      <c r="B416" s="165"/>
      <c r="C416" s="164"/>
      <c r="D416" s="137">
        <f t="shared" si="3"/>
        <v>0</v>
      </c>
      <c r="E416" s="207"/>
      <c r="F416" s="202"/>
      <c r="G416" s="207"/>
      <c r="H416" s="202"/>
      <c r="I416" s="207"/>
      <c r="J416" s="202"/>
      <c r="K416" s="207"/>
      <c r="L416" s="202"/>
      <c r="M416" s="207"/>
      <c r="N416" s="202"/>
      <c r="O416" s="201"/>
      <c r="P416" s="202"/>
      <c r="Q416" s="203">
        <f t="shared" si="4"/>
        <v>0</v>
      </c>
      <c r="R416" s="202"/>
      <c r="S416" s="207"/>
      <c r="T416" s="202"/>
      <c r="U416" s="207"/>
      <c r="V416" s="202"/>
      <c r="W416" s="207"/>
      <c r="X416" s="202"/>
      <c r="Y416" s="207"/>
      <c r="Z416" s="202"/>
      <c r="AA416" s="207"/>
      <c r="AB416" s="202"/>
      <c r="AC416" s="208"/>
      <c r="AD416" s="202"/>
      <c r="AE416" s="203">
        <f t="shared" si="5"/>
        <v>0</v>
      </c>
      <c r="AF416" s="202"/>
      <c r="AG416" s="204"/>
      <c r="AH416" s="202"/>
      <c r="AI416" s="204"/>
      <c r="AJ416" s="202"/>
      <c r="AK416" s="204"/>
      <c r="AL416" s="202"/>
      <c r="AM416" s="204"/>
      <c r="AN416" s="202"/>
      <c r="AO416" s="204"/>
      <c r="AP416" s="202"/>
      <c r="AQ416" s="208"/>
      <c r="AR416" s="202"/>
      <c r="AS416" s="203">
        <f t="shared" si="6"/>
        <v>0</v>
      </c>
      <c r="AT416" s="202"/>
      <c r="AU416" s="204"/>
      <c r="AV416" s="202"/>
      <c r="AW416" s="204"/>
      <c r="AX416" s="202"/>
      <c r="AY416" s="204"/>
      <c r="AZ416" s="202"/>
      <c r="BA416" s="204"/>
      <c r="BB416" s="202"/>
      <c r="BC416" s="204"/>
      <c r="BD416" s="202"/>
      <c r="BE416" s="208"/>
      <c r="BF416" s="202"/>
      <c r="BG416" s="203">
        <f t="shared" si="7"/>
        <v>0</v>
      </c>
      <c r="BH416" s="202"/>
      <c r="BI416" s="204"/>
      <c r="BJ416" s="202"/>
      <c r="BK416" s="204"/>
      <c r="BL416" s="202"/>
      <c r="BM416" s="204"/>
      <c r="BN416" s="202"/>
      <c r="BO416" s="203">
        <f t="shared" si="8"/>
        <v>0</v>
      </c>
      <c r="BP416" s="202"/>
      <c r="BQ416" s="138"/>
      <c r="BR416" s="128"/>
      <c r="BS416" s="128"/>
      <c r="BT416" s="128"/>
      <c r="BU416" s="128"/>
      <c r="BV416" s="128"/>
      <c r="BW416" s="139"/>
      <c r="BX416" s="140"/>
      <c r="BY416" s="139"/>
      <c r="BZ416" s="139"/>
      <c r="CA416" s="134"/>
      <c r="CB416" s="134"/>
      <c r="CC416" s="134"/>
      <c r="CD416" s="134"/>
      <c r="CE416" s="134"/>
      <c r="CF416" s="134"/>
      <c r="CG416" s="92"/>
      <c r="CH416" s="92"/>
      <c r="CI416" s="92"/>
      <c r="CJ416" s="92"/>
      <c r="CK416" s="92"/>
    </row>
    <row r="417" spans="1:89" ht="17.25" customHeight="1">
      <c r="A417" s="160"/>
      <c r="B417" s="165"/>
      <c r="C417" s="164"/>
      <c r="D417" s="137">
        <f t="shared" si="3"/>
        <v>0</v>
      </c>
      <c r="E417" s="207"/>
      <c r="F417" s="202"/>
      <c r="G417" s="207"/>
      <c r="H417" s="202"/>
      <c r="I417" s="207"/>
      <c r="J417" s="202"/>
      <c r="K417" s="207"/>
      <c r="L417" s="202"/>
      <c r="M417" s="207"/>
      <c r="N417" s="202"/>
      <c r="O417" s="201"/>
      <c r="P417" s="202"/>
      <c r="Q417" s="203">
        <f t="shared" si="4"/>
        <v>0</v>
      </c>
      <c r="R417" s="202"/>
      <c r="S417" s="207"/>
      <c r="T417" s="202"/>
      <c r="U417" s="207"/>
      <c r="V417" s="202"/>
      <c r="W417" s="207"/>
      <c r="X417" s="202"/>
      <c r="Y417" s="207"/>
      <c r="Z417" s="202"/>
      <c r="AA417" s="207"/>
      <c r="AB417" s="202"/>
      <c r="AC417" s="208"/>
      <c r="AD417" s="202"/>
      <c r="AE417" s="203">
        <f t="shared" si="5"/>
        <v>0</v>
      </c>
      <c r="AF417" s="202"/>
      <c r="AG417" s="204"/>
      <c r="AH417" s="202"/>
      <c r="AI417" s="204"/>
      <c r="AJ417" s="202"/>
      <c r="AK417" s="204"/>
      <c r="AL417" s="202"/>
      <c r="AM417" s="204"/>
      <c r="AN417" s="202"/>
      <c r="AO417" s="204"/>
      <c r="AP417" s="202"/>
      <c r="AQ417" s="208"/>
      <c r="AR417" s="202"/>
      <c r="AS417" s="203">
        <f t="shared" si="6"/>
        <v>0</v>
      </c>
      <c r="AT417" s="202"/>
      <c r="AU417" s="204"/>
      <c r="AV417" s="202"/>
      <c r="AW417" s="204"/>
      <c r="AX417" s="202"/>
      <c r="AY417" s="204"/>
      <c r="AZ417" s="202"/>
      <c r="BA417" s="204"/>
      <c r="BB417" s="202"/>
      <c r="BC417" s="204"/>
      <c r="BD417" s="202"/>
      <c r="BE417" s="208"/>
      <c r="BF417" s="202"/>
      <c r="BG417" s="203">
        <f t="shared" si="7"/>
        <v>0</v>
      </c>
      <c r="BH417" s="202"/>
      <c r="BI417" s="204"/>
      <c r="BJ417" s="202"/>
      <c r="BK417" s="204"/>
      <c r="BL417" s="202"/>
      <c r="BM417" s="204"/>
      <c r="BN417" s="202"/>
      <c r="BO417" s="203">
        <f t="shared" si="8"/>
        <v>0</v>
      </c>
      <c r="BP417" s="202"/>
      <c r="BQ417" s="138"/>
      <c r="BR417" s="128"/>
      <c r="BS417" s="128"/>
      <c r="BT417" s="128"/>
      <c r="BU417" s="128"/>
      <c r="BV417" s="128"/>
      <c r="BW417" s="139"/>
      <c r="BX417" s="140"/>
      <c r="BY417" s="139"/>
      <c r="BZ417" s="139"/>
      <c r="CA417" s="134"/>
      <c r="CB417" s="134"/>
      <c r="CC417" s="134"/>
      <c r="CD417" s="134"/>
      <c r="CE417" s="134"/>
      <c r="CF417" s="134"/>
      <c r="CG417" s="92"/>
      <c r="CH417" s="92"/>
      <c r="CI417" s="92"/>
      <c r="CJ417" s="92"/>
      <c r="CK417" s="92"/>
    </row>
    <row r="418" spans="1:89" ht="17.25" customHeight="1">
      <c r="A418" s="160"/>
      <c r="B418" s="165"/>
      <c r="C418" s="164"/>
      <c r="D418" s="137">
        <f t="shared" si="3"/>
        <v>0</v>
      </c>
      <c r="E418" s="207"/>
      <c r="F418" s="202"/>
      <c r="G418" s="207"/>
      <c r="H418" s="202"/>
      <c r="I418" s="207"/>
      <c r="J418" s="202"/>
      <c r="K418" s="207"/>
      <c r="L418" s="202"/>
      <c r="M418" s="207"/>
      <c r="N418" s="202"/>
      <c r="O418" s="201"/>
      <c r="P418" s="202"/>
      <c r="Q418" s="203">
        <f t="shared" si="4"/>
        <v>0</v>
      </c>
      <c r="R418" s="202"/>
      <c r="S418" s="207"/>
      <c r="T418" s="202"/>
      <c r="U418" s="207"/>
      <c r="V418" s="202"/>
      <c r="W418" s="207"/>
      <c r="X418" s="202"/>
      <c r="Y418" s="207"/>
      <c r="Z418" s="202"/>
      <c r="AA418" s="207"/>
      <c r="AB418" s="202"/>
      <c r="AC418" s="208"/>
      <c r="AD418" s="202"/>
      <c r="AE418" s="203">
        <f t="shared" si="5"/>
        <v>0</v>
      </c>
      <c r="AF418" s="202"/>
      <c r="AG418" s="204"/>
      <c r="AH418" s="202"/>
      <c r="AI418" s="204"/>
      <c r="AJ418" s="202"/>
      <c r="AK418" s="204"/>
      <c r="AL418" s="202"/>
      <c r="AM418" s="204"/>
      <c r="AN418" s="202"/>
      <c r="AO418" s="204"/>
      <c r="AP418" s="202"/>
      <c r="AQ418" s="208"/>
      <c r="AR418" s="202"/>
      <c r="AS418" s="203">
        <f t="shared" si="6"/>
        <v>0</v>
      </c>
      <c r="AT418" s="202"/>
      <c r="AU418" s="204"/>
      <c r="AV418" s="202"/>
      <c r="AW418" s="204"/>
      <c r="AX418" s="202"/>
      <c r="AY418" s="204"/>
      <c r="AZ418" s="202"/>
      <c r="BA418" s="204"/>
      <c r="BB418" s="202"/>
      <c r="BC418" s="204"/>
      <c r="BD418" s="202"/>
      <c r="BE418" s="208"/>
      <c r="BF418" s="202"/>
      <c r="BG418" s="203">
        <f t="shared" si="7"/>
        <v>0</v>
      </c>
      <c r="BH418" s="202"/>
      <c r="BI418" s="204"/>
      <c r="BJ418" s="202"/>
      <c r="BK418" s="204"/>
      <c r="BL418" s="202"/>
      <c r="BM418" s="204"/>
      <c r="BN418" s="202"/>
      <c r="BO418" s="203">
        <f t="shared" si="8"/>
        <v>0</v>
      </c>
      <c r="BP418" s="202"/>
      <c r="BQ418" s="138"/>
      <c r="BR418" s="128"/>
      <c r="BS418" s="128"/>
      <c r="BT418" s="128"/>
      <c r="BU418" s="128"/>
      <c r="BV418" s="128"/>
      <c r="BW418" s="139"/>
      <c r="BX418" s="140"/>
      <c r="BY418" s="139"/>
      <c r="BZ418" s="139"/>
      <c r="CA418" s="134"/>
      <c r="CB418" s="134"/>
      <c r="CC418" s="134"/>
      <c r="CD418" s="134"/>
      <c r="CE418" s="134"/>
      <c r="CF418" s="134"/>
      <c r="CG418" s="92"/>
      <c r="CH418" s="92"/>
      <c r="CI418" s="92"/>
      <c r="CJ418" s="92"/>
      <c r="CK418" s="92"/>
    </row>
    <row r="419" spans="1:89" ht="17.25" customHeight="1">
      <c r="A419" s="160"/>
      <c r="B419" s="165"/>
      <c r="C419" s="164"/>
      <c r="D419" s="137">
        <f t="shared" si="3"/>
        <v>0</v>
      </c>
      <c r="E419" s="207"/>
      <c r="F419" s="202"/>
      <c r="G419" s="207"/>
      <c r="H419" s="202"/>
      <c r="I419" s="207"/>
      <c r="J419" s="202"/>
      <c r="K419" s="207"/>
      <c r="L419" s="202"/>
      <c r="M419" s="207"/>
      <c r="N419" s="202"/>
      <c r="O419" s="201"/>
      <c r="P419" s="202"/>
      <c r="Q419" s="203">
        <f t="shared" si="4"/>
        <v>0</v>
      </c>
      <c r="R419" s="202"/>
      <c r="S419" s="207"/>
      <c r="T419" s="202"/>
      <c r="U419" s="207"/>
      <c r="V419" s="202"/>
      <c r="W419" s="207"/>
      <c r="X419" s="202"/>
      <c r="Y419" s="207"/>
      <c r="Z419" s="202"/>
      <c r="AA419" s="207"/>
      <c r="AB419" s="202"/>
      <c r="AC419" s="208"/>
      <c r="AD419" s="202"/>
      <c r="AE419" s="203">
        <f t="shared" si="5"/>
        <v>0</v>
      </c>
      <c r="AF419" s="202"/>
      <c r="AG419" s="204"/>
      <c r="AH419" s="202"/>
      <c r="AI419" s="204"/>
      <c r="AJ419" s="202"/>
      <c r="AK419" s="204"/>
      <c r="AL419" s="202"/>
      <c r="AM419" s="204"/>
      <c r="AN419" s="202"/>
      <c r="AO419" s="204"/>
      <c r="AP419" s="202"/>
      <c r="AQ419" s="208"/>
      <c r="AR419" s="202"/>
      <c r="AS419" s="203">
        <f t="shared" si="6"/>
        <v>0</v>
      </c>
      <c r="AT419" s="202"/>
      <c r="AU419" s="204"/>
      <c r="AV419" s="202"/>
      <c r="AW419" s="204"/>
      <c r="AX419" s="202"/>
      <c r="AY419" s="204"/>
      <c r="AZ419" s="202"/>
      <c r="BA419" s="204"/>
      <c r="BB419" s="202"/>
      <c r="BC419" s="204"/>
      <c r="BD419" s="202"/>
      <c r="BE419" s="208"/>
      <c r="BF419" s="202"/>
      <c r="BG419" s="203">
        <f t="shared" si="7"/>
        <v>0</v>
      </c>
      <c r="BH419" s="202"/>
      <c r="BI419" s="204"/>
      <c r="BJ419" s="202"/>
      <c r="BK419" s="204"/>
      <c r="BL419" s="202"/>
      <c r="BM419" s="204"/>
      <c r="BN419" s="202"/>
      <c r="BO419" s="203">
        <f t="shared" si="8"/>
        <v>0</v>
      </c>
      <c r="BP419" s="202"/>
      <c r="BQ419" s="138"/>
      <c r="BR419" s="128"/>
      <c r="BS419" s="128"/>
      <c r="BT419" s="128"/>
      <c r="BU419" s="128"/>
      <c r="BV419" s="128"/>
      <c r="BW419" s="139"/>
      <c r="BX419" s="140"/>
      <c r="BY419" s="139"/>
      <c r="BZ419" s="139"/>
      <c r="CA419" s="134"/>
      <c r="CB419" s="134"/>
      <c r="CC419" s="134"/>
      <c r="CD419" s="134"/>
      <c r="CE419" s="134"/>
      <c r="CF419" s="134"/>
      <c r="CG419" s="92"/>
      <c r="CH419" s="92"/>
      <c r="CI419" s="92"/>
      <c r="CJ419" s="92"/>
      <c r="CK419" s="92"/>
    </row>
    <row r="420" spans="1:89" ht="17.25" customHeight="1">
      <c r="A420" s="160"/>
      <c r="B420" s="165"/>
      <c r="C420" s="164"/>
      <c r="D420" s="137">
        <f t="shared" si="3"/>
        <v>0</v>
      </c>
      <c r="E420" s="207"/>
      <c r="F420" s="202"/>
      <c r="G420" s="207"/>
      <c r="H420" s="202"/>
      <c r="I420" s="207"/>
      <c r="J420" s="202"/>
      <c r="K420" s="207"/>
      <c r="L420" s="202"/>
      <c r="M420" s="207"/>
      <c r="N420" s="202"/>
      <c r="O420" s="201"/>
      <c r="P420" s="202"/>
      <c r="Q420" s="203">
        <f t="shared" si="4"/>
        <v>0</v>
      </c>
      <c r="R420" s="202"/>
      <c r="S420" s="207"/>
      <c r="T420" s="202"/>
      <c r="U420" s="207"/>
      <c r="V420" s="202"/>
      <c r="W420" s="207"/>
      <c r="X420" s="202"/>
      <c r="Y420" s="207"/>
      <c r="Z420" s="202"/>
      <c r="AA420" s="207"/>
      <c r="AB420" s="202"/>
      <c r="AC420" s="208"/>
      <c r="AD420" s="202"/>
      <c r="AE420" s="203">
        <f t="shared" si="5"/>
        <v>0</v>
      </c>
      <c r="AF420" s="202"/>
      <c r="AG420" s="204"/>
      <c r="AH420" s="202"/>
      <c r="AI420" s="204"/>
      <c r="AJ420" s="202"/>
      <c r="AK420" s="204"/>
      <c r="AL420" s="202"/>
      <c r="AM420" s="204"/>
      <c r="AN420" s="202"/>
      <c r="AO420" s="204"/>
      <c r="AP420" s="202"/>
      <c r="AQ420" s="208"/>
      <c r="AR420" s="202"/>
      <c r="AS420" s="203">
        <f t="shared" si="6"/>
        <v>0</v>
      </c>
      <c r="AT420" s="202"/>
      <c r="AU420" s="204"/>
      <c r="AV420" s="202"/>
      <c r="AW420" s="204"/>
      <c r="AX420" s="202"/>
      <c r="AY420" s="204"/>
      <c r="AZ420" s="202"/>
      <c r="BA420" s="204"/>
      <c r="BB420" s="202"/>
      <c r="BC420" s="204"/>
      <c r="BD420" s="202"/>
      <c r="BE420" s="208"/>
      <c r="BF420" s="202"/>
      <c r="BG420" s="203">
        <f t="shared" si="7"/>
        <v>0</v>
      </c>
      <c r="BH420" s="202"/>
      <c r="BI420" s="204"/>
      <c r="BJ420" s="202"/>
      <c r="BK420" s="204"/>
      <c r="BL420" s="202"/>
      <c r="BM420" s="204"/>
      <c r="BN420" s="202"/>
      <c r="BO420" s="203">
        <f t="shared" si="8"/>
        <v>0</v>
      </c>
      <c r="BP420" s="202"/>
      <c r="BQ420" s="138"/>
      <c r="BR420" s="128"/>
      <c r="BS420" s="128"/>
      <c r="BT420" s="128"/>
      <c r="BU420" s="128"/>
      <c r="BV420" s="128"/>
      <c r="BW420" s="139"/>
      <c r="BX420" s="140"/>
      <c r="BY420" s="139"/>
      <c r="BZ420" s="139"/>
      <c r="CA420" s="134"/>
      <c r="CB420" s="134"/>
      <c r="CC420" s="134"/>
      <c r="CD420" s="134"/>
      <c r="CE420" s="134"/>
      <c r="CF420" s="134"/>
      <c r="CG420" s="92"/>
      <c r="CH420" s="92"/>
      <c r="CI420" s="92"/>
      <c r="CJ420" s="92"/>
      <c r="CK420" s="92"/>
    </row>
    <row r="421" spans="1:89" ht="17.25" customHeight="1">
      <c r="A421" s="160"/>
      <c r="B421" s="165"/>
      <c r="C421" s="164"/>
      <c r="D421" s="137">
        <f t="shared" si="3"/>
        <v>0</v>
      </c>
      <c r="E421" s="207"/>
      <c r="F421" s="202"/>
      <c r="G421" s="207"/>
      <c r="H421" s="202"/>
      <c r="I421" s="207"/>
      <c r="J421" s="202"/>
      <c r="K421" s="207"/>
      <c r="L421" s="202"/>
      <c r="M421" s="207"/>
      <c r="N421" s="202"/>
      <c r="O421" s="201"/>
      <c r="P421" s="202"/>
      <c r="Q421" s="203">
        <f t="shared" si="4"/>
        <v>0</v>
      </c>
      <c r="R421" s="202"/>
      <c r="S421" s="207"/>
      <c r="T421" s="202"/>
      <c r="U421" s="207"/>
      <c r="V421" s="202"/>
      <c r="W421" s="207"/>
      <c r="X421" s="202"/>
      <c r="Y421" s="207"/>
      <c r="Z421" s="202"/>
      <c r="AA421" s="207"/>
      <c r="AB421" s="202"/>
      <c r="AC421" s="208"/>
      <c r="AD421" s="202"/>
      <c r="AE421" s="203">
        <f t="shared" si="5"/>
        <v>0</v>
      </c>
      <c r="AF421" s="202"/>
      <c r="AG421" s="204"/>
      <c r="AH421" s="202"/>
      <c r="AI421" s="204"/>
      <c r="AJ421" s="202"/>
      <c r="AK421" s="204"/>
      <c r="AL421" s="202"/>
      <c r="AM421" s="204"/>
      <c r="AN421" s="202"/>
      <c r="AO421" s="204"/>
      <c r="AP421" s="202"/>
      <c r="AQ421" s="208"/>
      <c r="AR421" s="202"/>
      <c r="AS421" s="203">
        <f t="shared" si="6"/>
        <v>0</v>
      </c>
      <c r="AT421" s="202"/>
      <c r="AU421" s="204"/>
      <c r="AV421" s="202"/>
      <c r="AW421" s="204"/>
      <c r="AX421" s="202"/>
      <c r="AY421" s="204"/>
      <c r="AZ421" s="202"/>
      <c r="BA421" s="204"/>
      <c r="BB421" s="202"/>
      <c r="BC421" s="204"/>
      <c r="BD421" s="202"/>
      <c r="BE421" s="208"/>
      <c r="BF421" s="202"/>
      <c r="BG421" s="203">
        <f t="shared" si="7"/>
        <v>0</v>
      </c>
      <c r="BH421" s="202"/>
      <c r="BI421" s="204"/>
      <c r="BJ421" s="202"/>
      <c r="BK421" s="204"/>
      <c r="BL421" s="202"/>
      <c r="BM421" s="204"/>
      <c r="BN421" s="202"/>
      <c r="BO421" s="203">
        <f t="shared" si="8"/>
        <v>0</v>
      </c>
      <c r="BP421" s="202"/>
      <c r="BQ421" s="138"/>
      <c r="BR421" s="128"/>
      <c r="BS421" s="128"/>
      <c r="BT421" s="128"/>
      <c r="BU421" s="128"/>
      <c r="BV421" s="128"/>
      <c r="BW421" s="139"/>
      <c r="BX421" s="140"/>
      <c r="BY421" s="139"/>
      <c r="BZ421" s="139"/>
      <c r="CA421" s="134"/>
      <c r="CB421" s="134"/>
      <c r="CC421" s="134"/>
      <c r="CD421" s="134"/>
      <c r="CE421" s="134"/>
      <c r="CF421" s="134"/>
      <c r="CG421" s="92"/>
      <c r="CH421" s="92"/>
      <c r="CI421" s="92"/>
      <c r="CJ421" s="92"/>
      <c r="CK421" s="92"/>
    </row>
    <row r="422" spans="1:89" ht="17.25" customHeight="1">
      <c r="A422" s="160"/>
      <c r="B422" s="165"/>
      <c r="C422" s="164"/>
      <c r="D422" s="137">
        <f t="shared" si="3"/>
        <v>0</v>
      </c>
      <c r="E422" s="207"/>
      <c r="F422" s="202"/>
      <c r="G422" s="207"/>
      <c r="H422" s="202"/>
      <c r="I422" s="207"/>
      <c r="J422" s="202"/>
      <c r="K422" s="207"/>
      <c r="L422" s="202"/>
      <c r="M422" s="207"/>
      <c r="N422" s="202"/>
      <c r="O422" s="201"/>
      <c r="P422" s="202"/>
      <c r="Q422" s="203">
        <f t="shared" si="4"/>
        <v>0</v>
      </c>
      <c r="R422" s="202"/>
      <c r="S422" s="207"/>
      <c r="T422" s="202"/>
      <c r="U422" s="207"/>
      <c r="V422" s="202"/>
      <c r="W422" s="207"/>
      <c r="X422" s="202"/>
      <c r="Y422" s="207"/>
      <c r="Z422" s="202"/>
      <c r="AA422" s="207"/>
      <c r="AB422" s="202"/>
      <c r="AC422" s="208"/>
      <c r="AD422" s="202"/>
      <c r="AE422" s="203">
        <f t="shared" si="5"/>
        <v>0</v>
      </c>
      <c r="AF422" s="202"/>
      <c r="AG422" s="204"/>
      <c r="AH422" s="202"/>
      <c r="AI422" s="204"/>
      <c r="AJ422" s="202"/>
      <c r="AK422" s="204"/>
      <c r="AL422" s="202"/>
      <c r="AM422" s="204"/>
      <c r="AN422" s="202"/>
      <c r="AO422" s="204"/>
      <c r="AP422" s="202"/>
      <c r="AQ422" s="208"/>
      <c r="AR422" s="202"/>
      <c r="AS422" s="203">
        <f t="shared" si="6"/>
        <v>0</v>
      </c>
      <c r="AT422" s="202"/>
      <c r="AU422" s="204"/>
      <c r="AV422" s="202"/>
      <c r="AW422" s="204"/>
      <c r="AX422" s="202"/>
      <c r="AY422" s="204"/>
      <c r="AZ422" s="202"/>
      <c r="BA422" s="204"/>
      <c r="BB422" s="202"/>
      <c r="BC422" s="204"/>
      <c r="BD422" s="202"/>
      <c r="BE422" s="208"/>
      <c r="BF422" s="202"/>
      <c r="BG422" s="203">
        <f t="shared" si="7"/>
        <v>0</v>
      </c>
      <c r="BH422" s="202"/>
      <c r="BI422" s="204"/>
      <c r="BJ422" s="202"/>
      <c r="BK422" s="204"/>
      <c r="BL422" s="202"/>
      <c r="BM422" s="204"/>
      <c r="BN422" s="202"/>
      <c r="BO422" s="203">
        <f t="shared" si="8"/>
        <v>0</v>
      </c>
      <c r="BP422" s="202"/>
      <c r="BQ422" s="138"/>
      <c r="BR422" s="128"/>
      <c r="BS422" s="128"/>
      <c r="BT422" s="128"/>
      <c r="BU422" s="128"/>
      <c r="BV422" s="128"/>
      <c r="BW422" s="139"/>
      <c r="BX422" s="140"/>
      <c r="BY422" s="139"/>
      <c r="BZ422" s="139"/>
      <c r="CA422" s="134"/>
      <c r="CB422" s="134"/>
      <c r="CC422" s="134"/>
      <c r="CD422" s="134"/>
      <c r="CE422" s="134"/>
      <c r="CF422" s="134"/>
      <c r="CG422" s="92"/>
      <c r="CH422" s="92"/>
      <c r="CI422" s="92"/>
      <c r="CJ422" s="92"/>
      <c r="CK422" s="92"/>
    </row>
    <row r="423" spans="1:89" ht="17.25" customHeight="1">
      <c r="A423" s="160"/>
      <c r="B423" s="165"/>
      <c r="C423" s="164"/>
      <c r="D423" s="137">
        <f t="shared" si="3"/>
        <v>0</v>
      </c>
      <c r="E423" s="207"/>
      <c r="F423" s="202"/>
      <c r="G423" s="207"/>
      <c r="H423" s="202"/>
      <c r="I423" s="207"/>
      <c r="J423" s="202"/>
      <c r="K423" s="207"/>
      <c r="L423" s="202"/>
      <c r="M423" s="207"/>
      <c r="N423" s="202"/>
      <c r="O423" s="201"/>
      <c r="P423" s="202"/>
      <c r="Q423" s="203">
        <f t="shared" si="4"/>
        <v>0</v>
      </c>
      <c r="R423" s="202"/>
      <c r="S423" s="207"/>
      <c r="T423" s="202"/>
      <c r="U423" s="207"/>
      <c r="V423" s="202"/>
      <c r="W423" s="207"/>
      <c r="X423" s="202"/>
      <c r="Y423" s="207"/>
      <c r="Z423" s="202"/>
      <c r="AA423" s="207"/>
      <c r="AB423" s="202"/>
      <c r="AC423" s="208"/>
      <c r="AD423" s="202"/>
      <c r="AE423" s="203">
        <f t="shared" si="5"/>
        <v>0</v>
      </c>
      <c r="AF423" s="202"/>
      <c r="AG423" s="204"/>
      <c r="AH423" s="202"/>
      <c r="AI423" s="204"/>
      <c r="AJ423" s="202"/>
      <c r="AK423" s="204"/>
      <c r="AL423" s="202"/>
      <c r="AM423" s="204"/>
      <c r="AN423" s="202"/>
      <c r="AO423" s="204"/>
      <c r="AP423" s="202"/>
      <c r="AQ423" s="208"/>
      <c r="AR423" s="202"/>
      <c r="AS423" s="203">
        <f t="shared" si="6"/>
        <v>0</v>
      </c>
      <c r="AT423" s="202"/>
      <c r="AU423" s="204"/>
      <c r="AV423" s="202"/>
      <c r="AW423" s="204"/>
      <c r="AX423" s="202"/>
      <c r="AY423" s="204"/>
      <c r="AZ423" s="202"/>
      <c r="BA423" s="204"/>
      <c r="BB423" s="202"/>
      <c r="BC423" s="204"/>
      <c r="BD423" s="202"/>
      <c r="BE423" s="208"/>
      <c r="BF423" s="202"/>
      <c r="BG423" s="203">
        <f t="shared" si="7"/>
        <v>0</v>
      </c>
      <c r="BH423" s="202"/>
      <c r="BI423" s="204"/>
      <c r="BJ423" s="202"/>
      <c r="BK423" s="204"/>
      <c r="BL423" s="202"/>
      <c r="BM423" s="204"/>
      <c r="BN423" s="202"/>
      <c r="BO423" s="203">
        <f t="shared" si="8"/>
        <v>0</v>
      </c>
      <c r="BP423" s="202"/>
      <c r="BQ423" s="138"/>
      <c r="BR423" s="128"/>
      <c r="BS423" s="128"/>
      <c r="BT423" s="128"/>
      <c r="BU423" s="128"/>
      <c r="BV423" s="128"/>
      <c r="BW423" s="139"/>
      <c r="BX423" s="140"/>
      <c r="BY423" s="139"/>
      <c r="BZ423" s="139"/>
      <c r="CA423" s="134"/>
      <c r="CB423" s="134"/>
      <c r="CC423" s="134"/>
      <c r="CD423" s="134"/>
      <c r="CE423" s="134"/>
      <c r="CF423" s="134"/>
      <c r="CG423" s="92"/>
      <c r="CH423" s="92"/>
      <c r="CI423" s="92"/>
      <c r="CJ423" s="92"/>
      <c r="CK423" s="92"/>
    </row>
    <row r="424" spans="1:89" ht="17.25" customHeight="1">
      <c r="A424" s="160"/>
      <c r="B424" s="165"/>
      <c r="C424" s="164"/>
      <c r="D424" s="137">
        <f t="shared" si="3"/>
        <v>0</v>
      </c>
      <c r="E424" s="207"/>
      <c r="F424" s="202"/>
      <c r="G424" s="207"/>
      <c r="H424" s="202"/>
      <c r="I424" s="207"/>
      <c r="J424" s="202"/>
      <c r="K424" s="207"/>
      <c r="L424" s="202"/>
      <c r="M424" s="207"/>
      <c r="N424" s="202"/>
      <c r="O424" s="201"/>
      <c r="P424" s="202"/>
      <c r="Q424" s="203">
        <f t="shared" si="4"/>
        <v>0</v>
      </c>
      <c r="R424" s="202"/>
      <c r="S424" s="207"/>
      <c r="T424" s="202"/>
      <c r="U424" s="207"/>
      <c r="V424" s="202"/>
      <c r="W424" s="207"/>
      <c r="X424" s="202"/>
      <c r="Y424" s="207"/>
      <c r="Z424" s="202"/>
      <c r="AA424" s="207"/>
      <c r="AB424" s="202"/>
      <c r="AC424" s="208"/>
      <c r="AD424" s="202"/>
      <c r="AE424" s="203">
        <f t="shared" si="5"/>
        <v>0</v>
      </c>
      <c r="AF424" s="202"/>
      <c r="AG424" s="204"/>
      <c r="AH424" s="202"/>
      <c r="AI424" s="204"/>
      <c r="AJ424" s="202"/>
      <c r="AK424" s="204"/>
      <c r="AL424" s="202"/>
      <c r="AM424" s="204"/>
      <c r="AN424" s="202"/>
      <c r="AO424" s="204"/>
      <c r="AP424" s="202"/>
      <c r="AQ424" s="208"/>
      <c r="AR424" s="202"/>
      <c r="AS424" s="203">
        <f t="shared" si="6"/>
        <v>0</v>
      </c>
      <c r="AT424" s="202"/>
      <c r="AU424" s="204"/>
      <c r="AV424" s="202"/>
      <c r="AW424" s="204"/>
      <c r="AX424" s="202"/>
      <c r="AY424" s="204"/>
      <c r="AZ424" s="202"/>
      <c r="BA424" s="204"/>
      <c r="BB424" s="202"/>
      <c r="BC424" s="204"/>
      <c r="BD424" s="202"/>
      <c r="BE424" s="208"/>
      <c r="BF424" s="202"/>
      <c r="BG424" s="203">
        <f t="shared" si="7"/>
        <v>0</v>
      </c>
      <c r="BH424" s="202"/>
      <c r="BI424" s="204"/>
      <c r="BJ424" s="202"/>
      <c r="BK424" s="204"/>
      <c r="BL424" s="202"/>
      <c r="BM424" s="204"/>
      <c r="BN424" s="202"/>
      <c r="BO424" s="203">
        <f t="shared" si="8"/>
        <v>0</v>
      </c>
      <c r="BP424" s="202"/>
      <c r="BQ424" s="138"/>
      <c r="BR424" s="128"/>
      <c r="BS424" s="128"/>
      <c r="BT424" s="128"/>
      <c r="BU424" s="128"/>
      <c r="BV424" s="128"/>
      <c r="BW424" s="139"/>
      <c r="BX424" s="140"/>
      <c r="BY424" s="139"/>
      <c r="BZ424" s="139"/>
      <c r="CA424" s="134"/>
      <c r="CB424" s="134"/>
      <c r="CC424" s="134"/>
      <c r="CD424" s="134"/>
      <c r="CE424" s="134"/>
      <c r="CF424" s="134"/>
      <c r="CG424" s="92"/>
      <c r="CH424" s="92"/>
      <c r="CI424" s="92"/>
      <c r="CJ424" s="92"/>
      <c r="CK424" s="92"/>
    </row>
    <row r="425" spans="1:89" ht="17.25" customHeight="1">
      <c r="A425" s="160"/>
      <c r="B425" s="165"/>
      <c r="C425" s="164"/>
      <c r="D425" s="137">
        <f t="shared" si="3"/>
        <v>0</v>
      </c>
      <c r="E425" s="207"/>
      <c r="F425" s="202"/>
      <c r="G425" s="207"/>
      <c r="H425" s="202"/>
      <c r="I425" s="207"/>
      <c r="J425" s="202"/>
      <c r="K425" s="207"/>
      <c r="L425" s="202"/>
      <c r="M425" s="207"/>
      <c r="N425" s="202"/>
      <c r="O425" s="201"/>
      <c r="P425" s="202"/>
      <c r="Q425" s="203">
        <f t="shared" si="4"/>
        <v>0</v>
      </c>
      <c r="R425" s="202"/>
      <c r="S425" s="207"/>
      <c r="T425" s="202"/>
      <c r="U425" s="207"/>
      <c r="V425" s="202"/>
      <c r="W425" s="207"/>
      <c r="X425" s="202"/>
      <c r="Y425" s="207"/>
      <c r="Z425" s="202"/>
      <c r="AA425" s="207"/>
      <c r="AB425" s="202"/>
      <c r="AC425" s="208"/>
      <c r="AD425" s="202"/>
      <c r="AE425" s="203">
        <f t="shared" si="5"/>
        <v>0</v>
      </c>
      <c r="AF425" s="202"/>
      <c r="AG425" s="204"/>
      <c r="AH425" s="202"/>
      <c r="AI425" s="204"/>
      <c r="AJ425" s="202"/>
      <c r="AK425" s="204"/>
      <c r="AL425" s="202"/>
      <c r="AM425" s="204"/>
      <c r="AN425" s="202"/>
      <c r="AO425" s="204"/>
      <c r="AP425" s="202"/>
      <c r="AQ425" s="208"/>
      <c r="AR425" s="202"/>
      <c r="AS425" s="203">
        <f t="shared" si="6"/>
        <v>0</v>
      </c>
      <c r="AT425" s="202"/>
      <c r="AU425" s="204"/>
      <c r="AV425" s="202"/>
      <c r="AW425" s="204"/>
      <c r="AX425" s="202"/>
      <c r="AY425" s="204"/>
      <c r="AZ425" s="202"/>
      <c r="BA425" s="204"/>
      <c r="BB425" s="202"/>
      <c r="BC425" s="204"/>
      <c r="BD425" s="202"/>
      <c r="BE425" s="208"/>
      <c r="BF425" s="202"/>
      <c r="BG425" s="203">
        <f t="shared" si="7"/>
        <v>0</v>
      </c>
      <c r="BH425" s="202"/>
      <c r="BI425" s="204"/>
      <c r="BJ425" s="202"/>
      <c r="BK425" s="204"/>
      <c r="BL425" s="202"/>
      <c r="BM425" s="204"/>
      <c r="BN425" s="202"/>
      <c r="BO425" s="203">
        <f t="shared" si="8"/>
        <v>0</v>
      </c>
      <c r="BP425" s="202"/>
      <c r="BQ425" s="138"/>
      <c r="BR425" s="128"/>
      <c r="BS425" s="128"/>
      <c r="BT425" s="128"/>
      <c r="BU425" s="128"/>
      <c r="BV425" s="128"/>
      <c r="BW425" s="139"/>
      <c r="BX425" s="140"/>
      <c r="BY425" s="139"/>
      <c r="BZ425" s="139"/>
      <c r="CA425" s="134"/>
      <c r="CB425" s="134"/>
      <c r="CC425" s="134"/>
      <c r="CD425" s="134"/>
      <c r="CE425" s="134"/>
      <c r="CF425" s="134"/>
      <c r="CG425" s="92"/>
      <c r="CH425" s="92"/>
      <c r="CI425" s="92"/>
      <c r="CJ425" s="92"/>
      <c r="CK425" s="92"/>
    </row>
    <row r="426" spans="1:89" ht="17.25" customHeight="1">
      <c r="A426" s="160"/>
      <c r="B426" s="165"/>
      <c r="C426" s="164"/>
      <c r="D426" s="137">
        <f t="shared" si="3"/>
        <v>0</v>
      </c>
      <c r="E426" s="207"/>
      <c r="F426" s="202"/>
      <c r="G426" s="207"/>
      <c r="H426" s="202"/>
      <c r="I426" s="207"/>
      <c r="J426" s="202"/>
      <c r="K426" s="207"/>
      <c r="L426" s="202"/>
      <c r="M426" s="207"/>
      <c r="N426" s="202"/>
      <c r="O426" s="201"/>
      <c r="P426" s="202"/>
      <c r="Q426" s="203">
        <f t="shared" si="4"/>
        <v>0</v>
      </c>
      <c r="R426" s="202"/>
      <c r="S426" s="207"/>
      <c r="T426" s="202"/>
      <c r="U426" s="207"/>
      <c r="V426" s="202"/>
      <c r="W426" s="207"/>
      <c r="X426" s="202"/>
      <c r="Y426" s="207"/>
      <c r="Z426" s="202"/>
      <c r="AA426" s="207"/>
      <c r="AB426" s="202"/>
      <c r="AC426" s="208"/>
      <c r="AD426" s="202"/>
      <c r="AE426" s="203">
        <f t="shared" si="5"/>
        <v>0</v>
      </c>
      <c r="AF426" s="202"/>
      <c r="AG426" s="204"/>
      <c r="AH426" s="202"/>
      <c r="AI426" s="204"/>
      <c r="AJ426" s="202"/>
      <c r="AK426" s="204"/>
      <c r="AL426" s="202"/>
      <c r="AM426" s="204"/>
      <c r="AN426" s="202"/>
      <c r="AO426" s="204"/>
      <c r="AP426" s="202"/>
      <c r="AQ426" s="208"/>
      <c r="AR426" s="202"/>
      <c r="AS426" s="203">
        <f t="shared" si="6"/>
        <v>0</v>
      </c>
      <c r="AT426" s="202"/>
      <c r="AU426" s="204"/>
      <c r="AV426" s="202"/>
      <c r="AW426" s="204"/>
      <c r="AX426" s="202"/>
      <c r="AY426" s="204"/>
      <c r="AZ426" s="202"/>
      <c r="BA426" s="204"/>
      <c r="BB426" s="202"/>
      <c r="BC426" s="204"/>
      <c r="BD426" s="202"/>
      <c r="BE426" s="208"/>
      <c r="BF426" s="202"/>
      <c r="BG426" s="203">
        <f t="shared" si="7"/>
        <v>0</v>
      </c>
      <c r="BH426" s="202"/>
      <c r="BI426" s="204"/>
      <c r="BJ426" s="202"/>
      <c r="BK426" s="204"/>
      <c r="BL426" s="202"/>
      <c r="BM426" s="204"/>
      <c r="BN426" s="202"/>
      <c r="BO426" s="203">
        <f t="shared" si="8"/>
        <v>0</v>
      </c>
      <c r="BP426" s="202"/>
      <c r="BQ426" s="138"/>
      <c r="BR426" s="128"/>
      <c r="BS426" s="128"/>
      <c r="BT426" s="128"/>
      <c r="BU426" s="128"/>
      <c r="BV426" s="128"/>
      <c r="BW426" s="139"/>
      <c r="BX426" s="140"/>
      <c r="BY426" s="139"/>
      <c r="BZ426" s="139"/>
      <c r="CA426" s="134"/>
      <c r="CB426" s="134"/>
      <c r="CC426" s="134"/>
      <c r="CD426" s="134"/>
      <c r="CE426" s="134"/>
      <c r="CF426" s="134"/>
      <c r="CG426" s="92"/>
      <c r="CH426" s="92"/>
      <c r="CI426" s="92"/>
      <c r="CJ426" s="92"/>
      <c r="CK426" s="92"/>
    </row>
    <row r="427" spans="1:89" ht="17.25" customHeight="1">
      <c r="A427" s="160"/>
      <c r="B427" s="165"/>
      <c r="C427" s="164"/>
      <c r="D427" s="137">
        <f t="shared" si="3"/>
        <v>0</v>
      </c>
      <c r="E427" s="207"/>
      <c r="F427" s="202"/>
      <c r="G427" s="207"/>
      <c r="H427" s="202"/>
      <c r="I427" s="207"/>
      <c r="J427" s="202"/>
      <c r="K427" s="207"/>
      <c r="L427" s="202"/>
      <c r="M427" s="207"/>
      <c r="N427" s="202"/>
      <c r="O427" s="201"/>
      <c r="P427" s="202"/>
      <c r="Q427" s="203">
        <f t="shared" si="4"/>
        <v>0</v>
      </c>
      <c r="R427" s="202"/>
      <c r="S427" s="207"/>
      <c r="T427" s="202"/>
      <c r="U427" s="207"/>
      <c r="V427" s="202"/>
      <c r="W427" s="207"/>
      <c r="X427" s="202"/>
      <c r="Y427" s="207"/>
      <c r="Z427" s="202"/>
      <c r="AA427" s="207"/>
      <c r="AB427" s="202"/>
      <c r="AC427" s="208"/>
      <c r="AD427" s="202"/>
      <c r="AE427" s="203">
        <f t="shared" si="5"/>
        <v>0</v>
      </c>
      <c r="AF427" s="202"/>
      <c r="AG427" s="204"/>
      <c r="AH427" s="202"/>
      <c r="AI427" s="204"/>
      <c r="AJ427" s="202"/>
      <c r="AK427" s="204"/>
      <c r="AL427" s="202"/>
      <c r="AM427" s="204"/>
      <c r="AN427" s="202"/>
      <c r="AO427" s="204"/>
      <c r="AP427" s="202"/>
      <c r="AQ427" s="208"/>
      <c r="AR427" s="202"/>
      <c r="AS427" s="203">
        <f t="shared" si="6"/>
        <v>0</v>
      </c>
      <c r="AT427" s="202"/>
      <c r="AU427" s="204"/>
      <c r="AV427" s="202"/>
      <c r="AW427" s="204"/>
      <c r="AX427" s="202"/>
      <c r="AY427" s="204"/>
      <c r="AZ427" s="202"/>
      <c r="BA427" s="204"/>
      <c r="BB427" s="202"/>
      <c r="BC427" s="204"/>
      <c r="BD427" s="202"/>
      <c r="BE427" s="208"/>
      <c r="BF427" s="202"/>
      <c r="BG427" s="203">
        <f t="shared" si="7"/>
        <v>0</v>
      </c>
      <c r="BH427" s="202"/>
      <c r="BI427" s="204"/>
      <c r="BJ427" s="202"/>
      <c r="BK427" s="204"/>
      <c r="BL427" s="202"/>
      <c r="BM427" s="204"/>
      <c r="BN427" s="202"/>
      <c r="BO427" s="203">
        <f t="shared" si="8"/>
        <v>0</v>
      </c>
      <c r="BP427" s="202"/>
      <c r="BQ427" s="138"/>
      <c r="BR427" s="128"/>
      <c r="BS427" s="128"/>
      <c r="BT427" s="128"/>
      <c r="BU427" s="128"/>
      <c r="BV427" s="128"/>
      <c r="BW427" s="139"/>
      <c r="BX427" s="140"/>
      <c r="BY427" s="139"/>
      <c r="BZ427" s="139"/>
      <c r="CA427" s="134"/>
      <c r="CB427" s="134"/>
      <c r="CC427" s="134"/>
      <c r="CD427" s="134"/>
      <c r="CE427" s="134"/>
      <c r="CF427" s="134"/>
      <c r="CG427" s="92"/>
      <c r="CH427" s="92"/>
      <c r="CI427" s="92"/>
      <c r="CJ427" s="92"/>
      <c r="CK427" s="92"/>
    </row>
    <row r="428" spans="1:89" ht="17.25" customHeight="1">
      <c r="A428" s="160"/>
      <c r="B428" s="165"/>
      <c r="C428" s="164"/>
      <c r="D428" s="137">
        <f t="shared" si="3"/>
        <v>0</v>
      </c>
      <c r="E428" s="207"/>
      <c r="F428" s="202"/>
      <c r="G428" s="207"/>
      <c r="H428" s="202"/>
      <c r="I428" s="207"/>
      <c r="J428" s="202"/>
      <c r="K428" s="207"/>
      <c r="L428" s="202"/>
      <c r="M428" s="207"/>
      <c r="N428" s="202"/>
      <c r="O428" s="201"/>
      <c r="P428" s="202"/>
      <c r="Q428" s="203">
        <f t="shared" si="4"/>
        <v>0</v>
      </c>
      <c r="R428" s="202"/>
      <c r="S428" s="207"/>
      <c r="T428" s="202"/>
      <c r="U428" s="207"/>
      <c r="V428" s="202"/>
      <c r="W428" s="207"/>
      <c r="X428" s="202"/>
      <c r="Y428" s="207"/>
      <c r="Z428" s="202"/>
      <c r="AA428" s="207"/>
      <c r="AB428" s="202"/>
      <c r="AC428" s="208"/>
      <c r="AD428" s="202"/>
      <c r="AE428" s="203">
        <f t="shared" si="5"/>
        <v>0</v>
      </c>
      <c r="AF428" s="202"/>
      <c r="AG428" s="204"/>
      <c r="AH428" s="202"/>
      <c r="AI428" s="204"/>
      <c r="AJ428" s="202"/>
      <c r="AK428" s="204"/>
      <c r="AL428" s="202"/>
      <c r="AM428" s="204"/>
      <c r="AN428" s="202"/>
      <c r="AO428" s="204"/>
      <c r="AP428" s="202"/>
      <c r="AQ428" s="208"/>
      <c r="AR428" s="202"/>
      <c r="AS428" s="203">
        <f t="shared" si="6"/>
        <v>0</v>
      </c>
      <c r="AT428" s="202"/>
      <c r="AU428" s="204"/>
      <c r="AV428" s="202"/>
      <c r="AW428" s="204"/>
      <c r="AX428" s="202"/>
      <c r="AY428" s="204"/>
      <c r="AZ428" s="202"/>
      <c r="BA428" s="204"/>
      <c r="BB428" s="202"/>
      <c r="BC428" s="204"/>
      <c r="BD428" s="202"/>
      <c r="BE428" s="208"/>
      <c r="BF428" s="202"/>
      <c r="BG428" s="203">
        <f t="shared" si="7"/>
        <v>0</v>
      </c>
      <c r="BH428" s="202"/>
      <c r="BI428" s="204"/>
      <c r="BJ428" s="202"/>
      <c r="BK428" s="204"/>
      <c r="BL428" s="202"/>
      <c r="BM428" s="204"/>
      <c r="BN428" s="202"/>
      <c r="BO428" s="203">
        <f t="shared" si="8"/>
        <v>0</v>
      </c>
      <c r="BP428" s="202"/>
      <c r="BQ428" s="138"/>
      <c r="BR428" s="128"/>
      <c r="BS428" s="128"/>
      <c r="BT428" s="128"/>
      <c r="BU428" s="128"/>
      <c r="BV428" s="128"/>
      <c r="BW428" s="139"/>
      <c r="BX428" s="140"/>
      <c r="BY428" s="139"/>
      <c r="BZ428" s="139"/>
      <c r="CA428" s="134"/>
      <c r="CB428" s="134"/>
      <c r="CC428" s="134"/>
      <c r="CD428" s="134"/>
      <c r="CE428" s="134"/>
      <c r="CF428" s="134"/>
      <c r="CG428" s="92"/>
      <c r="CH428" s="92"/>
      <c r="CI428" s="92"/>
      <c r="CJ428" s="92"/>
      <c r="CK428" s="92"/>
    </row>
    <row r="429" spans="1:89" ht="17.25" customHeight="1">
      <c r="A429" s="160"/>
      <c r="B429" s="165"/>
      <c r="C429" s="164"/>
      <c r="D429" s="137">
        <f t="shared" si="3"/>
        <v>0</v>
      </c>
      <c r="E429" s="207"/>
      <c r="F429" s="202"/>
      <c r="G429" s="207"/>
      <c r="H429" s="202"/>
      <c r="I429" s="207"/>
      <c r="J429" s="202"/>
      <c r="K429" s="207"/>
      <c r="L429" s="202"/>
      <c r="M429" s="207"/>
      <c r="N429" s="202"/>
      <c r="O429" s="201"/>
      <c r="P429" s="202"/>
      <c r="Q429" s="203">
        <f t="shared" si="4"/>
        <v>0</v>
      </c>
      <c r="R429" s="202"/>
      <c r="S429" s="207"/>
      <c r="T429" s="202"/>
      <c r="U429" s="207"/>
      <c r="V429" s="202"/>
      <c r="W429" s="207"/>
      <c r="X429" s="202"/>
      <c r="Y429" s="207"/>
      <c r="Z429" s="202"/>
      <c r="AA429" s="207"/>
      <c r="AB429" s="202"/>
      <c r="AC429" s="208"/>
      <c r="AD429" s="202"/>
      <c r="AE429" s="203">
        <f t="shared" si="5"/>
        <v>0</v>
      </c>
      <c r="AF429" s="202"/>
      <c r="AG429" s="204"/>
      <c r="AH429" s="202"/>
      <c r="AI429" s="204"/>
      <c r="AJ429" s="202"/>
      <c r="AK429" s="204"/>
      <c r="AL429" s="202"/>
      <c r="AM429" s="204"/>
      <c r="AN429" s="202"/>
      <c r="AO429" s="204"/>
      <c r="AP429" s="202"/>
      <c r="AQ429" s="208"/>
      <c r="AR429" s="202"/>
      <c r="AS429" s="203">
        <f t="shared" si="6"/>
        <v>0</v>
      </c>
      <c r="AT429" s="202"/>
      <c r="AU429" s="204"/>
      <c r="AV429" s="202"/>
      <c r="AW429" s="204"/>
      <c r="AX429" s="202"/>
      <c r="AY429" s="204"/>
      <c r="AZ429" s="202"/>
      <c r="BA429" s="204"/>
      <c r="BB429" s="202"/>
      <c r="BC429" s="204"/>
      <c r="BD429" s="202"/>
      <c r="BE429" s="208"/>
      <c r="BF429" s="202"/>
      <c r="BG429" s="203">
        <f t="shared" si="7"/>
        <v>0</v>
      </c>
      <c r="BH429" s="202"/>
      <c r="BI429" s="204"/>
      <c r="BJ429" s="202"/>
      <c r="BK429" s="204"/>
      <c r="BL429" s="202"/>
      <c r="BM429" s="204"/>
      <c r="BN429" s="202"/>
      <c r="BO429" s="203">
        <f t="shared" si="8"/>
        <v>0</v>
      </c>
      <c r="BP429" s="202"/>
      <c r="BQ429" s="138"/>
      <c r="BR429" s="128"/>
      <c r="BS429" s="128"/>
      <c r="BT429" s="128"/>
      <c r="BU429" s="128"/>
      <c r="BV429" s="128"/>
      <c r="BW429" s="139"/>
      <c r="BX429" s="140"/>
      <c r="BY429" s="139"/>
      <c r="BZ429" s="139"/>
      <c r="CA429" s="134"/>
      <c r="CB429" s="134"/>
      <c r="CC429" s="134"/>
      <c r="CD429" s="134"/>
      <c r="CE429" s="134"/>
      <c r="CF429" s="134"/>
      <c r="CG429" s="92"/>
      <c r="CH429" s="92"/>
      <c r="CI429" s="92"/>
      <c r="CJ429" s="92"/>
      <c r="CK429" s="92"/>
    </row>
    <row r="430" spans="1:89" ht="17.25" customHeight="1">
      <c r="A430" s="160"/>
      <c r="B430" s="165"/>
      <c r="C430" s="164"/>
      <c r="D430" s="137">
        <f t="shared" si="3"/>
        <v>0</v>
      </c>
      <c r="E430" s="207"/>
      <c r="F430" s="202"/>
      <c r="G430" s="207"/>
      <c r="H430" s="202"/>
      <c r="I430" s="207"/>
      <c r="J430" s="202"/>
      <c r="K430" s="207"/>
      <c r="L430" s="202"/>
      <c r="M430" s="207"/>
      <c r="N430" s="202"/>
      <c r="O430" s="201"/>
      <c r="P430" s="202"/>
      <c r="Q430" s="203">
        <f t="shared" si="4"/>
        <v>0</v>
      </c>
      <c r="R430" s="202"/>
      <c r="S430" s="207"/>
      <c r="T430" s="202"/>
      <c r="U430" s="207"/>
      <c r="V430" s="202"/>
      <c r="W430" s="207"/>
      <c r="X430" s="202"/>
      <c r="Y430" s="207"/>
      <c r="Z430" s="202"/>
      <c r="AA430" s="207"/>
      <c r="AB430" s="202"/>
      <c r="AC430" s="208"/>
      <c r="AD430" s="202"/>
      <c r="AE430" s="203">
        <f t="shared" si="5"/>
        <v>0</v>
      </c>
      <c r="AF430" s="202"/>
      <c r="AG430" s="204"/>
      <c r="AH430" s="202"/>
      <c r="AI430" s="204"/>
      <c r="AJ430" s="202"/>
      <c r="AK430" s="204"/>
      <c r="AL430" s="202"/>
      <c r="AM430" s="204"/>
      <c r="AN430" s="202"/>
      <c r="AO430" s="204"/>
      <c r="AP430" s="202"/>
      <c r="AQ430" s="208"/>
      <c r="AR430" s="202"/>
      <c r="AS430" s="203">
        <f t="shared" si="6"/>
        <v>0</v>
      </c>
      <c r="AT430" s="202"/>
      <c r="AU430" s="204"/>
      <c r="AV430" s="202"/>
      <c r="AW430" s="204"/>
      <c r="AX430" s="202"/>
      <c r="AY430" s="204"/>
      <c r="AZ430" s="202"/>
      <c r="BA430" s="204"/>
      <c r="BB430" s="202"/>
      <c r="BC430" s="204"/>
      <c r="BD430" s="202"/>
      <c r="BE430" s="208"/>
      <c r="BF430" s="202"/>
      <c r="BG430" s="203">
        <f t="shared" si="7"/>
        <v>0</v>
      </c>
      <c r="BH430" s="202"/>
      <c r="BI430" s="204"/>
      <c r="BJ430" s="202"/>
      <c r="BK430" s="204"/>
      <c r="BL430" s="202"/>
      <c r="BM430" s="204"/>
      <c r="BN430" s="202"/>
      <c r="BO430" s="203">
        <f t="shared" si="8"/>
        <v>0</v>
      </c>
      <c r="BP430" s="202"/>
      <c r="BQ430" s="138"/>
      <c r="BR430" s="128"/>
      <c r="BS430" s="128"/>
      <c r="BT430" s="128"/>
      <c r="BU430" s="128"/>
      <c r="BV430" s="128"/>
      <c r="BW430" s="139"/>
      <c r="BX430" s="140"/>
      <c r="BY430" s="139"/>
      <c r="BZ430" s="139"/>
      <c r="CA430" s="134"/>
      <c r="CB430" s="134"/>
      <c r="CC430" s="134"/>
      <c r="CD430" s="134"/>
      <c r="CE430" s="134"/>
      <c r="CF430" s="134"/>
      <c r="CG430" s="92"/>
      <c r="CH430" s="92"/>
      <c r="CI430" s="92"/>
      <c r="CJ430" s="92"/>
      <c r="CK430" s="92"/>
    </row>
    <row r="431" spans="1:89" ht="17.25" customHeight="1">
      <c r="A431" s="160"/>
      <c r="B431" s="165"/>
      <c r="C431" s="164"/>
      <c r="D431" s="137">
        <f t="shared" si="3"/>
        <v>0</v>
      </c>
      <c r="E431" s="207"/>
      <c r="F431" s="202"/>
      <c r="G431" s="207"/>
      <c r="H431" s="202"/>
      <c r="I431" s="207"/>
      <c r="J431" s="202"/>
      <c r="K431" s="207"/>
      <c r="L431" s="202"/>
      <c r="M431" s="207"/>
      <c r="N431" s="202"/>
      <c r="O431" s="201"/>
      <c r="P431" s="202"/>
      <c r="Q431" s="203">
        <f t="shared" si="4"/>
        <v>0</v>
      </c>
      <c r="R431" s="202"/>
      <c r="S431" s="207"/>
      <c r="T431" s="202"/>
      <c r="U431" s="207"/>
      <c r="V431" s="202"/>
      <c r="W431" s="207"/>
      <c r="X431" s="202"/>
      <c r="Y431" s="207"/>
      <c r="Z431" s="202"/>
      <c r="AA431" s="207"/>
      <c r="AB431" s="202"/>
      <c r="AC431" s="208"/>
      <c r="AD431" s="202"/>
      <c r="AE431" s="203">
        <f t="shared" si="5"/>
        <v>0</v>
      </c>
      <c r="AF431" s="202"/>
      <c r="AG431" s="204"/>
      <c r="AH431" s="202"/>
      <c r="AI431" s="204"/>
      <c r="AJ431" s="202"/>
      <c r="AK431" s="204"/>
      <c r="AL431" s="202"/>
      <c r="AM431" s="204"/>
      <c r="AN431" s="202"/>
      <c r="AO431" s="204"/>
      <c r="AP431" s="202"/>
      <c r="AQ431" s="208"/>
      <c r="AR431" s="202"/>
      <c r="AS431" s="203">
        <f t="shared" si="6"/>
        <v>0</v>
      </c>
      <c r="AT431" s="202"/>
      <c r="AU431" s="204"/>
      <c r="AV431" s="202"/>
      <c r="AW431" s="204"/>
      <c r="AX431" s="202"/>
      <c r="AY431" s="204"/>
      <c r="AZ431" s="202"/>
      <c r="BA431" s="204"/>
      <c r="BB431" s="202"/>
      <c r="BC431" s="204"/>
      <c r="BD431" s="202"/>
      <c r="BE431" s="208"/>
      <c r="BF431" s="202"/>
      <c r="BG431" s="203">
        <f t="shared" si="7"/>
        <v>0</v>
      </c>
      <c r="BH431" s="202"/>
      <c r="BI431" s="204"/>
      <c r="BJ431" s="202"/>
      <c r="BK431" s="204"/>
      <c r="BL431" s="202"/>
      <c r="BM431" s="204"/>
      <c r="BN431" s="202"/>
      <c r="BO431" s="203">
        <f t="shared" si="8"/>
        <v>0</v>
      </c>
      <c r="BP431" s="202"/>
      <c r="BQ431" s="138"/>
      <c r="BR431" s="128"/>
      <c r="BS431" s="128"/>
      <c r="BT431" s="128"/>
      <c r="BU431" s="128"/>
      <c r="BV431" s="128"/>
      <c r="BW431" s="139"/>
      <c r="BX431" s="140"/>
      <c r="BY431" s="139"/>
      <c r="BZ431" s="139"/>
      <c r="CA431" s="134"/>
      <c r="CB431" s="134"/>
      <c r="CC431" s="134"/>
      <c r="CD431" s="134"/>
      <c r="CE431" s="134"/>
      <c r="CF431" s="134"/>
      <c r="CG431" s="92"/>
      <c r="CH431" s="92"/>
      <c r="CI431" s="92"/>
      <c r="CJ431" s="92"/>
      <c r="CK431" s="92"/>
    </row>
    <row r="432" spans="1:89" ht="17.25" customHeight="1">
      <c r="A432" s="160"/>
      <c r="B432" s="165"/>
      <c r="C432" s="164"/>
      <c r="D432" s="137">
        <f t="shared" si="3"/>
        <v>0</v>
      </c>
      <c r="E432" s="207"/>
      <c r="F432" s="202"/>
      <c r="G432" s="207"/>
      <c r="H432" s="202"/>
      <c r="I432" s="207"/>
      <c r="J432" s="202"/>
      <c r="K432" s="207"/>
      <c r="L432" s="202"/>
      <c r="M432" s="207"/>
      <c r="N432" s="202"/>
      <c r="O432" s="201"/>
      <c r="P432" s="202"/>
      <c r="Q432" s="203">
        <f t="shared" si="4"/>
        <v>0</v>
      </c>
      <c r="R432" s="202"/>
      <c r="S432" s="207"/>
      <c r="T432" s="202"/>
      <c r="U432" s="207"/>
      <c r="V432" s="202"/>
      <c r="W432" s="207"/>
      <c r="X432" s="202"/>
      <c r="Y432" s="207"/>
      <c r="Z432" s="202"/>
      <c r="AA432" s="207"/>
      <c r="AB432" s="202"/>
      <c r="AC432" s="208"/>
      <c r="AD432" s="202"/>
      <c r="AE432" s="203">
        <f t="shared" si="5"/>
        <v>0</v>
      </c>
      <c r="AF432" s="202"/>
      <c r="AG432" s="204"/>
      <c r="AH432" s="202"/>
      <c r="AI432" s="204"/>
      <c r="AJ432" s="202"/>
      <c r="AK432" s="204"/>
      <c r="AL432" s="202"/>
      <c r="AM432" s="204"/>
      <c r="AN432" s="202"/>
      <c r="AO432" s="204"/>
      <c r="AP432" s="202"/>
      <c r="AQ432" s="208"/>
      <c r="AR432" s="202"/>
      <c r="AS432" s="203">
        <f t="shared" si="6"/>
        <v>0</v>
      </c>
      <c r="AT432" s="202"/>
      <c r="AU432" s="204"/>
      <c r="AV432" s="202"/>
      <c r="AW432" s="204"/>
      <c r="AX432" s="202"/>
      <c r="AY432" s="204"/>
      <c r="AZ432" s="202"/>
      <c r="BA432" s="204"/>
      <c r="BB432" s="202"/>
      <c r="BC432" s="204"/>
      <c r="BD432" s="202"/>
      <c r="BE432" s="208"/>
      <c r="BF432" s="202"/>
      <c r="BG432" s="203">
        <f t="shared" si="7"/>
        <v>0</v>
      </c>
      <c r="BH432" s="202"/>
      <c r="BI432" s="204"/>
      <c r="BJ432" s="202"/>
      <c r="BK432" s="204"/>
      <c r="BL432" s="202"/>
      <c r="BM432" s="204"/>
      <c r="BN432" s="202"/>
      <c r="BO432" s="203">
        <f t="shared" si="8"/>
        <v>0</v>
      </c>
      <c r="BP432" s="202"/>
      <c r="BQ432" s="138"/>
      <c r="BR432" s="128"/>
      <c r="BS432" s="128"/>
      <c r="BT432" s="128"/>
      <c r="BU432" s="128"/>
      <c r="BV432" s="128"/>
      <c r="BW432" s="139"/>
      <c r="BX432" s="140"/>
      <c r="BY432" s="139"/>
      <c r="BZ432" s="139"/>
      <c r="CA432" s="134"/>
      <c r="CB432" s="134"/>
      <c r="CC432" s="134"/>
      <c r="CD432" s="134"/>
      <c r="CE432" s="134"/>
      <c r="CF432" s="134"/>
      <c r="CG432" s="92"/>
      <c r="CH432" s="92"/>
      <c r="CI432" s="92"/>
      <c r="CJ432" s="92"/>
      <c r="CK432" s="92"/>
    </row>
    <row r="433" spans="1:89" ht="17.25" customHeight="1">
      <c r="A433" s="160"/>
      <c r="B433" s="165"/>
      <c r="C433" s="164"/>
      <c r="D433" s="137">
        <f t="shared" si="3"/>
        <v>0</v>
      </c>
      <c r="E433" s="207"/>
      <c r="F433" s="202"/>
      <c r="G433" s="207"/>
      <c r="H433" s="202"/>
      <c r="I433" s="207"/>
      <c r="J433" s="202"/>
      <c r="K433" s="207"/>
      <c r="L433" s="202"/>
      <c r="M433" s="207"/>
      <c r="N433" s="202"/>
      <c r="O433" s="201"/>
      <c r="P433" s="202"/>
      <c r="Q433" s="203">
        <f t="shared" si="4"/>
        <v>0</v>
      </c>
      <c r="R433" s="202"/>
      <c r="S433" s="207"/>
      <c r="T433" s="202"/>
      <c r="U433" s="207"/>
      <c r="V433" s="202"/>
      <c r="W433" s="207"/>
      <c r="X433" s="202"/>
      <c r="Y433" s="207"/>
      <c r="Z433" s="202"/>
      <c r="AA433" s="207"/>
      <c r="AB433" s="202"/>
      <c r="AC433" s="208"/>
      <c r="AD433" s="202"/>
      <c r="AE433" s="203">
        <f t="shared" si="5"/>
        <v>0</v>
      </c>
      <c r="AF433" s="202"/>
      <c r="AG433" s="204"/>
      <c r="AH433" s="202"/>
      <c r="AI433" s="204"/>
      <c r="AJ433" s="202"/>
      <c r="AK433" s="204"/>
      <c r="AL433" s="202"/>
      <c r="AM433" s="204"/>
      <c r="AN433" s="202"/>
      <c r="AO433" s="204"/>
      <c r="AP433" s="202"/>
      <c r="AQ433" s="208"/>
      <c r="AR433" s="202"/>
      <c r="AS433" s="203">
        <f t="shared" si="6"/>
        <v>0</v>
      </c>
      <c r="AT433" s="202"/>
      <c r="AU433" s="204"/>
      <c r="AV433" s="202"/>
      <c r="AW433" s="204"/>
      <c r="AX433" s="202"/>
      <c r="AY433" s="204"/>
      <c r="AZ433" s="202"/>
      <c r="BA433" s="204"/>
      <c r="BB433" s="202"/>
      <c r="BC433" s="204"/>
      <c r="BD433" s="202"/>
      <c r="BE433" s="208"/>
      <c r="BF433" s="202"/>
      <c r="BG433" s="203">
        <f t="shared" si="7"/>
        <v>0</v>
      </c>
      <c r="BH433" s="202"/>
      <c r="BI433" s="204"/>
      <c r="BJ433" s="202"/>
      <c r="BK433" s="204"/>
      <c r="BL433" s="202"/>
      <c r="BM433" s="204"/>
      <c r="BN433" s="202"/>
      <c r="BO433" s="203">
        <f t="shared" si="8"/>
        <v>0</v>
      </c>
      <c r="BP433" s="202"/>
      <c r="BQ433" s="138"/>
      <c r="BR433" s="128"/>
      <c r="BS433" s="128"/>
      <c r="BT433" s="128"/>
      <c r="BU433" s="128"/>
      <c r="BV433" s="128"/>
      <c r="BW433" s="139"/>
      <c r="BX433" s="140"/>
      <c r="BY433" s="139"/>
      <c r="BZ433" s="139"/>
      <c r="CA433" s="134"/>
      <c r="CB433" s="134"/>
      <c r="CC433" s="134"/>
      <c r="CD433" s="134"/>
      <c r="CE433" s="134"/>
      <c r="CF433" s="134"/>
      <c r="CG433" s="92"/>
      <c r="CH433" s="92"/>
      <c r="CI433" s="92"/>
      <c r="CJ433" s="92"/>
      <c r="CK433" s="92"/>
    </row>
    <row r="434" spans="1:89" ht="17.25" customHeight="1">
      <c r="A434" s="160"/>
      <c r="B434" s="165"/>
      <c r="C434" s="164"/>
      <c r="D434" s="137">
        <f t="shared" si="3"/>
        <v>0</v>
      </c>
      <c r="E434" s="207"/>
      <c r="F434" s="202"/>
      <c r="G434" s="207"/>
      <c r="H434" s="202"/>
      <c r="I434" s="207"/>
      <c r="J434" s="202"/>
      <c r="K434" s="207"/>
      <c r="L434" s="202"/>
      <c r="M434" s="207"/>
      <c r="N434" s="202"/>
      <c r="O434" s="201"/>
      <c r="P434" s="202"/>
      <c r="Q434" s="203">
        <f t="shared" si="4"/>
        <v>0</v>
      </c>
      <c r="R434" s="202"/>
      <c r="S434" s="207"/>
      <c r="T434" s="202"/>
      <c r="U434" s="207"/>
      <c r="V434" s="202"/>
      <c r="W434" s="207"/>
      <c r="X434" s="202"/>
      <c r="Y434" s="207"/>
      <c r="Z434" s="202"/>
      <c r="AA434" s="207"/>
      <c r="AB434" s="202"/>
      <c r="AC434" s="208"/>
      <c r="AD434" s="202"/>
      <c r="AE434" s="203">
        <f t="shared" si="5"/>
        <v>0</v>
      </c>
      <c r="AF434" s="202"/>
      <c r="AG434" s="204"/>
      <c r="AH434" s="202"/>
      <c r="AI434" s="204"/>
      <c r="AJ434" s="202"/>
      <c r="AK434" s="204"/>
      <c r="AL434" s="202"/>
      <c r="AM434" s="204"/>
      <c r="AN434" s="202"/>
      <c r="AO434" s="204"/>
      <c r="AP434" s="202"/>
      <c r="AQ434" s="208"/>
      <c r="AR434" s="202"/>
      <c r="AS434" s="203">
        <f t="shared" si="6"/>
        <v>0</v>
      </c>
      <c r="AT434" s="202"/>
      <c r="AU434" s="204"/>
      <c r="AV434" s="202"/>
      <c r="AW434" s="204"/>
      <c r="AX434" s="202"/>
      <c r="AY434" s="204"/>
      <c r="AZ434" s="202"/>
      <c r="BA434" s="204"/>
      <c r="BB434" s="202"/>
      <c r="BC434" s="204"/>
      <c r="BD434" s="202"/>
      <c r="BE434" s="208"/>
      <c r="BF434" s="202"/>
      <c r="BG434" s="203">
        <f t="shared" si="7"/>
        <v>0</v>
      </c>
      <c r="BH434" s="202"/>
      <c r="BI434" s="204"/>
      <c r="BJ434" s="202"/>
      <c r="BK434" s="204"/>
      <c r="BL434" s="202"/>
      <c r="BM434" s="204"/>
      <c r="BN434" s="202"/>
      <c r="BO434" s="203">
        <f t="shared" si="8"/>
        <v>0</v>
      </c>
      <c r="BP434" s="202"/>
      <c r="BQ434" s="138"/>
      <c r="BR434" s="128"/>
      <c r="BS434" s="128"/>
      <c r="BT434" s="128"/>
      <c r="BU434" s="128"/>
      <c r="BV434" s="128"/>
      <c r="BW434" s="139"/>
      <c r="BX434" s="140"/>
      <c r="BY434" s="139"/>
      <c r="BZ434" s="139"/>
      <c r="CA434" s="134"/>
      <c r="CB434" s="134"/>
      <c r="CC434" s="134"/>
      <c r="CD434" s="134"/>
      <c r="CE434" s="134"/>
      <c r="CF434" s="134"/>
      <c r="CG434" s="92"/>
      <c r="CH434" s="92"/>
      <c r="CI434" s="92"/>
      <c r="CJ434" s="92"/>
      <c r="CK434" s="92"/>
    </row>
    <row r="435" spans="1:89" ht="17.25" customHeight="1">
      <c r="A435" s="160"/>
      <c r="B435" s="165"/>
      <c r="C435" s="164"/>
      <c r="D435" s="137">
        <f t="shared" si="3"/>
        <v>0</v>
      </c>
      <c r="E435" s="207"/>
      <c r="F435" s="202"/>
      <c r="G435" s="207"/>
      <c r="H435" s="202"/>
      <c r="I435" s="207"/>
      <c r="J435" s="202"/>
      <c r="K435" s="207"/>
      <c r="L435" s="202"/>
      <c r="M435" s="207"/>
      <c r="N435" s="202"/>
      <c r="O435" s="201"/>
      <c r="P435" s="202"/>
      <c r="Q435" s="203">
        <f t="shared" si="4"/>
        <v>0</v>
      </c>
      <c r="R435" s="202"/>
      <c r="S435" s="207"/>
      <c r="T435" s="202"/>
      <c r="U435" s="207"/>
      <c r="V435" s="202"/>
      <c r="W435" s="207"/>
      <c r="X435" s="202"/>
      <c r="Y435" s="207"/>
      <c r="Z435" s="202"/>
      <c r="AA435" s="207"/>
      <c r="AB435" s="202"/>
      <c r="AC435" s="208"/>
      <c r="AD435" s="202"/>
      <c r="AE435" s="203">
        <f t="shared" si="5"/>
        <v>0</v>
      </c>
      <c r="AF435" s="202"/>
      <c r="AG435" s="204"/>
      <c r="AH435" s="202"/>
      <c r="AI435" s="204"/>
      <c r="AJ435" s="202"/>
      <c r="AK435" s="204"/>
      <c r="AL435" s="202"/>
      <c r="AM435" s="204"/>
      <c r="AN435" s="202"/>
      <c r="AO435" s="204"/>
      <c r="AP435" s="202"/>
      <c r="AQ435" s="208"/>
      <c r="AR435" s="202"/>
      <c r="AS435" s="203">
        <f t="shared" si="6"/>
        <v>0</v>
      </c>
      <c r="AT435" s="202"/>
      <c r="AU435" s="204"/>
      <c r="AV435" s="202"/>
      <c r="AW435" s="204"/>
      <c r="AX435" s="202"/>
      <c r="AY435" s="204"/>
      <c r="AZ435" s="202"/>
      <c r="BA435" s="204"/>
      <c r="BB435" s="202"/>
      <c r="BC435" s="204"/>
      <c r="BD435" s="202"/>
      <c r="BE435" s="208"/>
      <c r="BF435" s="202"/>
      <c r="BG435" s="203">
        <f t="shared" si="7"/>
        <v>0</v>
      </c>
      <c r="BH435" s="202"/>
      <c r="BI435" s="204"/>
      <c r="BJ435" s="202"/>
      <c r="BK435" s="204"/>
      <c r="BL435" s="202"/>
      <c r="BM435" s="204"/>
      <c r="BN435" s="202"/>
      <c r="BO435" s="203">
        <f t="shared" si="8"/>
        <v>0</v>
      </c>
      <c r="BP435" s="202"/>
      <c r="BQ435" s="138"/>
      <c r="BR435" s="128"/>
      <c r="BS435" s="128"/>
      <c r="BT435" s="128"/>
      <c r="BU435" s="128"/>
      <c r="BV435" s="128"/>
      <c r="BW435" s="139"/>
      <c r="BX435" s="140"/>
      <c r="BY435" s="139"/>
      <c r="BZ435" s="139"/>
      <c r="CA435" s="134"/>
      <c r="CB435" s="134"/>
      <c r="CC435" s="134"/>
      <c r="CD435" s="134"/>
      <c r="CE435" s="134"/>
      <c r="CF435" s="134"/>
      <c r="CG435" s="92"/>
      <c r="CH435" s="92"/>
      <c r="CI435" s="92"/>
      <c r="CJ435" s="92"/>
      <c r="CK435" s="92"/>
    </row>
    <row r="436" spans="1:89" ht="17.25" customHeight="1">
      <c r="A436" s="160"/>
      <c r="B436" s="165"/>
      <c r="C436" s="164"/>
      <c r="D436" s="137">
        <f t="shared" si="3"/>
        <v>0</v>
      </c>
      <c r="E436" s="207"/>
      <c r="F436" s="202"/>
      <c r="G436" s="207"/>
      <c r="H436" s="202"/>
      <c r="I436" s="207"/>
      <c r="J436" s="202"/>
      <c r="K436" s="207"/>
      <c r="L436" s="202"/>
      <c r="M436" s="207"/>
      <c r="N436" s="202"/>
      <c r="O436" s="201"/>
      <c r="P436" s="202"/>
      <c r="Q436" s="203">
        <f t="shared" si="4"/>
        <v>0</v>
      </c>
      <c r="R436" s="202"/>
      <c r="S436" s="207"/>
      <c r="T436" s="202"/>
      <c r="U436" s="207"/>
      <c r="V436" s="202"/>
      <c r="W436" s="207"/>
      <c r="X436" s="202"/>
      <c r="Y436" s="207"/>
      <c r="Z436" s="202"/>
      <c r="AA436" s="207"/>
      <c r="AB436" s="202"/>
      <c r="AC436" s="208"/>
      <c r="AD436" s="202"/>
      <c r="AE436" s="203">
        <f t="shared" si="5"/>
        <v>0</v>
      </c>
      <c r="AF436" s="202"/>
      <c r="AG436" s="204"/>
      <c r="AH436" s="202"/>
      <c r="AI436" s="204"/>
      <c r="AJ436" s="202"/>
      <c r="AK436" s="204"/>
      <c r="AL436" s="202"/>
      <c r="AM436" s="204"/>
      <c r="AN436" s="202"/>
      <c r="AO436" s="204"/>
      <c r="AP436" s="202"/>
      <c r="AQ436" s="208"/>
      <c r="AR436" s="202"/>
      <c r="AS436" s="203">
        <f t="shared" si="6"/>
        <v>0</v>
      </c>
      <c r="AT436" s="202"/>
      <c r="AU436" s="204"/>
      <c r="AV436" s="202"/>
      <c r="AW436" s="204"/>
      <c r="AX436" s="202"/>
      <c r="AY436" s="204"/>
      <c r="AZ436" s="202"/>
      <c r="BA436" s="204"/>
      <c r="BB436" s="202"/>
      <c r="BC436" s="204"/>
      <c r="BD436" s="202"/>
      <c r="BE436" s="208"/>
      <c r="BF436" s="202"/>
      <c r="BG436" s="203">
        <f t="shared" si="7"/>
        <v>0</v>
      </c>
      <c r="BH436" s="202"/>
      <c r="BI436" s="204"/>
      <c r="BJ436" s="202"/>
      <c r="BK436" s="204"/>
      <c r="BL436" s="202"/>
      <c r="BM436" s="204"/>
      <c r="BN436" s="202"/>
      <c r="BO436" s="203">
        <f t="shared" si="8"/>
        <v>0</v>
      </c>
      <c r="BP436" s="202"/>
      <c r="BQ436" s="138"/>
      <c r="BR436" s="128"/>
      <c r="BS436" s="128"/>
      <c r="BT436" s="128"/>
      <c r="BU436" s="128"/>
      <c r="BV436" s="128"/>
      <c r="BW436" s="139"/>
      <c r="BX436" s="140"/>
      <c r="BY436" s="139"/>
      <c r="BZ436" s="139"/>
      <c r="CA436" s="134"/>
      <c r="CB436" s="134"/>
      <c r="CC436" s="134"/>
      <c r="CD436" s="134"/>
      <c r="CE436" s="134"/>
      <c r="CF436" s="134"/>
      <c r="CG436" s="92"/>
      <c r="CH436" s="92"/>
      <c r="CI436" s="92"/>
      <c r="CJ436" s="92"/>
      <c r="CK436" s="92"/>
    </row>
    <row r="437" spans="1:89" ht="17.25" customHeight="1">
      <c r="A437" s="160"/>
      <c r="B437" s="165"/>
      <c r="C437" s="164"/>
      <c r="D437" s="137">
        <f t="shared" si="3"/>
        <v>0</v>
      </c>
      <c r="E437" s="207"/>
      <c r="F437" s="202"/>
      <c r="G437" s="207"/>
      <c r="H437" s="202"/>
      <c r="I437" s="207"/>
      <c r="J437" s="202"/>
      <c r="K437" s="207"/>
      <c r="L437" s="202"/>
      <c r="M437" s="207"/>
      <c r="N437" s="202"/>
      <c r="O437" s="201"/>
      <c r="P437" s="202"/>
      <c r="Q437" s="203">
        <f t="shared" si="4"/>
        <v>0</v>
      </c>
      <c r="R437" s="202"/>
      <c r="S437" s="207"/>
      <c r="T437" s="202"/>
      <c r="U437" s="207"/>
      <c r="V437" s="202"/>
      <c r="W437" s="207"/>
      <c r="X437" s="202"/>
      <c r="Y437" s="207"/>
      <c r="Z437" s="202"/>
      <c r="AA437" s="207"/>
      <c r="AB437" s="202"/>
      <c r="AC437" s="208"/>
      <c r="AD437" s="202"/>
      <c r="AE437" s="203">
        <f t="shared" si="5"/>
        <v>0</v>
      </c>
      <c r="AF437" s="202"/>
      <c r="AG437" s="204"/>
      <c r="AH437" s="202"/>
      <c r="AI437" s="204"/>
      <c r="AJ437" s="202"/>
      <c r="AK437" s="204"/>
      <c r="AL437" s="202"/>
      <c r="AM437" s="204"/>
      <c r="AN437" s="202"/>
      <c r="AO437" s="204"/>
      <c r="AP437" s="202"/>
      <c r="AQ437" s="208"/>
      <c r="AR437" s="202"/>
      <c r="AS437" s="203">
        <f t="shared" si="6"/>
        <v>0</v>
      </c>
      <c r="AT437" s="202"/>
      <c r="AU437" s="204"/>
      <c r="AV437" s="202"/>
      <c r="AW437" s="204"/>
      <c r="AX437" s="202"/>
      <c r="AY437" s="204"/>
      <c r="AZ437" s="202"/>
      <c r="BA437" s="204"/>
      <c r="BB437" s="202"/>
      <c r="BC437" s="204"/>
      <c r="BD437" s="202"/>
      <c r="BE437" s="208"/>
      <c r="BF437" s="202"/>
      <c r="BG437" s="203">
        <f t="shared" si="7"/>
        <v>0</v>
      </c>
      <c r="BH437" s="202"/>
      <c r="BI437" s="204"/>
      <c r="BJ437" s="202"/>
      <c r="BK437" s="204"/>
      <c r="BL437" s="202"/>
      <c r="BM437" s="204"/>
      <c r="BN437" s="202"/>
      <c r="BO437" s="203">
        <f t="shared" si="8"/>
        <v>0</v>
      </c>
      <c r="BP437" s="202"/>
      <c r="BQ437" s="138"/>
      <c r="BR437" s="128"/>
      <c r="BS437" s="128"/>
      <c r="BT437" s="128"/>
      <c r="BU437" s="128"/>
      <c r="BV437" s="128"/>
      <c r="BW437" s="139"/>
      <c r="BX437" s="140"/>
      <c r="BY437" s="139"/>
      <c r="BZ437" s="139"/>
      <c r="CA437" s="134"/>
      <c r="CB437" s="134"/>
      <c r="CC437" s="134"/>
      <c r="CD437" s="134"/>
      <c r="CE437" s="134"/>
      <c r="CF437" s="134"/>
      <c r="CG437" s="92"/>
      <c r="CH437" s="92"/>
      <c r="CI437" s="92"/>
      <c r="CJ437" s="92"/>
      <c r="CK437" s="92"/>
    </row>
    <row r="438" spans="1:89" ht="17.25" customHeight="1">
      <c r="A438" s="160"/>
      <c r="B438" s="165"/>
      <c r="C438" s="164"/>
      <c r="D438" s="137">
        <f t="shared" si="3"/>
        <v>0</v>
      </c>
      <c r="E438" s="207"/>
      <c r="F438" s="202"/>
      <c r="G438" s="207"/>
      <c r="H438" s="202"/>
      <c r="I438" s="207"/>
      <c r="J438" s="202"/>
      <c r="K438" s="207"/>
      <c r="L438" s="202"/>
      <c r="M438" s="207"/>
      <c r="N438" s="202"/>
      <c r="O438" s="201"/>
      <c r="P438" s="202"/>
      <c r="Q438" s="203">
        <f t="shared" si="4"/>
        <v>0</v>
      </c>
      <c r="R438" s="202"/>
      <c r="S438" s="207"/>
      <c r="T438" s="202"/>
      <c r="U438" s="207"/>
      <c r="V438" s="202"/>
      <c r="W438" s="207"/>
      <c r="X438" s="202"/>
      <c r="Y438" s="207"/>
      <c r="Z438" s="202"/>
      <c r="AA438" s="207"/>
      <c r="AB438" s="202"/>
      <c r="AC438" s="208"/>
      <c r="AD438" s="202"/>
      <c r="AE438" s="203">
        <f t="shared" si="5"/>
        <v>0</v>
      </c>
      <c r="AF438" s="202"/>
      <c r="AG438" s="204"/>
      <c r="AH438" s="202"/>
      <c r="AI438" s="204"/>
      <c r="AJ438" s="202"/>
      <c r="AK438" s="204"/>
      <c r="AL438" s="202"/>
      <c r="AM438" s="204"/>
      <c r="AN438" s="202"/>
      <c r="AO438" s="204"/>
      <c r="AP438" s="202"/>
      <c r="AQ438" s="208"/>
      <c r="AR438" s="202"/>
      <c r="AS438" s="203">
        <f t="shared" si="6"/>
        <v>0</v>
      </c>
      <c r="AT438" s="202"/>
      <c r="AU438" s="204"/>
      <c r="AV438" s="202"/>
      <c r="AW438" s="204"/>
      <c r="AX438" s="202"/>
      <c r="AY438" s="204"/>
      <c r="AZ438" s="202"/>
      <c r="BA438" s="204"/>
      <c r="BB438" s="202"/>
      <c r="BC438" s="204"/>
      <c r="BD438" s="202"/>
      <c r="BE438" s="208"/>
      <c r="BF438" s="202"/>
      <c r="BG438" s="203">
        <f t="shared" si="7"/>
        <v>0</v>
      </c>
      <c r="BH438" s="202"/>
      <c r="BI438" s="204"/>
      <c r="BJ438" s="202"/>
      <c r="BK438" s="204"/>
      <c r="BL438" s="202"/>
      <c r="BM438" s="204"/>
      <c r="BN438" s="202"/>
      <c r="BO438" s="203">
        <f t="shared" si="8"/>
        <v>0</v>
      </c>
      <c r="BP438" s="202"/>
      <c r="BQ438" s="138"/>
      <c r="BR438" s="128"/>
      <c r="BS438" s="128"/>
      <c r="BT438" s="128"/>
      <c r="BU438" s="128"/>
      <c r="BV438" s="128"/>
      <c r="BW438" s="139"/>
      <c r="BX438" s="140"/>
      <c r="BY438" s="139"/>
      <c r="BZ438" s="139"/>
      <c r="CA438" s="134"/>
      <c r="CB438" s="134"/>
      <c r="CC438" s="134"/>
      <c r="CD438" s="134"/>
      <c r="CE438" s="134"/>
      <c r="CF438" s="134"/>
      <c r="CG438" s="92"/>
      <c r="CH438" s="92"/>
      <c r="CI438" s="92"/>
      <c r="CJ438" s="92"/>
      <c r="CK438" s="92"/>
    </row>
    <row r="439" spans="1:89" ht="17.25" customHeight="1">
      <c r="A439" s="160"/>
      <c r="B439" s="165"/>
      <c r="C439" s="164"/>
      <c r="D439" s="137">
        <f t="shared" si="3"/>
        <v>0</v>
      </c>
      <c r="E439" s="207"/>
      <c r="F439" s="202"/>
      <c r="G439" s="207"/>
      <c r="H439" s="202"/>
      <c r="I439" s="207"/>
      <c r="J439" s="202"/>
      <c r="K439" s="207"/>
      <c r="L439" s="202"/>
      <c r="M439" s="207"/>
      <c r="N439" s="202"/>
      <c r="O439" s="201"/>
      <c r="P439" s="202"/>
      <c r="Q439" s="203">
        <f t="shared" si="4"/>
        <v>0</v>
      </c>
      <c r="R439" s="202"/>
      <c r="S439" s="207"/>
      <c r="T439" s="202"/>
      <c r="U439" s="207"/>
      <c r="V439" s="202"/>
      <c r="W439" s="207"/>
      <c r="X439" s="202"/>
      <c r="Y439" s="207"/>
      <c r="Z439" s="202"/>
      <c r="AA439" s="207"/>
      <c r="AB439" s="202"/>
      <c r="AC439" s="208"/>
      <c r="AD439" s="202"/>
      <c r="AE439" s="203">
        <f t="shared" si="5"/>
        <v>0</v>
      </c>
      <c r="AF439" s="202"/>
      <c r="AG439" s="204"/>
      <c r="AH439" s="202"/>
      <c r="AI439" s="204"/>
      <c r="AJ439" s="202"/>
      <c r="AK439" s="204"/>
      <c r="AL439" s="202"/>
      <c r="AM439" s="204"/>
      <c r="AN439" s="202"/>
      <c r="AO439" s="204"/>
      <c r="AP439" s="202"/>
      <c r="AQ439" s="208"/>
      <c r="AR439" s="202"/>
      <c r="AS439" s="203">
        <f t="shared" si="6"/>
        <v>0</v>
      </c>
      <c r="AT439" s="202"/>
      <c r="AU439" s="204"/>
      <c r="AV439" s="202"/>
      <c r="AW439" s="204"/>
      <c r="AX439" s="202"/>
      <c r="AY439" s="204"/>
      <c r="AZ439" s="202"/>
      <c r="BA439" s="204"/>
      <c r="BB439" s="202"/>
      <c r="BC439" s="204"/>
      <c r="BD439" s="202"/>
      <c r="BE439" s="208"/>
      <c r="BF439" s="202"/>
      <c r="BG439" s="203">
        <f t="shared" si="7"/>
        <v>0</v>
      </c>
      <c r="BH439" s="202"/>
      <c r="BI439" s="204"/>
      <c r="BJ439" s="202"/>
      <c r="BK439" s="204"/>
      <c r="BL439" s="202"/>
      <c r="BM439" s="204"/>
      <c r="BN439" s="202"/>
      <c r="BO439" s="203">
        <f t="shared" si="8"/>
        <v>0</v>
      </c>
      <c r="BP439" s="202"/>
      <c r="BQ439" s="138"/>
      <c r="BR439" s="128"/>
      <c r="BS439" s="128"/>
      <c r="BT439" s="128"/>
      <c r="BU439" s="128"/>
      <c r="BV439" s="128"/>
      <c r="BW439" s="139"/>
      <c r="BX439" s="140"/>
      <c r="BY439" s="139"/>
      <c r="BZ439" s="139"/>
      <c r="CA439" s="134"/>
      <c r="CB439" s="134"/>
      <c r="CC439" s="134"/>
      <c r="CD439" s="134"/>
      <c r="CE439" s="134"/>
      <c r="CF439" s="134"/>
      <c r="CG439" s="92"/>
      <c r="CH439" s="92"/>
      <c r="CI439" s="92"/>
      <c r="CJ439" s="92"/>
      <c r="CK439" s="92"/>
    </row>
    <row r="440" spans="1:89" ht="17.25" customHeight="1">
      <c r="A440" s="160"/>
      <c r="B440" s="165"/>
      <c r="C440" s="164"/>
      <c r="D440" s="137">
        <f t="shared" si="3"/>
        <v>0</v>
      </c>
      <c r="E440" s="207"/>
      <c r="F440" s="202"/>
      <c r="G440" s="207"/>
      <c r="H440" s="202"/>
      <c r="I440" s="207"/>
      <c r="J440" s="202"/>
      <c r="K440" s="207"/>
      <c r="L440" s="202"/>
      <c r="M440" s="207"/>
      <c r="N440" s="202"/>
      <c r="O440" s="201"/>
      <c r="P440" s="202"/>
      <c r="Q440" s="203">
        <f t="shared" si="4"/>
        <v>0</v>
      </c>
      <c r="R440" s="202"/>
      <c r="S440" s="207"/>
      <c r="T440" s="202"/>
      <c r="U440" s="207"/>
      <c r="V440" s="202"/>
      <c r="W440" s="207"/>
      <c r="X440" s="202"/>
      <c r="Y440" s="207"/>
      <c r="Z440" s="202"/>
      <c r="AA440" s="207"/>
      <c r="AB440" s="202"/>
      <c r="AC440" s="208"/>
      <c r="AD440" s="202"/>
      <c r="AE440" s="203">
        <f t="shared" si="5"/>
        <v>0</v>
      </c>
      <c r="AF440" s="202"/>
      <c r="AG440" s="204"/>
      <c r="AH440" s="202"/>
      <c r="AI440" s="204"/>
      <c r="AJ440" s="202"/>
      <c r="AK440" s="204"/>
      <c r="AL440" s="202"/>
      <c r="AM440" s="204"/>
      <c r="AN440" s="202"/>
      <c r="AO440" s="204"/>
      <c r="AP440" s="202"/>
      <c r="AQ440" s="208"/>
      <c r="AR440" s="202"/>
      <c r="AS440" s="203">
        <f t="shared" si="6"/>
        <v>0</v>
      </c>
      <c r="AT440" s="202"/>
      <c r="AU440" s="204"/>
      <c r="AV440" s="202"/>
      <c r="AW440" s="204"/>
      <c r="AX440" s="202"/>
      <c r="AY440" s="204"/>
      <c r="AZ440" s="202"/>
      <c r="BA440" s="204"/>
      <c r="BB440" s="202"/>
      <c r="BC440" s="204"/>
      <c r="BD440" s="202"/>
      <c r="BE440" s="208"/>
      <c r="BF440" s="202"/>
      <c r="BG440" s="203">
        <f t="shared" si="7"/>
        <v>0</v>
      </c>
      <c r="BH440" s="202"/>
      <c r="BI440" s="204"/>
      <c r="BJ440" s="202"/>
      <c r="BK440" s="204"/>
      <c r="BL440" s="202"/>
      <c r="BM440" s="204"/>
      <c r="BN440" s="202"/>
      <c r="BO440" s="203">
        <f t="shared" si="8"/>
        <v>0</v>
      </c>
      <c r="BP440" s="202"/>
      <c r="BQ440" s="138"/>
      <c r="BR440" s="128"/>
      <c r="BS440" s="128"/>
      <c r="BT440" s="128"/>
      <c r="BU440" s="128"/>
      <c r="BV440" s="128"/>
      <c r="BW440" s="139"/>
      <c r="BX440" s="140"/>
      <c r="BY440" s="139"/>
      <c r="BZ440" s="139"/>
      <c r="CA440" s="134"/>
      <c r="CB440" s="134"/>
      <c r="CC440" s="134"/>
      <c r="CD440" s="134"/>
      <c r="CE440" s="134"/>
      <c r="CF440" s="134"/>
      <c r="CG440" s="92"/>
      <c r="CH440" s="92"/>
      <c r="CI440" s="92"/>
      <c r="CJ440" s="92"/>
      <c r="CK440" s="92"/>
    </row>
    <row r="441" spans="1:89" ht="17.25" customHeight="1">
      <c r="A441" s="160"/>
      <c r="B441" s="165"/>
      <c r="C441" s="164"/>
      <c r="D441" s="137">
        <f t="shared" si="3"/>
        <v>0</v>
      </c>
      <c r="E441" s="207"/>
      <c r="F441" s="202"/>
      <c r="G441" s="207"/>
      <c r="H441" s="202"/>
      <c r="I441" s="207"/>
      <c r="J441" s="202"/>
      <c r="K441" s="207"/>
      <c r="L441" s="202"/>
      <c r="M441" s="207"/>
      <c r="N441" s="202"/>
      <c r="O441" s="201"/>
      <c r="P441" s="202"/>
      <c r="Q441" s="203">
        <f t="shared" si="4"/>
        <v>0</v>
      </c>
      <c r="R441" s="202"/>
      <c r="S441" s="207"/>
      <c r="T441" s="202"/>
      <c r="U441" s="207"/>
      <c r="V441" s="202"/>
      <c r="W441" s="207"/>
      <c r="X441" s="202"/>
      <c r="Y441" s="207"/>
      <c r="Z441" s="202"/>
      <c r="AA441" s="207"/>
      <c r="AB441" s="202"/>
      <c r="AC441" s="208"/>
      <c r="AD441" s="202"/>
      <c r="AE441" s="203">
        <f t="shared" si="5"/>
        <v>0</v>
      </c>
      <c r="AF441" s="202"/>
      <c r="AG441" s="204"/>
      <c r="AH441" s="202"/>
      <c r="AI441" s="204"/>
      <c r="AJ441" s="202"/>
      <c r="AK441" s="204"/>
      <c r="AL441" s="202"/>
      <c r="AM441" s="204"/>
      <c r="AN441" s="202"/>
      <c r="AO441" s="204"/>
      <c r="AP441" s="202"/>
      <c r="AQ441" s="208"/>
      <c r="AR441" s="202"/>
      <c r="AS441" s="203">
        <f t="shared" si="6"/>
        <v>0</v>
      </c>
      <c r="AT441" s="202"/>
      <c r="AU441" s="204"/>
      <c r="AV441" s="202"/>
      <c r="AW441" s="204"/>
      <c r="AX441" s="202"/>
      <c r="AY441" s="204"/>
      <c r="AZ441" s="202"/>
      <c r="BA441" s="204"/>
      <c r="BB441" s="202"/>
      <c r="BC441" s="204"/>
      <c r="BD441" s="202"/>
      <c r="BE441" s="208"/>
      <c r="BF441" s="202"/>
      <c r="BG441" s="203">
        <f t="shared" si="7"/>
        <v>0</v>
      </c>
      <c r="BH441" s="202"/>
      <c r="BI441" s="204"/>
      <c r="BJ441" s="202"/>
      <c r="BK441" s="204"/>
      <c r="BL441" s="202"/>
      <c r="BM441" s="204"/>
      <c r="BN441" s="202"/>
      <c r="BO441" s="203">
        <f t="shared" si="8"/>
        <v>0</v>
      </c>
      <c r="BP441" s="202"/>
      <c r="BQ441" s="138"/>
      <c r="BR441" s="128"/>
      <c r="BS441" s="128"/>
      <c r="BT441" s="128"/>
      <c r="BU441" s="128"/>
      <c r="BV441" s="128"/>
      <c r="BW441" s="139"/>
      <c r="BX441" s="140"/>
      <c r="BY441" s="139"/>
      <c r="BZ441" s="139"/>
      <c r="CA441" s="134"/>
      <c r="CB441" s="134"/>
      <c r="CC441" s="134"/>
      <c r="CD441" s="134"/>
      <c r="CE441" s="134"/>
      <c r="CF441" s="134"/>
      <c r="CG441" s="92"/>
      <c r="CH441" s="92"/>
      <c r="CI441" s="92"/>
      <c r="CJ441" s="92"/>
      <c r="CK441" s="92"/>
    </row>
    <row r="442" spans="1:89" ht="17.25" customHeight="1">
      <c r="A442" s="160"/>
      <c r="B442" s="165"/>
      <c r="C442" s="164"/>
      <c r="D442" s="137">
        <f t="shared" si="3"/>
        <v>0</v>
      </c>
      <c r="E442" s="207"/>
      <c r="F442" s="202"/>
      <c r="G442" s="207"/>
      <c r="H442" s="202"/>
      <c r="I442" s="207"/>
      <c r="J442" s="202"/>
      <c r="K442" s="207"/>
      <c r="L442" s="202"/>
      <c r="M442" s="207"/>
      <c r="N442" s="202"/>
      <c r="O442" s="201"/>
      <c r="P442" s="202"/>
      <c r="Q442" s="203">
        <f t="shared" si="4"/>
        <v>0</v>
      </c>
      <c r="R442" s="202"/>
      <c r="S442" s="207"/>
      <c r="T442" s="202"/>
      <c r="U442" s="207"/>
      <c r="V442" s="202"/>
      <c r="W442" s="207"/>
      <c r="X442" s="202"/>
      <c r="Y442" s="207"/>
      <c r="Z442" s="202"/>
      <c r="AA442" s="207"/>
      <c r="AB442" s="202"/>
      <c r="AC442" s="208"/>
      <c r="AD442" s="202"/>
      <c r="AE442" s="203">
        <f t="shared" si="5"/>
        <v>0</v>
      </c>
      <c r="AF442" s="202"/>
      <c r="AG442" s="204"/>
      <c r="AH442" s="202"/>
      <c r="AI442" s="204"/>
      <c r="AJ442" s="202"/>
      <c r="AK442" s="204"/>
      <c r="AL442" s="202"/>
      <c r="AM442" s="204"/>
      <c r="AN442" s="202"/>
      <c r="AO442" s="204"/>
      <c r="AP442" s="202"/>
      <c r="AQ442" s="208"/>
      <c r="AR442" s="202"/>
      <c r="AS442" s="203">
        <f t="shared" si="6"/>
        <v>0</v>
      </c>
      <c r="AT442" s="202"/>
      <c r="AU442" s="204"/>
      <c r="AV442" s="202"/>
      <c r="AW442" s="204"/>
      <c r="AX442" s="202"/>
      <c r="AY442" s="204"/>
      <c r="AZ442" s="202"/>
      <c r="BA442" s="204"/>
      <c r="BB442" s="202"/>
      <c r="BC442" s="204"/>
      <c r="BD442" s="202"/>
      <c r="BE442" s="208"/>
      <c r="BF442" s="202"/>
      <c r="BG442" s="203">
        <f t="shared" si="7"/>
        <v>0</v>
      </c>
      <c r="BH442" s="202"/>
      <c r="BI442" s="204"/>
      <c r="BJ442" s="202"/>
      <c r="BK442" s="204"/>
      <c r="BL442" s="202"/>
      <c r="BM442" s="204"/>
      <c r="BN442" s="202"/>
      <c r="BO442" s="203">
        <f t="shared" si="8"/>
        <v>0</v>
      </c>
      <c r="BP442" s="202"/>
      <c r="BQ442" s="138"/>
      <c r="BR442" s="128"/>
      <c r="BS442" s="128"/>
      <c r="BT442" s="128"/>
      <c r="BU442" s="128"/>
      <c r="BV442" s="128"/>
      <c r="BW442" s="139"/>
      <c r="BX442" s="140"/>
      <c r="BY442" s="139"/>
      <c r="BZ442" s="139"/>
      <c r="CA442" s="134"/>
      <c r="CB442" s="134"/>
      <c r="CC442" s="134"/>
      <c r="CD442" s="134"/>
      <c r="CE442" s="134"/>
      <c r="CF442" s="134"/>
      <c r="CG442" s="92"/>
      <c r="CH442" s="92"/>
      <c r="CI442" s="92"/>
      <c r="CJ442" s="92"/>
      <c r="CK442" s="92"/>
    </row>
    <row r="443" spans="1:89" ht="17.25" customHeight="1">
      <c r="A443" s="160"/>
      <c r="B443" s="165"/>
      <c r="C443" s="164"/>
      <c r="D443" s="137">
        <f t="shared" si="3"/>
        <v>0</v>
      </c>
      <c r="E443" s="207"/>
      <c r="F443" s="202"/>
      <c r="G443" s="207"/>
      <c r="H443" s="202"/>
      <c r="I443" s="207"/>
      <c r="J443" s="202"/>
      <c r="K443" s="207"/>
      <c r="L443" s="202"/>
      <c r="M443" s="207"/>
      <c r="N443" s="202"/>
      <c r="O443" s="201"/>
      <c r="P443" s="202"/>
      <c r="Q443" s="203">
        <f t="shared" si="4"/>
        <v>0</v>
      </c>
      <c r="R443" s="202"/>
      <c r="S443" s="207"/>
      <c r="T443" s="202"/>
      <c r="U443" s="207"/>
      <c r="V443" s="202"/>
      <c r="W443" s="207"/>
      <c r="X443" s="202"/>
      <c r="Y443" s="207"/>
      <c r="Z443" s="202"/>
      <c r="AA443" s="207"/>
      <c r="AB443" s="202"/>
      <c r="AC443" s="208"/>
      <c r="AD443" s="202"/>
      <c r="AE443" s="203">
        <f t="shared" si="5"/>
        <v>0</v>
      </c>
      <c r="AF443" s="202"/>
      <c r="AG443" s="204"/>
      <c r="AH443" s="202"/>
      <c r="AI443" s="204"/>
      <c r="AJ443" s="202"/>
      <c r="AK443" s="204"/>
      <c r="AL443" s="202"/>
      <c r="AM443" s="204"/>
      <c r="AN443" s="202"/>
      <c r="AO443" s="204"/>
      <c r="AP443" s="202"/>
      <c r="AQ443" s="208"/>
      <c r="AR443" s="202"/>
      <c r="AS443" s="203">
        <f t="shared" si="6"/>
        <v>0</v>
      </c>
      <c r="AT443" s="202"/>
      <c r="AU443" s="204"/>
      <c r="AV443" s="202"/>
      <c r="AW443" s="204"/>
      <c r="AX443" s="202"/>
      <c r="AY443" s="204"/>
      <c r="AZ443" s="202"/>
      <c r="BA443" s="204"/>
      <c r="BB443" s="202"/>
      <c r="BC443" s="204"/>
      <c r="BD443" s="202"/>
      <c r="BE443" s="208"/>
      <c r="BF443" s="202"/>
      <c r="BG443" s="203">
        <f t="shared" si="7"/>
        <v>0</v>
      </c>
      <c r="BH443" s="202"/>
      <c r="BI443" s="204"/>
      <c r="BJ443" s="202"/>
      <c r="BK443" s="204"/>
      <c r="BL443" s="202"/>
      <c r="BM443" s="204"/>
      <c r="BN443" s="202"/>
      <c r="BO443" s="203">
        <f t="shared" si="8"/>
        <v>0</v>
      </c>
      <c r="BP443" s="202"/>
      <c r="BQ443" s="138"/>
      <c r="BR443" s="128"/>
      <c r="BS443" s="128"/>
      <c r="BT443" s="128"/>
      <c r="BU443" s="128"/>
      <c r="BV443" s="128"/>
      <c r="BW443" s="139"/>
      <c r="BX443" s="140"/>
      <c r="BY443" s="139"/>
      <c r="BZ443" s="139"/>
      <c r="CA443" s="134"/>
      <c r="CB443" s="134"/>
      <c r="CC443" s="134"/>
      <c r="CD443" s="134"/>
      <c r="CE443" s="134"/>
      <c r="CF443" s="134"/>
      <c r="CG443" s="92"/>
      <c r="CH443" s="92"/>
      <c r="CI443" s="92"/>
      <c r="CJ443" s="92"/>
      <c r="CK443" s="92"/>
    </row>
    <row r="444" spans="1:89" ht="17.25" customHeight="1">
      <c r="A444" s="160"/>
      <c r="B444" s="165"/>
      <c r="C444" s="164"/>
      <c r="D444" s="137">
        <f t="shared" si="3"/>
        <v>0</v>
      </c>
      <c r="E444" s="207"/>
      <c r="F444" s="202"/>
      <c r="G444" s="207"/>
      <c r="H444" s="202"/>
      <c r="I444" s="207"/>
      <c r="J444" s="202"/>
      <c r="K444" s="207"/>
      <c r="L444" s="202"/>
      <c r="M444" s="207"/>
      <c r="N444" s="202"/>
      <c r="O444" s="201"/>
      <c r="P444" s="202"/>
      <c r="Q444" s="203">
        <f t="shared" si="4"/>
        <v>0</v>
      </c>
      <c r="R444" s="202"/>
      <c r="S444" s="207"/>
      <c r="T444" s="202"/>
      <c r="U444" s="207"/>
      <c r="V444" s="202"/>
      <c r="W444" s="207"/>
      <c r="X444" s="202"/>
      <c r="Y444" s="207"/>
      <c r="Z444" s="202"/>
      <c r="AA444" s="207"/>
      <c r="AB444" s="202"/>
      <c r="AC444" s="208"/>
      <c r="AD444" s="202"/>
      <c r="AE444" s="203">
        <f t="shared" si="5"/>
        <v>0</v>
      </c>
      <c r="AF444" s="202"/>
      <c r="AG444" s="204"/>
      <c r="AH444" s="202"/>
      <c r="AI444" s="204"/>
      <c r="AJ444" s="202"/>
      <c r="AK444" s="204"/>
      <c r="AL444" s="202"/>
      <c r="AM444" s="204"/>
      <c r="AN444" s="202"/>
      <c r="AO444" s="204"/>
      <c r="AP444" s="202"/>
      <c r="AQ444" s="208"/>
      <c r="AR444" s="202"/>
      <c r="AS444" s="203">
        <f t="shared" si="6"/>
        <v>0</v>
      </c>
      <c r="AT444" s="202"/>
      <c r="AU444" s="204"/>
      <c r="AV444" s="202"/>
      <c r="AW444" s="204"/>
      <c r="AX444" s="202"/>
      <c r="AY444" s="204"/>
      <c r="AZ444" s="202"/>
      <c r="BA444" s="204"/>
      <c r="BB444" s="202"/>
      <c r="BC444" s="204"/>
      <c r="BD444" s="202"/>
      <c r="BE444" s="208"/>
      <c r="BF444" s="202"/>
      <c r="BG444" s="203">
        <f t="shared" si="7"/>
        <v>0</v>
      </c>
      <c r="BH444" s="202"/>
      <c r="BI444" s="204"/>
      <c r="BJ444" s="202"/>
      <c r="BK444" s="204"/>
      <c r="BL444" s="202"/>
      <c r="BM444" s="204"/>
      <c r="BN444" s="202"/>
      <c r="BO444" s="203">
        <f t="shared" si="8"/>
        <v>0</v>
      </c>
      <c r="BP444" s="202"/>
      <c r="BQ444" s="138"/>
      <c r="BR444" s="128"/>
      <c r="BS444" s="128"/>
      <c r="BT444" s="128"/>
      <c r="BU444" s="128"/>
      <c r="BV444" s="128"/>
      <c r="BW444" s="139"/>
      <c r="BX444" s="140"/>
      <c r="BY444" s="139"/>
      <c r="BZ444" s="139"/>
      <c r="CA444" s="134"/>
      <c r="CB444" s="134"/>
      <c r="CC444" s="134"/>
      <c r="CD444" s="134"/>
      <c r="CE444" s="134"/>
      <c r="CF444" s="134"/>
      <c r="CG444" s="92"/>
      <c r="CH444" s="92"/>
      <c r="CI444" s="92"/>
      <c r="CJ444" s="92"/>
      <c r="CK444" s="92"/>
    </row>
    <row r="445" spans="1:89" ht="17.25" customHeight="1">
      <c r="A445" s="160"/>
      <c r="B445" s="165"/>
      <c r="C445" s="164"/>
      <c r="D445" s="137">
        <f t="shared" si="3"/>
        <v>0</v>
      </c>
      <c r="E445" s="207"/>
      <c r="F445" s="202"/>
      <c r="G445" s="207"/>
      <c r="H445" s="202"/>
      <c r="I445" s="207"/>
      <c r="J445" s="202"/>
      <c r="K445" s="207"/>
      <c r="L445" s="202"/>
      <c r="M445" s="207"/>
      <c r="N445" s="202"/>
      <c r="O445" s="201"/>
      <c r="P445" s="202"/>
      <c r="Q445" s="203">
        <f t="shared" si="4"/>
        <v>0</v>
      </c>
      <c r="R445" s="202"/>
      <c r="S445" s="207"/>
      <c r="T445" s="202"/>
      <c r="U445" s="207"/>
      <c r="V445" s="202"/>
      <c r="W445" s="207"/>
      <c r="X445" s="202"/>
      <c r="Y445" s="207"/>
      <c r="Z445" s="202"/>
      <c r="AA445" s="207"/>
      <c r="AB445" s="202"/>
      <c r="AC445" s="208"/>
      <c r="AD445" s="202"/>
      <c r="AE445" s="203">
        <f t="shared" si="5"/>
        <v>0</v>
      </c>
      <c r="AF445" s="202"/>
      <c r="AG445" s="204"/>
      <c r="AH445" s="202"/>
      <c r="AI445" s="204"/>
      <c r="AJ445" s="202"/>
      <c r="AK445" s="204"/>
      <c r="AL445" s="202"/>
      <c r="AM445" s="204"/>
      <c r="AN445" s="202"/>
      <c r="AO445" s="204"/>
      <c r="AP445" s="202"/>
      <c r="AQ445" s="208"/>
      <c r="AR445" s="202"/>
      <c r="AS445" s="203">
        <f t="shared" si="6"/>
        <v>0</v>
      </c>
      <c r="AT445" s="202"/>
      <c r="AU445" s="204"/>
      <c r="AV445" s="202"/>
      <c r="AW445" s="204"/>
      <c r="AX445" s="202"/>
      <c r="AY445" s="204"/>
      <c r="AZ445" s="202"/>
      <c r="BA445" s="204"/>
      <c r="BB445" s="202"/>
      <c r="BC445" s="204"/>
      <c r="BD445" s="202"/>
      <c r="BE445" s="208"/>
      <c r="BF445" s="202"/>
      <c r="BG445" s="203">
        <f t="shared" si="7"/>
        <v>0</v>
      </c>
      <c r="BH445" s="202"/>
      <c r="BI445" s="204"/>
      <c r="BJ445" s="202"/>
      <c r="BK445" s="204"/>
      <c r="BL445" s="202"/>
      <c r="BM445" s="204"/>
      <c r="BN445" s="202"/>
      <c r="BO445" s="203">
        <f t="shared" si="8"/>
        <v>0</v>
      </c>
      <c r="BP445" s="202"/>
      <c r="BQ445" s="138"/>
      <c r="BR445" s="128"/>
      <c r="BS445" s="128"/>
      <c r="BT445" s="128"/>
      <c r="BU445" s="128"/>
      <c r="BV445" s="128"/>
      <c r="BW445" s="139"/>
      <c r="BX445" s="140"/>
      <c r="BY445" s="139"/>
      <c r="BZ445" s="139"/>
      <c r="CA445" s="134"/>
      <c r="CB445" s="134"/>
      <c r="CC445" s="134"/>
      <c r="CD445" s="134"/>
      <c r="CE445" s="134"/>
      <c r="CF445" s="134"/>
      <c r="CG445" s="92"/>
      <c r="CH445" s="92"/>
      <c r="CI445" s="92"/>
      <c r="CJ445" s="92"/>
      <c r="CK445" s="92"/>
    </row>
    <row r="446" spans="1:89" ht="17.25" customHeight="1">
      <c r="A446" s="160"/>
      <c r="B446" s="165"/>
      <c r="C446" s="164"/>
      <c r="D446" s="137">
        <f t="shared" si="3"/>
        <v>0</v>
      </c>
      <c r="E446" s="207"/>
      <c r="F446" s="202"/>
      <c r="G446" s="207"/>
      <c r="H446" s="202"/>
      <c r="I446" s="207"/>
      <c r="J446" s="202"/>
      <c r="K446" s="207"/>
      <c r="L446" s="202"/>
      <c r="M446" s="207"/>
      <c r="N446" s="202"/>
      <c r="O446" s="201"/>
      <c r="P446" s="202"/>
      <c r="Q446" s="203">
        <f t="shared" si="4"/>
        <v>0</v>
      </c>
      <c r="R446" s="202"/>
      <c r="S446" s="207"/>
      <c r="T446" s="202"/>
      <c r="U446" s="207"/>
      <c r="V446" s="202"/>
      <c r="W446" s="207"/>
      <c r="X446" s="202"/>
      <c r="Y446" s="207"/>
      <c r="Z446" s="202"/>
      <c r="AA446" s="207"/>
      <c r="AB446" s="202"/>
      <c r="AC446" s="208"/>
      <c r="AD446" s="202"/>
      <c r="AE446" s="203">
        <f t="shared" si="5"/>
        <v>0</v>
      </c>
      <c r="AF446" s="202"/>
      <c r="AG446" s="204"/>
      <c r="AH446" s="202"/>
      <c r="AI446" s="204"/>
      <c r="AJ446" s="202"/>
      <c r="AK446" s="204"/>
      <c r="AL446" s="202"/>
      <c r="AM446" s="204"/>
      <c r="AN446" s="202"/>
      <c r="AO446" s="204"/>
      <c r="AP446" s="202"/>
      <c r="AQ446" s="208"/>
      <c r="AR446" s="202"/>
      <c r="AS446" s="203">
        <f t="shared" si="6"/>
        <v>0</v>
      </c>
      <c r="AT446" s="202"/>
      <c r="AU446" s="204"/>
      <c r="AV446" s="202"/>
      <c r="AW446" s="204"/>
      <c r="AX446" s="202"/>
      <c r="AY446" s="204"/>
      <c r="AZ446" s="202"/>
      <c r="BA446" s="204"/>
      <c r="BB446" s="202"/>
      <c r="BC446" s="204"/>
      <c r="BD446" s="202"/>
      <c r="BE446" s="208"/>
      <c r="BF446" s="202"/>
      <c r="BG446" s="203">
        <f t="shared" si="7"/>
        <v>0</v>
      </c>
      <c r="BH446" s="202"/>
      <c r="BI446" s="204"/>
      <c r="BJ446" s="202"/>
      <c r="BK446" s="204"/>
      <c r="BL446" s="202"/>
      <c r="BM446" s="204"/>
      <c r="BN446" s="202"/>
      <c r="BO446" s="203">
        <f t="shared" si="8"/>
        <v>0</v>
      </c>
      <c r="BP446" s="202"/>
      <c r="BQ446" s="138"/>
      <c r="BR446" s="128"/>
      <c r="BS446" s="128"/>
      <c r="BT446" s="128"/>
      <c r="BU446" s="128"/>
      <c r="BV446" s="128"/>
      <c r="BW446" s="139"/>
      <c r="BX446" s="140"/>
      <c r="BY446" s="139"/>
      <c r="BZ446" s="139"/>
      <c r="CA446" s="134"/>
      <c r="CB446" s="134"/>
      <c r="CC446" s="134"/>
      <c r="CD446" s="134"/>
      <c r="CE446" s="134"/>
      <c r="CF446" s="134"/>
      <c r="CG446" s="92"/>
      <c r="CH446" s="92"/>
      <c r="CI446" s="92"/>
      <c r="CJ446" s="92"/>
      <c r="CK446" s="92"/>
    </row>
    <row r="447" spans="1:89" ht="17.25" customHeight="1">
      <c r="A447" s="160"/>
      <c r="B447" s="165"/>
      <c r="C447" s="164"/>
      <c r="D447" s="137">
        <f t="shared" si="3"/>
        <v>0</v>
      </c>
      <c r="E447" s="207"/>
      <c r="F447" s="202"/>
      <c r="G447" s="207"/>
      <c r="H447" s="202"/>
      <c r="I447" s="207"/>
      <c r="J447" s="202"/>
      <c r="K447" s="207"/>
      <c r="L447" s="202"/>
      <c r="M447" s="207"/>
      <c r="N447" s="202"/>
      <c r="O447" s="201"/>
      <c r="P447" s="202"/>
      <c r="Q447" s="203">
        <f t="shared" si="4"/>
        <v>0</v>
      </c>
      <c r="R447" s="202"/>
      <c r="S447" s="207"/>
      <c r="T447" s="202"/>
      <c r="U447" s="207"/>
      <c r="V447" s="202"/>
      <c r="W447" s="207"/>
      <c r="X447" s="202"/>
      <c r="Y447" s="207"/>
      <c r="Z447" s="202"/>
      <c r="AA447" s="207"/>
      <c r="AB447" s="202"/>
      <c r="AC447" s="208"/>
      <c r="AD447" s="202"/>
      <c r="AE447" s="203">
        <f t="shared" si="5"/>
        <v>0</v>
      </c>
      <c r="AF447" s="202"/>
      <c r="AG447" s="204"/>
      <c r="AH447" s="202"/>
      <c r="AI447" s="204"/>
      <c r="AJ447" s="202"/>
      <c r="AK447" s="204"/>
      <c r="AL447" s="202"/>
      <c r="AM447" s="204"/>
      <c r="AN447" s="202"/>
      <c r="AO447" s="204"/>
      <c r="AP447" s="202"/>
      <c r="AQ447" s="208"/>
      <c r="AR447" s="202"/>
      <c r="AS447" s="203">
        <f t="shared" si="6"/>
        <v>0</v>
      </c>
      <c r="AT447" s="202"/>
      <c r="AU447" s="204"/>
      <c r="AV447" s="202"/>
      <c r="AW447" s="204"/>
      <c r="AX447" s="202"/>
      <c r="AY447" s="204"/>
      <c r="AZ447" s="202"/>
      <c r="BA447" s="204"/>
      <c r="BB447" s="202"/>
      <c r="BC447" s="204"/>
      <c r="BD447" s="202"/>
      <c r="BE447" s="208"/>
      <c r="BF447" s="202"/>
      <c r="BG447" s="203">
        <f t="shared" si="7"/>
        <v>0</v>
      </c>
      <c r="BH447" s="202"/>
      <c r="BI447" s="204"/>
      <c r="BJ447" s="202"/>
      <c r="BK447" s="204"/>
      <c r="BL447" s="202"/>
      <c r="BM447" s="204"/>
      <c r="BN447" s="202"/>
      <c r="BO447" s="203">
        <f t="shared" si="8"/>
        <v>0</v>
      </c>
      <c r="BP447" s="202"/>
      <c r="BQ447" s="138"/>
      <c r="BR447" s="128"/>
      <c r="BS447" s="128"/>
      <c r="BT447" s="128"/>
      <c r="BU447" s="128"/>
      <c r="BV447" s="128"/>
      <c r="BW447" s="139"/>
      <c r="BX447" s="140"/>
      <c r="BY447" s="139"/>
      <c r="BZ447" s="139"/>
      <c r="CA447" s="134"/>
      <c r="CB447" s="134"/>
      <c r="CC447" s="134"/>
      <c r="CD447" s="134"/>
      <c r="CE447" s="134"/>
      <c r="CF447" s="134"/>
      <c r="CG447" s="92"/>
      <c r="CH447" s="92"/>
      <c r="CI447" s="92"/>
      <c r="CJ447" s="92"/>
      <c r="CK447" s="92"/>
    </row>
    <row r="448" spans="1:89" ht="17.25" customHeight="1">
      <c r="A448" s="160"/>
      <c r="B448" s="165"/>
      <c r="C448" s="164"/>
      <c r="D448" s="137">
        <f t="shared" si="3"/>
        <v>0</v>
      </c>
      <c r="E448" s="207"/>
      <c r="F448" s="202"/>
      <c r="G448" s="207"/>
      <c r="H448" s="202"/>
      <c r="I448" s="207"/>
      <c r="J448" s="202"/>
      <c r="K448" s="207"/>
      <c r="L448" s="202"/>
      <c r="M448" s="207"/>
      <c r="N448" s="202"/>
      <c r="O448" s="201"/>
      <c r="P448" s="202"/>
      <c r="Q448" s="203">
        <f t="shared" si="4"/>
        <v>0</v>
      </c>
      <c r="R448" s="202"/>
      <c r="S448" s="207"/>
      <c r="T448" s="202"/>
      <c r="U448" s="207"/>
      <c r="V448" s="202"/>
      <c r="W448" s="207"/>
      <c r="X448" s="202"/>
      <c r="Y448" s="207"/>
      <c r="Z448" s="202"/>
      <c r="AA448" s="207"/>
      <c r="AB448" s="202"/>
      <c r="AC448" s="208"/>
      <c r="AD448" s="202"/>
      <c r="AE448" s="203">
        <f t="shared" si="5"/>
        <v>0</v>
      </c>
      <c r="AF448" s="202"/>
      <c r="AG448" s="204"/>
      <c r="AH448" s="202"/>
      <c r="AI448" s="204"/>
      <c r="AJ448" s="202"/>
      <c r="AK448" s="204"/>
      <c r="AL448" s="202"/>
      <c r="AM448" s="204"/>
      <c r="AN448" s="202"/>
      <c r="AO448" s="204"/>
      <c r="AP448" s="202"/>
      <c r="AQ448" s="208"/>
      <c r="AR448" s="202"/>
      <c r="AS448" s="203">
        <f t="shared" si="6"/>
        <v>0</v>
      </c>
      <c r="AT448" s="202"/>
      <c r="AU448" s="204"/>
      <c r="AV448" s="202"/>
      <c r="AW448" s="204"/>
      <c r="AX448" s="202"/>
      <c r="AY448" s="204"/>
      <c r="AZ448" s="202"/>
      <c r="BA448" s="204"/>
      <c r="BB448" s="202"/>
      <c r="BC448" s="204"/>
      <c r="BD448" s="202"/>
      <c r="BE448" s="208"/>
      <c r="BF448" s="202"/>
      <c r="BG448" s="203">
        <f t="shared" si="7"/>
        <v>0</v>
      </c>
      <c r="BH448" s="202"/>
      <c r="BI448" s="204"/>
      <c r="BJ448" s="202"/>
      <c r="BK448" s="204"/>
      <c r="BL448" s="202"/>
      <c r="BM448" s="204"/>
      <c r="BN448" s="202"/>
      <c r="BO448" s="203">
        <f t="shared" si="8"/>
        <v>0</v>
      </c>
      <c r="BP448" s="202"/>
      <c r="BQ448" s="138"/>
      <c r="BR448" s="128"/>
      <c r="BS448" s="128"/>
      <c r="BT448" s="128"/>
      <c r="BU448" s="128"/>
      <c r="BV448" s="128"/>
      <c r="BW448" s="139"/>
      <c r="BX448" s="140"/>
      <c r="BY448" s="139"/>
      <c r="BZ448" s="139"/>
      <c r="CA448" s="134"/>
      <c r="CB448" s="134"/>
      <c r="CC448" s="134"/>
      <c r="CD448" s="134"/>
      <c r="CE448" s="134"/>
      <c r="CF448" s="134"/>
      <c r="CG448" s="92"/>
      <c r="CH448" s="92"/>
      <c r="CI448" s="92"/>
      <c r="CJ448" s="92"/>
      <c r="CK448" s="92"/>
    </row>
    <row r="449" spans="1:89" ht="17.25" customHeight="1">
      <c r="A449" s="160"/>
      <c r="B449" s="165"/>
      <c r="C449" s="164"/>
      <c r="D449" s="137">
        <f t="shared" si="3"/>
        <v>0</v>
      </c>
      <c r="E449" s="207"/>
      <c r="F449" s="202"/>
      <c r="G449" s="207"/>
      <c r="H449" s="202"/>
      <c r="I449" s="207"/>
      <c r="J449" s="202"/>
      <c r="K449" s="207"/>
      <c r="L449" s="202"/>
      <c r="M449" s="207"/>
      <c r="N449" s="202"/>
      <c r="O449" s="201"/>
      <c r="P449" s="202"/>
      <c r="Q449" s="203">
        <f t="shared" si="4"/>
        <v>0</v>
      </c>
      <c r="R449" s="202"/>
      <c r="S449" s="207"/>
      <c r="T449" s="202"/>
      <c r="U449" s="207"/>
      <c r="V449" s="202"/>
      <c r="W449" s="207"/>
      <c r="X449" s="202"/>
      <c r="Y449" s="207"/>
      <c r="Z449" s="202"/>
      <c r="AA449" s="207"/>
      <c r="AB449" s="202"/>
      <c r="AC449" s="208"/>
      <c r="AD449" s="202"/>
      <c r="AE449" s="203">
        <f t="shared" si="5"/>
        <v>0</v>
      </c>
      <c r="AF449" s="202"/>
      <c r="AG449" s="204"/>
      <c r="AH449" s="202"/>
      <c r="AI449" s="204"/>
      <c r="AJ449" s="202"/>
      <c r="AK449" s="204"/>
      <c r="AL449" s="202"/>
      <c r="AM449" s="204"/>
      <c r="AN449" s="202"/>
      <c r="AO449" s="204"/>
      <c r="AP449" s="202"/>
      <c r="AQ449" s="208"/>
      <c r="AR449" s="202"/>
      <c r="AS449" s="203">
        <f t="shared" si="6"/>
        <v>0</v>
      </c>
      <c r="AT449" s="202"/>
      <c r="AU449" s="204"/>
      <c r="AV449" s="202"/>
      <c r="AW449" s="204"/>
      <c r="AX449" s="202"/>
      <c r="AY449" s="204"/>
      <c r="AZ449" s="202"/>
      <c r="BA449" s="204"/>
      <c r="BB449" s="202"/>
      <c r="BC449" s="204"/>
      <c r="BD449" s="202"/>
      <c r="BE449" s="208"/>
      <c r="BF449" s="202"/>
      <c r="BG449" s="203">
        <f t="shared" si="7"/>
        <v>0</v>
      </c>
      <c r="BH449" s="202"/>
      <c r="BI449" s="204"/>
      <c r="BJ449" s="202"/>
      <c r="BK449" s="204"/>
      <c r="BL449" s="202"/>
      <c r="BM449" s="204"/>
      <c r="BN449" s="202"/>
      <c r="BO449" s="203">
        <f t="shared" si="8"/>
        <v>0</v>
      </c>
      <c r="BP449" s="202"/>
      <c r="BQ449" s="138"/>
      <c r="BR449" s="128"/>
      <c r="BS449" s="128"/>
      <c r="BT449" s="128"/>
      <c r="BU449" s="128"/>
      <c r="BV449" s="128"/>
      <c r="BW449" s="139"/>
      <c r="BX449" s="140"/>
      <c r="BY449" s="139"/>
      <c r="BZ449" s="139"/>
      <c r="CA449" s="134"/>
      <c r="CB449" s="134"/>
      <c r="CC449" s="134"/>
      <c r="CD449" s="134"/>
      <c r="CE449" s="134"/>
      <c r="CF449" s="134"/>
      <c r="CG449" s="92"/>
      <c r="CH449" s="92"/>
      <c r="CI449" s="92"/>
      <c r="CJ449" s="92"/>
      <c r="CK449" s="92"/>
    </row>
    <row r="450" spans="1:89" ht="17.25" customHeight="1">
      <c r="A450" s="160"/>
      <c r="B450" s="165"/>
      <c r="C450" s="164"/>
      <c r="D450" s="137">
        <f t="shared" si="3"/>
        <v>0</v>
      </c>
      <c r="E450" s="207"/>
      <c r="F450" s="202"/>
      <c r="G450" s="207"/>
      <c r="H450" s="202"/>
      <c r="I450" s="207"/>
      <c r="J450" s="202"/>
      <c r="K450" s="207"/>
      <c r="L450" s="202"/>
      <c r="M450" s="207"/>
      <c r="N450" s="202"/>
      <c r="O450" s="201"/>
      <c r="P450" s="202"/>
      <c r="Q450" s="203">
        <f t="shared" si="4"/>
        <v>0</v>
      </c>
      <c r="R450" s="202"/>
      <c r="S450" s="207"/>
      <c r="T450" s="202"/>
      <c r="U450" s="207"/>
      <c r="V450" s="202"/>
      <c r="W450" s="207"/>
      <c r="X450" s="202"/>
      <c r="Y450" s="207"/>
      <c r="Z450" s="202"/>
      <c r="AA450" s="207"/>
      <c r="AB450" s="202"/>
      <c r="AC450" s="208"/>
      <c r="AD450" s="202"/>
      <c r="AE450" s="203">
        <f t="shared" si="5"/>
        <v>0</v>
      </c>
      <c r="AF450" s="202"/>
      <c r="AG450" s="204"/>
      <c r="AH450" s="202"/>
      <c r="AI450" s="204"/>
      <c r="AJ450" s="202"/>
      <c r="AK450" s="204"/>
      <c r="AL450" s="202"/>
      <c r="AM450" s="204"/>
      <c r="AN450" s="202"/>
      <c r="AO450" s="204"/>
      <c r="AP450" s="202"/>
      <c r="AQ450" s="208"/>
      <c r="AR450" s="202"/>
      <c r="AS450" s="203">
        <f t="shared" si="6"/>
        <v>0</v>
      </c>
      <c r="AT450" s="202"/>
      <c r="AU450" s="204"/>
      <c r="AV450" s="202"/>
      <c r="AW450" s="204"/>
      <c r="AX450" s="202"/>
      <c r="AY450" s="204"/>
      <c r="AZ450" s="202"/>
      <c r="BA450" s="204"/>
      <c r="BB450" s="202"/>
      <c r="BC450" s="204"/>
      <c r="BD450" s="202"/>
      <c r="BE450" s="208"/>
      <c r="BF450" s="202"/>
      <c r="BG450" s="203">
        <f t="shared" si="7"/>
        <v>0</v>
      </c>
      <c r="BH450" s="202"/>
      <c r="BI450" s="204"/>
      <c r="BJ450" s="202"/>
      <c r="BK450" s="204"/>
      <c r="BL450" s="202"/>
      <c r="BM450" s="204"/>
      <c r="BN450" s="202"/>
      <c r="BO450" s="203">
        <f t="shared" si="8"/>
        <v>0</v>
      </c>
      <c r="BP450" s="202"/>
      <c r="BQ450" s="138"/>
      <c r="BR450" s="128"/>
      <c r="BS450" s="128"/>
      <c r="BT450" s="128"/>
      <c r="BU450" s="128"/>
      <c r="BV450" s="128"/>
      <c r="BW450" s="139"/>
      <c r="BX450" s="140"/>
      <c r="BY450" s="139"/>
      <c r="BZ450" s="139"/>
      <c r="CA450" s="134"/>
      <c r="CB450" s="134"/>
      <c r="CC450" s="134"/>
      <c r="CD450" s="134"/>
      <c r="CE450" s="134"/>
      <c r="CF450" s="134"/>
      <c r="CG450" s="92"/>
      <c r="CH450" s="92"/>
      <c r="CI450" s="92"/>
      <c r="CJ450" s="92"/>
      <c r="CK450" s="92"/>
    </row>
    <row r="451" spans="1:89" ht="17.25" customHeight="1">
      <c r="A451" s="160"/>
      <c r="B451" s="165"/>
      <c r="C451" s="164"/>
      <c r="D451" s="137">
        <f t="shared" si="3"/>
        <v>0</v>
      </c>
      <c r="E451" s="207"/>
      <c r="F451" s="202"/>
      <c r="G451" s="207"/>
      <c r="H451" s="202"/>
      <c r="I451" s="207"/>
      <c r="J451" s="202"/>
      <c r="K451" s="207"/>
      <c r="L451" s="202"/>
      <c r="M451" s="207"/>
      <c r="N451" s="202"/>
      <c r="O451" s="201"/>
      <c r="P451" s="202"/>
      <c r="Q451" s="203">
        <f t="shared" si="4"/>
        <v>0</v>
      </c>
      <c r="R451" s="202"/>
      <c r="S451" s="207"/>
      <c r="T451" s="202"/>
      <c r="U451" s="207"/>
      <c r="V451" s="202"/>
      <c r="W451" s="207"/>
      <c r="X451" s="202"/>
      <c r="Y451" s="207"/>
      <c r="Z451" s="202"/>
      <c r="AA451" s="207"/>
      <c r="AB451" s="202"/>
      <c r="AC451" s="208"/>
      <c r="AD451" s="202"/>
      <c r="AE451" s="203">
        <f t="shared" si="5"/>
        <v>0</v>
      </c>
      <c r="AF451" s="202"/>
      <c r="AG451" s="204"/>
      <c r="AH451" s="202"/>
      <c r="AI451" s="204"/>
      <c r="AJ451" s="202"/>
      <c r="AK451" s="204"/>
      <c r="AL451" s="202"/>
      <c r="AM451" s="204"/>
      <c r="AN451" s="202"/>
      <c r="AO451" s="204"/>
      <c r="AP451" s="202"/>
      <c r="AQ451" s="208"/>
      <c r="AR451" s="202"/>
      <c r="AS451" s="203">
        <f t="shared" si="6"/>
        <v>0</v>
      </c>
      <c r="AT451" s="202"/>
      <c r="AU451" s="204"/>
      <c r="AV451" s="202"/>
      <c r="AW451" s="204"/>
      <c r="AX451" s="202"/>
      <c r="AY451" s="204"/>
      <c r="AZ451" s="202"/>
      <c r="BA451" s="204"/>
      <c r="BB451" s="202"/>
      <c r="BC451" s="204"/>
      <c r="BD451" s="202"/>
      <c r="BE451" s="208"/>
      <c r="BF451" s="202"/>
      <c r="BG451" s="203">
        <f t="shared" si="7"/>
        <v>0</v>
      </c>
      <c r="BH451" s="202"/>
      <c r="BI451" s="204"/>
      <c r="BJ451" s="202"/>
      <c r="BK451" s="204"/>
      <c r="BL451" s="202"/>
      <c r="BM451" s="204"/>
      <c r="BN451" s="202"/>
      <c r="BO451" s="203">
        <f t="shared" si="8"/>
        <v>0</v>
      </c>
      <c r="BP451" s="202"/>
      <c r="BQ451" s="138"/>
      <c r="BR451" s="128"/>
      <c r="BS451" s="128"/>
      <c r="BT451" s="128"/>
      <c r="BU451" s="128"/>
      <c r="BV451" s="128"/>
      <c r="BW451" s="139"/>
      <c r="BX451" s="140"/>
      <c r="BY451" s="139"/>
      <c r="BZ451" s="139"/>
      <c r="CA451" s="134"/>
      <c r="CB451" s="134"/>
      <c r="CC451" s="134"/>
      <c r="CD451" s="134"/>
      <c r="CE451" s="134"/>
      <c r="CF451" s="134"/>
      <c r="CG451" s="92"/>
      <c r="CH451" s="92"/>
      <c r="CI451" s="92"/>
      <c r="CJ451" s="92"/>
      <c r="CK451" s="92"/>
    </row>
    <row r="452" spans="1:89" ht="17.25" customHeight="1">
      <c r="A452" s="160"/>
      <c r="B452" s="165"/>
      <c r="C452" s="164"/>
      <c r="D452" s="137">
        <f t="shared" si="3"/>
        <v>0</v>
      </c>
      <c r="E452" s="207"/>
      <c r="F452" s="202"/>
      <c r="G452" s="207"/>
      <c r="H452" s="202"/>
      <c r="I452" s="207"/>
      <c r="J452" s="202"/>
      <c r="K452" s="207"/>
      <c r="L452" s="202"/>
      <c r="M452" s="207"/>
      <c r="N452" s="202"/>
      <c r="O452" s="201"/>
      <c r="P452" s="202"/>
      <c r="Q452" s="203">
        <f t="shared" si="4"/>
        <v>0</v>
      </c>
      <c r="R452" s="202"/>
      <c r="S452" s="207"/>
      <c r="T452" s="202"/>
      <c r="U452" s="207"/>
      <c r="V452" s="202"/>
      <c r="W452" s="207"/>
      <c r="X452" s="202"/>
      <c r="Y452" s="207"/>
      <c r="Z452" s="202"/>
      <c r="AA452" s="207"/>
      <c r="AB452" s="202"/>
      <c r="AC452" s="208"/>
      <c r="AD452" s="202"/>
      <c r="AE452" s="203">
        <f t="shared" si="5"/>
        <v>0</v>
      </c>
      <c r="AF452" s="202"/>
      <c r="AG452" s="204"/>
      <c r="AH452" s="202"/>
      <c r="AI452" s="204"/>
      <c r="AJ452" s="202"/>
      <c r="AK452" s="204"/>
      <c r="AL452" s="202"/>
      <c r="AM452" s="204"/>
      <c r="AN452" s="202"/>
      <c r="AO452" s="204"/>
      <c r="AP452" s="202"/>
      <c r="AQ452" s="208"/>
      <c r="AR452" s="202"/>
      <c r="AS452" s="203">
        <f t="shared" si="6"/>
        <v>0</v>
      </c>
      <c r="AT452" s="202"/>
      <c r="AU452" s="204"/>
      <c r="AV452" s="202"/>
      <c r="AW452" s="204"/>
      <c r="AX452" s="202"/>
      <c r="AY452" s="204"/>
      <c r="AZ452" s="202"/>
      <c r="BA452" s="204"/>
      <c r="BB452" s="202"/>
      <c r="BC452" s="204"/>
      <c r="BD452" s="202"/>
      <c r="BE452" s="208"/>
      <c r="BF452" s="202"/>
      <c r="BG452" s="203">
        <f t="shared" si="7"/>
        <v>0</v>
      </c>
      <c r="BH452" s="202"/>
      <c r="BI452" s="204"/>
      <c r="BJ452" s="202"/>
      <c r="BK452" s="204"/>
      <c r="BL452" s="202"/>
      <c r="BM452" s="204"/>
      <c r="BN452" s="202"/>
      <c r="BO452" s="203">
        <f t="shared" si="8"/>
        <v>0</v>
      </c>
      <c r="BP452" s="202"/>
      <c r="BQ452" s="138"/>
      <c r="BR452" s="128"/>
      <c r="BS452" s="128"/>
      <c r="BT452" s="128"/>
      <c r="BU452" s="128"/>
      <c r="BV452" s="128"/>
      <c r="BW452" s="139"/>
      <c r="BX452" s="140"/>
      <c r="BY452" s="139"/>
      <c r="BZ452" s="139"/>
      <c r="CA452" s="134"/>
      <c r="CB452" s="134"/>
      <c r="CC452" s="134"/>
      <c r="CD452" s="134"/>
      <c r="CE452" s="134"/>
      <c r="CF452" s="134"/>
      <c r="CG452" s="92"/>
      <c r="CH452" s="92"/>
      <c r="CI452" s="92"/>
      <c r="CJ452" s="92"/>
      <c r="CK452" s="92"/>
    </row>
    <row r="453" spans="1:89" ht="17.25" customHeight="1">
      <c r="A453" s="160"/>
      <c r="B453" s="165"/>
      <c r="C453" s="164"/>
      <c r="D453" s="137">
        <f t="shared" si="3"/>
        <v>0</v>
      </c>
      <c r="E453" s="207"/>
      <c r="F453" s="202"/>
      <c r="G453" s="207"/>
      <c r="H453" s="202"/>
      <c r="I453" s="207"/>
      <c r="J453" s="202"/>
      <c r="K453" s="207"/>
      <c r="L453" s="202"/>
      <c r="M453" s="207"/>
      <c r="N453" s="202"/>
      <c r="O453" s="201"/>
      <c r="P453" s="202"/>
      <c r="Q453" s="203">
        <f t="shared" si="4"/>
        <v>0</v>
      </c>
      <c r="R453" s="202"/>
      <c r="S453" s="207"/>
      <c r="T453" s="202"/>
      <c r="U453" s="207"/>
      <c r="V453" s="202"/>
      <c r="W453" s="207"/>
      <c r="X453" s="202"/>
      <c r="Y453" s="207"/>
      <c r="Z453" s="202"/>
      <c r="AA453" s="207"/>
      <c r="AB453" s="202"/>
      <c r="AC453" s="208"/>
      <c r="AD453" s="202"/>
      <c r="AE453" s="203">
        <f t="shared" si="5"/>
        <v>0</v>
      </c>
      <c r="AF453" s="202"/>
      <c r="AG453" s="204"/>
      <c r="AH453" s="202"/>
      <c r="AI453" s="204"/>
      <c r="AJ453" s="202"/>
      <c r="AK453" s="204"/>
      <c r="AL453" s="202"/>
      <c r="AM453" s="204"/>
      <c r="AN453" s="202"/>
      <c r="AO453" s="204"/>
      <c r="AP453" s="202"/>
      <c r="AQ453" s="208"/>
      <c r="AR453" s="202"/>
      <c r="AS453" s="203">
        <f t="shared" si="6"/>
        <v>0</v>
      </c>
      <c r="AT453" s="202"/>
      <c r="AU453" s="204"/>
      <c r="AV453" s="202"/>
      <c r="AW453" s="204"/>
      <c r="AX453" s="202"/>
      <c r="AY453" s="204"/>
      <c r="AZ453" s="202"/>
      <c r="BA453" s="204"/>
      <c r="BB453" s="202"/>
      <c r="BC453" s="204"/>
      <c r="BD453" s="202"/>
      <c r="BE453" s="208"/>
      <c r="BF453" s="202"/>
      <c r="BG453" s="203">
        <f t="shared" si="7"/>
        <v>0</v>
      </c>
      <c r="BH453" s="202"/>
      <c r="BI453" s="204"/>
      <c r="BJ453" s="202"/>
      <c r="BK453" s="204"/>
      <c r="BL453" s="202"/>
      <c r="BM453" s="204"/>
      <c r="BN453" s="202"/>
      <c r="BO453" s="203">
        <f t="shared" si="8"/>
        <v>0</v>
      </c>
      <c r="BP453" s="202"/>
      <c r="BQ453" s="138"/>
      <c r="BR453" s="128"/>
      <c r="BS453" s="128"/>
      <c r="BT453" s="128"/>
      <c r="BU453" s="128"/>
      <c r="BV453" s="128"/>
      <c r="BW453" s="139"/>
      <c r="BX453" s="140"/>
      <c r="BY453" s="139"/>
      <c r="BZ453" s="139"/>
      <c r="CA453" s="134"/>
      <c r="CB453" s="134"/>
      <c r="CC453" s="134"/>
      <c r="CD453" s="134"/>
      <c r="CE453" s="134"/>
      <c r="CF453" s="134"/>
      <c r="CG453" s="92"/>
      <c r="CH453" s="92"/>
      <c r="CI453" s="92"/>
      <c r="CJ453" s="92"/>
      <c r="CK453" s="92"/>
    </row>
    <row r="454" spans="1:89" ht="17.25" customHeight="1">
      <c r="A454" s="160"/>
      <c r="B454" s="165"/>
      <c r="C454" s="164"/>
      <c r="D454" s="137">
        <f t="shared" si="3"/>
        <v>0</v>
      </c>
      <c r="E454" s="207"/>
      <c r="F454" s="202"/>
      <c r="G454" s="207"/>
      <c r="H454" s="202"/>
      <c r="I454" s="207"/>
      <c r="J454" s="202"/>
      <c r="K454" s="207"/>
      <c r="L454" s="202"/>
      <c r="M454" s="207"/>
      <c r="N454" s="202"/>
      <c r="O454" s="201"/>
      <c r="P454" s="202"/>
      <c r="Q454" s="203">
        <f t="shared" si="4"/>
        <v>0</v>
      </c>
      <c r="R454" s="202"/>
      <c r="S454" s="207"/>
      <c r="T454" s="202"/>
      <c r="U454" s="207"/>
      <c r="V454" s="202"/>
      <c r="W454" s="207"/>
      <c r="X454" s="202"/>
      <c r="Y454" s="207"/>
      <c r="Z454" s="202"/>
      <c r="AA454" s="207"/>
      <c r="AB454" s="202"/>
      <c r="AC454" s="208"/>
      <c r="AD454" s="202"/>
      <c r="AE454" s="203">
        <f t="shared" si="5"/>
        <v>0</v>
      </c>
      <c r="AF454" s="202"/>
      <c r="AG454" s="204"/>
      <c r="AH454" s="202"/>
      <c r="AI454" s="204"/>
      <c r="AJ454" s="202"/>
      <c r="AK454" s="204"/>
      <c r="AL454" s="202"/>
      <c r="AM454" s="204"/>
      <c r="AN454" s="202"/>
      <c r="AO454" s="204"/>
      <c r="AP454" s="202"/>
      <c r="AQ454" s="208"/>
      <c r="AR454" s="202"/>
      <c r="AS454" s="203">
        <f t="shared" si="6"/>
        <v>0</v>
      </c>
      <c r="AT454" s="202"/>
      <c r="AU454" s="204"/>
      <c r="AV454" s="202"/>
      <c r="AW454" s="204"/>
      <c r="AX454" s="202"/>
      <c r="AY454" s="204"/>
      <c r="AZ454" s="202"/>
      <c r="BA454" s="204"/>
      <c r="BB454" s="202"/>
      <c r="BC454" s="204"/>
      <c r="BD454" s="202"/>
      <c r="BE454" s="208"/>
      <c r="BF454" s="202"/>
      <c r="BG454" s="203">
        <f t="shared" si="7"/>
        <v>0</v>
      </c>
      <c r="BH454" s="202"/>
      <c r="BI454" s="204"/>
      <c r="BJ454" s="202"/>
      <c r="BK454" s="204"/>
      <c r="BL454" s="202"/>
      <c r="BM454" s="204"/>
      <c r="BN454" s="202"/>
      <c r="BO454" s="203">
        <f t="shared" si="8"/>
        <v>0</v>
      </c>
      <c r="BP454" s="202"/>
      <c r="BQ454" s="138"/>
      <c r="BR454" s="128"/>
      <c r="BS454" s="128"/>
      <c r="BT454" s="128"/>
      <c r="BU454" s="128"/>
      <c r="BV454" s="128"/>
      <c r="BW454" s="139"/>
      <c r="BX454" s="140"/>
      <c r="BY454" s="139"/>
      <c r="BZ454" s="139"/>
      <c r="CA454" s="134"/>
      <c r="CB454" s="134"/>
      <c r="CC454" s="134"/>
      <c r="CD454" s="134"/>
      <c r="CE454" s="134"/>
      <c r="CF454" s="134"/>
      <c r="CG454" s="92"/>
      <c r="CH454" s="92"/>
      <c r="CI454" s="92"/>
      <c r="CJ454" s="92"/>
      <c r="CK454" s="92"/>
    </row>
    <row r="455" spans="1:89" ht="17.25" customHeight="1">
      <c r="A455" s="160"/>
      <c r="B455" s="165"/>
      <c r="C455" s="164"/>
      <c r="D455" s="137">
        <f t="shared" si="3"/>
        <v>0</v>
      </c>
      <c r="E455" s="207"/>
      <c r="F455" s="202"/>
      <c r="G455" s="207"/>
      <c r="H455" s="202"/>
      <c r="I455" s="207"/>
      <c r="J455" s="202"/>
      <c r="K455" s="207"/>
      <c r="L455" s="202"/>
      <c r="M455" s="207"/>
      <c r="N455" s="202"/>
      <c r="O455" s="201"/>
      <c r="P455" s="202"/>
      <c r="Q455" s="203">
        <f t="shared" si="4"/>
        <v>0</v>
      </c>
      <c r="R455" s="202"/>
      <c r="S455" s="207"/>
      <c r="T455" s="202"/>
      <c r="U455" s="207"/>
      <c r="V455" s="202"/>
      <c r="W455" s="207"/>
      <c r="X455" s="202"/>
      <c r="Y455" s="207"/>
      <c r="Z455" s="202"/>
      <c r="AA455" s="207"/>
      <c r="AB455" s="202"/>
      <c r="AC455" s="208"/>
      <c r="AD455" s="202"/>
      <c r="AE455" s="203">
        <f t="shared" si="5"/>
        <v>0</v>
      </c>
      <c r="AF455" s="202"/>
      <c r="AG455" s="204"/>
      <c r="AH455" s="202"/>
      <c r="AI455" s="204"/>
      <c r="AJ455" s="202"/>
      <c r="AK455" s="204"/>
      <c r="AL455" s="202"/>
      <c r="AM455" s="204"/>
      <c r="AN455" s="202"/>
      <c r="AO455" s="204"/>
      <c r="AP455" s="202"/>
      <c r="AQ455" s="208"/>
      <c r="AR455" s="202"/>
      <c r="AS455" s="203">
        <f t="shared" si="6"/>
        <v>0</v>
      </c>
      <c r="AT455" s="202"/>
      <c r="AU455" s="204"/>
      <c r="AV455" s="202"/>
      <c r="AW455" s="204"/>
      <c r="AX455" s="202"/>
      <c r="AY455" s="204"/>
      <c r="AZ455" s="202"/>
      <c r="BA455" s="204"/>
      <c r="BB455" s="202"/>
      <c r="BC455" s="204"/>
      <c r="BD455" s="202"/>
      <c r="BE455" s="208"/>
      <c r="BF455" s="202"/>
      <c r="BG455" s="203">
        <f t="shared" si="7"/>
        <v>0</v>
      </c>
      <c r="BH455" s="202"/>
      <c r="BI455" s="204"/>
      <c r="BJ455" s="202"/>
      <c r="BK455" s="204"/>
      <c r="BL455" s="202"/>
      <c r="BM455" s="204"/>
      <c r="BN455" s="202"/>
      <c r="BO455" s="203">
        <f t="shared" si="8"/>
        <v>0</v>
      </c>
      <c r="BP455" s="202"/>
      <c r="BQ455" s="138"/>
      <c r="BR455" s="128"/>
      <c r="BS455" s="128"/>
      <c r="BT455" s="128"/>
      <c r="BU455" s="128"/>
      <c r="BV455" s="128"/>
      <c r="BW455" s="139"/>
      <c r="BX455" s="140"/>
      <c r="BY455" s="139"/>
      <c r="BZ455" s="139"/>
      <c r="CA455" s="134"/>
      <c r="CB455" s="134"/>
      <c r="CC455" s="134"/>
      <c r="CD455" s="134"/>
      <c r="CE455" s="134"/>
      <c r="CF455" s="134"/>
      <c r="CG455" s="92"/>
      <c r="CH455" s="92"/>
      <c r="CI455" s="92"/>
      <c r="CJ455" s="92"/>
      <c r="CK455" s="92"/>
    </row>
    <row r="456" spans="1:89" ht="17.25" customHeight="1">
      <c r="A456" s="160"/>
      <c r="B456" s="165"/>
      <c r="C456" s="164"/>
      <c r="D456" s="137">
        <f t="shared" si="3"/>
        <v>0</v>
      </c>
      <c r="E456" s="207"/>
      <c r="F456" s="202"/>
      <c r="G456" s="207"/>
      <c r="H456" s="202"/>
      <c r="I456" s="207"/>
      <c r="J456" s="202"/>
      <c r="K456" s="207"/>
      <c r="L456" s="202"/>
      <c r="M456" s="207"/>
      <c r="N456" s="202"/>
      <c r="O456" s="201"/>
      <c r="P456" s="202"/>
      <c r="Q456" s="203">
        <f t="shared" si="4"/>
        <v>0</v>
      </c>
      <c r="R456" s="202"/>
      <c r="S456" s="207"/>
      <c r="T456" s="202"/>
      <c r="U456" s="207"/>
      <c r="V456" s="202"/>
      <c r="W456" s="207"/>
      <c r="X456" s="202"/>
      <c r="Y456" s="207"/>
      <c r="Z456" s="202"/>
      <c r="AA456" s="207"/>
      <c r="AB456" s="202"/>
      <c r="AC456" s="208"/>
      <c r="AD456" s="202"/>
      <c r="AE456" s="203">
        <f t="shared" si="5"/>
        <v>0</v>
      </c>
      <c r="AF456" s="202"/>
      <c r="AG456" s="204"/>
      <c r="AH456" s="202"/>
      <c r="AI456" s="204"/>
      <c r="AJ456" s="202"/>
      <c r="AK456" s="204"/>
      <c r="AL456" s="202"/>
      <c r="AM456" s="204"/>
      <c r="AN456" s="202"/>
      <c r="AO456" s="204"/>
      <c r="AP456" s="202"/>
      <c r="AQ456" s="208"/>
      <c r="AR456" s="202"/>
      <c r="AS456" s="203">
        <f t="shared" si="6"/>
        <v>0</v>
      </c>
      <c r="AT456" s="202"/>
      <c r="AU456" s="204"/>
      <c r="AV456" s="202"/>
      <c r="AW456" s="204"/>
      <c r="AX456" s="202"/>
      <c r="AY456" s="204"/>
      <c r="AZ456" s="202"/>
      <c r="BA456" s="204"/>
      <c r="BB456" s="202"/>
      <c r="BC456" s="204"/>
      <c r="BD456" s="202"/>
      <c r="BE456" s="208"/>
      <c r="BF456" s="202"/>
      <c r="BG456" s="203">
        <f t="shared" si="7"/>
        <v>0</v>
      </c>
      <c r="BH456" s="202"/>
      <c r="BI456" s="204"/>
      <c r="BJ456" s="202"/>
      <c r="BK456" s="204"/>
      <c r="BL456" s="202"/>
      <c r="BM456" s="204"/>
      <c r="BN456" s="202"/>
      <c r="BO456" s="203">
        <f t="shared" si="8"/>
        <v>0</v>
      </c>
      <c r="BP456" s="202"/>
      <c r="BQ456" s="138"/>
      <c r="BR456" s="128"/>
      <c r="BS456" s="128"/>
      <c r="BT456" s="128"/>
      <c r="BU456" s="128"/>
      <c r="BV456" s="128"/>
      <c r="BW456" s="139"/>
      <c r="BX456" s="140"/>
      <c r="BY456" s="139"/>
      <c r="BZ456" s="139"/>
      <c r="CA456" s="134"/>
      <c r="CB456" s="134"/>
      <c r="CC456" s="134"/>
      <c r="CD456" s="134"/>
      <c r="CE456" s="134"/>
      <c r="CF456" s="134"/>
      <c r="CG456" s="92"/>
      <c r="CH456" s="92"/>
      <c r="CI456" s="92"/>
      <c r="CJ456" s="92"/>
      <c r="CK456" s="92"/>
    </row>
    <row r="457" spans="1:89" ht="17.25" customHeight="1">
      <c r="A457" s="160"/>
      <c r="B457" s="165"/>
      <c r="C457" s="164"/>
      <c r="D457" s="137">
        <f t="shared" si="3"/>
        <v>0</v>
      </c>
      <c r="E457" s="207"/>
      <c r="F457" s="202"/>
      <c r="G457" s="207"/>
      <c r="H457" s="202"/>
      <c r="I457" s="207"/>
      <c r="J457" s="202"/>
      <c r="K457" s="207"/>
      <c r="L457" s="202"/>
      <c r="M457" s="207"/>
      <c r="N457" s="202"/>
      <c r="O457" s="201"/>
      <c r="P457" s="202"/>
      <c r="Q457" s="203">
        <f t="shared" si="4"/>
        <v>0</v>
      </c>
      <c r="R457" s="202"/>
      <c r="S457" s="207"/>
      <c r="T457" s="202"/>
      <c r="U457" s="207"/>
      <c r="V457" s="202"/>
      <c r="W457" s="207"/>
      <c r="X457" s="202"/>
      <c r="Y457" s="207"/>
      <c r="Z457" s="202"/>
      <c r="AA457" s="207"/>
      <c r="AB457" s="202"/>
      <c r="AC457" s="208"/>
      <c r="AD457" s="202"/>
      <c r="AE457" s="203">
        <f t="shared" si="5"/>
        <v>0</v>
      </c>
      <c r="AF457" s="202"/>
      <c r="AG457" s="204"/>
      <c r="AH457" s="202"/>
      <c r="AI457" s="204"/>
      <c r="AJ457" s="202"/>
      <c r="AK457" s="204"/>
      <c r="AL457" s="202"/>
      <c r="AM457" s="204"/>
      <c r="AN457" s="202"/>
      <c r="AO457" s="204"/>
      <c r="AP457" s="202"/>
      <c r="AQ457" s="208"/>
      <c r="AR457" s="202"/>
      <c r="AS457" s="203">
        <f t="shared" si="6"/>
        <v>0</v>
      </c>
      <c r="AT457" s="202"/>
      <c r="AU457" s="204"/>
      <c r="AV457" s="202"/>
      <c r="AW457" s="204"/>
      <c r="AX457" s="202"/>
      <c r="AY457" s="204"/>
      <c r="AZ457" s="202"/>
      <c r="BA457" s="204"/>
      <c r="BB457" s="202"/>
      <c r="BC457" s="204"/>
      <c r="BD457" s="202"/>
      <c r="BE457" s="208"/>
      <c r="BF457" s="202"/>
      <c r="BG457" s="203">
        <f t="shared" si="7"/>
        <v>0</v>
      </c>
      <c r="BH457" s="202"/>
      <c r="BI457" s="204"/>
      <c r="BJ457" s="202"/>
      <c r="BK457" s="204"/>
      <c r="BL457" s="202"/>
      <c r="BM457" s="204"/>
      <c r="BN457" s="202"/>
      <c r="BO457" s="203">
        <f t="shared" si="8"/>
        <v>0</v>
      </c>
      <c r="BP457" s="202"/>
      <c r="BQ457" s="138"/>
      <c r="BR457" s="128"/>
      <c r="BS457" s="128"/>
      <c r="BT457" s="128"/>
      <c r="BU457" s="128"/>
      <c r="BV457" s="128"/>
      <c r="BW457" s="139"/>
      <c r="BX457" s="140"/>
      <c r="BY457" s="139"/>
      <c r="BZ457" s="139"/>
      <c r="CA457" s="134"/>
      <c r="CB457" s="134"/>
      <c r="CC457" s="134"/>
      <c r="CD457" s="134"/>
      <c r="CE457" s="134"/>
      <c r="CF457" s="134"/>
      <c r="CG457" s="92"/>
      <c r="CH457" s="92"/>
      <c r="CI457" s="92"/>
      <c r="CJ457" s="92"/>
      <c r="CK457" s="92"/>
    </row>
    <row r="458" spans="1:89" ht="17.25" customHeight="1">
      <c r="A458" s="160"/>
      <c r="B458" s="165"/>
      <c r="C458" s="164"/>
      <c r="D458" s="137">
        <f t="shared" si="3"/>
        <v>0</v>
      </c>
      <c r="E458" s="207"/>
      <c r="F458" s="202"/>
      <c r="G458" s="207"/>
      <c r="H458" s="202"/>
      <c r="I458" s="207"/>
      <c r="J458" s="202"/>
      <c r="K458" s="207"/>
      <c r="L458" s="202"/>
      <c r="M458" s="207"/>
      <c r="N458" s="202"/>
      <c r="O458" s="201"/>
      <c r="P458" s="202"/>
      <c r="Q458" s="203">
        <f t="shared" si="4"/>
        <v>0</v>
      </c>
      <c r="R458" s="202"/>
      <c r="S458" s="207"/>
      <c r="T458" s="202"/>
      <c r="U458" s="207"/>
      <c r="V458" s="202"/>
      <c r="W458" s="207"/>
      <c r="X458" s="202"/>
      <c r="Y458" s="207"/>
      <c r="Z458" s="202"/>
      <c r="AA458" s="207"/>
      <c r="AB458" s="202"/>
      <c r="AC458" s="208"/>
      <c r="AD458" s="202"/>
      <c r="AE458" s="203">
        <f t="shared" si="5"/>
        <v>0</v>
      </c>
      <c r="AF458" s="202"/>
      <c r="AG458" s="204"/>
      <c r="AH458" s="202"/>
      <c r="AI458" s="204"/>
      <c r="AJ458" s="202"/>
      <c r="AK458" s="204"/>
      <c r="AL458" s="202"/>
      <c r="AM458" s="204"/>
      <c r="AN458" s="202"/>
      <c r="AO458" s="204"/>
      <c r="AP458" s="202"/>
      <c r="AQ458" s="208"/>
      <c r="AR458" s="202"/>
      <c r="AS458" s="203">
        <f t="shared" si="6"/>
        <v>0</v>
      </c>
      <c r="AT458" s="202"/>
      <c r="AU458" s="204"/>
      <c r="AV458" s="202"/>
      <c r="AW458" s="204"/>
      <c r="AX458" s="202"/>
      <c r="AY458" s="204"/>
      <c r="AZ458" s="202"/>
      <c r="BA458" s="204"/>
      <c r="BB458" s="202"/>
      <c r="BC458" s="204"/>
      <c r="BD458" s="202"/>
      <c r="BE458" s="208"/>
      <c r="BF458" s="202"/>
      <c r="BG458" s="203">
        <f t="shared" si="7"/>
        <v>0</v>
      </c>
      <c r="BH458" s="202"/>
      <c r="BI458" s="204"/>
      <c r="BJ458" s="202"/>
      <c r="BK458" s="204"/>
      <c r="BL458" s="202"/>
      <c r="BM458" s="204"/>
      <c r="BN458" s="202"/>
      <c r="BO458" s="203">
        <f t="shared" si="8"/>
        <v>0</v>
      </c>
      <c r="BP458" s="202"/>
      <c r="BQ458" s="138"/>
      <c r="BR458" s="128"/>
      <c r="BS458" s="128"/>
      <c r="BT458" s="128"/>
      <c r="BU458" s="128"/>
      <c r="BV458" s="128"/>
      <c r="BW458" s="139"/>
      <c r="BX458" s="140"/>
      <c r="BY458" s="139"/>
      <c r="BZ458" s="139"/>
      <c r="CA458" s="134"/>
      <c r="CB458" s="134"/>
      <c r="CC458" s="134"/>
      <c r="CD458" s="134"/>
      <c r="CE458" s="134"/>
      <c r="CF458" s="134"/>
      <c r="CG458" s="92"/>
      <c r="CH458" s="92"/>
      <c r="CI458" s="92"/>
      <c r="CJ458" s="92"/>
      <c r="CK458" s="92"/>
    </row>
    <row r="459" spans="1:89" ht="17.25" customHeight="1">
      <c r="A459" s="160"/>
      <c r="B459" s="165"/>
      <c r="C459" s="164"/>
      <c r="D459" s="137">
        <f t="shared" si="3"/>
        <v>0</v>
      </c>
      <c r="E459" s="207"/>
      <c r="F459" s="202"/>
      <c r="G459" s="207"/>
      <c r="H459" s="202"/>
      <c r="I459" s="207"/>
      <c r="J459" s="202"/>
      <c r="K459" s="207"/>
      <c r="L459" s="202"/>
      <c r="M459" s="207"/>
      <c r="N459" s="202"/>
      <c r="O459" s="201"/>
      <c r="P459" s="202"/>
      <c r="Q459" s="203">
        <f t="shared" si="4"/>
        <v>0</v>
      </c>
      <c r="R459" s="202"/>
      <c r="S459" s="207"/>
      <c r="T459" s="202"/>
      <c r="U459" s="207"/>
      <c r="V459" s="202"/>
      <c r="W459" s="207"/>
      <c r="X459" s="202"/>
      <c r="Y459" s="207"/>
      <c r="Z459" s="202"/>
      <c r="AA459" s="207"/>
      <c r="AB459" s="202"/>
      <c r="AC459" s="208"/>
      <c r="AD459" s="202"/>
      <c r="AE459" s="203">
        <f t="shared" si="5"/>
        <v>0</v>
      </c>
      <c r="AF459" s="202"/>
      <c r="AG459" s="204"/>
      <c r="AH459" s="202"/>
      <c r="AI459" s="204"/>
      <c r="AJ459" s="202"/>
      <c r="AK459" s="204"/>
      <c r="AL459" s="202"/>
      <c r="AM459" s="204"/>
      <c r="AN459" s="202"/>
      <c r="AO459" s="204"/>
      <c r="AP459" s="202"/>
      <c r="AQ459" s="208"/>
      <c r="AR459" s="202"/>
      <c r="AS459" s="203">
        <f t="shared" si="6"/>
        <v>0</v>
      </c>
      <c r="AT459" s="202"/>
      <c r="AU459" s="204"/>
      <c r="AV459" s="202"/>
      <c r="AW459" s="204"/>
      <c r="AX459" s="202"/>
      <c r="AY459" s="204"/>
      <c r="AZ459" s="202"/>
      <c r="BA459" s="204"/>
      <c r="BB459" s="202"/>
      <c r="BC459" s="204"/>
      <c r="BD459" s="202"/>
      <c r="BE459" s="208"/>
      <c r="BF459" s="202"/>
      <c r="BG459" s="203">
        <f t="shared" si="7"/>
        <v>0</v>
      </c>
      <c r="BH459" s="202"/>
      <c r="BI459" s="204"/>
      <c r="BJ459" s="202"/>
      <c r="BK459" s="204"/>
      <c r="BL459" s="202"/>
      <c r="BM459" s="204"/>
      <c r="BN459" s="202"/>
      <c r="BO459" s="203">
        <f t="shared" si="8"/>
        <v>0</v>
      </c>
      <c r="BP459" s="202"/>
      <c r="BQ459" s="138"/>
      <c r="BR459" s="128"/>
      <c r="BS459" s="128"/>
      <c r="BT459" s="128"/>
      <c r="BU459" s="128"/>
      <c r="BV459" s="128"/>
      <c r="BW459" s="139"/>
      <c r="BX459" s="140"/>
      <c r="BY459" s="139"/>
      <c r="BZ459" s="139"/>
      <c r="CA459" s="134"/>
      <c r="CB459" s="134"/>
      <c r="CC459" s="134"/>
      <c r="CD459" s="134"/>
      <c r="CE459" s="134"/>
      <c r="CF459" s="134"/>
      <c r="CG459" s="92"/>
      <c r="CH459" s="92"/>
      <c r="CI459" s="92"/>
      <c r="CJ459" s="92"/>
      <c r="CK459" s="92"/>
    </row>
    <row r="460" spans="1:89" ht="17.25" customHeight="1">
      <c r="A460" s="160"/>
      <c r="B460" s="165"/>
      <c r="C460" s="164"/>
      <c r="D460" s="137">
        <f t="shared" si="3"/>
        <v>0</v>
      </c>
      <c r="E460" s="207"/>
      <c r="F460" s="202"/>
      <c r="G460" s="207"/>
      <c r="H460" s="202"/>
      <c r="I460" s="207"/>
      <c r="J460" s="202"/>
      <c r="K460" s="207"/>
      <c r="L460" s="202"/>
      <c r="M460" s="207"/>
      <c r="N460" s="202"/>
      <c r="O460" s="201"/>
      <c r="P460" s="202"/>
      <c r="Q460" s="203">
        <f t="shared" si="4"/>
        <v>0</v>
      </c>
      <c r="R460" s="202"/>
      <c r="S460" s="207"/>
      <c r="T460" s="202"/>
      <c r="U460" s="207"/>
      <c r="V460" s="202"/>
      <c r="W460" s="207"/>
      <c r="X460" s="202"/>
      <c r="Y460" s="207"/>
      <c r="Z460" s="202"/>
      <c r="AA460" s="207"/>
      <c r="AB460" s="202"/>
      <c r="AC460" s="208"/>
      <c r="AD460" s="202"/>
      <c r="AE460" s="203">
        <f t="shared" si="5"/>
        <v>0</v>
      </c>
      <c r="AF460" s="202"/>
      <c r="AG460" s="204"/>
      <c r="AH460" s="202"/>
      <c r="AI460" s="204"/>
      <c r="AJ460" s="202"/>
      <c r="AK460" s="204"/>
      <c r="AL460" s="202"/>
      <c r="AM460" s="204"/>
      <c r="AN460" s="202"/>
      <c r="AO460" s="204"/>
      <c r="AP460" s="202"/>
      <c r="AQ460" s="208"/>
      <c r="AR460" s="202"/>
      <c r="AS460" s="203">
        <f t="shared" si="6"/>
        <v>0</v>
      </c>
      <c r="AT460" s="202"/>
      <c r="AU460" s="204"/>
      <c r="AV460" s="202"/>
      <c r="AW460" s="204"/>
      <c r="AX460" s="202"/>
      <c r="AY460" s="204"/>
      <c r="AZ460" s="202"/>
      <c r="BA460" s="204"/>
      <c r="BB460" s="202"/>
      <c r="BC460" s="204"/>
      <c r="BD460" s="202"/>
      <c r="BE460" s="208"/>
      <c r="BF460" s="202"/>
      <c r="BG460" s="203">
        <f t="shared" si="7"/>
        <v>0</v>
      </c>
      <c r="BH460" s="202"/>
      <c r="BI460" s="204"/>
      <c r="BJ460" s="202"/>
      <c r="BK460" s="204"/>
      <c r="BL460" s="202"/>
      <c r="BM460" s="204"/>
      <c r="BN460" s="202"/>
      <c r="BO460" s="203">
        <f t="shared" si="8"/>
        <v>0</v>
      </c>
      <c r="BP460" s="202"/>
      <c r="BQ460" s="138"/>
      <c r="BR460" s="128"/>
      <c r="BS460" s="128"/>
      <c r="BT460" s="128"/>
      <c r="BU460" s="128"/>
      <c r="BV460" s="128"/>
      <c r="BW460" s="139"/>
      <c r="BX460" s="140"/>
      <c r="BY460" s="139"/>
      <c r="BZ460" s="139"/>
      <c r="CA460" s="134"/>
      <c r="CB460" s="134"/>
      <c r="CC460" s="134"/>
      <c r="CD460" s="134"/>
      <c r="CE460" s="134"/>
      <c r="CF460" s="134"/>
      <c r="CG460" s="92"/>
      <c r="CH460" s="92"/>
      <c r="CI460" s="92"/>
      <c r="CJ460" s="92"/>
      <c r="CK460" s="92"/>
    </row>
    <row r="461" spans="1:89" ht="17.25" customHeight="1">
      <c r="A461" s="160"/>
      <c r="B461" s="165"/>
      <c r="C461" s="164"/>
      <c r="D461" s="137">
        <f t="shared" si="3"/>
        <v>0</v>
      </c>
      <c r="E461" s="207"/>
      <c r="F461" s="202"/>
      <c r="G461" s="207"/>
      <c r="H461" s="202"/>
      <c r="I461" s="207"/>
      <c r="J461" s="202"/>
      <c r="K461" s="207"/>
      <c r="L461" s="202"/>
      <c r="M461" s="207"/>
      <c r="N461" s="202"/>
      <c r="O461" s="201"/>
      <c r="P461" s="202"/>
      <c r="Q461" s="203">
        <f t="shared" si="4"/>
        <v>0</v>
      </c>
      <c r="R461" s="202"/>
      <c r="S461" s="207"/>
      <c r="T461" s="202"/>
      <c r="U461" s="207"/>
      <c r="V461" s="202"/>
      <c r="W461" s="207"/>
      <c r="X461" s="202"/>
      <c r="Y461" s="207"/>
      <c r="Z461" s="202"/>
      <c r="AA461" s="207"/>
      <c r="AB461" s="202"/>
      <c r="AC461" s="208"/>
      <c r="AD461" s="202"/>
      <c r="AE461" s="203">
        <f t="shared" si="5"/>
        <v>0</v>
      </c>
      <c r="AF461" s="202"/>
      <c r="AG461" s="204"/>
      <c r="AH461" s="202"/>
      <c r="AI461" s="204"/>
      <c r="AJ461" s="202"/>
      <c r="AK461" s="204"/>
      <c r="AL461" s="202"/>
      <c r="AM461" s="204"/>
      <c r="AN461" s="202"/>
      <c r="AO461" s="204"/>
      <c r="AP461" s="202"/>
      <c r="AQ461" s="208"/>
      <c r="AR461" s="202"/>
      <c r="AS461" s="203">
        <f t="shared" si="6"/>
        <v>0</v>
      </c>
      <c r="AT461" s="202"/>
      <c r="AU461" s="204"/>
      <c r="AV461" s="202"/>
      <c r="AW461" s="204"/>
      <c r="AX461" s="202"/>
      <c r="AY461" s="204"/>
      <c r="AZ461" s="202"/>
      <c r="BA461" s="204"/>
      <c r="BB461" s="202"/>
      <c r="BC461" s="204"/>
      <c r="BD461" s="202"/>
      <c r="BE461" s="208"/>
      <c r="BF461" s="202"/>
      <c r="BG461" s="203">
        <f t="shared" si="7"/>
        <v>0</v>
      </c>
      <c r="BH461" s="202"/>
      <c r="BI461" s="204"/>
      <c r="BJ461" s="202"/>
      <c r="BK461" s="204"/>
      <c r="BL461" s="202"/>
      <c r="BM461" s="204"/>
      <c r="BN461" s="202"/>
      <c r="BO461" s="203">
        <f t="shared" si="8"/>
        <v>0</v>
      </c>
      <c r="BP461" s="202"/>
      <c r="BQ461" s="138"/>
      <c r="BR461" s="128"/>
      <c r="BS461" s="128"/>
      <c r="BT461" s="128"/>
      <c r="BU461" s="128"/>
      <c r="BV461" s="128"/>
      <c r="BW461" s="139"/>
      <c r="BX461" s="140"/>
      <c r="BY461" s="139"/>
      <c r="BZ461" s="139"/>
      <c r="CA461" s="134"/>
      <c r="CB461" s="134"/>
      <c r="CC461" s="134"/>
      <c r="CD461" s="134"/>
      <c r="CE461" s="134"/>
      <c r="CF461" s="134"/>
      <c r="CG461" s="92"/>
      <c r="CH461" s="92"/>
      <c r="CI461" s="92"/>
      <c r="CJ461" s="92"/>
      <c r="CK461" s="92"/>
    </row>
    <row r="462" spans="1:89" ht="17.25" customHeight="1">
      <c r="A462" s="160"/>
      <c r="B462" s="165"/>
      <c r="C462" s="164"/>
      <c r="D462" s="137">
        <f t="shared" si="3"/>
        <v>0</v>
      </c>
      <c r="E462" s="207"/>
      <c r="F462" s="202"/>
      <c r="G462" s="207"/>
      <c r="H462" s="202"/>
      <c r="I462" s="207"/>
      <c r="J462" s="202"/>
      <c r="K462" s="207"/>
      <c r="L462" s="202"/>
      <c r="M462" s="207"/>
      <c r="N462" s="202"/>
      <c r="O462" s="201"/>
      <c r="P462" s="202"/>
      <c r="Q462" s="203">
        <f t="shared" si="4"/>
        <v>0</v>
      </c>
      <c r="R462" s="202"/>
      <c r="S462" s="207"/>
      <c r="T462" s="202"/>
      <c r="U462" s="207"/>
      <c r="V462" s="202"/>
      <c r="W462" s="207"/>
      <c r="X462" s="202"/>
      <c r="Y462" s="207"/>
      <c r="Z462" s="202"/>
      <c r="AA462" s="207"/>
      <c r="AB462" s="202"/>
      <c r="AC462" s="208"/>
      <c r="AD462" s="202"/>
      <c r="AE462" s="203">
        <f t="shared" si="5"/>
        <v>0</v>
      </c>
      <c r="AF462" s="202"/>
      <c r="AG462" s="204"/>
      <c r="AH462" s="202"/>
      <c r="AI462" s="204"/>
      <c r="AJ462" s="202"/>
      <c r="AK462" s="204"/>
      <c r="AL462" s="202"/>
      <c r="AM462" s="204"/>
      <c r="AN462" s="202"/>
      <c r="AO462" s="204"/>
      <c r="AP462" s="202"/>
      <c r="AQ462" s="208"/>
      <c r="AR462" s="202"/>
      <c r="AS462" s="203">
        <f t="shared" si="6"/>
        <v>0</v>
      </c>
      <c r="AT462" s="202"/>
      <c r="AU462" s="204"/>
      <c r="AV462" s="202"/>
      <c r="AW462" s="204"/>
      <c r="AX462" s="202"/>
      <c r="AY462" s="204"/>
      <c r="AZ462" s="202"/>
      <c r="BA462" s="204"/>
      <c r="BB462" s="202"/>
      <c r="BC462" s="204"/>
      <c r="BD462" s="202"/>
      <c r="BE462" s="208"/>
      <c r="BF462" s="202"/>
      <c r="BG462" s="203">
        <f t="shared" si="7"/>
        <v>0</v>
      </c>
      <c r="BH462" s="202"/>
      <c r="BI462" s="204"/>
      <c r="BJ462" s="202"/>
      <c r="BK462" s="204"/>
      <c r="BL462" s="202"/>
      <c r="BM462" s="204"/>
      <c r="BN462" s="202"/>
      <c r="BO462" s="203">
        <f t="shared" si="8"/>
        <v>0</v>
      </c>
      <c r="BP462" s="202"/>
      <c r="BQ462" s="138"/>
      <c r="BR462" s="128"/>
      <c r="BS462" s="128"/>
      <c r="BT462" s="128"/>
      <c r="BU462" s="128"/>
      <c r="BV462" s="128"/>
      <c r="BW462" s="139"/>
      <c r="BX462" s="140"/>
      <c r="BY462" s="139"/>
      <c r="BZ462" s="139"/>
      <c r="CA462" s="134"/>
      <c r="CB462" s="134"/>
      <c r="CC462" s="134"/>
      <c r="CD462" s="134"/>
      <c r="CE462" s="134"/>
      <c r="CF462" s="134"/>
      <c r="CG462" s="92"/>
      <c r="CH462" s="92"/>
      <c r="CI462" s="92"/>
      <c r="CJ462" s="92"/>
      <c r="CK462" s="92"/>
    </row>
    <row r="463" spans="1:89" ht="17.25" customHeight="1">
      <c r="A463" s="160"/>
      <c r="B463" s="165"/>
      <c r="C463" s="164"/>
      <c r="D463" s="137">
        <f t="shared" si="3"/>
        <v>0</v>
      </c>
      <c r="E463" s="207"/>
      <c r="F463" s="202"/>
      <c r="G463" s="207"/>
      <c r="H463" s="202"/>
      <c r="I463" s="207"/>
      <c r="J463" s="202"/>
      <c r="K463" s="207"/>
      <c r="L463" s="202"/>
      <c r="M463" s="207"/>
      <c r="N463" s="202"/>
      <c r="O463" s="201"/>
      <c r="P463" s="202"/>
      <c r="Q463" s="203">
        <f t="shared" si="4"/>
        <v>0</v>
      </c>
      <c r="R463" s="202"/>
      <c r="S463" s="207"/>
      <c r="T463" s="202"/>
      <c r="U463" s="207"/>
      <c r="V463" s="202"/>
      <c r="W463" s="207"/>
      <c r="X463" s="202"/>
      <c r="Y463" s="207"/>
      <c r="Z463" s="202"/>
      <c r="AA463" s="207"/>
      <c r="AB463" s="202"/>
      <c r="AC463" s="208"/>
      <c r="AD463" s="202"/>
      <c r="AE463" s="203">
        <f t="shared" si="5"/>
        <v>0</v>
      </c>
      <c r="AF463" s="202"/>
      <c r="AG463" s="204"/>
      <c r="AH463" s="202"/>
      <c r="AI463" s="204"/>
      <c r="AJ463" s="202"/>
      <c r="AK463" s="204"/>
      <c r="AL463" s="202"/>
      <c r="AM463" s="204"/>
      <c r="AN463" s="202"/>
      <c r="AO463" s="204"/>
      <c r="AP463" s="202"/>
      <c r="AQ463" s="208"/>
      <c r="AR463" s="202"/>
      <c r="AS463" s="203">
        <f t="shared" si="6"/>
        <v>0</v>
      </c>
      <c r="AT463" s="202"/>
      <c r="AU463" s="204"/>
      <c r="AV463" s="202"/>
      <c r="AW463" s="204"/>
      <c r="AX463" s="202"/>
      <c r="AY463" s="204"/>
      <c r="AZ463" s="202"/>
      <c r="BA463" s="204"/>
      <c r="BB463" s="202"/>
      <c r="BC463" s="204"/>
      <c r="BD463" s="202"/>
      <c r="BE463" s="208"/>
      <c r="BF463" s="202"/>
      <c r="BG463" s="203">
        <f t="shared" si="7"/>
        <v>0</v>
      </c>
      <c r="BH463" s="202"/>
      <c r="BI463" s="204"/>
      <c r="BJ463" s="202"/>
      <c r="BK463" s="204"/>
      <c r="BL463" s="202"/>
      <c r="BM463" s="204"/>
      <c r="BN463" s="202"/>
      <c r="BO463" s="203">
        <f t="shared" si="8"/>
        <v>0</v>
      </c>
      <c r="BP463" s="202"/>
      <c r="BQ463" s="138"/>
      <c r="BR463" s="128"/>
      <c r="BS463" s="128"/>
      <c r="BT463" s="128"/>
      <c r="BU463" s="128"/>
      <c r="BV463" s="128"/>
      <c r="BW463" s="139"/>
      <c r="BX463" s="140"/>
      <c r="BY463" s="139"/>
      <c r="BZ463" s="139"/>
      <c r="CA463" s="134"/>
      <c r="CB463" s="134"/>
      <c r="CC463" s="134"/>
      <c r="CD463" s="134"/>
      <c r="CE463" s="134"/>
      <c r="CF463" s="134"/>
      <c r="CG463" s="92"/>
      <c r="CH463" s="92"/>
      <c r="CI463" s="92"/>
      <c r="CJ463" s="92"/>
      <c r="CK463" s="92"/>
    </row>
    <row r="464" spans="1:89" ht="17.25" customHeight="1">
      <c r="A464" s="160"/>
      <c r="B464" s="165"/>
      <c r="C464" s="164"/>
      <c r="D464" s="137">
        <f t="shared" si="3"/>
        <v>0</v>
      </c>
      <c r="E464" s="207"/>
      <c r="F464" s="202"/>
      <c r="G464" s="207"/>
      <c r="H464" s="202"/>
      <c r="I464" s="207"/>
      <c r="J464" s="202"/>
      <c r="K464" s="207"/>
      <c r="L464" s="202"/>
      <c r="M464" s="207"/>
      <c r="N464" s="202"/>
      <c r="O464" s="201"/>
      <c r="P464" s="202"/>
      <c r="Q464" s="203">
        <f t="shared" si="4"/>
        <v>0</v>
      </c>
      <c r="R464" s="202"/>
      <c r="S464" s="207"/>
      <c r="T464" s="202"/>
      <c r="U464" s="207"/>
      <c r="V464" s="202"/>
      <c r="W464" s="207"/>
      <c r="X464" s="202"/>
      <c r="Y464" s="207"/>
      <c r="Z464" s="202"/>
      <c r="AA464" s="207"/>
      <c r="AB464" s="202"/>
      <c r="AC464" s="208"/>
      <c r="AD464" s="202"/>
      <c r="AE464" s="203">
        <f t="shared" si="5"/>
        <v>0</v>
      </c>
      <c r="AF464" s="202"/>
      <c r="AG464" s="204"/>
      <c r="AH464" s="202"/>
      <c r="AI464" s="204"/>
      <c r="AJ464" s="202"/>
      <c r="AK464" s="204"/>
      <c r="AL464" s="202"/>
      <c r="AM464" s="204"/>
      <c r="AN464" s="202"/>
      <c r="AO464" s="204"/>
      <c r="AP464" s="202"/>
      <c r="AQ464" s="208"/>
      <c r="AR464" s="202"/>
      <c r="AS464" s="203">
        <f t="shared" si="6"/>
        <v>0</v>
      </c>
      <c r="AT464" s="202"/>
      <c r="AU464" s="204"/>
      <c r="AV464" s="202"/>
      <c r="AW464" s="204"/>
      <c r="AX464" s="202"/>
      <c r="AY464" s="204"/>
      <c r="AZ464" s="202"/>
      <c r="BA464" s="204"/>
      <c r="BB464" s="202"/>
      <c r="BC464" s="204"/>
      <c r="BD464" s="202"/>
      <c r="BE464" s="208"/>
      <c r="BF464" s="202"/>
      <c r="BG464" s="203">
        <f t="shared" si="7"/>
        <v>0</v>
      </c>
      <c r="BH464" s="202"/>
      <c r="BI464" s="204"/>
      <c r="BJ464" s="202"/>
      <c r="BK464" s="204"/>
      <c r="BL464" s="202"/>
      <c r="BM464" s="204"/>
      <c r="BN464" s="202"/>
      <c r="BO464" s="203">
        <f t="shared" si="8"/>
        <v>0</v>
      </c>
      <c r="BP464" s="202"/>
      <c r="BQ464" s="138"/>
      <c r="BR464" s="128"/>
      <c r="BS464" s="128"/>
      <c r="BT464" s="128"/>
      <c r="BU464" s="128"/>
      <c r="BV464" s="128"/>
      <c r="BW464" s="139"/>
      <c r="BX464" s="140"/>
      <c r="BY464" s="139"/>
      <c r="BZ464" s="139"/>
      <c r="CA464" s="134"/>
      <c r="CB464" s="134"/>
      <c r="CC464" s="134"/>
      <c r="CD464" s="134"/>
      <c r="CE464" s="134"/>
      <c r="CF464" s="134"/>
      <c r="CG464" s="92"/>
      <c r="CH464" s="92"/>
      <c r="CI464" s="92"/>
      <c r="CJ464" s="92"/>
      <c r="CK464" s="92"/>
    </row>
    <row r="465" spans="1:89" ht="17.25" customHeight="1">
      <c r="A465" s="160"/>
      <c r="B465" s="165"/>
      <c r="C465" s="164"/>
      <c r="D465" s="137">
        <f t="shared" si="3"/>
        <v>0</v>
      </c>
      <c r="E465" s="207"/>
      <c r="F465" s="202"/>
      <c r="G465" s="207"/>
      <c r="H465" s="202"/>
      <c r="I465" s="207"/>
      <c r="J465" s="202"/>
      <c r="K465" s="207"/>
      <c r="L465" s="202"/>
      <c r="M465" s="207"/>
      <c r="N465" s="202"/>
      <c r="O465" s="201"/>
      <c r="P465" s="202"/>
      <c r="Q465" s="203">
        <f t="shared" si="4"/>
        <v>0</v>
      </c>
      <c r="R465" s="202"/>
      <c r="S465" s="207"/>
      <c r="T465" s="202"/>
      <c r="U465" s="207"/>
      <c r="V465" s="202"/>
      <c r="W465" s="207"/>
      <c r="X465" s="202"/>
      <c r="Y465" s="207"/>
      <c r="Z465" s="202"/>
      <c r="AA465" s="207"/>
      <c r="AB465" s="202"/>
      <c r="AC465" s="208"/>
      <c r="AD465" s="202"/>
      <c r="AE465" s="203">
        <f t="shared" si="5"/>
        <v>0</v>
      </c>
      <c r="AF465" s="202"/>
      <c r="AG465" s="204"/>
      <c r="AH465" s="202"/>
      <c r="AI465" s="204"/>
      <c r="AJ465" s="202"/>
      <c r="AK465" s="204"/>
      <c r="AL465" s="202"/>
      <c r="AM465" s="204"/>
      <c r="AN465" s="202"/>
      <c r="AO465" s="204"/>
      <c r="AP465" s="202"/>
      <c r="AQ465" s="208"/>
      <c r="AR465" s="202"/>
      <c r="AS465" s="203">
        <f t="shared" si="6"/>
        <v>0</v>
      </c>
      <c r="AT465" s="202"/>
      <c r="AU465" s="204"/>
      <c r="AV465" s="202"/>
      <c r="AW465" s="204"/>
      <c r="AX465" s="202"/>
      <c r="AY465" s="204"/>
      <c r="AZ465" s="202"/>
      <c r="BA465" s="204"/>
      <c r="BB465" s="202"/>
      <c r="BC465" s="204"/>
      <c r="BD465" s="202"/>
      <c r="BE465" s="208"/>
      <c r="BF465" s="202"/>
      <c r="BG465" s="203">
        <f t="shared" si="7"/>
        <v>0</v>
      </c>
      <c r="BH465" s="202"/>
      <c r="BI465" s="204"/>
      <c r="BJ465" s="202"/>
      <c r="BK465" s="204"/>
      <c r="BL465" s="202"/>
      <c r="BM465" s="204"/>
      <c r="BN465" s="202"/>
      <c r="BO465" s="203">
        <f t="shared" si="8"/>
        <v>0</v>
      </c>
      <c r="BP465" s="202"/>
      <c r="BQ465" s="138"/>
      <c r="BR465" s="128"/>
      <c r="BS465" s="128"/>
      <c r="BT465" s="128"/>
      <c r="BU465" s="128"/>
      <c r="BV465" s="128"/>
      <c r="BW465" s="139"/>
      <c r="BX465" s="140"/>
      <c r="BY465" s="139"/>
      <c r="BZ465" s="139"/>
      <c r="CA465" s="134"/>
      <c r="CB465" s="134"/>
      <c r="CC465" s="134"/>
      <c r="CD465" s="134"/>
      <c r="CE465" s="134"/>
      <c r="CF465" s="134"/>
      <c r="CG465" s="92"/>
      <c r="CH465" s="92"/>
      <c r="CI465" s="92"/>
      <c r="CJ465" s="92"/>
      <c r="CK465" s="92"/>
    </row>
    <row r="466" spans="1:89" ht="17.25" customHeight="1">
      <c r="A466" s="160"/>
      <c r="B466" s="165"/>
      <c r="C466" s="164"/>
      <c r="D466" s="137">
        <f t="shared" si="3"/>
        <v>0</v>
      </c>
      <c r="E466" s="207"/>
      <c r="F466" s="202"/>
      <c r="G466" s="207"/>
      <c r="H466" s="202"/>
      <c r="I466" s="207"/>
      <c r="J466" s="202"/>
      <c r="K466" s="207"/>
      <c r="L466" s="202"/>
      <c r="M466" s="207"/>
      <c r="N466" s="202"/>
      <c r="O466" s="201"/>
      <c r="P466" s="202"/>
      <c r="Q466" s="203">
        <f t="shared" si="4"/>
        <v>0</v>
      </c>
      <c r="R466" s="202"/>
      <c r="S466" s="207"/>
      <c r="T466" s="202"/>
      <c r="U466" s="207"/>
      <c r="V466" s="202"/>
      <c r="W466" s="207"/>
      <c r="X466" s="202"/>
      <c r="Y466" s="207"/>
      <c r="Z466" s="202"/>
      <c r="AA466" s="207"/>
      <c r="AB466" s="202"/>
      <c r="AC466" s="208"/>
      <c r="AD466" s="202"/>
      <c r="AE466" s="203">
        <f t="shared" si="5"/>
        <v>0</v>
      </c>
      <c r="AF466" s="202"/>
      <c r="AG466" s="204"/>
      <c r="AH466" s="202"/>
      <c r="AI466" s="204"/>
      <c r="AJ466" s="202"/>
      <c r="AK466" s="204"/>
      <c r="AL466" s="202"/>
      <c r="AM466" s="204"/>
      <c r="AN466" s="202"/>
      <c r="AO466" s="204"/>
      <c r="AP466" s="202"/>
      <c r="AQ466" s="208"/>
      <c r="AR466" s="202"/>
      <c r="AS466" s="203">
        <f t="shared" si="6"/>
        <v>0</v>
      </c>
      <c r="AT466" s="202"/>
      <c r="AU466" s="204"/>
      <c r="AV466" s="202"/>
      <c r="AW466" s="204"/>
      <c r="AX466" s="202"/>
      <c r="AY466" s="204"/>
      <c r="AZ466" s="202"/>
      <c r="BA466" s="204"/>
      <c r="BB466" s="202"/>
      <c r="BC466" s="204"/>
      <c r="BD466" s="202"/>
      <c r="BE466" s="208"/>
      <c r="BF466" s="202"/>
      <c r="BG466" s="203">
        <f t="shared" si="7"/>
        <v>0</v>
      </c>
      <c r="BH466" s="202"/>
      <c r="BI466" s="204"/>
      <c r="BJ466" s="202"/>
      <c r="BK466" s="204"/>
      <c r="BL466" s="202"/>
      <c r="BM466" s="204"/>
      <c r="BN466" s="202"/>
      <c r="BO466" s="203">
        <f t="shared" si="8"/>
        <v>0</v>
      </c>
      <c r="BP466" s="202"/>
      <c r="BQ466" s="138"/>
      <c r="BR466" s="128"/>
      <c r="BS466" s="128"/>
      <c r="BT466" s="128"/>
      <c r="BU466" s="128"/>
      <c r="BV466" s="128"/>
      <c r="BW466" s="139"/>
      <c r="BX466" s="140"/>
      <c r="BY466" s="139"/>
      <c r="BZ466" s="139"/>
      <c r="CA466" s="134"/>
      <c r="CB466" s="134"/>
      <c r="CC466" s="134"/>
      <c r="CD466" s="134"/>
      <c r="CE466" s="134"/>
      <c r="CF466" s="134"/>
      <c r="CG466" s="92"/>
      <c r="CH466" s="92"/>
      <c r="CI466" s="92"/>
      <c r="CJ466" s="92"/>
      <c r="CK466" s="92"/>
    </row>
    <row r="467" spans="1:89" ht="17.25" customHeight="1">
      <c r="A467" s="160"/>
      <c r="B467" s="165"/>
      <c r="C467" s="164"/>
      <c r="D467" s="137">
        <f t="shared" si="3"/>
        <v>0</v>
      </c>
      <c r="E467" s="207"/>
      <c r="F467" s="202"/>
      <c r="G467" s="207"/>
      <c r="H467" s="202"/>
      <c r="I467" s="207"/>
      <c r="J467" s="202"/>
      <c r="K467" s="207"/>
      <c r="L467" s="202"/>
      <c r="M467" s="207"/>
      <c r="N467" s="202"/>
      <c r="O467" s="201"/>
      <c r="P467" s="202"/>
      <c r="Q467" s="203">
        <f t="shared" si="4"/>
        <v>0</v>
      </c>
      <c r="R467" s="202"/>
      <c r="S467" s="207"/>
      <c r="T467" s="202"/>
      <c r="U467" s="207"/>
      <c r="V467" s="202"/>
      <c r="W467" s="207"/>
      <c r="X467" s="202"/>
      <c r="Y467" s="207"/>
      <c r="Z467" s="202"/>
      <c r="AA467" s="207"/>
      <c r="AB467" s="202"/>
      <c r="AC467" s="208"/>
      <c r="AD467" s="202"/>
      <c r="AE467" s="203">
        <f t="shared" si="5"/>
        <v>0</v>
      </c>
      <c r="AF467" s="202"/>
      <c r="AG467" s="204"/>
      <c r="AH467" s="202"/>
      <c r="AI467" s="204"/>
      <c r="AJ467" s="202"/>
      <c r="AK467" s="204"/>
      <c r="AL467" s="202"/>
      <c r="AM467" s="204"/>
      <c r="AN467" s="202"/>
      <c r="AO467" s="204"/>
      <c r="AP467" s="202"/>
      <c r="AQ467" s="208"/>
      <c r="AR467" s="202"/>
      <c r="AS467" s="203">
        <f t="shared" si="6"/>
        <v>0</v>
      </c>
      <c r="AT467" s="202"/>
      <c r="AU467" s="204"/>
      <c r="AV467" s="202"/>
      <c r="AW467" s="204"/>
      <c r="AX467" s="202"/>
      <c r="AY467" s="204"/>
      <c r="AZ467" s="202"/>
      <c r="BA467" s="204"/>
      <c r="BB467" s="202"/>
      <c r="BC467" s="204"/>
      <c r="BD467" s="202"/>
      <c r="BE467" s="208"/>
      <c r="BF467" s="202"/>
      <c r="BG467" s="203">
        <f t="shared" si="7"/>
        <v>0</v>
      </c>
      <c r="BH467" s="202"/>
      <c r="BI467" s="204"/>
      <c r="BJ467" s="202"/>
      <c r="BK467" s="204"/>
      <c r="BL467" s="202"/>
      <c r="BM467" s="204"/>
      <c r="BN467" s="202"/>
      <c r="BO467" s="203">
        <f t="shared" si="8"/>
        <v>0</v>
      </c>
      <c r="BP467" s="202"/>
      <c r="BQ467" s="138"/>
      <c r="BR467" s="128"/>
      <c r="BS467" s="128"/>
      <c r="BT467" s="128"/>
      <c r="BU467" s="128"/>
      <c r="BV467" s="128"/>
      <c r="BW467" s="139"/>
      <c r="BX467" s="140"/>
      <c r="BY467" s="139"/>
      <c r="BZ467" s="139"/>
      <c r="CA467" s="134"/>
      <c r="CB467" s="134"/>
      <c r="CC467" s="134"/>
      <c r="CD467" s="134"/>
      <c r="CE467" s="134"/>
      <c r="CF467" s="134"/>
      <c r="CG467" s="92"/>
      <c r="CH467" s="92"/>
      <c r="CI467" s="92"/>
      <c r="CJ467" s="92"/>
      <c r="CK467" s="92"/>
    </row>
    <row r="468" spans="1:89" ht="17.25" customHeight="1">
      <c r="A468" s="160"/>
      <c r="B468" s="165"/>
      <c r="C468" s="164"/>
      <c r="D468" s="137">
        <f t="shared" si="3"/>
        <v>0</v>
      </c>
      <c r="E468" s="207"/>
      <c r="F468" s="202"/>
      <c r="G468" s="207"/>
      <c r="H468" s="202"/>
      <c r="I468" s="207"/>
      <c r="J468" s="202"/>
      <c r="K468" s="207"/>
      <c r="L468" s="202"/>
      <c r="M468" s="207"/>
      <c r="N468" s="202"/>
      <c r="O468" s="201"/>
      <c r="P468" s="202"/>
      <c r="Q468" s="203">
        <f t="shared" si="4"/>
        <v>0</v>
      </c>
      <c r="R468" s="202"/>
      <c r="S468" s="207"/>
      <c r="T468" s="202"/>
      <c r="U468" s="207"/>
      <c r="V468" s="202"/>
      <c r="W468" s="207"/>
      <c r="X468" s="202"/>
      <c r="Y468" s="207"/>
      <c r="Z468" s="202"/>
      <c r="AA468" s="207"/>
      <c r="AB468" s="202"/>
      <c r="AC468" s="208"/>
      <c r="AD468" s="202"/>
      <c r="AE468" s="203">
        <f t="shared" si="5"/>
        <v>0</v>
      </c>
      <c r="AF468" s="202"/>
      <c r="AG468" s="204"/>
      <c r="AH468" s="202"/>
      <c r="AI468" s="204"/>
      <c r="AJ468" s="202"/>
      <c r="AK468" s="204"/>
      <c r="AL468" s="202"/>
      <c r="AM468" s="204"/>
      <c r="AN468" s="202"/>
      <c r="AO468" s="204"/>
      <c r="AP468" s="202"/>
      <c r="AQ468" s="208"/>
      <c r="AR468" s="202"/>
      <c r="AS468" s="203">
        <f t="shared" si="6"/>
        <v>0</v>
      </c>
      <c r="AT468" s="202"/>
      <c r="AU468" s="204"/>
      <c r="AV468" s="202"/>
      <c r="AW468" s="204"/>
      <c r="AX468" s="202"/>
      <c r="AY468" s="204"/>
      <c r="AZ468" s="202"/>
      <c r="BA468" s="204"/>
      <c r="BB468" s="202"/>
      <c r="BC468" s="204"/>
      <c r="BD468" s="202"/>
      <c r="BE468" s="208"/>
      <c r="BF468" s="202"/>
      <c r="BG468" s="203">
        <f t="shared" si="7"/>
        <v>0</v>
      </c>
      <c r="BH468" s="202"/>
      <c r="BI468" s="204"/>
      <c r="BJ468" s="202"/>
      <c r="BK468" s="204"/>
      <c r="BL468" s="202"/>
      <c r="BM468" s="204"/>
      <c r="BN468" s="202"/>
      <c r="BO468" s="203">
        <f t="shared" si="8"/>
        <v>0</v>
      </c>
      <c r="BP468" s="202"/>
      <c r="BQ468" s="138"/>
      <c r="BR468" s="128"/>
      <c r="BS468" s="128"/>
      <c r="BT468" s="128"/>
      <c r="BU468" s="128"/>
      <c r="BV468" s="128"/>
      <c r="BW468" s="139"/>
      <c r="BX468" s="140"/>
      <c r="BY468" s="139"/>
      <c r="BZ468" s="139"/>
      <c r="CA468" s="134"/>
      <c r="CB468" s="134"/>
      <c r="CC468" s="134"/>
      <c r="CD468" s="134"/>
      <c r="CE468" s="134"/>
      <c r="CF468" s="134"/>
      <c r="CG468" s="92"/>
      <c r="CH468" s="92"/>
      <c r="CI468" s="92"/>
      <c r="CJ468" s="92"/>
      <c r="CK468" s="92"/>
    </row>
    <row r="469" spans="1:89" ht="17.25" customHeight="1">
      <c r="A469" s="160"/>
      <c r="B469" s="165"/>
      <c r="C469" s="164"/>
      <c r="D469" s="137">
        <f t="shared" si="3"/>
        <v>0</v>
      </c>
      <c r="E469" s="207"/>
      <c r="F469" s="202"/>
      <c r="G469" s="207"/>
      <c r="H469" s="202"/>
      <c r="I469" s="207"/>
      <c r="J469" s="202"/>
      <c r="K469" s="207"/>
      <c r="L469" s="202"/>
      <c r="M469" s="207"/>
      <c r="N469" s="202"/>
      <c r="O469" s="201"/>
      <c r="P469" s="202"/>
      <c r="Q469" s="203">
        <f t="shared" si="4"/>
        <v>0</v>
      </c>
      <c r="R469" s="202"/>
      <c r="S469" s="207"/>
      <c r="T469" s="202"/>
      <c r="U469" s="207"/>
      <c r="V469" s="202"/>
      <c r="W469" s="207"/>
      <c r="X469" s="202"/>
      <c r="Y469" s="207"/>
      <c r="Z469" s="202"/>
      <c r="AA469" s="207"/>
      <c r="AB469" s="202"/>
      <c r="AC469" s="208"/>
      <c r="AD469" s="202"/>
      <c r="AE469" s="203">
        <f t="shared" si="5"/>
        <v>0</v>
      </c>
      <c r="AF469" s="202"/>
      <c r="AG469" s="204"/>
      <c r="AH469" s="202"/>
      <c r="AI469" s="204"/>
      <c r="AJ469" s="202"/>
      <c r="AK469" s="204"/>
      <c r="AL469" s="202"/>
      <c r="AM469" s="204"/>
      <c r="AN469" s="202"/>
      <c r="AO469" s="204"/>
      <c r="AP469" s="202"/>
      <c r="AQ469" s="208"/>
      <c r="AR469" s="202"/>
      <c r="AS469" s="203">
        <f t="shared" si="6"/>
        <v>0</v>
      </c>
      <c r="AT469" s="202"/>
      <c r="AU469" s="204"/>
      <c r="AV469" s="202"/>
      <c r="AW469" s="204"/>
      <c r="AX469" s="202"/>
      <c r="AY469" s="204"/>
      <c r="AZ469" s="202"/>
      <c r="BA469" s="204"/>
      <c r="BB469" s="202"/>
      <c r="BC469" s="204"/>
      <c r="BD469" s="202"/>
      <c r="BE469" s="208"/>
      <c r="BF469" s="202"/>
      <c r="BG469" s="203">
        <f t="shared" si="7"/>
        <v>0</v>
      </c>
      <c r="BH469" s="202"/>
      <c r="BI469" s="204"/>
      <c r="BJ469" s="202"/>
      <c r="BK469" s="204"/>
      <c r="BL469" s="202"/>
      <c r="BM469" s="204"/>
      <c r="BN469" s="202"/>
      <c r="BO469" s="203">
        <f t="shared" si="8"/>
        <v>0</v>
      </c>
      <c r="BP469" s="202"/>
      <c r="BQ469" s="138"/>
      <c r="BR469" s="128"/>
      <c r="BS469" s="128"/>
      <c r="BT469" s="128"/>
      <c r="BU469" s="128"/>
      <c r="BV469" s="128"/>
      <c r="BW469" s="139"/>
      <c r="BX469" s="140"/>
      <c r="BY469" s="139"/>
      <c r="BZ469" s="139"/>
      <c r="CA469" s="134"/>
      <c r="CB469" s="134"/>
      <c r="CC469" s="134"/>
      <c r="CD469" s="134"/>
      <c r="CE469" s="134"/>
      <c r="CF469" s="134"/>
      <c r="CG469" s="92"/>
      <c r="CH469" s="92"/>
      <c r="CI469" s="92"/>
      <c r="CJ469" s="92"/>
      <c r="CK469" s="92"/>
    </row>
    <row r="470" spans="1:89" ht="17.25" customHeight="1">
      <c r="A470" s="160"/>
      <c r="B470" s="165"/>
      <c r="C470" s="164"/>
      <c r="D470" s="137">
        <f t="shared" si="3"/>
        <v>0</v>
      </c>
      <c r="E470" s="207"/>
      <c r="F470" s="202"/>
      <c r="G470" s="207"/>
      <c r="H470" s="202"/>
      <c r="I470" s="207"/>
      <c r="J470" s="202"/>
      <c r="K470" s="207"/>
      <c r="L470" s="202"/>
      <c r="M470" s="207"/>
      <c r="N470" s="202"/>
      <c r="O470" s="201"/>
      <c r="P470" s="202"/>
      <c r="Q470" s="203">
        <f t="shared" si="4"/>
        <v>0</v>
      </c>
      <c r="R470" s="202"/>
      <c r="S470" s="207"/>
      <c r="T470" s="202"/>
      <c r="U470" s="207"/>
      <c r="V470" s="202"/>
      <c r="W470" s="207"/>
      <c r="X470" s="202"/>
      <c r="Y470" s="207"/>
      <c r="Z470" s="202"/>
      <c r="AA470" s="207"/>
      <c r="AB470" s="202"/>
      <c r="AC470" s="208"/>
      <c r="AD470" s="202"/>
      <c r="AE470" s="203">
        <f t="shared" si="5"/>
        <v>0</v>
      </c>
      <c r="AF470" s="202"/>
      <c r="AG470" s="204"/>
      <c r="AH470" s="202"/>
      <c r="AI470" s="204"/>
      <c r="AJ470" s="202"/>
      <c r="AK470" s="204"/>
      <c r="AL470" s="202"/>
      <c r="AM470" s="204"/>
      <c r="AN470" s="202"/>
      <c r="AO470" s="204"/>
      <c r="AP470" s="202"/>
      <c r="AQ470" s="208"/>
      <c r="AR470" s="202"/>
      <c r="AS470" s="203">
        <f t="shared" si="6"/>
        <v>0</v>
      </c>
      <c r="AT470" s="202"/>
      <c r="AU470" s="204"/>
      <c r="AV470" s="202"/>
      <c r="AW470" s="204"/>
      <c r="AX470" s="202"/>
      <c r="AY470" s="204"/>
      <c r="AZ470" s="202"/>
      <c r="BA470" s="204"/>
      <c r="BB470" s="202"/>
      <c r="BC470" s="204"/>
      <c r="BD470" s="202"/>
      <c r="BE470" s="208"/>
      <c r="BF470" s="202"/>
      <c r="BG470" s="203">
        <f t="shared" si="7"/>
        <v>0</v>
      </c>
      <c r="BH470" s="202"/>
      <c r="BI470" s="204"/>
      <c r="BJ470" s="202"/>
      <c r="BK470" s="204"/>
      <c r="BL470" s="202"/>
      <c r="BM470" s="204"/>
      <c r="BN470" s="202"/>
      <c r="BO470" s="203">
        <f t="shared" si="8"/>
        <v>0</v>
      </c>
      <c r="BP470" s="202"/>
      <c r="BQ470" s="138"/>
      <c r="BR470" s="128"/>
      <c r="BS470" s="128"/>
      <c r="BT470" s="128"/>
      <c r="BU470" s="128"/>
      <c r="BV470" s="128"/>
      <c r="BW470" s="139"/>
      <c r="BX470" s="140"/>
      <c r="BY470" s="139"/>
      <c r="BZ470" s="139"/>
      <c r="CA470" s="134"/>
      <c r="CB470" s="134"/>
      <c r="CC470" s="134"/>
      <c r="CD470" s="134"/>
      <c r="CE470" s="134"/>
      <c r="CF470" s="134"/>
      <c r="CG470" s="92"/>
      <c r="CH470" s="92"/>
      <c r="CI470" s="92"/>
      <c r="CJ470" s="92"/>
      <c r="CK470" s="92"/>
    </row>
    <row r="471" spans="1:89" ht="17.25" customHeight="1">
      <c r="A471" s="160"/>
      <c r="B471" s="165"/>
      <c r="C471" s="164"/>
      <c r="D471" s="137">
        <f t="shared" si="3"/>
        <v>0</v>
      </c>
      <c r="E471" s="207"/>
      <c r="F471" s="202"/>
      <c r="G471" s="207"/>
      <c r="H471" s="202"/>
      <c r="I471" s="207"/>
      <c r="J471" s="202"/>
      <c r="K471" s="207"/>
      <c r="L471" s="202"/>
      <c r="M471" s="207"/>
      <c r="N471" s="202"/>
      <c r="O471" s="201"/>
      <c r="P471" s="202"/>
      <c r="Q471" s="203">
        <f t="shared" si="4"/>
        <v>0</v>
      </c>
      <c r="R471" s="202"/>
      <c r="S471" s="207"/>
      <c r="T471" s="202"/>
      <c r="U471" s="207"/>
      <c r="V471" s="202"/>
      <c r="W471" s="207"/>
      <c r="X471" s="202"/>
      <c r="Y471" s="207"/>
      <c r="Z471" s="202"/>
      <c r="AA471" s="207"/>
      <c r="AB471" s="202"/>
      <c r="AC471" s="208"/>
      <c r="AD471" s="202"/>
      <c r="AE471" s="203">
        <f t="shared" si="5"/>
        <v>0</v>
      </c>
      <c r="AF471" s="202"/>
      <c r="AG471" s="204"/>
      <c r="AH471" s="202"/>
      <c r="AI471" s="204"/>
      <c r="AJ471" s="202"/>
      <c r="AK471" s="204"/>
      <c r="AL471" s="202"/>
      <c r="AM471" s="204"/>
      <c r="AN471" s="202"/>
      <c r="AO471" s="204"/>
      <c r="AP471" s="202"/>
      <c r="AQ471" s="208"/>
      <c r="AR471" s="202"/>
      <c r="AS471" s="203">
        <f t="shared" si="6"/>
        <v>0</v>
      </c>
      <c r="AT471" s="202"/>
      <c r="AU471" s="204"/>
      <c r="AV471" s="202"/>
      <c r="AW471" s="204"/>
      <c r="AX471" s="202"/>
      <c r="AY471" s="204"/>
      <c r="AZ471" s="202"/>
      <c r="BA471" s="204"/>
      <c r="BB471" s="202"/>
      <c r="BC471" s="204"/>
      <c r="BD471" s="202"/>
      <c r="BE471" s="208"/>
      <c r="BF471" s="202"/>
      <c r="BG471" s="203">
        <f t="shared" si="7"/>
        <v>0</v>
      </c>
      <c r="BH471" s="202"/>
      <c r="BI471" s="204"/>
      <c r="BJ471" s="202"/>
      <c r="BK471" s="204"/>
      <c r="BL471" s="202"/>
      <c r="BM471" s="204"/>
      <c r="BN471" s="202"/>
      <c r="BO471" s="203">
        <f t="shared" si="8"/>
        <v>0</v>
      </c>
      <c r="BP471" s="202"/>
      <c r="BQ471" s="138"/>
      <c r="BR471" s="128"/>
      <c r="BS471" s="128"/>
      <c r="BT471" s="128"/>
      <c r="BU471" s="128"/>
      <c r="BV471" s="128"/>
      <c r="BW471" s="139"/>
      <c r="BX471" s="140"/>
      <c r="BY471" s="139"/>
      <c r="BZ471" s="139"/>
      <c r="CA471" s="134"/>
      <c r="CB471" s="134"/>
      <c r="CC471" s="134"/>
      <c r="CD471" s="134"/>
      <c r="CE471" s="134"/>
      <c r="CF471" s="134"/>
      <c r="CG471" s="92"/>
      <c r="CH471" s="92"/>
      <c r="CI471" s="92"/>
      <c r="CJ471" s="92"/>
      <c r="CK471" s="92"/>
    </row>
    <row r="472" spans="1:89" ht="17.25" customHeight="1">
      <c r="A472" s="160"/>
      <c r="B472" s="165"/>
      <c r="C472" s="164"/>
      <c r="D472" s="137">
        <f t="shared" si="3"/>
        <v>0</v>
      </c>
      <c r="E472" s="207"/>
      <c r="F472" s="202"/>
      <c r="G472" s="207"/>
      <c r="H472" s="202"/>
      <c r="I472" s="207"/>
      <c r="J472" s="202"/>
      <c r="K472" s="207"/>
      <c r="L472" s="202"/>
      <c r="M472" s="207"/>
      <c r="N472" s="202"/>
      <c r="O472" s="201"/>
      <c r="P472" s="202"/>
      <c r="Q472" s="203">
        <f t="shared" si="4"/>
        <v>0</v>
      </c>
      <c r="R472" s="202"/>
      <c r="S472" s="207"/>
      <c r="T472" s="202"/>
      <c r="U472" s="207"/>
      <c r="V472" s="202"/>
      <c r="W472" s="207"/>
      <c r="X472" s="202"/>
      <c r="Y472" s="207"/>
      <c r="Z472" s="202"/>
      <c r="AA472" s="207"/>
      <c r="AB472" s="202"/>
      <c r="AC472" s="208"/>
      <c r="AD472" s="202"/>
      <c r="AE472" s="203">
        <f t="shared" si="5"/>
        <v>0</v>
      </c>
      <c r="AF472" s="202"/>
      <c r="AG472" s="204"/>
      <c r="AH472" s="202"/>
      <c r="AI472" s="204"/>
      <c r="AJ472" s="202"/>
      <c r="AK472" s="204"/>
      <c r="AL472" s="202"/>
      <c r="AM472" s="204"/>
      <c r="AN472" s="202"/>
      <c r="AO472" s="204"/>
      <c r="AP472" s="202"/>
      <c r="AQ472" s="208"/>
      <c r="AR472" s="202"/>
      <c r="AS472" s="203">
        <f t="shared" si="6"/>
        <v>0</v>
      </c>
      <c r="AT472" s="202"/>
      <c r="AU472" s="204"/>
      <c r="AV472" s="202"/>
      <c r="AW472" s="204"/>
      <c r="AX472" s="202"/>
      <c r="AY472" s="204"/>
      <c r="AZ472" s="202"/>
      <c r="BA472" s="204"/>
      <c r="BB472" s="202"/>
      <c r="BC472" s="204"/>
      <c r="BD472" s="202"/>
      <c r="BE472" s="208"/>
      <c r="BF472" s="202"/>
      <c r="BG472" s="203">
        <f t="shared" si="7"/>
        <v>0</v>
      </c>
      <c r="BH472" s="202"/>
      <c r="BI472" s="204"/>
      <c r="BJ472" s="202"/>
      <c r="BK472" s="204"/>
      <c r="BL472" s="202"/>
      <c r="BM472" s="204"/>
      <c r="BN472" s="202"/>
      <c r="BO472" s="203">
        <f t="shared" si="8"/>
        <v>0</v>
      </c>
      <c r="BP472" s="202"/>
      <c r="BQ472" s="138"/>
      <c r="BR472" s="128"/>
      <c r="BS472" s="128"/>
      <c r="BT472" s="128"/>
      <c r="BU472" s="128"/>
      <c r="BV472" s="128"/>
      <c r="BW472" s="139"/>
      <c r="BX472" s="140"/>
      <c r="BY472" s="139"/>
      <c r="BZ472" s="139"/>
      <c r="CA472" s="134"/>
      <c r="CB472" s="134"/>
      <c r="CC472" s="134"/>
      <c r="CD472" s="134"/>
      <c r="CE472" s="134"/>
      <c r="CF472" s="134"/>
      <c r="CG472" s="92"/>
      <c r="CH472" s="92"/>
      <c r="CI472" s="92"/>
      <c r="CJ472" s="92"/>
      <c r="CK472" s="92"/>
    </row>
    <row r="473" spans="1:89" ht="17.25" customHeight="1">
      <c r="A473" s="160"/>
      <c r="B473" s="165"/>
      <c r="C473" s="164"/>
      <c r="D473" s="137">
        <f t="shared" si="3"/>
        <v>0</v>
      </c>
      <c r="E473" s="207"/>
      <c r="F473" s="202"/>
      <c r="G473" s="207"/>
      <c r="H473" s="202"/>
      <c r="I473" s="207"/>
      <c r="J473" s="202"/>
      <c r="K473" s="207"/>
      <c r="L473" s="202"/>
      <c r="M473" s="207"/>
      <c r="N473" s="202"/>
      <c r="O473" s="201"/>
      <c r="P473" s="202"/>
      <c r="Q473" s="203">
        <f t="shared" si="4"/>
        <v>0</v>
      </c>
      <c r="R473" s="202"/>
      <c r="S473" s="207"/>
      <c r="T473" s="202"/>
      <c r="U473" s="207"/>
      <c r="V473" s="202"/>
      <c r="W473" s="207"/>
      <c r="X473" s="202"/>
      <c r="Y473" s="207"/>
      <c r="Z473" s="202"/>
      <c r="AA473" s="207"/>
      <c r="AB473" s="202"/>
      <c r="AC473" s="208"/>
      <c r="AD473" s="202"/>
      <c r="AE473" s="203">
        <f t="shared" si="5"/>
        <v>0</v>
      </c>
      <c r="AF473" s="202"/>
      <c r="AG473" s="204"/>
      <c r="AH473" s="202"/>
      <c r="AI473" s="204"/>
      <c r="AJ473" s="202"/>
      <c r="AK473" s="204"/>
      <c r="AL473" s="202"/>
      <c r="AM473" s="204"/>
      <c r="AN473" s="202"/>
      <c r="AO473" s="204"/>
      <c r="AP473" s="202"/>
      <c r="AQ473" s="208"/>
      <c r="AR473" s="202"/>
      <c r="AS473" s="203">
        <f t="shared" si="6"/>
        <v>0</v>
      </c>
      <c r="AT473" s="202"/>
      <c r="AU473" s="204"/>
      <c r="AV473" s="202"/>
      <c r="AW473" s="204"/>
      <c r="AX473" s="202"/>
      <c r="AY473" s="204"/>
      <c r="AZ473" s="202"/>
      <c r="BA473" s="204"/>
      <c r="BB473" s="202"/>
      <c r="BC473" s="204"/>
      <c r="BD473" s="202"/>
      <c r="BE473" s="208"/>
      <c r="BF473" s="202"/>
      <c r="BG473" s="203">
        <f t="shared" si="7"/>
        <v>0</v>
      </c>
      <c r="BH473" s="202"/>
      <c r="BI473" s="204"/>
      <c r="BJ473" s="202"/>
      <c r="BK473" s="204"/>
      <c r="BL473" s="202"/>
      <c r="BM473" s="204"/>
      <c r="BN473" s="202"/>
      <c r="BO473" s="203">
        <f t="shared" si="8"/>
        <v>0</v>
      </c>
      <c r="BP473" s="202"/>
      <c r="BQ473" s="138"/>
      <c r="BR473" s="128"/>
      <c r="BS473" s="128"/>
      <c r="BT473" s="128"/>
      <c r="BU473" s="128"/>
      <c r="BV473" s="128"/>
      <c r="BW473" s="139"/>
      <c r="BX473" s="140"/>
      <c r="BY473" s="139"/>
      <c r="BZ473" s="139"/>
      <c r="CA473" s="134"/>
      <c r="CB473" s="134"/>
      <c r="CC473" s="134"/>
      <c r="CD473" s="134"/>
      <c r="CE473" s="134"/>
      <c r="CF473" s="134"/>
      <c r="CG473" s="92"/>
      <c r="CH473" s="92"/>
      <c r="CI473" s="92"/>
      <c r="CJ473" s="92"/>
      <c r="CK473" s="92"/>
    </row>
    <row r="474" spans="1:89" ht="17.25" customHeight="1">
      <c r="A474" s="160"/>
      <c r="B474" s="165"/>
      <c r="C474" s="164"/>
      <c r="D474" s="137">
        <f t="shared" si="3"/>
        <v>0</v>
      </c>
      <c r="E474" s="207"/>
      <c r="F474" s="202"/>
      <c r="G474" s="207"/>
      <c r="H474" s="202"/>
      <c r="I474" s="207"/>
      <c r="J474" s="202"/>
      <c r="K474" s="207"/>
      <c r="L474" s="202"/>
      <c r="M474" s="207"/>
      <c r="N474" s="202"/>
      <c r="O474" s="201"/>
      <c r="P474" s="202"/>
      <c r="Q474" s="203">
        <f t="shared" si="4"/>
        <v>0</v>
      </c>
      <c r="R474" s="202"/>
      <c r="S474" s="207"/>
      <c r="T474" s="202"/>
      <c r="U474" s="207"/>
      <c r="V474" s="202"/>
      <c r="W474" s="207"/>
      <c r="X474" s="202"/>
      <c r="Y474" s="207"/>
      <c r="Z474" s="202"/>
      <c r="AA474" s="207"/>
      <c r="AB474" s="202"/>
      <c r="AC474" s="208"/>
      <c r="AD474" s="202"/>
      <c r="AE474" s="203">
        <f t="shared" si="5"/>
        <v>0</v>
      </c>
      <c r="AF474" s="202"/>
      <c r="AG474" s="204"/>
      <c r="AH474" s="202"/>
      <c r="AI474" s="204"/>
      <c r="AJ474" s="202"/>
      <c r="AK474" s="204"/>
      <c r="AL474" s="202"/>
      <c r="AM474" s="204"/>
      <c r="AN474" s="202"/>
      <c r="AO474" s="204"/>
      <c r="AP474" s="202"/>
      <c r="AQ474" s="208"/>
      <c r="AR474" s="202"/>
      <c r="AS474" s="203">
        <f t="shared" si="6"/>
        <v>0</v>
      </c>
      <c r="AT474" s="202"/>
      <c r="AU474" s="204"/>
      <c r="AV474" s="202"/>
      <c r="AW474" s="204"/>
      <c r="AX474" s="202"/>
      <c r="AY474" s="204"/>
      <c r="AZ474" s="202"/>
      <c r="BA474" s="204"/>
      <c r="BB474" s="202"/>
      <c r="BC474" s="204"/>
      <c r="BD474" s="202"/>
      <c r="BE474" s="208"/>
      <c r="BF474" s="202"/>
      <c r="BG474" s="203">
        <f t="shared" si="7"/>
        <v>0</v>
      </c>
      <c r="BH474" s="202"/>
      <c r="BI474" s="204"/>
      <c r="BJ474" s="202"/>
      <c r="BK474" s="204"/>
      <c r="BL474" s="202"/>
      <c r="BM474" s="204"/>
      <c r="BN474" s="202"/>
      <c r="BO474" s="203">
        <f t="shared" si="8"/>
        <v>0</v>
      </c>
      <c r="BP474" s="202"/>
      <c r="BQ474" s="138"/>
      <c r="BR474" s="128"/>
      <c r="BS474" s="128"/>
      <c r="BT474" s="128"/>
      <c r="BU474" s="128"/>
      <c r="BV474" s="128"/>
      <c r="BW474" s="139"/>
      <c r="BX474" s="140"/>
      <c r="BY474" s="139"/>
      <c r="BZ474" s="139"/>
      <c r="CA474" s="134"/>
      <c r="CB474" s="134"/>
      <c r="CC474" s="134"/>
      <c r="CD474" s="134"/>
      <c r="CE474" s="134"/>
      <c r="CF474" s="134"/>
      <c r="CG474" s="92"/>
      <c r="CH474" s="92"/>
      <c r="CI474" s="92"/>
      <c r="CJ474" s="92"/>
      <c r="CK474" s="92"/>
    </row>
    <row r="475" spans="1:89" ht="17.25" customHeight="1">
      <c r="A475" s="160"/>
      <c r="B475" s="165"/>
      <c r="C475" s="164"/>
      <c r="D475" s="137">
        <f t="shared" si="3"/>
        <v>0</v>
      </c>
      <c r="E475" s="207"/>
      <c r="F475" s="202"/>
      <c r="G475" s="207"/>
      <c r="H475" s="202"/>
      <c r="I475" s="207"/>
      <c r="J475" s="202"/>
      <c r="K475" s="207"/>
      <c r="L475" s="202"/>
      <c r="M475" s="207"/>
      <c r="N475" s="202"/>
      <c r="O475" s="201"/>
      <c r="P475" s="202"/>
      <c r="Q475" s="203">
        <f t="shared" si="4"/>
        <v>0</v>
      </c>
      <c r="R475" s="202"/>
      <c r="S475" s="207"/>
      <c r="T475" s="202"/>
      <c r="U475" s="207"/>
      <c r="V475" s="202"/>
      <c r="W475" s="207"/>
      <c r="X475" s="202"/>
      <c r="Y475" s="207"/>
      <c r="Z475" s="202"/>
      <c r="AA475" s="207"/>
      <c r="AB475" s="202"/>
      <c r="AC475" s="208"/>
      <c r="AD475" s="202"/>
      <c r="AE475" s="203">
        <f t="shared" si="5"/>
        <v>0</v>
      </c>
      <c r="AF475" s="202"/>
      <c r="AG475" s="204"/>
      <c r="AH475" s="202"/>
      <c r="AI475" s="204"/>
      <c r="AJ475" s="202"/>
      <c r="AK475" s="204"/>
      <c r="AL475" s="202"/>
      <c r="AM475" s="204"/>
      <c r="AN475" s="202"/>
      <c r="AO475" s="204"/>
      <c r="AP475" s="202"/>
      <c r="AQ475" s="208"/>
      <c r="AR475" s="202"/>
      <c r="AS475" s="203">
        <f t="shared" si="6"/>
        <v>0</v>
      </c>
      <c r="AT475" s="202"/>
      <c r="AU475" s="204"/>
      <c r="AV475" s="202"/>
      <c r="AW475" s="204"/>
      <c r="AX475" s="202"/>
      <c r="AY475" s="204"/>
      <c r="AZ475" s="202"/>
      <c r="BA475" s="204"/>
      <c r="BB475" s="202"/>
      <c r="BC475" s="204"/>
      <c r="BD475" s="202"/>
      <c r="BE475" s="208"/>
      <c r="BF475" s="202"/>
      <c r="BG475" s="203">
        <f t="shared" si="7"/>
        <v>0</v>
      </c>
      <c r="BH475" s="202"/>
      <c r="BI475" s="204"/>
      <c r="BJ475" s="202"/>
      <c r="BK475" s="204"/>
      <c r="BL475" s="202"/>
      <c r="BM475" s="204"/>
      <c r="BN475" s="202"/>
      <c r="BO475" s="203">
        <f t="shared" si="8"/>
        <v>0</v>
      </c>
      <c r="BP475" s="202"/>
      <c r="BQ475" s="138"/>
      <c r="BR475" s="128"/>
      <c r="BS475" s="128"/>
      <c r="BT475" s="128"/>
      <c r="BU475" s="128"/>
      <c r="BV475" s="128"/>
      <c r="BW475" s="139"/>
      <c r="BX475" s="140"/>
      <c r="BY475" s="139"/>
      <c r="BZ475" s="139"/>
      <c r="CA475" s="134"/>
      <c r="CB475" s="134"/>
      <c r="CC475" s="134"/>
      <c r="CD475" s="134"/>
      <c r="CE475" s="134"/>
      <c r="CF475" s="134"/>
      <c r="CG475" s="92"/>
      <c r="CH475" s="92"/>
      <c r="CI475" s="92"/>
      <c r="CJ475" s="92"/>
      <c r="CK475" s="92"/>
    </row>
    <row r="476" spans="1:89" ht="17.25" customHeight="1">
      <c r="A476" s="160"/>
      <c r="B476" s="165"/>
      <c r="C476" s="164"/>
      <c r="D476" s="137">
        <f t="shared" si="3"/>
        <v>0</v>
      </c>
      <c r="E476" s="207"/>
      <c r="F476" s="202"/>
      <c r="G476" s="207"/>
      <c r="H476" s="202"/>
      <c r="I476" s="207"/>
      <c r="J476" s="202"/>
      <c r="K476" s="207"/>
      <c r="L476" s="202"/>
      <c r="M476" s="207"/>
      <c r="N476" s="202"/>
      <c r="O476" s="201"/>
      <c r="P476" s="202"/>
      <c r="Q476" s="203">
        <f t="shared" si="4"/>
        <v>0</v>
      </c>
      <c r="R476" s="202"/>
      <c r="S476" s="207"/>
      <c r="T476" s="202"/>
      <c r="U476" s="207"/>
      <c r="V476" s="202"/>
      <c r="W476" s="207"/>
      <c r="X476" s="202"/>
      <c r="Y476" s="207"/>
      <c r="Z476" s="202"/>
      <c r="AA476" s="207"/>
      <c r="AB476" s="202"/>
      <c r="AC476" s="208"/>
      <c r="AD476" s="202"/>
      <c r="AE476" s="203">
        <f t="shared" si="5"/>
        <v>0</v>
      </c>
      <c r="AF476" s="202"/>
      <c r="AG476" s="204"/>
      <c r="AH476" s="202"/>
      <c r="AI476" s="204"/>
      <c r="AJ476" s="202"/>
      <c r="AK476" s="204"/>
      <c r="AL476" s="202"/>
      <c r="AM476" s="204"/>
      <c r="AN476" s="202"/>
      <c r="AO476" s="204"/>
      <c r="AP476" s="202"/>
      <c r="AQ476" s="208"/>
      <c r="AR476" s="202"/>
      <c r="AS476" s="203">
        <f t="shared" si="6"/>
        <v>0</v>
      </c>
      <c r="AT476" s="202"/>
      <c r="AU476" s="204"/>
      <c r="AV476" s="202"/>
      <c r="AW476" s="204"/>
      <c r="AX476" s="202"/>
      <c r="AY476" s="204"/>
      <c r="AZ476" s="202"/>
      <c r="BA476" s="204"/>
      <c r="BB476" s="202"/>
      <c r="BC476" s="204"/>
      <c r="BD476" s="202"/>
      <c r="BE476" s="208"/>
      <c r="BF476" s="202"/>
      <c r="BG476" s="203">
        <f t="shared" si="7"/>
        <v>0</v>
      </c>
      <c r="BH476" s="202"/>
      <c r="BI476" s="204"/>
      <c r="BJ476" s="202"/>
      <c r="BK476" s="204"/>
      <c r="BL476" s="202"/>
      <c r="BM476" s="204"/>
      <c r="BN476" s="202"/>
      <c r="BO476" s="203">
        <f t="shared" si="8"/>
        <v>0</v>
      </c>
      <c r="BP476" s="202"/>
      <c r="BQ476" s="138"/>
      <c r="BR476" s="128"/>
      <c r="BS476" s="128"/>
      <c r="BT476" s="128"/>
      <c r="BU476" s="128"/>
      <c r="BV476" s="128"/>
      <c r="BW476" s="139"/>
      <c r="BX476" s="140"/>
      <c r="BY476" s="139"/>
      <c r="BZ476" s="139"/>
      <c r="CA476" s="134"/>
      <c r="CB476" s="134"/>
      <c r="CC476" s="134"/>
      <c r="CD476" s="134"/>
      <c r="CE476" s="134"/>
      <c r="CF476" s="134"/>
      <c r="CG476" s="92"/>
      <c r="CH476" s="92"/>
      <c r="CI476" s="92"/>
      <c r="CJ476" s="92"/>
      <c r="CK476" s="92"/>
    </row>
    <row r="477" spans="1:89" ht="17.25" customHeight="1">
      <c r="A477" s="160"/>
      <c r="B477" s="165"/>
      <c r="C477" s="164"/>
      <c r="D477" s="137">
        <f t="shared" si="3"/>
        <v>0</v>
      </c>
      <c r="E477" s="207"/>
      <c r="F477" s="202"/>
      <c r="G477" s="207"/>
      <c r="H477" s="202"/>
      <c r="I477" s="207"/>
      <c r="J477" s="202"/>
      <c r="K477" s="207"/>
      <c r="L477" s="202"/>
      <c r="M477" s="207"/>
      <c r="N477" s="202"/>
      <c r="O477" s="201"/>
      <c r="P477" s="202"/>
      <c r="Q477" s="203">
        <f t="shared" si="4"/>
        <v>0</v>
      </c>
      <c r="R477" s="202"/>
      <c r="S477" s="207"/>
      <c r="T477" s="202"/>
      <c r="U477" s="207"/>
      <c r="V477" s="202"/>
      <c r="W477" s="207"/>
      <c r="X477" s="202"/>
      <c r="Y477" s="207"/>
      <c r="Z477" s="202"/>
      <c r="AA477" s="207"/>
      <c r="AB477" s="202"/>
      <c r="AC477" s="208"/>
      <c r="AD477" s="202"/>
      <c r="AE477" s="203">
        <f t="shared" si="5"/>
        <v>0</v>
      </c>
      <c r="AF477" s="202"/>
      <c r="AG477" s="204"/>
      <c r="AH477" s="202"/>
      <c r="AI477" s="204"/>
      <c r="AJ477" s="202"/>
      <c r="AK477" s="204"/>
      <c r="AL477" s="202"/>
      <c r="AM477" s="204"/>
      <c r="AN477" s="202"/>
      <c r="AO477" s="204"/>
      <c r="AP477" s="202"/>
      <c r="AQ477" s="208"/>
      <c r="AR477" s="202"/>
      <c r="AS477" s="203">
        <f t="shared" si="6"/>
        <v>0</v>
      </c>
      <c r="AT477" s="202"/>
      <c r="AU477" s="204"/>
      <c r="AV477" s="202"/>
      <c r="AW477" s="204"/>
      <c r="AX477" s="202"/>
      <c r="AY477" s="204"/>
      <c r="AZ477" s="202"/>
      <c r="BA477" s="204"/>
      <c r="BB477" s="202"/>
      <c r="BC477" s="204"/>
      <c r="BD477" s="202"/>
      <c r="BE477" s="208"/>
      <c r="BF477" s="202"/>
      <c r="BG477" s="203">
        <f t="shared" si="7"/>
        <v>0</v>
      </c>
      <c r="BH477" s="202"/>
      <c r="BI477" s="204"/>
      <c r="BJ477" s="202"/>
      <c r="BK477" s="204"/>
      <c r="BL477" s="202"/>
      <c r="BM477" s="204"/>
      <c r="BN477" s="202"/>
      <c r="BO477" s="203">
        <f t="shared" si="8"/>
        <v>0</v>
      </c>
      <c r="BP477" s="202"/>
      <c r="BQ477" s="138"/>
      <c r="BR477" s="128"/>
      <c r="BS477" s="128"/>
      <c r="BT477" s="128"/>
      <c r="BU477" s="128"/>
      <c r="BV477" s="128"/>
      <c r="BW477" s="139"/>
      <c r="BX477" s="140"/>
      <c r="BY477" s="139"/>
      <c r="BZ477" s="139"/>
      <c r="CA477" s="134"/>
      <c r="CB477" s="134"/>
      <c r="CC477" s="134"/>
      <c r="CD477" s="134"/>
      <c r="CE477" s="134"/>
      <c r="CF477" s="134"/>
      <c r="CG477" s="92"/>
      <c r="CH477" s="92"/>
      <c r="CI477" s="92"/>
      <c r="CJ477" s="92"/>
      <c r="CK477" s="92"/>
    </row>
    <row r="478" spans="1:89" ht="17.25" customHeight="1">
      <c r="A478" s="160"/>
      <c r="B478" s="165"/>
      <c r="C478" s="164"/>
      <c r="D478" s="137">
        <f t="shared" si="3"/>
        <v>0</v>
      </c>
      <c r="E478" s="207"/>
      <c r="F478" s="202"/>
      <c r="G478" s="207"/>
      <c r="H478" s="202"/>
      <c r="I478" s="207"/>
      <c r="J478" s="202"/>
      <c r="K478" s="207"/>
      <c r="L478" s="202"/>
      <c r="M478" s="207"/>
      <c r="N478" s="202"/>
      <c r="O478" s="201"/>
      <c r="P478" s="202"/>
      <c r="Q478" s="203">
        <f t="shared" si="4"/>
        <v>0</v>
      </c>
      <c r="R478" s="202"/>
      <c r="S478" s="207"/>
      <c r="T478" s="202"/>
      <c r="U478" s="207"/>
      <c r="V478" s="202"/>
      <c r="W478" s="207"/>
      <c r="X478" s="202"/>
      <c r="Y478" s="207"/>
      <c r="Z478" s="202"/>
      <c r="AA478" s="207"/>
      <c r="AB478" s="202"/>
      <c r="AC478" s="208"/>
      <c r="AD478" s="202"/>
      <c r="AE478" s="203">
        <f t="shared" si="5"/>
        <v>0</v>
      </c>
      <c r="AF478" s="202"/>
      <c r="AG478" s="204"/>
      <c r="AH478" s="202"/>
      <c r="AI478" s="204"/>
      <c r="AJ478" s="202"/>
      <c r="AK478" s="204"/>
      <c r="AL478" s="202"/>
      <c r="AM478" s="204"/>
      <c r="AN478" s="202"/>
      <c r="AO478" s="204"/>
      <c r="AP478" s="202"/>
      <c r="AQ478" s="208"/>
      <c r="AR478" s="202"/>
      <c r="AS478" s="203">
        <f t="shared" si="6"/>
        <v>0</v>
      </c>
      <c r="AT478" s="202"/>
      <c r="AU478" s="204"/>
      <c r="AV478" s="202"/>
      <c r="AW478" s="204"/>
      <c r="AX478" s="202"/>
      <c r="AY478" s="204"/>
      <c r="AZ478" s="202"/>
      <c r="BA478" s="204"/>
      <c r="BB478" s="202"/>
      <c r="BC478" s="204"/>
      <c r="BD478" s="202"/>
      <c r="BE478" s="208"/>
      <c r="BF478" s="202"/>
      <c r="BG478" s="203">
        <f t="shared" si="7"/>
        <v>0</v>
      </c>
      <c r="BH478" s="202"/>
      <c r="BI478" s="204"/>
      <c r="BJ478" s="202"/>
      <c r="BK478" s="204"/>
      <c r="BL478" s="202"/>
      <c r="BM478" s="204"/>
      <c r="BN478" s="202"/>
      <c r="BO478" s="203">
        <f t="shared" si="8"/>
        <v>0</v>
      </c>
      <c r="BP478" s="202"/>
      <c r="BQ478" s="138"/>
      <c r="BR478" s="128"/>
      <c r="BS478" s="128"/>
      <c r="BT478" s="128"/>
      <c r="BU478" s="128"/>
      <c r="BV478" s="128"/>
      <c r="BW478" s="139"/>
      <c r="BX478" s="140"/>
      <c r="BY478" s="139"/>
      <c r="BZ478" s="139"/>
      <c r="CA478" s="134"/>
      <c r="CB478" s="134"/>
      <c r="CC478" s="134"/>
      <c r="CD478" s="134"/>
      <c r="CE478" s="134"/>
      <c r="CF478" s="134"/>
      <c r="CG478" s="92"/>
      <c r="CH478" s="92"/>
      <c r="CI478" s="92"/>
      <c r="CJ478" s="92"/>
      <c r="CK478" s="92"/>
    </row>
    <row r="479" spans="1:89" ht="17.25" customHeight="1">
      <c r="A479" s="160"/>
      <c r="B479" s="165"/>
      <c r="C479" s="164"/>
      <c r="D479" s="137">
        <f t="shared" si="3"/>
        <v>0</v>
      </c>
      <c r="E479" s="207"/>
      <c r="F479" s="202"/>
      <c r="G479" s="207"/>
      <c r="H479" s="202"/>
      <c r="I479" s="207"/>
      <c r="J479" s="202"/>
      <c r="K479" s="207"/>
      <c r="L479" s="202"/>
      <c r="M479" s="207"/>
      <c r="N479" s="202"/>
      <c r="O479" s="201"/>
      <c r="P479" s="202"/>
      <c r="Q479" s="203">
        <f t="shared" si="4"/>
        <v>0</v>
      </c>
      <c r="R479" s="202"/>
      <c r="S479" s="207"/>
      <c r="T479" s="202"/>
      <c r="U479" s="207"/>
      <c r="V479" s="202"/>
      <c r="W479" s="207"/>
      <c r="X479" s="202"/>
      <c r="Y479" s="207"/>
      <c r="Z479" s="202"/>
      <c r="AA479" s="207"/>
      <c r="AB479" s="202"/>
      <c r="AC479" s="208"/>
      <c r="AD479" s="202"/>
      <c r="AE479" s="203">
        <f t="shared" si="5"/>
        <v>0</v>
      </c>
      <c r="AF479" s="202"/>
      <c r="AG479" s="204"/>
      <c r="AH479" s="202"/>
      <c r="AI479" s="204"/>
      <c r="AJ479" s="202"/>
      <c r="AK479" s="204"/>
      <c r="AL479" s="202"/>
      <c r="AM479" s="204"/>
      <c r="AN479" s="202"/>
      <c r="AO479" s="204"/>
      <c r="AP479" s="202"/>
      <c r="AQ479" s="208"/>
      <c r="AR479" s="202"/>
      <c r="AS479" s="203">
        <f t="shared" si="6"/>
        <v>0</v>
      </c>
      <c r="AT479" s="202"/>
      <c r="AU479" s="204"/>
      <c r="AV479" s="202"/>
      <c r="AW479" s="204"/>
      <c r="AX479" s="202"/>
      <c r="AY479" s="204"/>
      <c r="AZ479" s="202"/>
      <c r="BA479" s="204"/>
      <c r="BB479" s="202"/>
      <c r="BC479" s="204"/>
      <c r="BD479" s="202"/>
      <c r="BE479" s="208"/>
      <c r="BF479" s="202"/>
      <c r="BG479" s="203">
        <f t="shared" si="7"/>
        <v>0</v>
      </c>
      <c r="BH479" s="202"/>
      <c r="BI479" s="204"/>
      <c r="BJ479" s="202"/>
      <c r="BK479" s="204"/>
      <c r="BL479" s="202"/>
      <c r="BM479" s="204"/>
      <c r="BN479" s="202"/>
      <c r="BO479" s="203">
        <f t="shared" si="8"/>
        <v>0</v>
      </c>
      <c r="BP479" s="202"/>
      <c r="BQ479" s="138"/>
      <c r="BR479" s="128"/>
      <c r="BS479" s="128"/>
      <c r="BT479" s="128"/>
      <c r="BU479" s="128"/>
      <c r="BV479" s="128"/>
      <c r="BW479" s="139"/>
      <c r="BX479" s="140"/>
      <c r="BY479" s="139"/>
      <c r="BZ479" s="139"/>
      <c r="CA479" s="134"/>
      <c r="CB479" s="134"/>
      <c r="CC479" s="134"/>
      <c r="CD479" s="134"/>
      <c r="CE479" s="134"/>
      <c r="CF479" s="134"/>
      <c r="CG479" s="92"/>
      <c r="CH479" s="92"/>
      <c r="CI479" s="92"/>
      <c r="CJ479" s="92"/>
      <c r="CK479" s="92"/>
    </row>
    <row r="480" spans="1:89" ht="17.25" customHeight="1">
      <c r="A480" s="160"/>
      <c r="B480" s="165"/>
      <c r="C480" s="164"/>
      <c r="D480" s="137">
        <f t="shared" si="3"/>
        <v>0</v>
      </c>
      <c r="E480" s="207"/>
      <c r="F480" s="202"/>
      <c r="G480" s="207"/>
      <c r="H480" s="202"/>
      <c r="I480" s="207"/>
      <c r="J480" s="202"/>
      <c r="K480" s="207"/>
      <c r="L480" s="202"/>
      <c r="M480" s="207"/>
      <c r="N480" s="202"/>
      <c r="O480" s="201"/>
      <c r="P480" s="202"/>
      <c r="Q480" s="203">
        <f t="shared" si="4"/>
        <v>0</v>
      </c>
      <c r="R480" s="202"/>
      <c r="S480" s="207"/>
      <c r="T480" s="202"/>
      <c r="U480" s="207"/>
      <c r="V480" s="202"/>
      <c r="W480" s="207"/>
      <c r="X480" s="202"/>
      <c r="Y480" s="207"/>
      <c r="Z480" s="202"/>
      <c r="AA480" s="207"/>
      <c r="AB480" s="202"/>
      <c r="AC480" s="208"/>
      <c r="AD480" s="202"/>
      <c r="AE480" s="203">
        <f t="shared" si="5"/>
        <v>0</v>
      </c>
      <c r="AF480" s="202"/>
      <c r="AG480" s="204"/>
      <c r="AH480" s="202"/>
      <c r="AI480" s="204"/>
      <c r="AJ480" s="202"/>
      <c r="AK480" s="204"/>
      <c r="AL480" s="202"/>
      <c r="AM480" s="204"/>
      <c r="AN480" s="202"/>
      <c r="AO480" s="204"/>
      <c r="AP480" s="202"/>
      <c r="AQ480" s="208"/>
      <c r="AR480" s="202"/>
      <c r="AS480" s="203">
        <f t="shared" si="6"/>
        <v>0</v>
      </c>
      <c r="AT480" s="202"/>
      <c r="AU480" s="204"/>
      <c r="AV480" s="202"/>
      <c r="AW480" s="204"/>
      <c r="AX480" s="202"/>
      <c r="AY480" s="204"/>
      <c r="AZ480" s="202"/>
      <c r="BA480" s="204"/>
      <c r="BB480" s="202"/>
      <c r="BC480" s="204"/>
      <c r="BD480" s="202"/>
      <c r="BE480" s="208"/>
      <c r="BF480" s="202"/>
      <c r="BG480" s="203">
        <f t="shared" si="7"/>
        <v>0</v>
      </c>
      <c r="BH480" s="202"/>
      <c r="BI480" s="204"/>
      <c r="BJ480" s="202"/>
      <c r="BK480" s="204"/>
      <c r="BL480" s="202"/>
      <c r="BM480" s="204"/>
      <c r="BN480" s="202"/>
      <c r="BO480" s="203">
        <f t="shared" si="8"/>
        <v>0</v>
      </c>
      <c r="BP480" s="202"/>
      <c r="BQ480" s="138"/>
      <c r="BR480" s="128"/>
      <c r="BS480" s="128"/>
      <c r="BT480" s="128"/>
      <c r="BU480" s="128"/>
      <c r="BV480" s="128"/>
      <c r="BW480" s="139"/>
      <c r="BX480" s="140"/>
      <c r="BY480" s="139"/>
      <c r="BZ480" s="139"/>
      <c r="CA480" s="134"/>
      <c r="CB480" s="134"/>
      <c r="CC480" s="134"/>
      <c r="CD480" s="134"/>
      <c r="CE480" s="134"/>
      <c r="CF480" s="134"/>
      <c r="CG480" s="92"/>
      <c r="CH480" s="92"/>
      <c r="CI480" s="92"/>
      <c r="CJ480" s="92"/>
      <c r="CK480" s="92"/>
    </row>
    <row r="481" spans="1:89" ht="17.25" customHeight="1">
      <c r="A481" s="160"/>
      <c r="B481" s="165"/>
      <c r="C481" s="164"/>
      <c r="D481" s="137">
        <f t="shared" si="3"/>
        <v>0</v>
      </c>
      <c r="E481" s="207"/>
      <c r="F481" s="202"/>
      <c r="G481" s="207"/>
      <c r="H481" s="202"/>
      <c r="I481" s="207"/>
      <c r="J481" s="202"/>
      <c r="K481" s="207"/>
      <c r="L481" s="202"/>
      <c r="M481" s="207"/>
      <c r="N481" s="202"/>
      <c r="O481" s="201"/>
      <c r="P481" s="202"/>
      <c r="Q481" s="203">
        <f t="shared" si="4"/>
        <v>0</v>
      </c>
      <c r="R481" s="202"/>
      <c r="S481" s="207"/>
      <c r="T481" s="202"/>
      <c r="U481" s="207"/>
      <c r="V481" s="202"/>
      <c r="W481" s="207"/>
      <c r="X481" s="202"/>
      <c r="Y481" s="207"/>
      <c r="Z481" s="202"/>
      <c r="AA481" s="207"/>
      <c r="AB481" s="202"/>
      <c r="AC481" s="208"/>
      <c r="AD481" s="202"/>
      <c r="AE481" s="203">
        <f t="shared" si="5"/>
        <v>0</v>
      </c>
      <c r="AF481" s="202"/>
      <c r="AG481" s="204"/>
      <c r="AH481" s="202"/>
      <c r="AI481" s="204"/>
      <c r="AJ481" s="202"/>
      <c r="AK481" s="204"/>
      <c r="AL481" s="202"/>
      <c r="AM481" s="204"/>
      <c r="AN481" s="202"/>
      <c r="AO481" s="204"/>
      <c r="AP481" s="202"/>
      <c r="AQ481" s="208"/>
      <c r="AR481" s="202"/>
      <c r="AS481" s="203">
        <f t="shared" si="6"/>
        <v>0</v>
      </c>
      <c r="AT481" s="202"/>
      <c r="AU481" s="204"/>
      <c r="AV481" s="202"/>
      <c r="AW481" s="204"/>
      <c r="AX481" s="202"/>
      <c r="AY481" s="204"/>
      <c r="AZ481" s="202"/>
      <c r="BA481" s="204"/>
      <c r="BB481" s="202"/>
      <c r="BC481" s="204"/>
      <c r="BD481" s="202"/>
      <c r="BE481" s="208"/>
      <c r="BF481" s="202"/>
      <c r="BG481" s="203">
        <f t="shared" si="7"/>
        <v>0</v>
      </c>
      <c r="BH481" s="202"/>
      <c r="BI481" s="204"/>
      <c r="BJ481" s="202"/>
      <c r="BK481" s="204"/>
      <c r="BL481" s="202"/>
      <c r="BM481" s="204"/>
      <c r="BN481" s="202"/>
      <c r="BO481" s="203">
        <f t="shared" si="8"/>
        <v>0</v>
      </c>
      <c r="BP481" s="202"/>
      <c r="BQ481" s="138"/>
      <c r="BR481" s="128"/>
      <c r="BS481" s="128"/>
      <c r="BT481" s="128"/>
      <c r="BU481" s="128"/>
      <c r="BV481" s="128"/>
      <c r="BW481" s="139"/>
      <c r="BX481" s="140"/>
      <c r="BY481" s="139"/>
      <c r="BZ481" s="139"/>
      <c r="CA481" s="134"/>
      <c r="CB481" s="134"/>
      <c r="CC481" s="134"/>
      <c r="CD481" s="134"/>
      <c r="CE481" s="134"/>
      <c r="CF481" s="134"/>
      <c r="CG481" s="92"/>
      <c r="CH481" s="92"/>
      <c r="CI481" s="92"/>
      <c r="CJ481" s="92"/>
      <c r="CK481" s="92"/>
    </row>
    <row r="482" spans="1:89" ht="17.25" customHeight="1">
      <c r="A482" s="160"/>
      <c r="B482" s="165"/>
      <c r="C482" s="164"/>
      <c r="D482" s="137">
        <f t="shared" si="3"/>
        <v>0</v>
      </c>
      <c r="E482" s="207"/>
      <c r="F482" s="202"/>
      <c r="G482" s="207"/>
      <c r="H482" s="202"/>
      <c r="I482" s="207"/>
      <c r="J482" s="202"/>
      <c r="K482" s="207"/>
      <c r="L482" s="202"/>
      <c r="M482" s="207"/>
      <c r="N482" s="202"/>
      <c r="O482" s="201"/>
      <c r="P482" s="202"/>
      <c r="Q482" s="203">
        <f t="shared" si="4"/>
        <v>0</v>
      </c>
      <c r="R482" s="202"/>
      <c r="S482" s="207"/>
      <c r="T482" s="202"/>
      <c r="U482" s="207"/>
      <c r="V482" s="202"/>
      <c r="W482" s="207"/>
      <c r="X482" s="202"/>
      <c r="Y482" s="207"/>
      <c r="Z482" s="202"/>
      <c r="AA482" s="207"/>
      <c r="AB482" s="202"/>
      <c r="AC482" s="208"/>
      <c r="AD482" s="202"/>
      <c r="AE482" s="203">
        <f t="shared" si="5"/>
        <v>0</v>
      </c>
      <c r="AF482" s="202"/>
      <c r="AG482" s="204"/>
      <c r="AH482" s="202"/>
      <c r="AI482" s="204"/>
      <c r="AJ482" s="202"/>
      <c r="AK482" s="204"/>
      <c r="AL482" s="202"/>
      <c r="AM482" s="204"/>
      <c r="AN482" s="202"/>
      <c r="AO482" s="204"/>
      <c r="AP482" s="202"/>
      <c r="AQ482" s="208"/>
      <c r="AR482" s="202"/>
      <c r="AS482" s="203">
        <f t="shared" si="6"/>
        <v>0</v>
      </c>
      <c r="AT482" s="202"/>
      <c r="AU482" s="204"/>
      <c r="AV482" s="202"/>
      <c r="AW482" s="204"/>
      <c r="AX482" s="202"/>
      <c r="AY482" s="204"/>
      <c r="AZ482" s="202"/>
      <c r="BA482" s="204"/>
      <c r="BB482" s="202"/>
      <c r="BC482" s="204"/>
      <c r="BD482" s="202"/>
      <c r="BE482" s="208"/>
      <c r="BF482" s="202"/>
      <c r="BG482" s="203">
        <f t="shared" si="7"/>
        <v>0</v>
      </c>
      <c r="BH482" s="202"/>
      <c r="BI482" s="204"/>
      <c r="BJ482" s="202"/>
      <c r="BK482" s="204"/>
      <c r="BL482" s="202"/>
      <c r="BM482" s="204"/>
      <c r="BN482" s="202"/>
      <c r="BO482" s="203">
        <f t="shared" si="8"/>
        <v>0</v>
      </c>
      <c r="BP482" s="202"/>
      <c r="BQ482" s="138"/>
      <c r="BR482" s="128"/>
      <c r="BS482" s="128"/>
      <c r="BT482" s="128"/>
      <c r="BU482" s="128"/>
      <c r="BV482" s="128"/>
      <c r="BW482" s="139"/>
      <c r="BX482" s="140"/>
      <c r="BY482" s="139"/>
      <c r="BZ482" s="139"/>
      <c r="CA482" s="134"/>
      <c r="CB482" s="134"/>
      <c r="CC482" s="134"/>
      <c r="CD482" s="134"/>
      <c r="CE482" s="134"/>
      <c r="CF482" s="134"/>
      <c r="CG482" s="92"/>
      <c r="CH482" s="92"/>
      <c r="CI482" s="92"/>
      <c r="CJ482" s="92"/>
      <c r="CK482" s="92"/>
    </row>
    <row r="483" spans="1:89" ht="17.25" customHeight="1">
      <c r="A483" s="160"/>
      <c r="B483" s="165"/>
      <c r="C483" s="164"/>
      <c r="D483" s="137">
        <f t="shared" si="3"/>
        <v>0</v>
      </c>
      <c r="E483" s="207"/>
      <c r="F483" s="202"/>
      <c r="G483" s="207"/>
      <c r="H483" s="202"/>
      <c r="I483" s="207"/>
      <c r="J483" s="202"/>
      <c r="K483" s="207"/>
      <c r="L483" s="202"/>
      <c r="M483" s="207"/>
      <c r="N483" s="202"/>
      <c r="O483" s="201"/>
      <c r="P483" s="202"/>
      <c r="Q483" s="203">
        <f t="shared" si="4"/>
        <v>0</v>
      </c>
      <c r="R483" s="202"/>
      <c r="S483" s="207"/>
      <c r="T483" s="202"/>
      <c r="U483" s="207"/>
      <c r="V483" s="202"/>
      <c r="W483" s="207"/>
      <c r="X483" s="202"/>
      <c r="Y483" s="207"/>
      <c r="Z483" s="202"/>
      <c r="AA483" s="207"/>
      <c r="AB483" s="202"/>
      <c r="AC483" s="208"/>
      <c r="AD483" s="202"/>
      <c r="AE483" s="203">
        <f t="shared" si="5"/>
        <v>0</v>
      </c>
      <c r="AF483" s="202"/>
      <c r="AG483" s="204"/>
      <c r="AH483" s="202"/>
      <c r="AI483" s="204"/>
      <c r="AJ483" s="202"/>
      <c r="AK483" s="204"/>
      <c r="AL483" s="202"/>
      <c r="AM483" s="204"/>
      <c r="AN483" s="202"/>
      <c r="AO483" s="204"/>
      <c r="AP483" s="202"/>
      <c r="AQ483" s="208"/>
      <c r="AR483" s="202"/>
      <c r="AS483" s="203">
        <f t="shared" si="6"/>
        <v>0</v>
      </c>
      <c r="AT483" s="202"/>
      <c r="AU483" s="204"/>
      <c r="AV483" s="202"/>
      <c r="AW483" s="204"/>
      <c r="AX483" s="202"/>
      <c r="AY483" s="204"/>
      <c r="AZ483" s="202"/>
      <c r="BA483" s="204"/>
      <c r="BB483" s="202"/>
      <c r="BC483" s="204"/>
      <c r="BD483" s="202"/>
      <c r="BE483" s="208"/>
      <c r="BF483" s="202"/>
      <c r="BG483" s="203">
        <f t="shared" si="7"/>
        <v>0</v>
      </c>
      <c r="BH483" s="202"/>
      <c r="BI483" s="204"/>
      <c r="BJ483" s="202"/>
      <c r="BK483" s="204"/>
      <c r="BL483" s="202"/>
      <c r="BM483" s="204"/>
      <c r="BN483" s="202"/>
      <c r="BO483" s="203">
        <f t="shared" si="8"/>
        <v>0</v>
      </c>
      <c r="BP483" s="202"/>
      <c r="BQ483" s="138"/>
      <c r="BR483" s="128"/>
      <c r="BS483" s="128"/>
      <c r="BT483" s="128"/>
      <c r="BU483" s="128"/>
      <c r="BV483" s="128"/>
      <c r="BW483" s="139"/>
      <c r="BX483" s="140"/>
      <c r="BY483" s="139"/>
      <c r="BZ483" s="139"/>
      <c r="CA483" s="134"/>
      <c r="CB483" s="134"/>
      <c r="CC483" s="134"/>
      <c r="CD483" s="134"/>
      <c r="CE483" s="134"/>
      <c r="CF483" s="134"/>
      <c r="CG483" s="92"/>
      <c r="CH483" s="92"/>
      <c r="CI483" s="92"/>
      <c r="CJ483" s="92"/>
      <c r="CK483" s="92"/>
    </row>
    <row r="484" spans="1:89" ht="17.25" customHeight="1">
      <c r="A484" s="160"/>
      <c r="B484" s="165"/>
      <c r="C484" s="164"/>
      <c r="D484" s="137">
        <f t="shared" si="3"/>
        <v>0</v>
      </c>
      <c r="E484" s="207"/>
      <c r="F484" s="202"/>
      <c r="G484" s="207"/>
      <c r="H484" s="202"/>
      <c r="I484" s="207"/>
      <c r="J484" s="202"/>
      <c r="K484" s="207"/>
      <c r="L484" s="202"/>
      <c r="M484" s="207"/>
      <c r="N484" s="202"/>
      <c r="O484" s="201"/>
      <c r="P484" s="202"/>
      <c r="Q484" s="203">
        <f t="shared" si="4"/>
        <v>0</v>
      </c>
      <c r="R484" s="202"/>
      <c r="S484" s="207"/>
      <c r="T484" s="202"/>
      <c r="U484" s="207"/>
      <c r="V484" s="202"/>
      <c r="W484" s="207"/>
      <c r="X484" s="202"/>
      <c r="Y484" s="207"/>
      <c r="Z484" s="202"/>
      <c r="AA484" s="207"/>
      <c r="AB484" s="202"/>
      <c r="AC484" s="208"/>
      <c r="AD484" s="202"/>
      <c r="AE484" s="203">
        <f t="shared" si="5"/>
        <v>0</v>
      </c>
      <c r="AF484" s="202"/>
      <c r="AG484" s="204"/>
      <c r="AH484" s="202"/>
      <c r="AI484" s="204"/>
      <c r="AJ484" s="202"/>
      <c r="AK484" s="204"/>
      <c r="AL484" s="202"/>
      <c r="AM484" s="204"/>
      <c r="AN484" s="202"/>
      <c r="AO484" s="204"/>
      <c r="AP484" s="202"/>
      <c r="AQ484" s="208"/>
      <c r="AR484" s="202"/>
      <c r="AS484" s="203">
        <f t="shared" si="6"/>
        <v>0</v>
      </c>
      <c r="AT484" s="202"/>
      <c r="AU484" s="204"/>
      <c r="AV484" s="202"/>
      <c r="AW484" s="204"/>
      <c r="AX484" s="202"/>
      <c r="AY484" s="204"/>
      <c r="AZ484" s="202"/>
      <c r="BA484" s="204"/>
      <c r="BB484" s="202"/>
      <c r="BC484" s="204"/>
      <c r="BD484" s="202"/>
      <c r="BE484" s="208"/>
      <c r="BF484" s="202"/>
      <c r="BG484" s="203">
        <f t="shared" si="7"/>
        <v>0</v>
      </c>
      <c r="BH484" s="202"/>
      <c r="BI484" s="204"/>
      <c r="BJ484" s="202"/>
      <c r="BK484" s="204"/>
      <c r="BL484" s="202"/>
      <c r="BM484" s="204"/>
      <c r="BN484" s="202"/>
      <c r="BO484" s="203">
        <f t="shared" si="8"/>
        <v>0</v>
      </c>
      <c r="BP484" s="202"/>
      <c r="BQ484" s="138"/>
      <c r="BR484" s="128"/>
      <c r="BS484" s="128"/>
      <c r="BT484" s="128"/>
      <c r="BU484" s="128"/>
      <c r="BV484" s="128"/>
      <c r="BW484" s="139"/>
      <c r="BX484" s="140"/>
      <c r="BY484" s="139"/>
      <c r="BZ484" s="139"/>
      <c r="CA484" s="134"/>
      <c r="CB484" s="134"/>
      <c r="CC484" s="134"/>
      <c r="CD484" s="134"/>
      <c r="CE484" s="134"/>
      <c r="CF484" s="134"/>
      <c r="CG484" s="92"/>
      <c r="CH484" s="92"/>
      <c r="CI484" s="92"/>
      <c r="CJ484" s="92"/>
      <c r="CK484" s="92"/>
    </row>
    <row r="485" spans="1:89" ht="17.25" customHeight="1">
      <c r="A485" s="160"/>
      <c r="B485" s="165"/>
      <c r="C485" s="164"/>
      <c r="D485" s="137">
        <f t="shared" si="3"/>
        <v>0</v>
      </c>
      <c r="E485" s="207"/>
      <c r="F485" s="202"/>
      <c r="G485" s="207"/>
      <c r="H485" s="202"/>
      <c r="I485" s="207"/>
      <c r="J485" s="202"/>
      <c r="K485" s="207"/>
      <c r="L485" s="202"/>
      <c r="M485" s="207"/>
      <c r="N485" s="202"/>
      <c r="O485" s="201"/>
      <c r="P485" s="202"/>
      <c r="Q485" s="203">
        <f t="shared" si="4"/>
        <v>0</v>
      </c>
      <c r="R485" s="202"/>
      <c r="S485" s="207"/>
      <c r="T485" s="202"/>
      <c r="U485" s="207"/>
      <c r="V485" s="202"/>
      <c r="W485" s="207"/>
      <c r="X485" s="202"/>
      <c r="Y485" s="207"/>
      <c r="Z485" s="202"/>
      <c r="AA485" s="207"/>
      <c r="AB485" s="202"/>
      <c r="AC485" s="208"/>
      <c r="AD485" s="202"/>
      <c r="AE485" s="203">
        <f t="shared" si="5"/>
        <v>0</v>
      </c>
      <c r="AF485" s="202"/>
      <c r="AG485" s="204"/>
      <c r="AH485" s="202"/>
      <c r="AI485" s="204"/>
      <c r="AJ485" s="202"/>
      <c r="AK485" s="204"/>
      <c r="AL485" s="202"/>
      <c r="AM485" s="204"/>
      <c r="AN485" s="202"/>
      <c r="AO485" s="204"/>
      <c r="AP485" s="202"/>
      <c r="AQ485" s="208"/>
      <c r="AR485" s="202"/>
      <c r="AS485" s="203">
        <f t="shared" si="6"/>
        <v>0</v>
      </c>
      <c r="AT485" s="202"/>
      <c r="AU485" s="204"/>
      <c r="AV485" s="202"/>
      <c r="AW485" s="204"/>
      <c r="AX485" s="202"/>
      <c r="AY485" s="204"/>
      <c r="AZ485" s="202"/>
      <c r="BA485" s="204"/>
      <c r="BB485" s="202"/>
      <c r="BC485" s="204"/>
      <c r="BD485" s="202"/>
      <c r="BE485" s="208"/>
      <c r="BF485" s="202"/>
      <c r="BG485" s="203">
        <f t="shared" si="7"/>
        <v>0</v>
      </c>
      <c r="BH485" s="202"/>
      <c r="BI485" s="204"/>
      <c r="BJ485" s="202"/>
      <c r="BK485" s="204"/>
      <c r="BL485" s="202"/>
      <c r="BM485" s="204"/>
      <c r="BN485" s="202"/>
      <c r="BO485" s="203">
        <f t="shared" si="8"/>
        <v>0</v>
      </c>
      <c r="BP485" s="202"/>
      <c r="BQ485" s="138"/>
      <c r="BR485" s="128"/>
      <c r="BS485" s="128"/>
      <c r="BT485" s="128"/>
      <c r="BU485" s="128"/>
      <c r="BV485" s="128"/>
      <c r="BW485" s="139"/>
      <c r="BX485" s="140"/>
      <c r="BY485" s="139"/>
      <c r="BZ485" s="139"/>
      <c r="CA485" s="134"/>
      <c r="CB485" s="134"/>
      <c r="CC485" s="134"/>
      <c r="CD485" s="134"/>
      <c r="CE485" s="134"/>
      <c r="CF485" s="134"/>
      <c r="CG485" s="92"/>
      <c r="CH485" s="92"/>
      <c r="CI485" s="92"/>
      <c r="CJ485" s="92"/>
      <c r="CK485" s="92"/>
    </row>
    <row r="486" spans="1:89" ht="17.25" customHeight="1">
      <c r="A486" s="160"/>
      <c r="B486" s="165"/>
      <c r="C486" s="164"/>
      <c r="D486" s="137">
        <f t="shared" si="3"/>
        <v>0</v>
      </c>
      <c r="E486" s="207"/>
      <c r="F486" s="202"/>
      <c r="G486" s="207"/>
      <c r="H486" s="202"/>
      <c r="I486" s="207"/>
      <c r="J486" s="202"/>
      <c r="K486" s="207"/>
      <c r="L486" s="202"/>
      <c r="M486" s="207"/>
      <c r="N486" s="202"/>
      <c r="O486" s="201"/>
      <c r="P486" s="202"/>
      <c r="Q486" s="203">
        <f t="shared" si="4"/>
        <v>0</v>
      </c>
      <c r="R486" s="202"/>
      <c r="S486" s="207"/>
      <c r="T486" s="202"/>
      <c r="U486" s="207"/>
      <c r="V486" s="202"/>
      <c r="W486" s="207"/>
      <c r="X486" s="202"/>
      <c r="Y486" s="207"/>
      <c r="Z486" s="202"/>
      <c r="AA486" s="207"/>
      <c r="AB486" s="202"/>
      <c r="AC486" s="208"/>
      <c r="AD486" s="202"/>
      <c r="AE486" s="203">
        <f t="shared" si="5"/>
        <v>0</v>
      </c>
      <c r="AF486" s="202"/>
      <c r="AG486" s="204"/>
      <c r="AH486" s="202"/>
      <c r="AI486" s="204"/>
      <c r="AJ486" s="202"/>
      <c r="AK486" s="204"/>
      <c r="AL486" s="202"/>
      <c r="AM486" s="204"/>
      <c r="AN486" s="202"/>
      <c r="AO486" s="204"/>
      <c r="AP486" s="202"/>
      <c r="AQ486" s="208"/>
      <c r="AR486" s="202"/>
      <c r="AS486" s="203">
        <f t="shared" si="6"/>
        <v>0</v>
      </c>
      <c r="AT486" s="202"/>
      <c r="AU486" s="204"/>
      <c r="AV486" s="202"/>
      <c r="AW486" s="204"/>
      <c r="AX486" s="202"/>
      <c r="AY486" s="204"/>
      <c r="AZ486" s="202"/>
      <c r="BA486" s="204"/>
      <c r="BB486" s="202"/>
      <c r="BC486" s="204"/>
      <c r="BD486" s="202"/>
      <c r="BE486" s="208"/>
      <c r="BF486" s="202"/>
      <c r="BG486" s="203">
        <f t="shared" si="7"/>
        <v>0</v>
      </c>
      <c r="BH486" s="202"/>
      <c r="BI486" s="204"/>
      <c r="BJ486" s="202"/>
      <c r="BK486" s="204"/>
      <c r="BL486" s="202"/>
      <c r="BM486" s="204"/>
      <c r="BN486" s="202"/>
      <c r="BO486" s="203">
        <f t="shared" si="8"/>
        <v>0</v>
      </c>
      <c r="BP486" s="202"/>
      <c r="BQ486" s="138"/>
      <c r="BR486" s="128"/>
      <c r="BS486" s="128"/>
      <c r="BT486" s="128"/>
      <c r="BU486" s="128"/>
      <c r="BV486" s="128"/>
      <c r="BW486" s="139"/>
      <c r="BX486" s="140"/>
      <c r="BY486" s="139"/>
      <c r="BZ486" s="139"/>
      <c r="CA486" s="134"/>
      <c r="CB486" s="134"/>
      <c r="CC486" s="134"/>
      <c r="CD486" s="134"/>
      <c r="CE486" s="134"/>
      <c r="CF486" s="134"/>
      <c r="CG486" s="92"/>
      <c r="CH486" s="92"/>
      <c r="CI486" s="92"/>
      <c r="CJ486" s="92"/>
      <c r="CK486" s="92"/>
    </row>
    <row r="487" spans="1:89" ht="17.25" customHeight="1">
      <c r="A487" s="160"/>
      <c r="B487" s="165"/>
      <c r="C487" s="164"/>
      <c r="D487" s="137">
        <f t="shared" si="3"/>
        <v>0</v>
      </c>
      <c r="E487" s="207"/>
      <c r="F487" s="202"/>
      <c r="G487" s="207"/>
      <c r="H487" s="202"/>
      <c r="I487" s="207"/>
      <c r="J487" s="202"/>
      <c r="K487" s="207"/>
      <c r="L487" s="202"/>
      <c r="M487" s="207"/>
      <c r="N487" s="202"/>
      <c r="O487" s="201"/>
      <c r="P487" s="202"/>
      <c r="Q487" s="203">
        <f t="shared" si="4"/>
        <v>0</v>
      </c>
      <c r="R487" s="202"/>
      <c r="S487" s="207"/>
      <c r="T487" s="202"/>
      <c r="U487" s="207"/>
      <c r="V487" s="202"/>
      <c r="W487" s="207"/>
      <c r="X487" s="202"/>
      <c r="Y487" s="207"/>
      <c r="Z487" s="202"/>
      <c r="AA487" s="207"/>
      <c r="AB487" s="202"/>
      <c r="AC487" s="208"/>
      <c r="AD487" s="202"/>
      <c r="AE487" s="203">
        <f t="shared" si="5"/>
        <v>0</v>
      </c>
      <c r="AF487" s="202"/>
      <c r="AG487" s="204"/>
      <c r="AH487" s="202"/>
      <c r="AI487" s="204"/>
      <c r="AJ487" s="202"/>
      <c r="AK487" s="204"/>
      <c r="AL487" s="202"/>
      <c r="AM487" s="204"/>
      <c r="AN487" s="202"/>
      <c r="AO487" s="204"/>
      <c r="AP487" s="202"/>
      <c r="AQ487" s="208"/>
      <c r="AR487" s="202"/>
      <c r="AS487" s="203">
        <f t="shared" si="6"/>
        <v>0</v>
      </c>
      <c r="AT487" s="202"/>
      <c r="AU487" s="204"/>
      <c r="AV487" s="202"/>
      <c r="AW487" s="204"/>
      <c r="AX487" s="202"/>
      <c r="AY487" s="204"/>
      <c r="AZ487" s="202"/>
      <c r="BA487" s="204"/>
      <c r="BB487" s="202"/>
      <c r="BC487" s="204"/>
      <c r="BD487" s="202"/>
      <c r="BE487" s="208"/>
      <c r="BF487" s="202"/>
      <c r="BG487" s="203">
        <f t="shared" si="7"/>
        <v>0</v>
      </c>
      <c r="BH487" s="202"/>
      <c r="BI487" s="204"/>
      <c r="BJ487" s="202"/>
      <c r="BK487" s="204"/>
      <c r="BL487" s="202"/>
      <c r="BM487" s="204"/>
      <c r="BN487" s="202"/>
      <c r="BO487" s="203">
        <f t="shared" si="8"/>
        <v>0</v>
      </c>
      <c r="BP487" s="202"/>
      <c r="BQ487" s="138"/>
      <c r="BR487" s="128"/>
      <c r="BS487" s="128"/>
      <c r="BT487" s="128"/>
      <c r="BU487" s="128"/>
      <c r="BV487" s="128"/>
      <c r="BW487" s="139"/>
      <c r="BX487" s="140"/>
      <c r="BY487" s="139"/>
      <c r="BZ487" s="139"/>
      <c r="CA487" s="134"/>
      <c r="CB487" s="134"/>
      <c r="CC487" s="134"/>
      <c r="CD487" s="134"/>
      <c r="CE487" s="134"/>
      <c r="CF487" s="134"/>
      <c r="CG487" s="92"/>
      <c r="CH487" s="92"/>
      <c r="CI487" s="92"/>
      <c r="CJ487" s="92"/>
      <c r="CK487" s="92"/>
    </row>
    <row r="488" spans="1:89" ht="17.25" customHeight="1">
      <c r="A488" s="160"/>
      <c r="B488" s="165"/>
      <c r="C488" s="164"/>
      <c r="D488" s="137">
        <f t="shared" si="3"/>
        <v>0</v>
      </c>
      <c r="E488" s="207"/>
      <c r="F488" s="202"/>
      <c r="G488" s="207"/>
      <c r="H488" s="202"/>
      <c r="I488" s="207"/>
      <c r="J488" s="202"/>
      <c r="K488" s="207"/>
      <c r="L488" s="202"/>
      <c r="M488" s="207"/>
      <c r="N488" s="202"/>
      <c r="O488" s="201"/>
      <c r="P488" s="202"/>
      <c r="Q488" s="203">
        <f t="shared" si="4"/>
        <v>0</v>
      </c>
      <c r="R488" s="202"/>
      <c r="S488" s="207"/>
      <c r="T488" s="202"/>
      <c r="U488" s="207"/>
      <c r="V488" s="202"/>
      <c r="W488" s="207"/>
      <c r="X488" s="202"/>
      <c r="Y488" s="207"/>
      <c r="Z488" s="202"/>
      <c r="AA488" s="207"/>
      <c r="AB488" s="202"/>
      <c r="AC488" s="208"/>
      <c r="AD488" s="202"/>
      <c r="AE488" s="203">
        <f t="shared" si="5"/>
        <v>0</v>
      </c>
      <c r="AF488" s="202"/>
      <c r="AG488" s="204"/>
      <c r="AH488" s="202"/>
      <c r="AI488" s="204"/>
      <c r="AJ488" s="202"/>
      <c r="AK488" s="204"/>
      <c r="AL488" s="202"/>
      <c r="AM488" s="204"/>
      <c r="AN488" s="202"/>
      <c r="AO488" s="204"/>
      <c r="AP488" s="202"/>
      <c r="AQ488" s="208"/>
      <c r="AR488" s="202"/>
      <c r="AS488" s="203">
        <f t="shared" si="6"/>
        <v>0</v>
      </c>
      <c r="AT488" s="202"/>
      <c r="AU488" s="204"/>
      <c r="AV488" s="202"/>
      <c r="AW488" s="204"/>
      <c r="AX488" s="202"/>
      <c r="AY488" s="204"/>
      <c r="AZ488" s="202"/>
      <c r="BA488" s="204"/>
      <c r="BB488" s="202"/>
      <c r="BC488" s="204"/>
      <c r="BD488" s="202"/>
      <c r="BE488" s="208"/>
      <c r="BF488" s="202"/>
      <c r="BG488" s="203">
        <f t="shared" si="7"/>
        <v>0</v>
      </c>
      <c r="BH488" s="202"/>
      <c r="BI488" s="204"/>
      <c r="BJ488" s="202"/>
      <c r="BK488" s="204"/>
      <c r="BL488" s="202"/>
      <c r="BM488" s="204"/>
      <c r="BN488" s="202"/>
      <c r="BO488" s="203">
        <f t="shared" si="8"/>
        <v>0</v>
      </c>
      <c r="BP488" s="202"/>
      <c r="BQ488" s="138"/>
      <c r="BR488" s="128"/>
      <c r="BS488" s="128"/>
      <c r="BT488" s="128"/>
      <c r="BU488" s="128"/>
      <c r="BV488" s="128"/>
      <c r="BW488" s="139"/>
      <c r="BX488" s="140"/>
      <c r="BY488" s="139"/>
      <c r="BZ488" s="139"/>
      <c r="CA488" s="134"/>
      <c r="CB488" s="134"/>
      <c r="CC488" s="134"/>
      <c r="CD488" s="134"/>
      <c r="CE488" s="134"/>
      <c r="CF488" s="134"/>
      <c r="CG488" s="92"/>
      <c r="CH488" s="92"/>
      <c r="CI488" s="92"/>
      <c r="CJ488" s="92"/>
      <c r="CK488" s="92"/>
    </row>
    <row r="489" spans="1:89" ht="17.25" customHeight="1">
      <c r="A489" s="160"/>
      <c r="B489" s="165"/>
      <c r="C489" s="164"/>
      <c r="D489" s="137">
        <f t="shared" si="3"/>
        <v>0</v>
      </c>
      <c r="E489" s="207"/>
      <c r="F489" s="202"/>
      <c r="G489" s="207"/>
      <c r="H489" s="202"/>
      <c r="I489" s="207"/>
      <c r="J489" s="202"/>
      <c r="K489" s="207"/>
      <c r="L489" s="202"/>
      <c r="M489" s="207"/>
      <c r="N489" s="202"/>
      <c r="O489" s="201"/>
      <c r="P489" s="202"/>
      <c r="Q489" s="203">
        <f t="shared" si="4"/>
        <v>0</v>
      </c>
      <c r="R489" s="202"/>
      <c r="S489" s="207"/>
      <c r="T489" s="202"/>
      <c r="U489" s="207"/>
      <c r="V489" s="202"/>
      <c r="W489" s="207"/>
      <c r="X489" s="202"/>
      <c r="Y489" s="207"/>
      <c r="Z489" s="202"/>
      <c r="AA489" s="207"/>
      <c r="AB489" s="202"/>
      <c r="AC489" s="208"/>
      <c r="AD489" s="202"/>
      <c r="AE489" s="203">
        <f t="shared" si="5"/>
        <v>0</v>
      </c>
      <c r="AF489" s="202"/>
      <c r="AG489" s="204"/>
      <c r="AH489" s="202"/>
      <c r="AI489" s="204"/>
      <c r="AJ489" s="202"/>
      <c r="AK489" s="204"/>
      <c r="AL489" s="202"/>
      <c r="AM489" s="204"/>
      <c r="AN489" s="202"/>
      <c r="AO489" s="204"/>
      <c r="AP489" s="202"/>
      <c r="AQ489" s="208"/>
      <c r="AR489" s="202"/>
      <c r="AS489" s="203">
        <f t="shared" si="6"/>
        <v>0</v>
      </c>
      <c r="AT489" s="202"/>
      <c r="AU489" s="204"/>
      <c r="AV489" s="202"/>
      <c r="AW489" s="204"/>
      <c r="AX489" s="202"/>
      <c r="AY489" s="204"/>
      <c r="AZ489" s="202"/>
      <c r="BA489" s="204"/>
      <c r="BB489" s="202"/>
      <c r="BC489" s="204"/>
      <c r="BD489" s="202"/>
      <c r="BE489" s="208"/>
      <c r="BF489" s="202"/>
      <c r="BG489" s="203">
        <f t="shared" si="7"/>
        <v>0</v>
      </c>
      <c r="BH489" s="202"/>
      <c r="BI489" s="204"/>
      <c r="BJ489" s="202"/>
      <c r="BK489" s="204"/>
      <c r="BL489" s="202"/>
      <c r="BM489" s="204"/>
      <c r="BN489" s="202"/>
      <c r="BO489" s="203">
        <f t="shared" si="8"/>
        <v>0</v>
      </c>
      <c r="BP489" s="202"/>
      <c r="BQ489" s="138"/>
      <c r="BR489" s="128"/>
      <c r="BS489" s="128"/>
      <c r="BT489" s="128"/>
      <c r="BU489" s="128"/>
      <c r="BV489" s="128"/>
      <c r="BW489" s="139"/>
      <c r="BX489" s="140"/>
      <c r="BY489" s="139"/>
      <c r="BZ489" s="139"/>
      <c r="CA489" s="134"/>
      <c r="CB489" s="134"/>
      <c r="CC489" s="134"/>
      <c r="CD489" s="134"/>
      <c r="CE489" s="134"/>
      <c r="CF489" s="134"/>
      <c r="CG489" s="92"/>
      <c r="CH489" s="92"/>
      <c r="CI489" s="92"/>
      <c r="CJ489" s="92"/>
      <c r="CK489" s="92"/>
    </row>
    <row r="490" spans="1:89" ht="17.25" customHeight="1">
      <c r="A490" s="160"/>
      <c r="B490" s="165"/>
      <c r="C490" s="164"/>
      <c r="D490" s="137">
        <f t="shared" si="3"/>
        <v>0</v>
      </c>
      <c r="E490" s="207"/>
      <c r="F490" s="202"/>
      <c r="G490" s="207"/>
      <c r="H490" s="202"/>
      <c r="I490" s="207"/>
      <c r="J490" s="202"/>
      <c r="K490" s="207"/>
      <c r="L490" s="202"/>
      <c r="M490" s="207"/>
      <c r="N490" s="202"/>
      <c r="O490" s="201"/>
      <c r="P490" s="202"/>
      <c r="Q490" s="203">
        <f t="shared" si="4"/>
        <v>0</v>
      </c>
      <c r="R490" s="202"/>
      <c r="S490" s="207"/>
      <c r="T490" s="202"/>
      <c r="U490" s="207"/>
      <c r="V490" s="202"/>
      <c r="W490" s="207"/>
      <c r="X490" s="202"/>
      <c r="Y490" s="207"/>
      <c r="Z490" s="202"/>
      <c r="AA490" s="207"/>
      <c r="AB490" s="202"/>
      <c r="AC490" s="208"/>
      <c r="AD490" s="202"/>
      <c r="AE490" s="203">
        <f t="shared" si="5"/>
        <v>0</v>
      </c>
      <c r="AF490" s="202"/>
      <c r="AG490" s="204"/>
      <c r="AH490" s="202"/>
      <c r="AI490" s="204"/>
      <c r="AJ490" s="202"/>
      <c r="AK490" s="204"/>
      <c r="AL490" s="202"/>
      <c r="AM490" s="204"/>
      <c r="AN490" s="202"/>
      <c r="AO490" s="204"/>
      <c r="AP490" s="202"/>
      <c r="AQ490" s="208"/>
      <c r="AR490" s="202"/>
      <c r="AS490" s="203">
        <f t="shared" si="6"/>
        <v>0</v>
      </c>
      <c r="AT490" s="202"/>
      <c r="AU490" s="204"/>
      <c r="AV490" s="202"/>
      <c r="AW490" s="204"/>
      <c r="AX490" s="202"/>
      <c r="AY490" s="204"/>
      <c r="AZ490" s="202"/>
      <c r="BA490" s="204"/>
      <c r="BB490" s="202"/>
      <c r="BC490" s="204"/>
      <c r="BD490" s="202"/>
      <c r="BE490" s="208"/>
      <c r="BF490" s="202"/>
      <c r="BG490" s="203">
        <f t="shared" si="7"/>
        <v>0</v>
      </c>
      <c r="BH490" s="202"/>
      <c r="BI490" s="204"/>
      <c r="BJ490" s="202"/>
      <c r="BK490" s="204"/>
      <c r="BL490" s="202"/>
      <c r="BM490" s="204"/>
      <c r="BN490" s="202"/>
      <c r="BO490" s="203">
        <f t="shared" si="8"/>
        <v>0</v>
      </c>
      <c r="BP490" s="202"/>
      <c r="BQ490" s="138"/>
      <c r="BR490" s="128"/>
      <c r="BS490" s="128"/>
      <c r="BT490" s="128"/>
      <c r="BU490" s="128"/>
      <c r="BV490" s="128"/>
      <c r="BW490" s="139"/>
      <c r="BX490" s="140"/>
      <c r="BY490" s="139"/>
      <c r="BZ490" s="139"/>
      <c r="CA490" s="134"/>
      <c r="CB490" s="134"/>
      <c r="CC490" s="134"/>
      <c r="CD490" s="134"/>
      <c r="CE490" s="134"/>
      <c r="CF490" s="134"/>
      <c r="CG490" s="92"/>
      <c r="CH490" s="92"/>
      <c r="CI490" s="92"/>
      <c r="CJ490" s="92"/>
      <c r="CK490" s="92"/>
    </row>
    <row r="491" spans="1:89" ht="17.25" customHeight="1">
      <c r="A491" s="160"/>
      <c r="B491" s="165"/>
      <c r="C491" s="164"/>
      <c r="D491" s="137">
        <f t="shared" si="3"/>
        <v>0</v>
      </c>
      <c r="E491" s="207"/>
      <c r="F491" s="202"/>
      <c r="G491" s="207"/>
      <c r="H491" s="202"/>
      <c r="I491" s="207"/>
      <c r="J491" s="202"/>
      <c r="K491" s="207"/>
      <c r="L491" s="202"/>
      <c r="M491" s="207"/>
      <c r="N491" s="202"/>
      <c r="O491" s="201"/>
      <c r="P491" s="202"/>
      <c r="Q491" s="203">
        <f t="shared" si="4"/>
        <v>0</v>
      </c>
      <c r="R491" s="202"/>
      <c r="S491" s="207"/>
      <c r="T491" s="202"/>
      <c r="U491" s="207"/>
      <c r="V491" s="202"/>
      <c r="W491" s="207"/>
      <c r="X491" s="202"/>
      <c r="Y491" s="207"/>
      <c r="Z491" s="202"/>
      <c r="AA491" s="207"/>
      <c r="AB491" s="202"/>
      <c r="AC491" s="208"/>
      <c r="AD491" s="202"/>
      <c r="AE491" s="203">
        <f t="shared" si="5"/>
        <v>0</v>
      </c>
      <c r="AF491" s="202"/>
      <c r="AG491" s="204"/>
      <c r="AH491" s="202"/>
      <c r="AI491" s="204"/>
      <c r="AJ491" s="202"/>
      <c r="AK491" s="204"/>
      <c r="AL491" s="202"/>
      <c r="AM491" s="204"/>
      <c r="AN491" s="202"/>
      <c r="AO491" s="204"/>
      <c r="AP491" s="202"/>
      <c r="AQ491" s="208"/>
      <c r="AR491" s="202"/>
      <c r="AS491" s="203">
        <f t="shared" si="6"/>
        <v>0</v>
      </c>
      <c r="AT491" s="202"/>
      <c r="AU491" s="204"/>
      <c r="AV491" s="202"/>
      <c r="AW491" s="204"/>
      <c r="AX491" s="202"/>
      <c r="AY491" s="204"/>
      <c r="AZ491" s="202"/>
      <c r="BA491" s="204"/>
      <c r="BB491" s="202"/>
      <c r="BC491" s="204"/>
      <c r="BD491" s="202"/>
      <c r="BE491" s="208"/>
      <c r="BF491" s="202"/>
      <c r="BG491" s="203">
        <f t="shared" si="7"/>
        <v>0</v>
      </c>
      <c r="BH491" s="202"/>
      <c r="BI491" s="204"/>
      <c r="BJ491" s="202"/>
      <c r="BK491" s="204"/>
      <c r="BL491" s="202"/>
      <c r="BM491" s="204"/>
      <c r="BN491" s="202"/>
      <c r="BO491" s="203">
        <f t="shared" si="8"/>
        <v>0</v>
      </c>
      <c r="BP491" s="202"/>
      <c r="BQ491" s="138"/>
      <c r="BR491" s="128"/>
      <c r="BS491" s="128"/>
      <c r="BT491" s="128"/>
      <c r="BU491" s="128"/>
      <c r="BV491" s="128"/>
      <c r="BW491" s="139"/>
      <c r="BX491" s="140"/>
      <c r="BY491" s="139"/>
      <c r="BZ491" s="139"/>
      <c r="CA491" s="134"/>
      <c r="CB491" s="134"/>
      <c r="CC491" s="134"/>
      <c r="CD491" s="134"/>
      <c r="CE491" s="134"/>
      <c r="CF491" s="134"/>
      <c r="CG491" s="92"/>
      <c r="CH491" s="92"/>
      <c r="CI491" s="92"/>
      <c r="CJ491" s="92"/>
      <c r="CK491" s="92"/>
    </row>
    <row r="492" spans="1:89" ht="17.25" customHeight="1">
      <c r="A492" s="160"/>
      <c r="B492" s="165"/>
      <c r="C492" s="164"/>
      <c r="D492" s="137">
        <f t="shared" si="3"/>
        <v>0</v>
      </c>
      <c r="E492" s="207"/>
      <c r="F492" s="202"/>
      <c r="G492" s="207"/>
      <c r="H492" s="202"/>
      <c r="I492" s="207"/>
      <c r="J492" s="202"/>
      <c r="K492" s="207"/>
      <c r="L492" s="202"/>
      <c r="M492" s="207"/>
      <c r="N492" s="202"/>
      <c r="O492" s="201"/>
      <c r="P492" s="202"/>
      <c r="Q492" s="203">
        <f t="shared" si="4"/>
        <v>0</v>
      </c>
      <c r="R492" s="202"/>
      <c r="S492" s="207"/>
      <c r="T492" s="202"/>
      <c r="U492" s="207"/>
      <c r="V492" s="202"/>
      <c r="W492" s="207"/>
      <c r="X492" s="202"/>
      <c r="Y492" s="207"/>
      <c r="Z492" s="202"/>
      <c r="AA492" s="207"/>
      <c r="AB492" s="202"/>
      <c r="AC492" s="208"/>
      <c r="AD492" s="202"/>
      <c r="AE492" s="203">
        <f t="shared" si="5"/>
        <v>0</v>
      </c>
      <c r="AF492" s="202"/>
      <c r="AG492" s="204"/>
      <c r="AH492" s="202"/>
      <c r="AI492" s="204"/>
      <c r="AJ492" s="202"/>
      <c r="AK492" s="204"/>
      <c r="AL492" s="202"/>
      <c r="AM492" s="204"/>
      <c r="AN492" s="202"/>
      <c r="AO492" s="204"/>
      <c r="AP492" s="202"/>
      <c r="AQ492" s="208"/>
      <c r="AR492" s="202"/>
      <c r="AS492" s="203">
        <f t="shared" si="6"/>
        <v>0</v>
      </c>
      <c r="AT492" s="202"/>
      <c r="AU492" s="204"/>
      <c r="AV492" s="202"/>
      <c r="AW492" s="204"/>
      <c r="AX492" s="202"/>
      <c r="AY492" s="204"/>
      <c r="AZ492" s="202"/>
      <c r="BA492" s="204"/>
      <c r="BB492" s="202"/>
      <c r="BC492" s="204"/>
      <c r="BD492" s="202"/>
      <c r="BE492" s="208"/>
      <c r="BF492" s="202"/>
      <c r="BG492" s="203">
        <f t="shared" si="7"/>
        <v>0</v>
      </c>
      <c r="BH492" s="202"/>
      <c r="BI492" s="204"/>
      <c r="BJ492" s="202"/>
      <c r="BK492" s="204"/>
      <c r="BL492" s="202"/>
      <c r="BM492" s="204"/>
      <c r="BN492" s="202"/>
      <c r="BO492" s="203">
        <f t="shared" si="8"/>
        <v>0</v>
      </c>
      <c r="BP492" s="202"/>
      <c r="BQ492" s="138"/>
      <c r="BR492" s="128"/>
      <c r="BS492" s="128"/>
      <c r="BT492" s="128"/>
      <c r="BU492" s="128"/>
      <c r="BV492" s="128"/>
      <c r="BW492" s="139"/>
      <c r="BX492" s="140"/>
      <c r="BY492" s="139"/>
      <c r="BZ492" s="139"/>
      <c r="CA492" s="134"/>
      <c r="CB492" s="134"/>
      <c r="CC492" s="134"/>
      <c r="CD492" s="134"/>
      <c r="CE492" s="134"/>
      <c r="CF492" s="134"/>
      <c r="CG492" s="92"/>
      <c r="CH492" s="92"/>
      <c r="CI492" s="92"/>
      <c r="CJ492" s="92"/>
      <c r="CK492" s="92"/>
    </row>
    <row r="493" spans="1:89" ht="17.25" customHeight="1">
      <c r="A493" s="160"/>
      <c r="B493" s="165"/>
      <c r="C493" s="164"/>
      <c r="D493" s="137">
        <f t="shared" si="3"/>
        <v>0</v>
      </c>
      <c r="E493" s="207"/>
      <c r="F493" s="202"/>
      <c r="G493" s="207"/>
      <c r="H493" s="202"/>
      <c r="I493" s="207"/>
      <c r="J493" s="202"/>
      <c r="K493" s="207"/>
      <c r="L493" s="202"/>
      <c r="M493" s="207"/>
      <c r="N493" s="202"/>
      <c r="O493" s="201"/>
      <c r="P493" s="202"/>
      <c r="Q493" s="203">
        <f t="shared" si="4"/>
        <v>0</v>
      </c>
      <c r="R493" s="202"/>
      <c r="S493" s="207"/>
      <c r="T493" s="202"/>
      <c r="U493" s="207"/>
      <c r="V493" s="202"/>
      <c r="W493" s="207"/>
      <c r="X493" s="202"/>
      <c r="Y493" s="207"/>
      <c r="Z493" s="202"/>
      <c r="AA493" s="207"/>
      <c r="AB493" s="202"/>
      <c r="AC493" s="208"/>
      <c r="AD493" s="202"/>
      <c r="AE493" s="203">
        <f t="shared" si="5"/>
        <v>0</v>
      </c>
      <c r="AF493" s="202"/>
      <c r="AG493" s="204"/>
      <c r="AH493" s="202"/>
      <c r="AI493" s="204"/>
      <c r="AJ493" s="202"/>
      <c r="AK493" s="204"/>
      <c r="AL493" s="202"/>
      <c r="AM493" s="204"/>
      <c r="AN493" s="202"/>
      <c r="AO493" s="204"/>
      <c r="AP493" s="202"/>
      <c r="AQ493" s="208"/>
      <c r="AR493" s="202"/>
      <c r="AS493" s="203">
        <f t="shared" si="6"/>
        <v>0</v>
      </c>
      <c r="AT493" s="202"/>
      <c r="AU493" s="204"/>
      <c r="AV493" s="202"/>
      <c r="AW493" s="204"/>
      <c r="AX493" s="202"/>
      <c r="AY493" s="204"/>
      <c r="AZ493" s="202"/>
      <c r="BA493" s="204"/>
      <c r="BB493" s="202"/>
      <c r="BC493" s="204"/>
      <c r="BD493" s="202"/>
      <c r="BE493" s="208"/>
      <c r="BF493" s="202"/>
      <c r="BG493" s="203">
        <f t="shared" si="7"/>
        <v>0</v>
      </c>
      <c r="BH493" s="202"/>
      <c r="BI493" s="204"/>
      <c r="BJ493" s="202"/>
      <c r="BK493" s="204"/>
      <c r="BL493" s="202"/>
      <c r="BM493" s="204"/>
      <c r="BN493" s="202"/>
      <c r="BO493" s="203">
        <f t="shared" si="8"/>
        <v>0</v>
      </c>
      <c r="BP493" s="202"/>
      <c r="BQ493" s="138"/>
      <c r="BR493" s="128"/>
      <c r="BS493" s="128"/>
      <c r="BT493" s="128"/>
      <c r="BU493" s="128"/>
      <c r="BV493" s="128"/>
      <c r="BW493" s="139"/>
      <c r="BX493" s="140"/>
      <c r="BY493" s="139"/>
      <c r="BZ493" s="139"/>
      <c r="CA493" s="134"/>
      <c r="CB493" s="134"/>
      <c r="CC493" s="134"/>
      <c r="CD493" s="134"/>
      <c r="CE493" s="134"/>
      <c r="CF493" s="134"/>
      <c r="CG493" s="92"/>
      <c r="CH493" s="92"/>
      <c r="CI493" s="92"/>
      <c r="CJ493" s="92"/>
      <c r="CK493" s="92"/>
    </row>
    <row r="494" spans="1:89" ht="17.25" customHeight="1">
      <c r="A494" s="160"/>
      <c r="B494" s="165"/>
      <c r="C494" s="164"/>
      <c r="D494" s="137">
        <f t="shared" si="3"/>
        <v>0</v>
      </c>
      <c r="E494" s="207"/>
      <c r="F494" s="202"/>
      <c r="G494" s="207"/>
      <c r="H494" s="202"/>
      <c r="I494" s="207"/>
      <c r="J494" s="202"/>
      <c r="K494" s="207"/>
      <c r="L494" s="202"/>
      <c r="M494" s="207"/>
      <c r="N494" s="202"/>
      <c r="O494" s="201"/>
      <c r="P494" s="202"/>
      <c r="Q494" s="203">
        <f t="shared" si="4"/>
        <v>0</v>
      </c>
      <c r="R494" s="202"/>
      <c r="S494" s="207"/>
      <c r="T494" s="202"/>
      <c r="U494" s="207"/>
      <c r="V494" s="202"/>
      <c r="W494" s="207"/>
      <c r="X494" s="202"/>
      <c r="Y494" s="207"/>
      <c r="Z494" s="202"/>
      <c r="AA494" s="207"/>
      <c r="AB494" s="202"/>
      <c r="AC494" s="208"/>
      <c r="AD494" s="202"/>
      <c r="AE494" s="203">
        <f t="shared" si="5"/>
        <v>0</v>
      </c>
      <c r="AF494" s="202"/>
      <c r="AG494" s="204"/>
      <c r="AH494" s="202"/>
      <c r="AI494" s="204"/>
      <c r="AJ494" s="202"/>
      <c r="AK494" s="204"/>
      <c r="AL494" s="202"/>
      <c r="AM494" s="204"/>
      <c r="AN494" s="202"/>
      <c r="AO494" s="204"/>
      <c r="AP494" s="202"/>
      <c r="AQ494" s="208"/>
      <c r="AR494" s="202"/>
      <c r="AS494" s="203">
        <f t="shared" si="6"/>
        <v>0</v>
      </c>
      <c r="AT494" s="202"/>
      <c r="AU494" s="204"/>
      <c r="AV494" s="202"/>
      <c r="AW494" s="204"/>
      <c r="AX494" s="202"/>
      <c r="AY494" s="204"/>
      <c r="AZ494" s="202"/>
      <c r="BA494" s="204"/>
      <c r="BB494" s="202"/>
      <c r="BC494" s="204"/>
      <c r="BD494" s="202"/>
      <c r="BE494" s="208"/>
      <c r="BF494" s="202"/>
      <c r="BG494" s="203">
        <f t="shared" si="7"/>
        <v>0</v>
      </c>
      <c r="BH494" s="202"/>
      <c r="BI494" s="204"/>
      <c r="BJ494" s="202"/>
      <c r="BK494" s="204"/>
      <c r="BL494" s="202"/>
      <c r="BM494" s="204"/>
      <c r="BN494" s="202"/>
      <c r="BO494" s="203">
        <f t="shared" si="8"/>
        <v>0</v>
      </c>
      <c r="BP494" s="202"/>
      <c r="BQ494" s="138"/>
      <c r="BR494" s="128"/>
      <c r="BS494" s="128"/>
      <c r="BT494" s="128"/>
      <c r="BU494" s="128"/>
      <c r="BV494" s="128"/>
      <c r="BW494" s="139"/>
      <c r="BX494" s="140"/>
      <c r="BY494" s="139"/>
      <c r="BZ494" s="139"/>
      <c r="CA494" s="134"/>
      <c r="CB494" s="134"/>
      <c r="CC494" s="134"/>
      <c r="CD494" s="134"/>
      <c r="CE494" s="134"/>
      <c r="CF494" s="134"/>
      <c r="CG494" s="92"/>
      <c r="CH494" s="92"/>
      <c r="CI494" s="92"/>
      <c r="CJ494" s="92"/>
      <c r="CK494" s="92"/>
    </row>
    <row r="495" spans="1:89" ht="17.25" customHeight="1">
      <c r="A495" s="160"/>
      <c r="B495" s="165"/>
      <c r="C495" s="164"/>
      <c r="D495" s="137">
        <f t="shared" si="3"/>
        <v>0</v>
      </c>
      <c r="E495" s="207"/>
      <c r="F495" s="202"/>
      <c r="G495" s="207"/>
      <c r="H495" s="202"/>
      <c r="I495" s="207"/>
      <c r="J495" s="202"/>
      <c r="K495" s="207"/>
      <c r="L495" s="202"/>
      <c r="M495" s="207"/>
      <c r="N495" s="202"/>
      <c r="O495" s="201"/>
      <c r="P495" s="202"/>
      <c r="Q495" s="203">
        <f t="shared" si="4"/>
        <v>0</v>
      </c>
      <c r="R495" s="202"/>
      <c r="S495" s="207"/>
      <c r="T495" s="202"/>
      <c r="U495" s="207"/>
      <c r="V495" s="202"/>
      <c r="W495" s="207"/>
      <c r="X495" s="202"/>
      <c r="Y495" s="207"/>
      <c r="Z495" s="202"/>
      <c r="AA495" s="207"/>
      <c r="AB495" s="202"/>
      <c r="AC495" s="208"/>
      <c r="AD495" s="202"/>
      <c r="AE495" s="203">
        <f t="shared" si="5"/>
        <v>0</v>
      </c>
      <c r="AF495" s="202"/>
      <c r="AG495" s="204"/>
      <c r="AH495" s="202"/>
      <c r="AI495" s="204"/>
      <c r="AJ495" s="202"/>
      <c r="AK495" s="204"/>
      <c r="AL495" s="202"/>
      <c r="AM495" s="204"/>
      <c r="AN495" s="202"/>
      <c r="AO495" s="204"/>
      <c r="AP495" s="202"/>
      <c r="AQ495" s="208"/>
      <c r="AR495" s="202"/>
      <c r="AS495" s="203">
        <f t="shared" si="6"/>
        <v>0</v>
      </c>
      <c r="AT495" s="202"/>
      <c r="AU495" s="204"/>
      <c r="AV495" s="202"/>
      <c r="AW495" s="204"/>
      <c r="AX495" s="202"/>
      <c r="AY495" s="204"/>
      <c r="AZ495" s="202"/>
      <c r="BA495" s="204"/>
      <c r="BB495" s="202"/>
      <c r="BC495" s="204"/>
      <c r="BD495" s="202"/>
      <c r="BE495" s="208"/>
      <c r="BF495" s="202"/>
      <c r="BG495" s="203">
        <f t="shared" si="7"/>
        <v>0</v>
      </c>
      <c r="BH495" s="202"/>
      <c r="BI495" s="204"/>
      <c r="BJ495" s="202"/>
      <c r="BK495" s="204"/>
      <c r="BL495" s="202"/>
      <c r="BM495" s="204"/>
      <c r="BN495" s="202"/>
      <c r="BO495" s="203">
        <f t="shared" si="8"/>
        <v>0</v>
      </c>
      <c r="BP495" s="202"/>
      <c r="BQ495" s="138"/>
      <c r="BR495" s="128"/>
      <c r="BS495" s="128"/>
      <c r="BT495" s="128"/>
      <c r="BU495" s="128"/>
      <c r="BV495" s="128"/>
      <c r="BW495" s="139"/>
      <c r="BX495" s="140"/>
      <c r="BY495" s="139"/>
      <c r="BZ495" s="139"/>
      <c r="CA495" s="134"/>
      <c r="CB495" s="134"/>
      <c r="CC495" s="134"/>
      <c r="CD495" s="134"/>
      <c r="CE495" s="134"/>
      <c r="CF495" s="134"/>
      <c r="CG495" s="92"/>
      <c r="CH495" s="92"/>
      <c r="CI495" s="92"/>
      <c r="CJ495" s="92"/>
      <c r="CK495" s="92"/>
    </row>
    <row r="496" spans="1:89" ht="17.25" customHeight="1">
      <c r="A496" s="160"/>
      <c r="B496" s="165"/>
      <c r="C496" s="164"/>
      <c r="D496" s="137">
        <f t="shared" si="3"/>
        <v>0</v>
      </c>
      <c r="E496" s="207"/>
      <c r="F496" s="202"/>
      <c r="G496" s="207"/>
      <c r="H496" s="202"/>
      <c r="I496" s="207"/>
      <c r="J496" s="202"/>
      <c r="K496" s="207"/>
      <c r="L496" s="202"/>
      <c r="M496" s="207"/>
      <c r="N496" s="202"/>
      <c r="O496" s="201"/>
      <c r="P496" s="202"/>
      <c r="Q496" s="203">
        <f t="shared" si="4"/>
        <v>0</v>
      </c>
      <c r="R496" s="202"/>
      <c r="S496" s="207"/>
      <c r="T496" s="202"/>
      <c r="U496" s="207"/>
      <c r="V496" s="202"/>
      <c r="W496" s="207"/>
      <c r="X496" s="202"/>
      <c r="Y496" s="207"/>
      <c r="Z496" s="202"/>
      <c r="AA496" s="207"/>
      <c r="AB496" s="202"/>
      <c r="AC496" s="208"/>
      <c r="AD496" s="202"/>
      <c r="AE496" s="203">
        <f t="shared" si="5"/>
        <v>0</v>
      </c>
      <c r="AF496" s="202"/>
      <c r="AG496" s="204"/>
      <c r="AH496" s="202"/>
      <c r="AI496" s="204"/>
      <c r="AJ496" s="202"/>
      <c r="AK496" s="204"/>
      <c r="AL496" s="202"/>
      <c r="AM496" s="204"/>
      <c r="AN496" s="202"/>
      <c r="AO496" s="204"/>
      <c r="AP496" s="202"/>
      <c r="AQ496" s="208"/>
      <c r="AR496" s="202"/>
      <c r="AS496" s="203">
        <f t="shared" si="6"/>
        <v>0</v>
      </c>
      <c r="AT496" s="202"/>
      <c r="AU496" s="204"/>
      <c r="AV496" s="202"/>
      <c r="AW496" s="204"/>
      <c r="AX496" s="202"/>
      <c r="AY496" s="204"/>
      <c r="AZ496" s="202"/>
      <c r="BA496" s="204"/>
      <c r="BB496" s="202"/>
      <c r="BC496" s="204"/>
      <c r="BD496" s="202"/>
      <c r="BE496" s="208"/>
      <c r="BF496" s="202"/>
      <c r="BG496" s="203">
        <f t="shared" si="7"/>
        <v>0</v>
      </c>
      <c r="BH496" s="202"/>
      <c r="BI496" s="204"/>
      <c r="BJ496" s="202"/>
      <c r="BK496" s="204"/>
      <c r="BL496" s="202"/>
      <c r="BM496" s="204"/>
      <c r="BN496" s="202"/>
      <c r="BO496" s="203">
        <f t="shared" si="8"/>
        <v>0</v>
      </c>
      <c r="BP496" s="202"/>
      <c r="BQ496" s="138"/>
      <c r="BR496" s="128"/>
      <c r="BS496" s="128"/>
      <c r="BT496" s="128"/>
      <c r="BU496" s="128"/>
      <c r="BV496" s="128"/>
      <c r="BW496" s="139"/>
      <c r="BX496" s="140"/>
      <c r="BY496" s="139"/>
      <c r="BZ496" s="139"/>
      <c r="CA496" s="134"/>
      <c r="CB496" s="134"/>
      <c r="CC496" s="134"/>
      <c r="CD496" s="134"/>
      <c r="CE496" s="134"/>
      <c r="CF496" s="134"/>
      <c r="CG496" s="92"/>
      <c r="CH496" s="92"/>
      <c r="CI496" s="92"/>
      <c r="CJ496" s="92"/>
      <c r="CK496" s="92"/>
    </row>
    <row r="497" spans="1:89" ht="17.25" customHeight="1">
      <c r="A497" s="160"/>
      <c r="B497" s="165"/>
      <c r="C497" s="164"/>
      <c r="D497" s="137">
        <f t="shared" si="3"/>
        <v>0</v>
      </c>
      <c r="E497" s="207"/>
      <c r="F497" s="202"/>
      <c r="G497" s="207"/>
      <c r="H497" s="202"/>
      <c r="I497" s="207"/>
      <c r="J497" s="202"/>
      <c r="K497" s="207"/>
      <c r="L497" s="202"/>
      <c r="M497" s="207"/>
      <c r="N497" s="202"/>
      <c r="O497" s="201"/>
      <c r="P497" s="202"/>
      <c r="Q497" s="203">
        <f t="shared" si="4"/>
        <v>0</v>
      </c>
      <c r="R497" s="202"/>
      <c r="S497" s="207"/>
      <c r="T497" s="202"/>
      <c r="U497" s="207"/>
      <c r="V497" s="202"/>
      <c r="W497" s="207"/>
      <c r="X497" s="202"/>
      <c r="Y497" s="207"/>
      <c r="Z497" s="202"/>
      <c r="AA497" s="207"/>
      <c r="AB497" s="202"/>
      <c r="AC497" s="208"/>
      <c r="AD497" s="202"/>
      <c r="AE497" s="203">
        <f t="shared" si="5"/>
        <v>0</v>
      </c>
      <c r="AF497" s="202"/>
      <c r="AG497" s="204"/>
      <c r="AH497" s="202"/>
      <c r="AI497" s="204"/>
      <c r="AJ497" s="202"/>
      <c r="AK497" s="204"/>
      <c r="AL497" s="202"/>
      <c r="AM497" s="204"/>
      <c r="AN497" s="202"/>
      <c r="AO497" s="204"/>
      <c r="AP497" s="202"/>
      <c r="AQ497" s="208"/>
      <c r="AR497" s="202"/>
      <c r="AS497" s="203">
        <f t="shared" si="6"/>
        <v>0</v>
      </c>
      <c r="AT497" s="202"/>
      <c r="AU497" s="204"/>
      <c r="AV497" s="202"/>
      <c r="AW497" s="204"/>
      <c r="AX497" s="202"/>
      <c r="AY497" s="204"/>
      <c r="AZ497" s="202"/>
      <c r="BA497" s="204"/>
      <c r="BB497" s="202"/>
      <c r="BC497" s="204"/>
      <c r="BD497" s="202"/>
      <c r="BE497" s="208"/>
      <c r="BF497" s="202"/>
      <c r="BG497" s="203">
        <f t="shared" si="7"/>
        <v>0</v>
      </c>
      <c r="BH497" s="202"/>
      <c r="BI497" s="204"/>
      <c r="BJ497" s="202"/>
      <c r="BK497" s="204"/>
      <c r="BL497" s="202"/>
      <c r="BM497" s="204"/>
      <c r="BN497" s="202"/>
      <c r="BO497" s="203">
        <f t="shared" si="8"/>
        <v>0</v>
      </c>
      <c r="BP497" s="202"/>
      <c r="BQ497" s="138"/>
      <c r="BR497" s="128"/>
      <c r="BS497" s="128"/>
      <c r="BT497" s="128"/>
      <c r="BU497" s="128"/>
      <c r="BV497" s="128"/>
      <c r="BW497" s="139"/>
      <c r="BX497" s="140"/>
      <c r="BY497" s="139"/>
      <c r="BZ497" s="139"/>
      <c r="CA497" s="134"/>
      <c r="CB497" s="134"/>
      <c r="CC497" s="134"/>
      <c r="CD497" s="134"/>
      <c r="CE497" s="134"/>
      <c r="CF497" s="134"/>
      <c r="CG497" s="92"/>
      <c r="CH497" s="92"/>
      <c r="CI497" s="92"/>
      <c r="CJ497" s="92"/>
      <c r="CK497" s="92"/>
    </row>
  </sheetData>
  <mergeCells count="15848">
    <mergeCell ref="BO375:BP375"/>
    <mergeCell ref="AU375:AV375"/>
    <mergeCell ref="AW375:AX375"/>
    <mergeCell ref="AY375:AZ375"/>
    <mergeCell ref="BA375:BB375"/>
    <mergeCell ref="BC375:BD375"/>
    <mergeCell ref="BE375:BF375"/>
    <mergeCell ref="BG375:BH375"/>
    <mergeCell ref="E375:F375"/>
    <mergeCell ref="G375:H375"/>
    <mergeCell ref="I375:J375"/>
    <mergeCell ref="K375:L375"/>
    <mergeCell ref="M375:N375"/>
    <mergeCell ref="O375:P375"/>
    <mergeCell ref="Q375:R375"/>
    <mergeCell ref="E372:F372"/>
    <mergeCell ref="G372:H372"/>
    <mergeCell ref="I372:J372"/>
    <mergeCell ref="K372:L372"/>
    <mergeCell ref="M372:N372"/>
    <mergeCell ref="O372:P372"/>
    <mergeCell ref="Q372:R372"/>
    <mergeCell ref="AU374:AV374"/>
    <mergeCell ref="AW374:AX374"/>
    <mergeCell ref="AG374:AH374"/>
    <mergeCell ref="AI374:AJ374"/>
    <mergeCell ref="AK374:AL374"/>
    <mergeCell ref="AM374:AN374"/>
    <mergeCell ref="AO374:AP374"/>
    <mergeCell ref="AQ374:AR374"/>
    <mergeCell ref="AS374:AT374"/>
    <mergeCell ref="S375:T375"/>
    <mergeCell ref="U375:V375"/>
    <mergeCell ref="W375:X375"/>
    <mergeCell ref="Y375:Z375"/>
    <mergeCell ref="AA375:AB375"/>
    <mergeCell ref="AC375:AD375"/>
    <mergeCell ref="AE375:AF375"/>
    <mergeCell ref="AG375:AH375"/>
    <mergeCell ref="AI375:AJ375"/>
    <mergeCell ref="AK375:AL375"/>
    <mergeCell ref="AM375:AN375"/>
    <mergeCell ref="AO375:AP375"/>
    <mergeCell ref="AQ375:AR375"/>
    <mergeCell ref="AS375:AT375"/>
    <mergeCell ref="BI375:BJ375"/>
    <mergeCell ref="BK375:BL375"/>
    <mergeCell ref="BM375:BN375"/>
    <mergeCell ref="E369:F369"/>
    <mergeCell ref="G369:H369"/>
    <mergeCell ref="I369:J369"/>
    <mergeCell ref="K369:L369"/>
    <mergeCell ref="M369:N369"/>
    <mergeCell ref="O369:P369"/>
    <mergeCell ref="Q369:R369"/>
    <mergeCell ref="S370:T370"/>
    <mergeCell ref="U370:V370"/>
    <mergeCell ref="W370:X370"/>
    <mergeCell ref="Y370:Z370"/>
    <mergeCell ref="AA370:AB370"/>
    <mergeCell ref="AC370:AD370"/>
    <mergeCell ref="AE370:AF370"/>
    <mergeCell ref="AU369:AV369"/>
    <mergeCell ref="AW369:AX369"/>
    <mergeCell ref="AY369:AZ369"/>
    <mergeCell ref="BA369:BB369"/>
    <mergeCell ref="BC369:BD369"/>
    <mergeCell ref="BE369:BF369"/>
    <mergeCell ref="BG369:BH369"/>
    <mergeCell ref="E370:F370"/>
    <mergeCell ref="G370:H370"/>
    <mergeCell ref="I370:J370"/>
    <mergeCell ref="K370:L370"/>
    <mergeCell ref="M370:N370"/>
    <mergeCell ref="O370:P370"/>
    <mergeCell ref="Q370:R370"/>
    <mergeCell ref="AU372:AV372"/>
    <mergeCell ref="AW372:AX372"/>
    <mergeCell ref="AG372:AH372"/>
    <mergeCell ref="AI372:AJ372"/>
    <mergeCell ref="AK372:AL372"/>
    <mergeCell ref="AM372:AN372"/>
    <mergeCell ref="AO372:AP372"/>
    <mergeCell ref="AQ372:AR372"/>
    <mergeCell ref="AS372:AT372"/>
    <mergeCell ref="AY372:AZ372"/>
    <mergeCell ref="BA372:BB372"/>
    <mergeCell ref="BC372:BD372"/>
    <mergeCell ref="BE372:BF372"/>
    <mergeCell ref="BG372:BH372"/>
    <mergeCell ref="S371:T371"/>
    <mergeCell ref="U371:V371"/>
    <mergeCell ref="W371:X371"/>
    <mergeCell ref="Y371:Z371"/>
    <mergeCell ref="AA371:AB371"/>
    <mergeCell ref="AC371:AD371"/>
    <mergeCell ref="AE371:AF371"/>
    <mergeCell ref="AG371:AH371"/>
    <mergeCell ref="AI371:AJ371"/>
    <mergeCell ref="AK371:AL371"/>
    <mergeCell ref="AM371:AN371"/>
    <mergeCell ref="AO371:AP371"/>
    <mergeCell ref="AQ371:AR371"/>
    <mergeCell ref="AS371:AT371"/>
    <mergeCell ref="E371:F371"/>
    <mergeCell ref="G371:H371"/>
    <mergeCell ref="I371:J371"/>
    <mergeCell ref="K371:L371"/>
    <mergeCell ref="M371:N371"/>
    <mergeCell ref="O371:P371"/>
    <mergeCell ref="Q371:R371"/>
    <mergeCell ref="S372:T372"/>
    <mergeCell ref="AW373:AX373"/>
    <mergeCell ref="AY373:AZ373"/>
    <mergeCell ref="BA373:BB373"/>
    <mergeCell ref="BC373:BD373"/>
    <mergeCell ref="BE373:BF373"/>
    <mergeCell ref="BG373:BH373"/>
    <mergeCell ref="AU370:AV370"/>
    <mergeCell ref="AW370:AX370"/>
    <mergeCell ref="AG370:AH370"/>
    <mergeCell ref="AI370:AJ370"/>
    <mergeCell ref="AK370:AL370"/>
    <mergeCell ref="AM370:AN370"/>
    <mergeCell ref="AO370:AP370"/>
    <mergeCell ref="AQ370:AR370"/>
    <mergeCell ref="AS370:AT370"/>
    <mergeCell ref="BM370:BN370"/>
    <mergeCell ref="BO370:BP370"/>
    <mergeCell ref="AY370:AZ370"/>
    <mergeCell ref="BA370:BB370"/>
    <mergeCell ref="BC370:BD370"/>
    <mergeCell ref="BE370:BF370"/>
    <mergeCell ref="BG370:BH370"/>
    <mergeCell ref="BI370:BJ370"/>
    <mergeCell ref="BK370:BL370"/>
    <mergeCell ref="S369:T369"/>
    <mergeCell ref="U369:V369"/>
    <mergeCell ref="W369:X369"/>
    <mergeCell ref="Y369:Z369"/>
    <mergeCell ref="AA369:AB369"/>
    <mergeCell ref="AC369:AD369"/>
    <mergeCell ref="AE369:AF369"/>
    <mergeCell ref="AG369:AH369"/>
    <mergeCell ref="AI369:AJ369"/>
    <mergeCell ref="AK369:AL369"/>
    <mergeCell ref="AM369:AN369"/>
    <mergeCell ref="AO369:AP369"/>
    <mergeCell ref="AQ369:AR369"/>
    <mergeCell ref="AS369:AT369"/>
    <mergeCell ref="BI369:BJ369"/>
    <mergeCell ref="BK369:BL369"/>
    <mergeCell ref="BM369:BN369"/>
    <mergeCell ref="BO369:BP369"/>
    <mergeCell ref="BM372:BN372"/>
    <mergeCell ref="BO372:BP372"/>
    <mergeCell ref="BI372:BJ372"/>
    <mergeCell ref="BK372:BL372"/>
    <mergeCell ref="BI371:BJ371"/>
    <mergeCell ref="BK371:BL371"/>
    <mergeCell ref="BM371:BN371"/>
    <mergeCell ref="BO371:BP371"/>
    <mergeCell ref="U372:V372"/>
    <mergeCell ref="W372:X372"/>
    <mergeCell ref="Y372:Z372"/>
    <mergeCell ref="AA372:AB372"/>
    <mergeCell ref="AC372:AD372"/>
    <mergeCell ref="AE372:AF372"/>
    <mergeCell ref="AU371:AV371"/>
    <mergeCell ref="AW371:AX371"/>
    <mergeCell ref="AY371:AZ371"/>
    <mergeCell ref="BA371:BB371"/>
    <mergeCell ref="BC371:BD371"/>
    <mergeCell ref="BE371:BF371"/>
    <mergeCell ref="BG371:BH371"/>
    <mergeCell ref="BO368:BP368"/>
    <mergeCell ref="AU368:AV368"/>
    <mergeCell ref="AW368:AX368"/>
    <mergeCell ref="AY368:AZ368"/>
    <mergeCell ref="BA368:BB368"/>
    <mergeCell ref="BC368:BD368"/>
    <mergeCell ref="BE368:BF368"/>
    <mergeCell ref="BG368:BH368"/>
    <mergeCell ref="E368:F368"/>
    <mergeCell ref="G368:H368"/>
    <mergeCell ref="I368:J368"/>
    <mergeCell ref="K368:L368"/>
    <mergeCell ref="M368:N368"/>
    <mergeCell ref="O368:P368"/>
    <mergeCell ref="Q368:R368"/>
    <mergeCell ref="BM374:BN374"/>
    <mergeCell ref="BO374:BP374"/>
    <mergeCell ref="AY374:AZ374"/>
    <mergeCell ref="BA374:BB374"/>
    <mergeCell ref="BC374:BD374"/>
    <mergeCell ref="BE374:BF374"/>
    <mergeCell ref="BG374:BH374"/>
    <mergeCell ref="BI374:BJ374"/>
    <mergeCell ref="BK374:BL374"/>
    <mergeCell ref="S373:T373"/>
    <mergeCell ref="U373:V373"/>
    <mergeCell ref="W373:X373"/>
    <mergeCell ref="Y373:Z373"/>
    <mergeCell ref="AA373:AB373"/>
    <mergeCell ref="AC373:AD373"/>
    <mergeCell ref="AE373:AF373"/>
    <mergeCell ref="AG373:AH373"/>
    <mergeCell ref="AI373:AJ373"/>
    <mergeCell ref="AK373:AL373"/>
    <mergeCell ref="AM373:AN373"/>
    <mergeCell ref="AO373:AP373"/>
    <mergeCell ref="AQ373:AR373"/>
    <mergeCell ref="AS373:AT373"/>
    <mergeCell ref="BI373:BJ373"/>
    <mergeCell ref="BK373:BL373"/>
    <mergeCell ref="BM373:BN373"/>
    <mergeCell ref="BO373:BP373"/>
    <mergeCell ref="E373:F373"/>
    <mergeCell ref="G373:H373"/>
    <mergeCell ref="I373:J373"/>
    <mergeCell ref="K373:L373"/>
    <mergeCell ref="M373:N373"/>
    <mergeCell ref="O373:P373"/>
    <mergeCell ref="Q373:R373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Z374"/>
    <mergeCell ref="AA374:AB374"/>
    <mergeCell ref="AC374:AD374"/>
    <mergeCell ref="AE374:AF374"/>
    <mergeCell ref="AU373:AV373"/>
    <mergeCell ref="E365:F365"/>
    <mergeCell ref="G365:H365"/>
    <mergeCell ref="I365:J365"/>
    <mergeCell ref="K365:L365"/>
    <mergeCell ref="M365:N365"/>
    <mergeCell ref="O365:P365"/>
    <mergeCell ref="Q365:R365"/>
    <mergeCell ref="AU367:AV367"/>
    <mergeCell ref="AW367:AX367"/>
    <mergeCell ref="AG367:AH367"/>
    <mergeCell ref="AI367:AJ367"/>
    <mergeCell ref="AK367:AL367"/>
    <mergeCell ref="AM367:AN367"/>
    <mergeCell ref="AO367:AP367"/>
    <mergeCell ref="AQ367:AR367"/>
    <mergeCell ref="AS367:AT367"/>
    <mergeCell ref="S368:T368"/>
    <mergeCell ref="U368:V368"/>
    <mergeCell ref="W368:X368"/>
    <mergeCell ref="Y368:Z368"/>
    <mergeCell ref="AA368:AB368"/>
    <mergeCell ref="AC368:AD368"/>
    <mergeCell ref="AE368:AF368"/>
    <mergeCell ref="AG368:AH368"/>
    <mergeCell ref="AI368:AJ368"/>
    <mergeCell ref="AK368:AL368"/>
    <mergeCell ref="AM368:AN368"/>
    <mergeCell ref="AO368:AP368"/>
    <mergeCell ref="AQ368:AR368"/>
    <mergeCell ref="AS368:AT368"/>
    <mergeCell ref="BI368:BJ368"/>
    <mergeCell ref="BK368:BL368"/>
    <mergeCell ref="BM368:BN368"/>
    <mergeCell ref="E362:F362"/>
    <mergeCell ref="G362:H362"/>
    <mergeCell ref="I362:J362"/>
    <mergeCell ref="K362:L362"/>
    <mergeCell ref="M362:N362"/>
    <mergeCell ref="O362:P362"/>
    <mergeCell ref="Q362:R362"/>
    <mergeCell ref="S363:T363"/>
    <mergeCell ref="U363:V363"/>
    <mergeCell ref="W363:X363"/>
    <mergeCell ref="Y363:Z363"/>
    <mergeCell ref="AA363:AB363"/>
    <mergeCell ref="AC363:AD363"/>
    <mergeCell ref="AE363:AF363"/>
    <mergeCell ref="AU362:AV362"/>
    <mergeCell ref="AW362:AX362"/>
    <mergeCell ref="AY362:AZ362"/>
    <mergeCell ref="BA362:BB362"/>
    <mergeCell ref="BC362:BD362"/>
    <mergeCell ref="BE362:BF362"/>
    <mergeCell ref="BG362:BH362"/>
    <mergeCell ref="E363:F363"/>
    <mergeCell ref="G363:H363"/>
    <mergeCell ref="I363:J363"/>
    <mergeCell ref="K363:L363"/>
    <mergeCell ref="M363:N363"/>
    <mergeCell ref="O363:P363"/>
    <mergeCell ref="Q363:R363"/>
    <mergeCell ref="AU365:AV365"/>
    <mergeCell ref="AW365:AX365"/>
    <mergeCell ref="AG365:AH365"/>
    <mergeCell ref="AI365:AJ365"/>
    <mergeCell ref="AK365:AL365"/>
    <mergeCell ref="AM365:AN365"/>
    <mergeCell ref="AO365:AP365"/>
    <mergeCell ref="AQ365:AR365"/>
    <mergeCell ref="AS365:AT365"/>
    <mergeCell ref="AY365:AZ365"/>
    <mergeCell ref="BA365:BB365"/>
    <mergeCell ref="BC365:BD365"/>
    <mergeCell ref="BE365:BF365"/>
    <mergeCell ref="BG365:BH365"/>
    <mergeCell ref="S364:T364"/>
    <mergeCell ref="U364:V364"/>
    <mergeCell ref="W364:X364"/>
    <mergeCell ref="Y364:Z364"/>
    <mergeCell ref="AA364:AB364"/>
    <mergeCell ref="AC364:AD364"/>
    <mergeCell ref="AE364:AF364"/>
    <mergeCell ref="AG364:AH364"/>
    <mergeCell ref="AI364:AJ364"/>
    <mergeCell ref="AK364:AL364"/>
    <mergeCell ref="AM364:AN364"/>
    <mergeCell ref="AO364:AP364"/>
    <mergeCell ref="AQ364:AR364"/>
    <mergeCell ref="AS364:AT364"/>
    <mergeCell ref="E364:F364"/>
    <mergeCell ref="G364:H364"/>
    <mergeCell ref="I364:J364"/>
    <mergeCell ref="K364:L364"/>
    <mergeCell ref="M364:N364"/>
    <mergeCell ref="O364:P364"/>
    <mergeCell ref="Q364:R364"/>
    <mergeCell ref="S365:T365"/>
    <mergeCell ref="AW366:AX366"/>
    <mergeCell ref="AY366:AZ366"/>
    <mergeCell ref="BA366:BB366"/>
    <mergeCell ref="BC366:BD366"/>
    <mergeCell ref="BE366:BF366"/>
    <mergeCell ref="BG366:BH366"/>
    <mergeCell ref="AU363:AV363"/>
    <mergeCell ref="AW363:AX363"/>
    <mergeCell ref="AG363:AH363"/>
    <mergeCell ref="AI363:AJ363"/>
    <mergeCell ref="AK363:AL363"/>
    <mergeCell ref="AM363:AN363"/>
    <mergeCell ref="AO363:AP363"/>
    <mergeCell ref="AQ363:AR363"/>
    <mergeCell ref="AS363:AT363"/>
    <mergeCell ref="BM363:BN363"/>
    <mergeCell ref="BO363:BP363"/>
    <mergeCell ref="AY363:AZ363"/>
    <mergeCell ref="BA363:BB363"/>
    <mergeCell ref="BC363:BD363"/>
    <mergeCell ref="BE363:BF363"/>
    <mergeCell ref="BG363:BH363"/>
    <mergeCell ref="BI363:BJ363"/>
    <mergeCell ref="BK363:BL363"/>
    <mergeCell ref="S362:T362"/>
    <mergeCell ref="U362:V362"/>
    <mergeCell ref="W362:X362"/>
    <mergeCell ref="Y362:Z362"/>
    <mergeCell ref="AA362:AB362"/>
    <mergeCell ref="AC362:AD362"/>
    <mergeCell ref="AE362:AF362"/>
    <mergeCell ref="AG362:AH362"/>
    <mergeCell ref="AI362:AJ362"/>
    <mergeCell ref="AK362:AL362"/>
    <mergeCell ref="AM362:AN362"/>
    <mergeCell ref="AO362:AP362"/>
    <mergeCell ref="AQ362:AR362"/>
    <mergeCell ref="AS362:AT362"/>
    <mergeCell ref="BI362:BJ362"/>
    <mergeCell ref="BK362:BL362"/>
    <mergeCell ref="BM362:BN362"/>
    <mergeCell ref="BO362:BP362"/>
    <mergeCell ref="BM365:BN365"/>
    <mergeCell ref="BO365:BP365"/>
    <mergeCell ref="BI365:BJ365"/>
    <mergeCell ref="BK365:BL365"/>
    <mergeCell ref="BI364:BJ364"/>
    <mergeCell ref="BK364:BL364"/>
    <mergeCell ref="BM364:BN364"/>
    <mergeCell ref="BO364:BP364"/>
    <mergeCell ref="U365:V365"/>
    <mergeCell ref="W365:X365"/>
    <mergeCell ref="Y365:Z365"/>
    <mergeCell ref="AA365:AB365"/>
    <mergeCell ref="AC365:AD365"/>
    <mergeCell ref="AE365:AF365"/>
    <mergeCell ref="AU364:AV364"/>
    <mergeCell ref="AW364:AX364"/>
    <mergeCell ref="AY364:AZ364"/>
    <mergeCell ref="BA364:BB364"/>
    <mergeCell ref="BC364:BD364"/>
    <mergeCell ref="BE364:BF364"/>
    <mergeCell ref="BG364:BH364"/>
    <mergeCell ref="BO361:BP361"/>
    <mergeCell ref="AU361:AV361"/>
    <mergeCell ref="AW361:AX361"/>
    <mergeCell ref="AY361:AZ361"/>
    <mergeCell ref="BA361:BB361"/>
    <mergeCell ref="BC361:BD361"/>
    <mergeCell ref="BE361:BF361"/>
    <mergeCell ref="BG361:BH361"/>
    <mergeCell ref="E361:F361"/>
    <mergeCell ref="G361:H361"/>
    <mergeCell ref="I361:J361"/>
    <mergeCell ref="K361:L361"/>
    <mergeCell ref="M361:N361"/>
    <mergeCell ref="O361:P361"/>
    <mergeCell ref="Q361:R361"/>
    <mergeCell ref="BM367:BN367"/>
    <mergeCell ref="BO367:BP367"/>
    <mergeCell ref="AY367:AZ367"/>
    <mergeCell ref="BA367:BB367"/>
    <mergeCell ref="BC367:BD367"/>
    <mergeCell ref="BE367:BF367"/>
    <mergeCell ref="BG367:BH367"/>
    <mergeCell ref="BI367:BJ367"/>
    <mergeCell ref="BK367:BL367"/>
    <mergeCell ref="S366:T366"/>
    <mergeCell ref="U366:V366"/>
    <mergeCell ref="W366:X366"/>
    <mergeCell ref="Y366:Z366"/>
    <mergeCell ref="AA366:AB366"/>
    <mergeCell ref="AC366:AD366"/>
    <mergeCell ref="AE366:AF366"/>
    <mergeCell ref="AG366:AH366"/>
    <mergeCell ref="AI366:AJ366"/>
    <mergeCell ref="AK366:AL366"/>
    <mergeCell ref="AM366:AN366"/>
    <mergeCell ref="AO366:AP366"/>
    <mergeCell ref="AQ366:AR366"/>
    <mergeCell ref="AS366:AT366"/>
    <mergeCell ref="BI366:BJ366"/>
    <mergeCell ref="BK366:BL366"/>
    <mergeCell ref="BM366:BN366"/>
    <mergeCell ref="BO366:BP366"/>
    <mergeCell ref="E366:F366"/>
    <mergeCell ref="G366:H366"/>
    <mergeCell ref="I366:J366"/>
    <mergeCell ref="K366:L366"/>
    <mergeCell ref="M366:N366"/>
    <mergeCell ref="O366:P366"/>
    <mergeCell ref="Q366:R366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Z367"/>
    <mergeCell ref="AA367:AB367"/>
    <mergeCell ref="AC367:AD367"/>
    <mergeCell ref="AE367:AF367"/>
    <mergeCell ref="AU366:AV366"/>
    <mergeCell ref="E358:F358"/>
    <mergeCell ref="G358:H358"/>
    <mergeCell ref="I358:J358"/>
    <mergeCell ref="K358:L358"/>
    <mergeCell ref="M358:N358"/>
    <mergeCell ref="O358:P358"/>
    <mergeCell ref="Q358:R358"/>
    <mergeCell ref="AU360:AV360"/>
    <mergeCell ref="AW360:AX360"/>
    <mergeCell ref="AG360:AH360"/>
    <mergeCell ref="AI360:AJ360"/>
    <mergeCell ref="AK360:AL360"/>
    <mergeCell ref="AM360:AN360"/>
    <mergeCell ref="AO360:AP360"/>
    <mergeCell ref="AQ360:AR360"/>
    <mergeCell ref="AS360:AT360"/>
    <mergeCell ref="S361:T361"/>
    <mergeCell ref="U361:V361"/>
    <mergeCell ref="W361:X361"/>
    <mergeCell ref="Y361:Z361"/>
    <mergeCell ref="AA361:AB361"/>
    <mergeCell ref="AC361:AD361"/>
    <mergeCell ref="AE361:AF361"/>
    <mergeCell ref="AG361:AH361"/>
    <mergeCell ref="AI361:AJ361"/>
    <mergeCell ref="AK361:AL361"/>
    <mergeCell ref="AM361:AN361"/>
    <mergeCell ref="AO361:AP361"/>
    <mergeCell ref="AQ361:AR361"/>
    <mergeCell ref="AS361:AT361"/>
    <mergeCell ref="BI361:BJ361"/>
    <mergeCell ref="BK361:BL361"/>
    <mergeCell ref="BM361:BN361"/>
    <mergeCell ref="E355:F355"/>
    <mergeCell ref="G355:H355"/>
    <mergeCell ref="I355:J355"/>
    <mergeCell ref="K355:L355"/>
    <mergeCell ref="M355:N355"/>
    <mergeCell ref="O355:P355"/>
    <mergeCell ref="Q355:R355"/>
    <mergeCell ref="S356:T356"/>
    <mergeCell ref="U356:V356"/>
    <mergeCell ref="W356:X356"/>
    <mergeCell ref="Y356:Z356"/>
    <mergeCell ref="AA356:AB356"/>
    <mergeCell ref="AC356:AD356"/>
    <mergeCell ref="AE356:AF356"/>
    <mergeCell ref="AU355:AV355"/>
    <mergeCell ref="AW355:AX355"/>
    <mergeCell ref="AY355:AZ355"/>
    <mergeCell ref="BA355:BB355"/>
    <mergeCell ref="BC355:BD355"/>
    <mergeCell ref="BE355:BF355"/>
    <mergeCell ref="BG355:BH355"/>
    <mergeCell ref="E356:F356"/>
    <mergeCell ref="G356:H356"/>
    <mergeCell ref="I356:J356"/>
    <mergeCell ref="K356:L356"/>
    <mergeCell ref="M356:N356"/>
    <mergeCell ref="O356:P356"/>
    <mergeCell ref="Q356:R356"/>
    <mergeCell ref="AU358:AV358"/>
    <mergeCell ref="AW358:AX358"/>
    <mergeCell ref="AG358:AH358"/>
    <mergeCell ref="AI358:AJ358"/>
    <mergeCell ref="AK358:AL358"/>
    <mergeCell ref="AM358:AN358"/>
    <mergeCell ref="AO358:AP358"/>
    <mergeCell ref="AQ358:AR358"/>
    <mergeCell ref="AS358:AT358"/>
    <mergeCell ref="AY358:AZ358"/>
    <mergeCell ref="BA358:BB358"/>
    <mergeCell ref="BC358:BD358"/>
    <mergeCell ref="BE358:BF358"/>
    <mergeCell ref="BG358:BH358"/>
    <mergeCell ref="S357:T357"/>
    <mergeCell ref="U357:V357"/>
    <mergeCell ref="W357:X357"/>
    <mergeCell ref="Y357:Z357"/>
    <mergeCell ref="AA357:AB357"/>
    <mergeCell ref="AC357:AD357"/>
    <mergeCell ref="AE357:AF357"/>
    <mergeCell ref="AG357:AH357"/>
    <mergeCell ref="AI357:AJ357"/>
    <mergeCell ref="AK357:AL357"/>
    <mergeCell ref="AM357:AN357"/>
    <mergeCell ref="AO357:AP357"/>
    <mergeCell ref="AQ357:AR357"/>
    <mergeCell ref="AS357:AT357"/>
    <mergeCell ref="E357:F357"/>
    <mergeCell ref="G357:H357"/>
    <mergeCell ref="I357:J357"/>
    <mergeCell ref="K357:L357"/>
    <mergeCell ref="M357:N357"/>
    <mergeCell ref="O357:P357"/>
    <mergeCell ref="Q357:R357"/>
    <mergeCell ref="S358:T358"/>
    <mergeCell ref="AW359:AX359"/>
    <mergeCell ref="AY359:AZ359"/>
    <mergeCell ref="BA359:BB359"/>
    <mergeCell ref="BC359:BD359"/>
    <mergeCell ref="BE359:BF359"/>
    <mergeCell ref="BG359:BH359"/>
    <mergeCell ref="AU356:AV356"/>
    <mergeCell ref="AW356:AX356"/>
    <mergeCell ref="AG356:AH356"/>
    <mergeCell ref="AI356:AJ356"/>
    <mergeCell ref="AK356:AL356"/>
    <mergeCell ref="AM356:AN356"/>
    <mergeCell ref="AO356:AP356"/>
    <mergeCell ref="AQ356:AR356"/>
    <mergeCell ref="AS356:AT356"/>
    <mergeCell ref="BM356:BN356"/>
    <mergeCell ref="BO356:BP356"/>
    <mergeCell ref="AY356:AZ356"/>
    <mergeCell ref="BA356:BB356"/>
    <mergeCell ref="BC356:BD356"/>
    <mergeCell ref="BE356:BF356"/>
    <mergeCell ref="BG356:BH356"/>
    <mergeCell ref="BI356:BJ356"/>
    <mergeCell ref="BK356:BL356"/>
    <mergeCell ref="S355:T355"/>
    <mergeCell ref="U355:V355"/>
    <mergeCell ref="W355:X355"/>
    <mergeCell ref="Y355:Z355"/>
    <mergeCell ref="AA355:AB355"/>
    <mergeCell ref="AC355:AD355"/>
    <mergeCell ref="AE355:AF355"/>
    <mergeCell ref="AG355:AH355"/>
    <mergeCell ref="AI355:AJ355"/>
    <mergeCell ref="AK355:AL355"/>
    <mergeCell ref="AM355:AN355"/>
    <mergeCell ref="AO355:AP355"/>
    <mergeCell ref="AQ355:AR355"/>
    <mergeCell ref="AS355:AT355"/>
    <mergeCell ref="BI355:BJ355"/>
    <mergeCell ref="BK355:BL355"/>
    <mergeCell ref="BM355:BN355"/>
    <mergeCell ref="BO355:BP355"/>
    <mergeCell ref="BM358:BN358"/>
    <mergeCell ref="BO358:BP358"/>
    <mergeCell ref="BI358:BJ358"/>
    <mergeCell ref="BK358:BL358"/>
    <mergeCell ref="BI357:BJ357"/>
    <mergeCell ref="BK357:BL357"/>
    <mergeCell ref="BM357:BN357"/>
    <mergeCell ref="BO357:BP357"/>
    <mergeCell ref="U358:V358"/>
    <mergeCell ref="W358:X358"/>
    <mergeCell ref="Y358:Z358"/>
    <mergeCell ref="AA358:AB358"/>
    <mergeCell ref="AC358:AD358"/>
    <mergeCell ref="AE358:AF358"/>
    <mergeCell ref="AU357:AV357"/>
    <mergeCell ref="AW357:AX357"/>
    <mergeCell ref="AY357:AZ357"/>
    <mergeCell ref="BA357:BB357"/>
    <mergeCell ref="BC357:BD357"/>
    <mergeCell ref="BE357:BF357"/>
    <mergeCell ref="BG357:BH357"/>
    <mergeCell ref="BO354:BP354"/>
    <mergeCell ref="AU354:AV354"/>
    <mergeCell ref="AW354:AX354"/>
    <mergeCell ref="AY354:AZ354"/>
    <mergeCell ref="BA354:BB354"/>
    <mergeCell ref="BC354:BD354"/>
    <mergeCell ref="BE354:BF354"/>
    <mergeCell ref="BG354:BH354"/>
    <mergeCell ref="E354:F354"/>
    <mergeCell ref="G354:H354"/>
    <mergeCell ref="I354:J354"/>
    <mergeCell ref="K354:L354"/>
    <mergeCell ref="M354:N354"/>
    <mergeCell ref="O354:P354"/>
    <mergeCell ref="Q354:R354"/>
    <mergeCell ref="BM360:BN360"/>
    <mergeCell ref="BO360:BP360"/>
    <mergeCell ref="AY360:AZ360"/>
    <mergeCell ref="BA360:BB360"/>
    <mergeCell ref="BC360:BD360"/>
    <mergeCell ref="BE360:BF360"/>
    <mergeCell ref="BG360:BH360"/>
    <mergeCell ref="BI360:BJ360"/>
    <mergeCell ref="BK360:BL360"/>
    <mergeCell ref="S359:T359"/>
    <mergeCell ref="U359:V359"/>
    <mergeCell ref="W359:X359"/>
    <mergeCell ref="Y359:Z359"/>
    <mergeCell ref="AA359:AB359"/>
    <mergeCell ref="AC359:AD359"/>
    <mergeCell ref="AE359:AF359"/>
    <mergeCell ref="AG359:AH359"/>
    <mergeCell ref="AI359:AJ359"/>
    <mergeCell ref="AK359:AL359"/>
    <mergeCell ref="AM359:AN359"/>
    <mergeCell ref="AO359:AP359"/>
    <mergeCell ref="AQ359:AR359"/>
    <mergeCell ref="AS359:AT359"/>
    <mergeCell ref="BI359:BJ359"/>
    <mergeCell ref="BK359:BL359"/>
    <mergeCell ref="BM359:BN359"/>
    <mergeCell ref="BO359:BP359"/>
    <mergeCell ref="E359:F359"/>
    <mergeCell ref="G359:H359"/>
    <mergeCell ref="I359:J359"/>
    <mergeCell ref="K359:L359"/>
    <mergeCell ref="M359:N359"/>
    <mergeCell ref="O359:P359"/>
    <mergeCell ref="Q359:R359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Z360"/>
    <mergeCell ref="AA360:AB360"/>
    <mergeCell ref="AC360:AD360"/>
    <mergeCell ref="AE360:AF360"/>
    <mergeCell ref="AU359:AV359"/>
    <mergeCell ref="E351:F351"/>
    <mergeCell ref="G351:H351"/>
    <mergeCell ref="I351:J351"/>
    <mergeCell ref="K351:L351"/>
    <mergeCell ref="M351:N351"/>
    <mergeCell ref="O351:P351"/>
    <mergeCell ref="Q351:R351"/>
    <mergeCell ref="AU353:AV353"/>
    <mergeCell ref="AW353:AX353"/>
    <mergeCell ref="AG353:AH353"/>
    <mergeCell ref="AI353:AJ353"/>
    <mergeCell ref="AK353:AL353"/>
    <mergeCell ref="AM353:AN353"/>
    <mergeCell ref="AO353:AP353"/>
    <mergeCell ref="AQ353:AR353"/>
    <mergeCell ref="AS353:AT353"/>
    <mergeCell ref="S354:T354"/>
    <mergeCell ref="U354:V354"/>
    <mergeCell ref="W354:X354"/>
    <mergeCell ref="Y354:Z354"/>
    <mergeCell ref="AA354:AB354"/>
    <mergeCell ref="AC354:AD354"/>
    <mergeCell ref="AE354:AF354"/>
    <mergeCell ref="AG354:AH354"/>
    <mergeCell ref="AI354:AJ354"/>
    <mergeCell ref="AK354:AL354"/>
    <mergeCell ref="AM354:AN354"/>
    <mergeCell ref="AO354:AP354"/>
    <mergeCell ref="AQ354:AR354"/>
    <mergeCell ref="AS354:AT354"/>
    <mergeCell ref="BI354:BJ354"/>
    <mergeCell ref="BK354:BL354"/>
    <mergeCell ref="BM354:BN354"/>
    <mergeCell ref="E348:F348"/>
    <mergeCell ref="G348:H348"/>
    <mergeCell ref="I348:J348"/>
    <mergeCell ref="K348:L348"/>
    <mergeCell ref="M348:N348"/>
    <mergeCell ref="O348:P348"/>
    <mergeCell ref="Q348:R348"/>
    <mergeCell ref="S349:T349"/>
    <mergeCell ref="U349:V349"/>
    <mergeCell ref="W349:X349"/>
    <mergeCell ref="Y349:Z349"/>
    <mergeCell ref="AA349:AB349"/>
    <mergeCell ref="AC349:AD349"/>
    <mergeCell ref="AE349:AF349"/>
    <mergeCell ref="AU348:AV348"/>
    <mergeCell ref="AW348:AX348"/>
    <mergeCell ref="AY348:AZ348"/>
    <mergeCell ref="BA348:BB348"/>
    <mergeCell ref="BC348:BD348"/>
    <mergeCell ref="BE348:BF348"/>
    <mergeCell ref="BG348:BH348"/>
    <mergeCell ref="E349:F349"/>
    <mergeCell ref="G349:H349"/>
    <mergeCell ref="I349:J349"/>
    <mergeCell ref="K349:L349"/>
    <mergeCell ref="M349:N349"/>
    <mergeCell ref="O349:P349"/>
    <mergeCell ref="Q349:R349"/>
    <mergeCell ref="AU351:AV351"/>
    <mergeCell ref="AW351:AX351"/>
    <mergeCell ref="AG351:AH351"/>
    <mergeCell ref="AI351:AJ351"/>
    <mergeCell ref="AK351:AL351"/>
    <mergeCell ref="AM351:AN351"/>
    <mergeCell ref="AO351:AP351"/>
    <mergeCell ref="AQ351:AR351"/>
    <mergeCell ref="AS351:AT351"/>
    <mergeCell ref="AY351:AZ351"/>
    <mergeCell ref="BA351:BB351"/>
    <mergeCell ref="BC351:BD351"/>
    <mergeCell ref="BE351:BF351"/>
    <mergeCell ref="BG351:BH351"/>
    <mergeCell ref="S350:T350"/>
    <mergeCell ref="U350:V350"/>
    <mergeCell ref="W350:X350"/>
    <mergeCell ref="Y350:Z350"/>
    <mergeCell ref="AA350:AB350"/>
    <mergeCell ref="AC350:AD350"/>
    <mergeCell ref="AE350:AF350"/>
    <mergeCell ref="AG350:AH350"/>
    <mergeCell ref="AI350:AJ350"/>
    <mergeCell ref="AK350:AL350"/>
    <mergeCell ref="AM350:AN350"/>
    <mergeCell ref="AO350:AP350"/>
    <mergeCell ref="AQ350:AR350"/>
    <mergeCell ref="AS350:AT350"/>
    <mergeCell ref="E350:F350"/>
    <mergeCell ref="G350:H350"/>
    <mergeCell ref="I350:J350"/>
    <mergeCell ref="K350:L350"/>
    <mergeCell ref="M350:N350"/>
    <mergeCell ref="O350:P350"/>
    <mergeCell ref="Q350:R350"/>
    <mergeCell ref="S351:T351"/>
    <mergeCell ref="AW352:AX352"/>
    <mergeCell ref="AY352:AZ352"/>
    <mergeCell ref="BA352:BB352"/>
    <mergeCell ref="BC352:BD352"/>
    <mergeCell ref="BE352:BF352"/>
    <mergeCell ref="BG352:BH352"/>
    <mergeCell ref="AU349:AV349"/>
    <mergeCell ref="AW349:AX349"/>
    <mergeCell ref="AG349:AH349"/>
    <mergeCell ref="AI349:AJ349"/>
    <mergeCell ref="AK349:AL349"/>
    <mergeCell ref="AM349:AN349"/>
    <mergeCell ref="AO349:AP349"/>
    <mergeCell ref="AQ349:AR349"/>
    <mergeCell ref="AS349:AT349"/>
    <mergeCell ref="BM349:BN349"/>
    <mergeCell ref="BO349:BP349"/>
    <mergeCell ref="AY349:AZ349"/>
    <mergeCell ref="BA349:BB349"/>
    <mergeCell ref="BC349:BD349"/>
    <mergeCell ref="BE349:BF349"/>
    <mergeCell ref="BG349:BH349"/>
    <mergeCell ref="BI349:BJ349"/>
    <mergeCell ref="BK349:BL349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I348:AJ348"/>
    <mergeCell ref="AK348:AL348"/>
    <mergeCell ref="AM348:AN348"/>
    <mergeCell ref="AO348:AP348"/>
    <mergeCell ref="AQ348:AR348"/>
    <mergeCell ref="AS348:AT348"/>
    <mergeCell ref="BI348:BJ348"/>
    <mergeCell ref="BK348:BL348"/>
    <mergeCell ref="BM348:BN348"/>
    <mergeCell ref="BO348:BP348"/>
    <mergeCell ref="BM351:BN351"/>
    <mergeCell ref="BO351:BP351"/>
    <mergeCell ref="BI351:BJ351"/>
    <mergeCell ref="BK351:BL351"/>
    <mergeCell ref="BI350:BJ350"/>
    <mergeCell ref="BK350:BL350"/>
    <mergeCell ref="BM350:BN350"/>
    <mergeCell ref="BO350:BP350"/>
    <mergeCell ref="U351:V351"/>
    <mergeCell ref="W351:X351"/>
    <mergeCell ref="Y351:Z351"/>
    <mergeCell ref="AA351:AB351"/>
    <mergeCell ref="AC351:AD351"/>
    <mergeCell ref="AE351:AF351"/>
    <mergeCell ref="AU350:AV350"/>
    <mergeCell ref="AW350:AX350"/>
    <mergeCell ref="AY350:AZ350"/>
    <mergeCell ref="BA350:BB350"/>
    <mergeCell ref="BC350:BD350"/>
    <mergeCell ref="BE350:BF350"/>
    <mergeCell ref="BG350:BH350"/>
    <mergeCell ref="BO347:BP347"/>
    <mergeCell ref="AU347:AV347"/>
    <mergeCell ref="AW347:AX347"/>
    <mergeCell ref="AY347:AZ347"/>
    <mergeCell ref="BA347:BB347"/>
    <mergeCell ref="BC347:BD347"/>
    <mergeCell ref="BE347:BF347"/>
    <mergeCell ref="BG347:BH347"/>
    <mergeCell ref="E347:F347"/>
    <mergeCell ref="G347:H347"/>
    <mergeCell ref="I347:J347"/>
    <mergeCell ref="K347:L347"/>
    <mergeCell ref="M347:N347"/>
    <mergeCell ref="O347:P347"/>
    <mergeCell ref="Q347:R347"/>
    <mergeCell ref="BM353:BN353"/>
    <mergeCell ref="BO353:BP353"/>
    <mergeCell ref="AY353:AZ353"/>
    <mergeCell ref="BA353:BB353"/>
    <mergeCell ref="BC353:BD353"/>
    <mergeCell ref="BE353:BF353"/>
    <mergeCell ref="BG353:BH353"/>
    <mergeCell ref="BI353:BJ353"/>
    <mergeCell ref="BK353:BL353"/>
    <mergeCell ref="S352:T352"/>
    <mergeCell ref="U352:V352"/>
    <mergeCell ref="W352:X352"/>
    <mergeCell ref="Y352:Z352"/>
    <mergeCell ref="AA352:AB352"/>
    <mergeCell ref="AC352:AD352"/>
    <mergeCell ref="AE352:AF352"/>
    <mergeCell ref="AG352:AH352"/>
    <mergeCell ref="AI352:AJ352"/>
    <mergeCell ref="AK352:AL352"/>
    <mergeCell ref="AM352:AN352"/>
    <mergeCell ref="AO352:AP352"/>
    <mergeCell ref="AQ352:AR352"/>
    <mergeCell ref="AS352:AT352"/>
    <mergeCell ref="BI352:BJ352"/>
    <mergeCell ref="BK352:BL352"/>
    <mergeCell ref="BM352:BN352"/>
    <mergeCell ref="BO352:BP352"/>
    <mergeCell ref="E352:F352"/>
    <mergeCell ref="G352:H352"/>
    <mergeCell ref="I352:J352"/>
    <mergeCell ref="K352:L352"/>
    <mergeCell ref="M352:N352"/>
    <mergeCell ref="O352:P352"/>
    <mergeCell ref="Q352:R352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Z353"/>
    <mergeCell ref="AA353:AB353"/>
    <mergeCell ref="AC353:AD353"/>
    <mergeCell ref="AE353:AF353"/>
    <mergeCell ref="AU352:AV352"/>
    <mergeCell ref="E344:F344"/>
    <mergeCell ref="G344:H344"/>
    <mergeCell ref="I344:J344"/>
    <mergeCell ref="K344:L344"/>
    <mergeCell ref="M344:N344"/>
    <mergeCell ref="O344:P344"/>
    <mergeCell ref="Q344:R344"/>
    <mergeCell ref="AU346:AV346"/>
    <mergeCell ref="AW346:AX346"/>
    <mergeCell ref="AG346:AH346"/>
    <mergeCell ref="AI346:AJ346"/>
    <mergeCell ref="AK346:AL346"/>
    <mergeCell ref="AM346:AN346"/>
    <mergeCell ref="AO346:AP346"/>
    <mergeCell ref="AQ346:AR346"/>
    <mergeCell ref="AS346:AT346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I347:AJ347"/>
    <mergeCell ref="AK347:AL347"/>
    <mergeCell ref="AM347:AN347"/>
    <mergeCell ref="AO347:AP347"/>
    <mergeCell ref="AQ347:AR347"/>
    <mergeCell ref="AS347:AT347"/>
    <mergeCell ref="BI347:BJ347"/>
    <mergeCell ref="BK347:BL347"/>
    <mergeCell ref="BM347:BN347"/>
    <mergeCell ref="E341:F341"/>
    <mergeCell ref="G341:H341"/>
    <mergeCell ref="I341:J341"/>
    <mergeCell ref="K341:L341"/>
    <mergeCell ref="M341:N341"/>
    <mergeCell ref="O341:P341"/>
    <mergeCell ref="Q341:R341"/>
    <mergeCell ref="S342:T342"/>
    <mergeCell ref="U342:V342"/>
    <mergeCell ref="W342:X342"/>
    <mergeCell ref="Y342:Z342"/>
    <mergeCell ref="AA342:AB342"/>
    <mergeCell ref="AC342:AD342"/>
    <mergeCell ref="AE342:AF342"/>
    <mergeCell ref="AU341:AV341"/>
    <mergeCell ref="AW341:AX341"/>
    <mergeCell ref="AY341:AZ341"/>
    <mergeCell ref="BA341:BB341"/>
    <mergeCell ref="BC341:BD341"/>
    <mergeCell ref="BE341:BF341"/>
    <mergeCell ref="BG341:BH341"/>
    <mergeCell ref="E342:F342"/>
    <mergeCell ref="G342:H342"/>
    <mergeCell ref="I342:J342"/>
    <mergeCell ref="K342:L342"/>
    <mergeCell ref="M342:N342"/>
    <mergeCell ref="O342:P342"/>
    <mergeCell ref="Q342:R342"/>
    <mergeCell ref="AU344:AV344"/>
    <mergeCell ref="AW344:AX344"/>
    <mergeCell ref="AG344:AH344"/>
    <mergeCell ref="AI344:AJ344"/>
    <mergeCell ref="AK344:AL344"/>
    <mergeCell ref="AM344:AN344"/>
    <mergeCell ref="AO344:AP344"/>
    <mergeCell ref="AQ344:AR344"/>
    <mergeCell ref="AS344:AT344"/>
    <mergeCell ref="AY344:AZ344"/>
    <mergeCell ref="BA344:BB344"/>
    <mergeCell ref="BC344:BD344"/>
    <mergeCell ref="BE344:BF344"/>
    <mergeCell ref="BG344:BH344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I343:AJ343"/>
    <mergeCell ref="AK343:AL343"/>
    <mergeCell ref="AM343:AN343"/>
    <mergeCell ref="AO343:AP343"/>
    <mergeCell ref="AQ343:AR343"/>
    <mergeCell ref="AS343:AT343"/>
    <mergeCell ref="E343:F343"/>
    <mergeCell ref="G343:H343"/>
    <mergeCell ref="I343:J343"/>
    <mergeCell ref="K343:L343"/>
    <mergeCell ref="M343:N343"/>
    <mergeCell ref="O343:P343"/>
    <mergeCell ref="Q343:R343"/>
    <mergeCell ref="S344:T344"/>
    <mergeCell ref="AW345:AX345"/>
    <mergeCell ref="AY345:AZ345"/>
    <mergeCell ref="BA345:BB345"/>
    <mergeCell ref="BC345:BD345"/>
    <mergeCell ref="BE345:BF345"/>
    <mergeCell ref="BG345:BH345"/>
    <mergeCell ref="AU342:AV342"/>
    <mergeCell ref="AW342:AX342"/>
    <mergeCell ref="AG342:AH342"/>
    <mergeCell ref="AI342:AJ342"/>
    <mergeCell ref="AK342:AL342"/>
    <mergeCell ref="AM342:AN342"/>
    <mergeCell ref="AO342:AP342"/>
    <mergeCell ref="AQ342:AR342"/>
    <mergeCell ref="AS342:AT342"/>
    <mergeCell ref="BM342:BN342"/>
    <mergeCell ref="BO342:BP342"/>
    <mergeCell ref="AY342:AZ342"/>
    <mergeCell ref="BA342:BB342"/>
    <mergeCell ref="BC342:BD342"/>
    <mergeCell ref="BE342:BF342"/>
    <mergeCell ref="BG342:BH342"/>
    <mergeCell ref="BI342:BJ342"/>
    <mergeCell ref="BK342:BL342"/>
    <mergeCell ref="S341:T341"/>
    <mergeCell ref="U341:V341"/>
    <mergeCell ref="W341:X341"/>
    <mergeCell ref="Y341:Z341"/>
    <mergeCell ref="AA341:AB341"/>
    <mergeCell ref="AC341:AD341"/>
    <mergeCell ref="AE341:AF341"/>
    <mergeCell ref="AG341:AH341"/>
    <mergeCell ref="AI341:AJ341"/>
    <mergeCell ref="AK341:AL341"/>
    <mergeCell ref="AM341:AN341"/>
    <mergeCell ref="AO341:AP341"/>
    <mergeCell ref="AQ341:AR341"/>
    <mergeCell ref="AS341:AT341"/>
    <mergeCell ref="BI341:BJ341"/>
    <mergeCell ref="BK341:BL341"/>
    <mergeCell ref="BM341:BN341"/>
    <mergeCell ref="BO341:BP341"/>
    <mergeCell ref="BM344:BN344"/>
    <mergeCell ref="BO344:BP344"/>
    <mergeCell ref="BI344:BJ344"/>
    <mergeCell ref="BK344:BL344"/>
    <mergeCell ref="BI343:BJ343"/>
    <mergeCell ref="BK343:BL343"/>
    <mergeCell ref="BM343:BN343"/>
    <mergeCell ref="BO343:BP343"/>
    <mergeCell ref="U344:V344"/>
    <mergeCell ref="W344:X344"/>
    <mergeCell ref="Y344:Z344"/>
    <mergeCell ref="AA344:AB344"/>
    <mergeCell ref="AC344:AD344"/>
    <mergeCell ref="AE344:AF344"/>
    <mergeCell ref="AU343:AV343"/>
    <mergeCell ref="AW343:AX343"/>
    <mergeCell ref="AY343:AZ343"/>
    <mergeCell ref="BA343:BB343"/>
    <mergeCell ref="BC343:BD343"/>
    <mergeCell ref="BE343:BF343"/>
    <mergeCell ref="BG343:BH343"/>
    <mergeCell ref="BO340:BP340"/>
    <mergeCell ref="AU340:AV340"/>
    <mergeCell ref="AW340:AX340"/>
    <mergeCell ref="AY340:AZ340"/>
    <mergeCell ref="BA340:BB340"/>
    <mergeCell ref="BC340:BD340"/>
    <mergeCell ref="BE340:BF340"/>
    <mergeCell ref="BG340:BH340"/>
    <mergeCell ref="E340:F340"/>
    <mergeCell ref="G340:H340"/>
    <mergeCell ref="I340:J340"/>
    <mergeCell ref="K340:L340"/>
    <mergeCell ref="M340:N340"/>
    <mergeCell ref="O340:P340"/>
    <mergeCell ref="Q340:R340"/>
    <mergeCell ref="BM346:BN346"/>
    <mergeCell ref="BO346:BP346"/>
    <mergeCell ref="AY346:AZ346"/>
    <mergeCell ref="BA346:BB346"/>
    <mergeCell ref="BC346:BD346"/>
    <mergeCell ref="BE346:BF346"/>
    <mergeCell ref="BG346:BH346"/>
    <mergeCell ref="BI346:BJ346"/>
    <mergeCell ref="BK346:BL346"/>
    <mergeCell ref="S345:T345"/>
    <mergeCell ref="U345:V345"/>
    <mergeCell ref="W345:X345"/>
    <mergeCell ref="Y345:Z345"/>
    <mergeCell ref="AA345:AB345"/>
    <mergeCell ref="AC345:AD345"/>
    <mergeCell ref="AE345:AF345"/>
    <mergeCell ref="AG345:AH345"/>
    <mergeCell ref="AI345:AJ345"/>
    <mergeCell ref="AK345:AL345"/>
    <mergeCell ref="AM345:AN345"/>
    <mergeCell ref="AO345:AP345"/>
    <mergeCell ref="AQ345:AR345"/>
    <mergeCell ref="AS345:AT345"/>
    <mergeCell ref="BI345:BJ345"/>
    <mergeCell ref="BK345:BL345"/>
    <mergeCell ref="BM345:BN345"/>
    <mergeCell ref="BO345:BP345"/>
    <mergeCell ref="E345:F345"/>
    <mergeCell ref="G345:H345"/>
    <mergeCell ref="I345:J345"/>
    <mergeCell ref="K345:L345"/>
    <mergeCell ref="M345:N345"/>
    <mergeCell ref="O345:P345"/>
    <mergeCell ref="Q345:R345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Z346"/>
    <mergeCell ref="AA346:AB346"/>
    <mergeCell ref="AC346:AD346"/>
    <mergeCell ref="AE346:AF346"/>
    <mergeCell ref="AU345:AV345"/>
    <mergeCell ref="E337:F337"/>
    <mergeCell ref="G337:H337"/>
    <mergeCell ref="I337:J337"/>
    <mergeCell ref="K337:L337"/>
    <mergeCell ref="M337:N337"/>
    <mergeCell ref="O337:P337"/>
    <mergeCell ref="Q337:R337"/>
    <mergeCell ref="AU339:AV339"/>
    <mergeCell ref="AW339:AX339"/>
    <mergeCell ref="AG339:AH339"/>
    <mergeCell ref="AI339:AJ339"/>
    <mergeCell ref="AK339:AL339"/>
    <mergeCell ref="AM339:AN339"/>
    <mergeCell ref="AO339:AP339"/>
    <mergeCell ref="AQ339:AR339"/>
    <mergeCell ref="AS339:AT339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I340:AJ340"/>
    <mergeCell ref="AK340:AL340"/>
    <mergeCell ref="AM340:AN340"/>
    <mergeCell ref="AO340:AP340"/>
    <mergeCell ref="AQ340:AR340"/>
    <mergeCell ref="AS340:AT340"/>
    <mergeCell ref="BI340:BJ340"/>
    <mergeCell ref="BK340:BL340"/>
    <mergeCell ref="BM340:BN340"/>
    <mergeCell ref="E334:F334"/>
    <mergeCell ref="G334:H334"/>
    <mergeCell ref="I334:J334"/>
    <mergeCell ref="K334:L334"/>
    <mergeCell ref="M334:N334"/>
    <mergeCell ref="O334:P334"/>
    <mergeCell ref="Q334:R334"/>
    <mergeCell ref="S335:T335"/>
    <mergeCell ref="U335:V335"/>
    <mergeCell ref="W335:X335"/>
    <mergeCell ref="Y335:Z335"/>
    <mergeCell ref="AA335:AB335"/>
    <mergeCell ref="AC335:AD335"/>
    <mergeCell ref="AE335:AF335"/>
    <mergeCell ref="AU334:AV334"/>
    <mergeCell ref="AW334:AX334"/>
    <mergeCell ref="AY334:AZ334"/>
    <mergeCell ref="BA334:BB334"/>
    <mergeCell ref="BC334:BD334"/>
    <mergeCell ref="BE334:BF334"/>
    <mergeCell ref="BG334:BH334"/>
    <mergeCell ref="E335:F335"/>
    <mergeCell ref="G335:H335"/>
    <mergeCell ref="I335:J335"/>
    <mergeCell ref="K335:L335"/>
    <mergeCell ref="M335:N335"/>
    <mergeCell ref="O335:P335"/>
    <mergeCell ref="Q335:R335"/>
    <mergeCell ref="AU337:AV337"/>
    <mergeCell ref="AW337:AX337"/>
    <mergeCell ref="AG337:AH337"/>
    <mergeCell ref="AI337:AJ337"/>
    <mergeCell ref="AK337:AL337"/>
    <mergeCell ref="AM337:AN337"/>
    <mergeCell ref="AO337:AP337"/>
    <mergeCell ref="AQ337:AR337"/>
    <mergeCell ref="AS337:AT337"/>
    <mergeCell ref="AY337:AZ337"/>
    <mergeCell ref="BA337:BB337"/>
    <mergeCell ref="BC337:BD337"/>
    <mergeCell ref="BE337:BF337"/>
    <mergeCell ref="BG337:BH337"/>
    <mergeCell ref="S336:T336"/>
    <mergeCell ref="U336:V336"/>
    <mergeCell ref="W336:X336"/>
    <mergeCell ref="Y336:Z336"/>
    <mergeCell ref="AA336:AB336"/>
    <mergeCell ref="AC336:AD336"/>
    <mergeCell ref="AE336:AF336"/>
    <mergeCell ref="AG336:AH336"/>
    <mergeCell ref="AI336:AJ336"/>
    <mergeCell ref="AK336:AL336"/>
    <mergeCell ref="AM336:AN336"/>
    <mergeCell ref="AO336:AP336"/>
    <mergeCell ref="AQ336:AR336"/>
    <mergeCell ref="AS336:AT336"/>
    <mergeCell ref="E336:F336"/>
    <mergeCell ref="G336:H336"/>
    <mergeCell ref="I336:J336"/>
    <mergeCell ref="K336:L336"/>
    <mergeCell ref="M336:N336"/>
    <mergeCell ref="O336:P336"/>
    <mergeCell ref="Q336:R336"/>
    <mergeCell ref="S337:T337"/>
    <mergeCell ref="AW338:AX338"/>
    <mergeCell ref="AY338:AZ338"/>
    <mergeCell ref="BA338:BB338"/>
    <mergeCell ref="BC338:BD338"/>
    <mergeCell ref="BE338:BF338"/>
    <mergeCell ref="BG338:BH338"/>
    <mergeCell ref="AU335:AV335"/>
    <mergeCell ref="AW335:AX335"/>
    <mergeCell ref="AG335:AH335"/>
    <mergeCell ref="AI335:AJ335"/>
    <mergeCell ref="AK335:AL335"/>
    <mergeCell ref="AM335:AN335"/>
    <mergeCell ref="AO335:AP335"/>
    <mergeCell ref="AQ335:AR335"/>
    <mergeCell ref="AS335:AT335"/>
    <mergeCell ref="BM335:BN335"/>
    <mergeCell ref="BO335:BP335"/>
    <mergeCell ref="AY335:AZ335"/>
    <mergeCell ref="BA335:BB335"/>
    <mergeCell ref="BC335:BD335"/>
    <mergeCell ref="BE335:BF335"/>
    <mergeCell ref="BG335:BH335"/>
    <mergeCell ref="BI335:BJ335"/>
    <mergeCell ref="BK335:BL335"/>
    <mergeCell ref="S334:T334"/>
    <mergeCell ref="U334:V334"/>
    <mergeCell ref="W334:X334"/>
    <mergeCell ref="Y334:Z334"/>
    <mergeCell ref="AA334:AB334"/>
    <mergeCell ref="AC334:AD334"/>
    <mergeCell ref="AE334:AF334"/>
    <mergeCell ref="AG334:AH334"/>
    <mergeCell ref="AI334:AJ334"/>
    <mergeCell ref="AK334:AL334"/>
    <mergeCell ref="AM334:AN334"/>
    <mergeCell ref="AO334:AP334"/>
    <mergeCell ref="AQ334:AR334"/>
    <mergeCell ref="AS334:AT334"/>
    <mergeCell ref="BI334:BJ334"/>
    <mergeCell ref="BK334:BL334"/>
    <mergeCell ref="BM334:BN334"/>
    <mergeCell ref="BO334:BP334"/>
    <mergeCell ref="BM337:BN337"/>
    <mergeCell ref="BO337:BP337"/>
    <mergeCell ref="BI337:BJ337"/>
    <mergeCell ref="BK337:BL337"/>
    <mergeCell ref="BI336:BJ336"/>
    <mergeCell ref="BK336:BL336"/>
    <mergeCell ref="BM336:BN336"/>
    <mergeCell ref="BO336:BP336"/>
    <mergeCell ref="U337:V337"/>
    <mergeCell ref="W337:X337"/>
    <mergeCell ref="Y337:Z337"/>
    <mergeCell ref="AA337:AB337"/>
    <mergeCell ref="AC337:AD337"/>
    <mergeCell ref="AE337:AF337"/>
    <mergeCell ref="AU336:AV336"/>
    <mergeCell ref="AW336:AX336"/>
    <mergeCell ref="AY336:AZ336"/>
    <mergeCell ref="BA336:BB336"/>
    <mergeCell ref="BC336:BD336"/>
    <mergeCell ref="BE336:BF336"/>
    <mergeCell ref="BG336:BH336"/>
    <mergeCell ref="BO333:BP333"/>
    <mergeCell ref="AU333:AV333"/>
    <mergeCell ref="AW333:AX333"/>
    <mergeCell ref="AY333:AZ333"/>
    <mergeCell ref="BA333:BB333"/>
    <mergeCell ref="BC333:BD333"/>
    <mergeCell ref="BE333:BF333"/>
    <mergeCell ref="BG333:BH333"/>
    <mergeCell ref="E333:F333"/>
    <mergeCell ref="G333:H333"/>
    <mergeCell ref="I333:J333"/>
    <mergeCell ref="K333:L333"/>
    <mergeCell ref="M333:N333"/>
    <mergeCell ref="O333:P333"/>
    <mergeCell ref="Q333:R333"/>
    <mergeCell ref="BM339:BN339"/>
    <mergeCell ref="BO339:BP339"/>
    <mergeCell ref="AY339:AZ339"/>
    <mergeCell ref="BA339:BB339"/>
    <mergeCell ref="BC339:BD339"/>
    <mergeCell ref="BE339:BF339"/>
    <mergeCell ref="BG339:BH339"/>
    <mergeCell ref="BI339:BJ339"/>
    <mergeCell ref="BK339:BL339"/>
    <mergeCell ref="S338:T338"/>
    <mergeCell ref="U338:V338"/>
    <mergeCell ref="W338:X338"/>
    <mergeCell ref="Y338:Z338"/>
    <mergeCell ref="AA338:AB338"/>
    <mergeCell ref="AC338:AD338"/>
    <mergeCell ref="AE338:AF338"/>
    <mergeCell ref="AG338:AH338"/>
    <mergeCell ref="AI338:AJ338"/>
    <mergeCell ref="AK338:AL338"/>
    <mergeCell ref="AM338:AN338"/>
    <mergeCell ref="AO338:AP338"/>
    <mergeCell ref="AQ338:AR338"/>
    <mergeCell ref="AS338:AT338"/>
    <mergeCell ref="BI338:BJ338"/>
    <mergeCell ref="BK338:BL338"/>
    <mergeCell ref="BM338:BN338"/>
    <mergeCell ref="BO338:BP338"/>
    <mergeCell ref="E338:F338"/>
    <mergeCell ref="G338:H338"/>
    <mergeCell ref="I338:J338"/>
    <mergeCell ref="K338:L338"/>
    <mergeCell ref="M338:N338"/>
    <mergeCell ref="O338:P338"/>
    <mergeCell ref="Q338:R338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Z339"/>
    <mergeCell ref="AA339:AB339"/>
    <mergeCell ref="AC339:AD339"/>
    <mergeCell ref="AE339:AF339"/>
    <mergeCell ref="AU338:AV338"/>
    <mergeCell ref="E330:F330"/>
    <mergeCell ref="G330:H330"/>
    <mergeCell ref="I330:J330"/>
    <mergeCell ref="K330:L330"/>
    <mergeCell ref="M330:N330"/>
    <mergeCell ref="O330:P330"/>
    <mergeCell ref="Q330:R330"/>
    <mergeCell ref="AU332:AV332"/>
    <mergeCell ref="AW332:AX332"/>
    <mergeCell ref="AG332:AH332"/>
    <mergeCell ref="AI332:AJ332"/>
    <mergeCell ref="AK332:AL332"/>
    <mergeCell ref="AM332:AN332"/>
    <mergeCell ref="AO332:AP332"/>
    <mergeCell ref="AQ332:AR332"/>
    <mergeCell ref="AS332:AT332"/>
    <mergeCell ref="S333:T333"/>
    <mergeCell ref="U333:V333"/>
    <mergeCell ref="W333:X333"/>
    <mergeCell ref="Y333:Z333"/>
    <mergeCell ref="AA333:AB333"/>
    <mergeCell ref="AC333:AD333"/>
    <mergeCell ref="AE333:AF333"/>
    <mergeCell ref="AG333:AH333"/>
    <mergeCell ref="AI333:AJ333"/>
    <mergeCell ref="AK333:AL333"/>
    <mergeCell ref="AM333:AN333"/>
    <mergeCell ref="AO333:AP333"/>
    <mergeCell ref="AQ333:AR333"/>
    <mergeCell ref="AS333:AT333"/>
    <mergeCell ref="BI333:BJ333"/>
    <mergeCell ref="BK333:BL333"/>
    <mergeCell ref="BM333:BN333"/>
    <mergeCell ref="E327:F327"/>
    <mergeCell ref="G327:H327"/>
    <mergeCell ref="I327:J327"/>
    <mergeCell ref="K327:L327"/>
    <mergeCell ref="M327:N327"/>
    <mergeCell ref="O327:P327"/>
    <mergeCell ref="Q327:R327"/>
    <mergeCell ref="S328:T328"/>
    <mergeCell ref="U328:V328"/>
    <mergeCell ref="W328:X328"/>
    <mergeCell ref="Y328:Z328"/>
    <mergeCell ref="AA328:AB328"/>
    <mergeCell ref="AC328:AD328"/>
    <mergeCell ref="AE328:AF328"/>
    <mergeCell ref="AU327:AV327"/>
    <mergeCell ref="AW327:AX327"/>
    <mergeCell ref="AY327:AZ327"/>
    <mergeCell ref="BA327:BB327"/>
    <mergeCell ref="BC327:BD327"/>
    <mergeCell ref="BE327:BF327"/>
    <mergeCell ref="BG327:BH327"/>
    <mergeCell ref="E328:F328"/>
    <mergeCell ref="G328:H328"/>
    <mergeCell ref="I328:J328"/>
    <mergeCell ref="K328:L328"/>
    <mergeCell ref="M328:N328"/>
    <mergeCell ref="O328:P328"/>
    <mergeCell ref="Q328:R328"/>
    <mergeCell ref="AU330:AV330"/>
    <mergeCell ref="AW330:AX330"/>
    <mergeCell ref="AG330:AH330"/>
    <mergeCell ref="AI330:AJ330"/>
    <mergeCell ref="AK330:AL330"/>
    <mergeCell ref="AM330:AN330"/>
    <mergeCell ref="AO330:AP330"/>
    <mergeCell ref="AQ330:AR330"/>
    <mergeCell ref="AS330:AT330"/>
    <mergeCell ref="AY330:AZ330"/>
    <mergeCell ref="BA330:BB330"/>
    <mergeCell ref="BC330:BD330"/>
    <mergeCell ref="BE330:BF330"/>
    <mergeCell ref="BG330:BH330"/>
    <mergeCell ref="S329:T329"/>
    <mergeCell ref="U329:V329"/>
    <mergeCell ref="W329:X329"/>
    <mergeCell ref="Y329:Z329"/>
    <mergeCell ref="AA329:AB329"/>
    <mergeCell ref="AC329:AD329"/>
    <mergeCell ref="AE329:AF329"/>
    <mergeCell ref="AG329:AH329"/>
    <mergeCell ref="AI329:AJ329"/>
    <mergeCell ref="AK329:AL329"/>
    <mergeCell ref="AM329:AN329"/>
    <mergeCell ref="AO329:AP329"/>
    <mergeCell ref="AQ329:AR329"/>
    <mergeCell ref="AS329:AT329"/>
    <mergeCell ref="E329:F329"/>
    <mergeCell ref="G329:H329"/>
    <mergeCell ref="I329:J329"/>
    <mergeCell ref="K329:L329"/>
    <mergeCell ref="M329:N329"/>
    <mergeCell ref="O329:P329"/>
    <mergeCell ref="Q329:R329"/>
    <mergeCell ref="S330:T330"/>
    <mergeCell ref="AW331:AX331"/>
    <mergeCell ref="AY331:AZ331"/>
    <mergeCell ref="BA331:BB331"/>
    <mergeCell ref="BC331:BD331"/>
    <mergeCell ref="BE331:BF331"/>
    <mergeCell ref="BG331:BH331"/>
    <mergeCell ref="AU328:AV328"/>
    <mergeCell ref="AW328:AX328"/>
    <mergeCell ref="AG328:AH328"/>
    <mergeCell ref="AI328:AJ328"/>
    <mergeCell ref="AK328:AL328"/>
    <mergeCell ref="AM328:AN328"/>
    <mergeCell ref="AO328:AP328"/>
    <mergeCell ref="AQ328:AR328"/>
    <mergeCell ref="AS328:AT328"/>
    <mergeCell ref="BM328:BN328"/>
    <mergeCell ref="BO328:BP328"/>
    <mergeCell ref="AY328:AZ328"/>
    <mergeCell ref="BA328:BB328"/>
    <mergeCell ref="BC328:BD328"/>
    <mergeCell ref="BE328:BF328"/>
    <mergeCell ref="BG328:BH328"/>
    <mergeCell ref="BI328:BJ328"/>
    <mergeCell ref="BK328:BL328"/>
    <mergeCell ref="S327:T327"/>
    <mergeCell ref="U327:V327"/>
    <mergeCell ref="W327:X327"/>
    <mergeCell ref="Y327:Z327"/>
    <mergeCell ref="AA327:AB327"/>
    <mergeCell ref="AC327:AD327"/>
    <mergeCell ref="AE327:AF327"/>
    <mergeCell ref="AG327:AH327"/>
    <mergeCell ref="AI327:AJ327"/>
    <mergeCell ref="AK327:AL327"/>
    <mergeCell ref="AM327:AN327"/>
    <mergeCell ref="AO327:AP327"/>
    <mergeCell ref="AQ327:AR327"/>
    <mergeCell ref="AS327:AT327"/>
    <mergeCell ref="BI327:BJ327"/>
    <mergeCell ref="BK327:BL327"/>
    <mergeCell ref="BM327:BN327"/>
    <mergeCell ref="BO327:BP327"/>
    <mergeCell ref="BM330:BN330"/>
    <mergeCell ref="BO330:BP330"/>
    <mergeCell ref="BI330:BJ330"/>
    <mergeCell ref="BK330:BL330"/>
    <mergeCell ref="BI329:BJ329"/>
    <mergeCell ref="BK329:BL329"/>
    <mergeCell ref="BM329:BN329"/>
    <mergeCell ref="BO329:BP329"/>
    <mergeCell ref="U330:V330"/>
    <mergeCell ref="W330:X330"/>
    <mergeCell ref="Y330:Z330"/>
    <mergeCell ref="AA330:AB330"/>
    <mergeCell ref="AC330:AD330"/>
    <mergeCell ref="AE330:AF330"/>
    <mergeCell ref="AU329:AV329"/>
    <mergeCell ref="AW329:AX329"/>
    <mergeCell ref="AY329:AZ329"/>
    <mergeCell ref="BA329:BB329"/>
    <mergeCell ref="BC329:BD329"/>
    <mergeCell ref="BE329:BF329"/>
    <mergeCell ref="BG329:BH329"/>
    <mergeCell ref="BO326:BP326"/>
    <mergeCell ref="AU326:AV326"/>
    <mergeCell ref="AW326:AX326"/>
    <mergeCell ref="AY326:AZ326"/>
    <mergeCell ref="BA326:BB326"/>
    <mergeCell ref="BC326:BD326"/>
    <mergeCell ref="BE326:BF326"/>
    <mergeCell ref="BG326:BH326"/>
    <mergeCell ref="E326:F326"/>
    <mergeCell ref="G326:H326"/>
    <mergeCell ref="I326:J326"/>
    <mergeCell ref="K326:L326"/>
    <mergeCell ref="M326:N326"/>
    <mergeCell ref="O326:P326"/>
    <mergeCell ref="Q326:R326"/>
    <mergeCell ref="BM332:BN332"/>
    <mergeCell ref="BO332:BP332"/>
    <mergeCell ref="AY332:AZ332"/>
    <mergeCell ref="BA332:BB332"/>
    <mergeCell ref="BC332:BD332"/>
    <mergeCell ref="BE332:BF332"/>
    <mergeCell ref="BG332:BH332"/>
    <mergeCell ref="BI332:BJ332"/>
    <mergeCell ref="BK332:BL332"/>
    <mergeCell ref="S331:T331"/>
    <mergeCell ref="U331:V331"/>
    <mergeCell ref="W331:X331"/>
    <mergeCell ref="Y331:Z331"/>
    <mergeCell ref="AA331:AB331"/>
    <mergeCell ref="AC331:AD331"/>
    <mergeCell ref="AE331:AF331"/>
    <mergeCell ref="AG331:AH331"/>
    <mergeCell ref="AI331:AJ331"/>
    <mergeCell ref="AK331:AL331"/>
    <mergeCell ref="AM331:AN331"/>
    <mergeCell ref="AO331:AP331"/>
    <mergeCell ref="AQ331:AR331"/>
    <mergeCell ref="AS331:AT331"/>
    <mergeCell ref="BI331:BJ331"/>
    <mergeCell ref="BK331:BL331"/>
    <mergeCell ref="BM331:BN331"/>
    <mergeCell ref="BO331:BP331"/>
    <mergeCell ref="E331:F331"/>
    <mergeCell ref="G331:H331"/>
    <mergeCell ref="I331:J331"/>
    <mergeCell ref="K331:L331"/>
    <mergeCell ref="M331:N331"/>
    <mergeCell ref="O331:P331"/>
    <mergeCell ref="Q331:R331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Z332"/>
    <mergeCell ref="AA332:AB332"/>
    <mergeCell ref="AC332:AD332"/>
    <mergeCell ref="AE332:AF332"/>
    <mergeCell ref="AU331:AV331"/>
    <mergeCell ref="E323:F323"/>
    <mergeCell ref="G323:H323"/>
    <mergeCell ref="I323:J323"/>
    <mergeCell ref="K323:L323"/>
    <mergeCell ref="M323:N323"/>
    <mergeCell ref="O323:P323"/>
    <mergeCell ref="Q323:R323"/>
    <mergeCell ref="AU325:AV325"/>
    <mergeCell ref="AW325:AX325"/>
    <mergeCell ref="AG325:AH325"/>
    <mergeCell ref="AI325:AJ325"/>
    <mergeCell ref="AK325:AL325"/>
    <mergeCell ref="AM325:AN325"/>
    <mergeCell ref="AO325:AP325"/>
    <mergeCell ref="AQ325:AR325"/>
    <mergeCell ref="AS325:AT325"/>
    <mergeCell ref="S326:T326"/>
    <mergeCell ref="U326:V326"/>
    <mergeCell ref="W326:X326"/>
    <mergeCell ref="Y326:Z326"/>
    <mergeCell ref="AA326:AB326"/>
    <mergeCell ref="AC326:AD326"/>
    <mergeCell ref="AE326:AF326"/>
    <mergeCell ref="AG326:AH326"/>
    <mergeCell ref="AI326:AJ326"/>
    <mergeCell ref="AK326:AL326"/>
    <mergeCell ref="AM326:AN326"/>
    <mergeCell ref="AO326:AP326"/>
    <mergeCell ref="AQ326:AR326"/>
    <mergeCell ref="AS326:AT326"/>
    <mergeCell ref="BI326:BJ326"/>
    <mergeCell ref="BK326:BL326"/>
    <mergeCell ref="BM326:BN326"/>
    <mergeCell ref="E320:F320"/>
    <mergeCell ref="G320:H320"/>
    <mergeCell ref="I320:J320"/>
    <mergeCell ref="K320:L320"/>
    <mergeCell ref="M320:N320"/>
    <mergeCell ref="O320:P320"/>
    <mergeCell ref="Q320:R320"/>
    <mergeCell ref="S321:T321"/>
    <mergeCell ref="U321:V321"/>
    <mergeCell ref="W321:X321"/>
    <mergeCell ref="Y321:Z321"/>
    <mergeCell ref="AA321:AB321"/>
    <mergeCell ref="AC321:AD321"/>
    <mergeCell ref="AE321:AF321"/>
    <mergeCell ref="AU320:AV320"/>
    <mergeCell ref="AW320:AX320"/>
    <mergeCell ref="AY320:AZ320"/>
    <mergeCell ref="BA320:BB320"/>
    <mergeCell ref="BC320:BD320"/>
    <mergeCell ref="BE320:BF320"/>
    <mergeCell ref="BG320:BH320"/>
    <mergeCell ref="E321:F321"/>
    <mergeCell ref="G321:H321"/>
    <mergeCell ref="I321:J321"/>
    <mergeCell ref="K321:L321"/>
    <mergeCell ref="M321:N321"/>
    <mergeCell ref="O321:P321"/>
    <mergeCell ref="Q321:R321"/>
    <mergeCell ref="AU323:AV323"/>
    <mergeCell ref="AW323:AX323"/>
    <mergeCell ref="AG323:AH323"/>
    <mergeCell ref="AI323:AJ323"/>
    <mergeCell ref="AK323:AL323"/>
    <mergeCell ref="AM323:AN323"/>
    <mergeCell ref="AO323:AP323"/>
    <mergeCell ref="AQ323:AR323"/>
    <mergeCell ref="AS323:AT323"/>
    <mergeCell ref="AY323:AZ323"/>
    <mergeCell ref="BA323:BB323"/>
    <mergeCell ref="BC323:BD323"/>
    <mergeCell ref="BE323:BF323"/>
    <mergeCell ref="BG323:BH323"/>
    <mergeCell ref="S322:T322"/>
    <mergeCell ref="U322:V322"/>
    <mergeCell ref="W322:X322"/>
    <mergeCell ref="Y322:Z322"/>
    <mergeCell ref="AA322:AB322"/>
    <mergeCell ref="AC322:AD322"/>
    <mergeCell ref="AE322:AF322"/>
    <mergeCell ref="AG322:AH322"/>
    <mergeCell ref="AI322:AJ322"/>
    <mergeCell ref="AK322:AL322"/>
    <mergeCell ref="AM322:AN322"/>
    <mergeCell ref="AO322:AP322"/>
    <mergeCell ref="AQ322:AR322"/>
    <mergeCell ref="AS322:AT322"/>
    <mergeCell ref="E322:F322"/>
    <mergeCell ref="G322:H322"/>
    <mergeCell ref="I322:J322"/>
    <mergeCell ref="K322:L322"/>
    <mergeCell ref="M322:N322"/>
    <mergeCell ref="O322:P322"/>
    <mergeCell ref="Q322:R322"/>
    <mergeCell ref="S323:T323"/>
    <mergeCell ref="AW324:AX324"/>
    <mergeCell ref="AY324:AZ324"/>
    <mergeCell ref="BA324:BB324"/>
    <mergeCell ref="BC324:BD324"/>
    <mergeCell ref="BE324:BF324"/>
    <mergeCell ref="BG324:BH324"/>
    <mergeCell ref="AU321:AV321"/>
    <mergeCell ref="AW321:AX321"/>
    <mergeCell ref="AG321:AH321"/>
    <mergeCell ref="AI321:AJ321"/>
    <mergeCell ref="AK321:AL321"/>
    <mergeCell ref="AM321:AN321"/>
    <mergeCell ref="AO321:AP321"/>
    <mergeCell ref="AQ321:AR321"/>
    <mergeCell ref="AS321:AT321"/>
    <mergeCell ref="BM321:BN321"/>
    <mergeCell ref="BO321:BP321"/>
    <mergeCell ref="AY321:AZ321"/>
    <mergeCell ref="BA321:BB321"/>
    <mergeCell ref="BC321:BD321"/>
    <mergeCell ref="BE321:BF321"/>
    <mergeCell ref="BG321:BH321"/>
    <mergeCell ref="BI321:BJ321"/>
    <mergeCell ref="BK321:BL321"/>
    <mergeCell ref="S320:T320"/>
    <mergeCell ref="U320:V320"/>
    <mergeCell ref="W320:X320"/>
    <mergeCell ref="Y320:Z320"/>
    <mergeCell ref="AA320:AB320"/>
    <mergeCell ref="AC320:AD320"/>
    <mergeCell ref="AE320:AF320"/>
    <mergeCell ref="AG320:AH320"/>
    <mergeCell ref="AI320:AJ320"/>
    <mergeCell ref="AK320:AL320"/>
    <mergeCell ref="AM320:AN320"/>
    <mergeCell ref="AO320:AP320"/>
    <mergeCell ref="AQ320:AR320"/>
    <mergeCell ref="AS320:AT320"/>
    <mergeCell ref="BI320:BJ320"/>
    <mergeCell ref="BK320:BL320"/>
    <mergeCell ref="BM320:BN320"/>
    <mergeCell ref="BO320:BP320"/>
    <mergeCell ref="BM323:BN323"/>
    <mergeCell ref="BO323:BP323"/>
    <mergeCell ref="BI323:BJ323"/>
    <mergeCell ref="BK323:BL323"/>
    <mergeCell ref="BI322:BJ322"/>
    <mergeCell ref="BK322:BL322"/>
    <mergeCell ref="BM322:BN322"/>
    <mergeCell ref="BO322:BP322"/>
    <mergeCell ref="U323:V323"/>
    <mergeCell ref="W323:X323"/>
    <mergeCell ref="Y323:Z323"/>
    <mergeCell ref="AA323:AB323"/>
    <mergeCell ref="AC323:AD323"/>
    <mergeCell ref="AE323:AF323"/>
    <mergeCell ref="AU322:AV322"/>
    <mergeCell ref="AW322:AX322"/>
    <mergeCell ref="AY322:AZ322"/>
    <mergeCell ref="BA322:BB322"/>
    <mergeCell ref="BC322:BD322"/>
    <mergeCell ref="BE322:BF322"/>
    <mergeCell ref="BG322:BH322"/>
    <mergeCell ref="BO319:BP319"/>
    <mergeCell ref="AU319:AV319"/>
    <mergeCell ref="AW319:AX319"/>
    <mergeCell ref="AY319:AZ319"/>
    <mergeCell ref="BA319:BB319"/>
    <mergeCell ref="BC319:BD319"/>
    <mergeCell ref="BE319:BF319"/>
    <mergeCell ref="BG319:BH319"/>
    <mergeCell ref="E319:F319"/>
    <mergeCell ref="G319:H319"/>
    <mergeCell ref="I319:J319"/>
    <mergeCell ref="K319:L319"/>
    <mergeCell ref="M319:N319"/>
    <mergeCell ref="O319:P319"/>
    <mergeCell ref="Q319:R319"/>
    <mergeCell ref="BM325:BN325"/>
    <mergeCell ref="BO325:BP325"/>
    <mergeCell ref="AY325:AZ325"/>
    <mergeCell ref="BA325:BB325"/>
    <mergeCell ref="BC325:BD325"/>
    <mergeCell ref="BE325:BF325"/>
    <mergeCell ref="BG325:BH325"/>
    <mergeCell ref="BI325:BJ325"/>
    <mergeCell ref="BK325:BL325"/>
    <mergeCell ref="S324:T324"/>
    <mergeCell ref="U324:V324"/>
    <mergeCell ref="W324:X324"/>
    <mergeCell ref="Y324:Z324"/>
    <mergeCell ref="AA324:AB324"/>
    <mergeCell ref="AC324:AD324"/>
    <mergeCell ref="AE324:AF324"/>
    <mergeCell ref="AG324:AH324"/>
    <mergeCell ref="AI324:AJ324"/>
    <mergeCell ref="AK324:AL324"/>
    <mergeCell ref="AM324:AN324"/>
    <mergeCell ref="AO324:AP324"/>
    <mergeCell ref="AQ324:AR324"/>
    <mergeCell ref="AS324:AT324"/>
    <mergeCell ref="BI324:BJ324"/>
    <mergeCell ref="BK324:BL324"/>
    <mergeCell ref="BM324:BN324"/>
    <mergeCell ref="BO324:BP324"/>
    <mergeCell ref="E324:F324"/>
    <mergeCell ref="G324:H324"/>
    <mergeCell ref="I324:J324"/>
    <mergeCell ref="K324:L324"/>
    <mergeCell ref="M324:N324"/>
    <mergeCell ref="O324:P324"/>
    <mergeCell ref="Q324:R324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Z325"/>
    <mergeCell ref="AA325:AB325"/>
    <mergeCell ref="AC325:AD325"/>
    <mergeCell ref="AE325:AF325"/>
    <mergeCell ref="AU324:AV324"/>
    <mergeCell ref="E316:F316"/>
    <mergeCell ref="G316:H316"/>
    <mergeCell ref="I316:J316"/>
    <mergeCell ref="K316:L316"/>
    <mergeCell ref="M316:N316"/>
    <mergeCell ref="O316:P316"/>
    <mergeCell ref="Q316:R316"/>
    <mergeCell ref="AU318:AV318"/>
    <mergeCell ref="AW318:AX318"/>
    <mergeCell ref="AG318:AH318"/>
    <mergeCell ref="AI318:AJ318"/>
    <mergeCell ref="AK318:AL318"/>
    <mergeCell ref="AM318:AN318"/>
    <mergeCell ref="AO318:AP318"/>
    <mergeCell ref="AQ318:AR318"/>
    <mergeCell ref="AS318:AT318"/>
    <mergeCell ref="S319:T319"/>
    <mergeCell ref="U319:V319"/>
    <mergeCell ref="W319:X319"/>
    <mergeCell ref="Y319:Z319"/>
    <mergeCell ref="AA319:AB319"/>
    <mergeCell ref="AC319:AD319"/>
    <mergeCell ref="AE319:AF319"/>
    <mergeCell ref="AG319:AH319"/>
    <mergeCell ref="AI319:AJ319"/>
    <mergeCell ref="AK319:AL319"/>
    <mergeCell ref="AM319:AN319"/>
    <mergeCell ref="AO319:AP319"/>
    <mergeCell ref="AQ319:AR319"/>
    <mergeCell ref="AS319:AT319"/>
    <mergeCell ref="BI319:BJ319"/>
    <mergeCell ref="BK319:BL319"/>
    <mergeCell ref="BM319:BN319"/>
    <mergeCell ref="E313:F313"/>
    <mergeCell ref="G313:H313"/>
    <mergeCell ref="I313:J313"/>
    <mergeCell ref="K313:L313"/>
    <mergeCell ref="M313:N313"/>
    <mergeCell ref="O313:P313"/>
    <mergeCell ref="Q313:R313"/>
    <mergeCell ref="S314:T314"/>
    <mergeCell ref="U314:V314"/>
    <mergeCell ref="W314:X314"/>
    <mergeCell ref="Y314:Z314"/>
    <mergeCell ref="AA314:AB314"/>
    <mergeCell ref="AC314:AD314"/>
    <mergeCell ref="AE314:AF314"/>
    <mergeCell ref="AU313:AV313"/>
    <mergeCell ref="AW313:AX313"/>
    <mergeCell ref="AY313:AZ313"/>
    <mergeCell ref="BA313:BB313"/>
    <mergeCell ref="BC313:BD313"/>
    <mergeCell ref="BE313:BF313"/>
    <mergeCell ref="BG313:BH313"/>
    <mergeCell ref="E314:F314"/>
    <mergeCell ref="G314:H314"/>
    <mergeCell ref="I314:J314"/>
    <mergeCell ref="K314:L314"/>
    <mergeCell ref="M314:N314"/>
    <mergeCell ref="O314:P314"/>
    <mergeCell ref="Q314:R314"/>
    <mergeCell ref="AU316:AV316"/>
    <mergeCell ref="AW316:AX316"/>
    <mergeCell ref="AG316:AH316"/>
    <mergeCell ref="AI316:AJ316"/>
    <mergeCell ref="AK316:AL316"/>
    <mergeCell ref="AM316:AN316"/>
    <mergeCell ref="AO316:AP316"/>
    <mergeCell ref="AQ316:AR316"/>
    <mergeCell ref="AS316:AT316"/>
    <mergeCell ref="AY316:AZ316"/>
    <mergeCell ref="BA316:BB316"/>
    <mergeCell ref="BC316:BD316"/>
    <mergeCell ref="BE316:BF316"/>
    <mergeCell ref="BG316:BH316"/>
    <mergeCell ref="S315:T315"/>
    <mergeCell ref="U315:V315"/>
    <mergeCell ref="W315:X315"/>
    <mergeCell ref="Y315:Z315"/>
    <mergeCell ref="AA315:AB315"/>
    <mergeCell ref="AC315:AD315"/>
    <mergeCell ref="AE315:AF315"/>
    <mergeCell ref="AG315:AH315"/>
    <mergeCell ref="AI315:AJ315"/>
    <mergeCell ref="AK315:AL315"/>
    <mergeCell ref="AM315:AN315"/>
    <mergeCell ref="AO315:AP315"/>
    <mergeCell ref="AQ315:AR315"/>
    <mergeCell ref="AS315:AT315"/>
    <mergeCell ref="E315:F315"/>
    <mergeCell ref="G315:H315"/>
    <mergeCell ref="I315:J315"/>
    <mergeCell ref="K315:L315"/>
    <mergeCell ref="M315:N315"/>
    <mergeCell ref="O315:P315"/>
    <mergeCell ref="Q315:R315"/>
    <mergeCell ref="S316:T316"/>
    <mergeCell ref="AW317:AX317"/>
    <mergeCell ref="AY317:AZ317"/>
    <mergeCell ref="BA317:BB317"/>
    <mergeCell ref="BC317:BD317"/>
    <mergeCell ref="BE317:BF317"/>
    <mergeCell ref="BG317:BH317"/>
    <mergeCell ref="AU314:AV314"/>
    <mergeCell ref="AW314:AX314"/>
    <mergeCell ref="AG314:AH314"/>
    <mergeCell ref="AI314:AJ314"/>
    <mergeCell ref="AK314:AL314"/>
    <mergeCell ref="AM314:AN314"/>
    <mergeCell ref="AO314:AP314"/>
    <mergeCell ref="AQ314:AR314"/>
    <mergeCell ref="AS314:AT314"/>
    <mergeCell ref="BM314:BN314"/>
    <mergeCell ref="BO314:BP314"/>
    <mergeCell ref="AY314:AZ314"/>
    <mergeCell ref="BA314:BB314"/>
    <mergeCell ref="BC314:BD314"/>
    <mergeCell ref="BE314:BF314"/>
    <mergeCell ref="BG314:BH314"/>
    <mergeCell ref="BI314:BJ314"/>
    <mergeCell ref="BK314:BL314"/>
    <mergeCell ref="S313:T313"/>
    <mergeCell ref="U313:V313"/>
    <mergeCell ref="W313:X313"/>
    <mergeCell ref="Y313:Z313"/>
    <mergeCell ref="AA313:AB313"/>
    <mergeCell ref="AC313:AD313"/>
    <mergeCell ref="AE313:AF313"/>
    <mergeCell ref="AG313:AH313"/>
    <mergeCell ref="AI313:AJ313"/>
    <mergeCell ref="AK313:AL313"/>
    <mergeCell ref="AM313:AN313"/>
    <mergeCell ref="AO313:AP313"/>
    <mergeCell ref="AQ313:AR313"/>
    <mergeCell ref="AS313:AT313"/>
    <mergeCell ref="BI313:BJ313"/>
    <mergeCell ref="BK313:BL313"/>
    <mergeCell ref="BM313:BN313"/>
    <mergeCell ref="BO313:BP313"/>
    <mergeCell ref="BM316:BN316"/>
    <mergeCell ref="BO316:BP316"/>
    <mergeCell ref="BI316:BJ316"/>
    <mergeCell ref="BK316:BL316"/>
    <mergeCell ref="BI315:BJ315"/>
    <mergeCell ref="BK315:BL315"/>
    <mergeCell ref="BM315:BN315"/>
    <mergeCell ref="BO315:BP315"/>
    <mergeCell ref="U316:V316"/>
    <mergeCell ref="W316:X316"/>
    <mergeCell ref="Y316:Z316"/>
    <mergeCell ref="AA316:AB316"/>
    <mergeCell ref="AC316:AD316"/>
    <mergeCell ref="AE316:AF316"/>
    <mergeCell ref="AU315:AV315"/>
    <mergeCell ref="AW315:AX315"/>
    <mergeCell ref="AY315:AZ315"/>
    <mergeCell ref="BA315:BB315"/>
    <mergeCell ref="BC315:BD315"/>
    <mergeCell ref="BE315:BF315"/>
    <mergeCell ref="BG315:BH315"/>
    <mergeCell ref="BO312:BP312"/>
    <mergeCell ref="AU312:AV312"/>
    <mergeCell ref="AW312:AX312"/>
    <mergeCell ref="AY312:AZ312"/>
    <mergeCell ref="BA312:BB312"/>
    <mergeCell ref="BC312:BD312"/>
    <mergeCell ref="BE312:BF312"/>
    <mergeCell ref="BG312:BH312"/>
    <mergeCell ref="E312:F312"/>
    <mergeCell ref="G312:H312"/>
    <mergeCell ref="I312:J312"/>
    <mergeCell ref="K312:L312"/>
    <mergeCell ref="M312:N312"/>
    <mergeCell ref="O312:P312"/>
    <mergeCell ref="Q312:R312"/>
    <mergeCell ref="BM318:BN318"/>
    <mergeCell ref="BO318:BP318"/>
    <mergeCell ref="AY318:AZ318"/>
    <mergeCell ref="BA318:BB318"/>
    <mergeCell ref="BC318:BD318"/>
    <mergeCell ref="BE318:BF318"/>
    <mergeCell ref="BG318:BH318"/>
    <mergeCell ref="BI318:BJ318"/>
    <mergeCell ref="BK318:BL318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I317:AJ317"/>
    <mergeCell ref="AK317:AL317"/>
    <mergeCell ref="AM317:AN317"/>
    <mergeCell ref="AO317:AP317"/>
    <mergeCell ref="AQ317:AR317"/>
    <mergeCell ref="AS317:AT317"/>
    <mergeCell ref="BI317:BJ317"/>
    <mergeCell ref="BK317:BL317"/>
    <mergeCell ref="BM317:BN317"/>
    <mergeCell ref="BO317:BP317"/>
    <mergeCell ref="E317:F317"/>
    <mergeCell ref="G317:H317"/>
    <mergeCell ref="I317:J317"/>
    <mergeCell ref="K317:L317"/>
    <mergeCell ref="M317:N317"/>
    <mergeCell ref="O317:P317"/>
    <mergeCell ref="Q317:R317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AC318:AD318"/>
    <mergeCell ref="AE318:AF318"/>
    <mergeCell ref="AU317:AV317"/>
    <mergeCell ref="E309:F309"/>
    <mergeCell ref="G309:H309"/>
    <mergeCell ref="I309:J309"/>
    <mergeCell ref="K309:L309"/>
    <mergeCell ref="M309:N309"/>
    <mergeCell ref="O309:P309"/>
    <mergeCell ref="Q309:R309"/>
    <mergeCell ref="AU311:AV311"/>
    <mergeCell ref="AW311:AX311"/>
    <mergeCell ref="AG311:AH311"/>
    <mergeCell ref="AI311:AJ311"/>
    <mergeCell ref="AK311:AL311"/>
    <mergeCell ref="AM311:AN311"/>
    <mergeCell ref="AO311:AP311"/>
    <mergeCell ref="AQ311:AR311"/>
    <mergeCell ref="AS311:AT311"/>
    <mergeCell ref="S312:T312"/>
    <mergeCell ref="U312:V312"/>
    <mergeCell ref="W312:X312"/>
    <mergeCell ref="Y312:Z312"/>
    <mergeCell ref="AA312:AB312"/>
    <mergeCell ref="AC312:AD312"/>
    <mergeCell ref="AE312:AF312"/>
    <mergeCell ref="AG312:AH312"/>
    <mergeCell ref="AI312:AJ312"/>
    <mergeCell ref="AK312:AL312"/>
    <mergeCell ref="AM312:AN312"/>
    <mergeCell ref="AO312:AP312"/>
    <mergeCell ref="AQ312:AR312"/>
    <mergeCell ref="AS312:AT312"/>
    <mergeCell ref="BI312:BJ312"/>
    <mergeCell ref="BK312:BL312"/>
    <mergeCell ref="BM312:BN312"/>
    <mergeCell ref="E306:F306"/>
    <mergeCell ref="G306:H306"/>
    <mergeCell ref="I306:J306"/>
    <mergeCell ref="K306:L306"/>
    <mergeCell ref="M306:N306"/>
    <mergeCell ref="O306:P306"/>
    <mergeCell ref="Q306:R306"/>
    <mergeCell ref="S307:T307"/>
    <mergeCell ref="U307:V307"/>
    <mergeCell ref="W307:X307"/>
    <mergeCell ref="Y307:Z307"/>
    <mergeCell ref="AA307:AB307"/>
    <mergeCell ref="AC307:AD307"/>
    <mergeCell ref="AE307:AF307"/>
    <mergeCell ref="AU306:AV306"/>
    <mergeCell ref="AW306:AX306"/>
    <mergeCell ref="AY306:AZ306"/>
    <mergeCell ref="BA306:BB306"/>
    <mergeCell ref="BC306:BD306"/>
    <mergeCell ref="BE306:BF306"/>
    <mergeCell ref="BG306:BH306"/>
    <mergeCell ref="E307:F307"/>
    <mergeCell ref="G307:H307"/>
    <mergeCell ref="I307:J307"/>
    <mergeCell ref="K307:L307"/>
    <mergeCell ref="M307:N307"/>
    <mergeCell ref="O307:P307"/>
    <mergeCell ref="Q307:R307"/>
    <mergeCell ref="AU309:AV309"/>
    <mergeCell ref="AW309:AX309"/>
    <mergeCell ref="AG309:AH309"/>
    <mergeCell ref="AI309:AJ309"/>
    <mergeCell ref="AK309:AL309"/>
    <mergeCell ref="AM309:AN309"/>
    <mergeCell ref="AO309:AP309"/>
    <mergeCell ref="AQ309:AR309"/>
    <mergeCell ref="AS309:AT309"/>
    <mergeCell ref="AY309:AZ309"/>
    <mergeCell ref="BA309:BB309"/>
    <mergeCell ref="BC309:BD309"/>
    <mergeCell ref="BE309:BF309"/>
    <mergeCell ref="BG309:BH309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I308:AJ308"/>
    <mergeCell ref="AK308:AL308"/>
    <mergeCell ref="AM308:AN308"/>
    <mergeCell ref="AO308:AP308"/>
    <mergeCell ref="AQ308:AR308"/>
    <mergeCell ref="AS308:AT308"/>
    <mergeCell ref="E308:F308"/>
    <mergeCell ref="G308:H308"/>
    <mergeCell ref="I308:J308"/>
    <mergeCell ref="K308:L308"/>
    <mergeCell ref="M308:N308"/>
    <mergeCell ref="O308:P308"/>
    <mergeCell ref="Q308:R308"/>
    <mergeCell ref="S309:T309"/>
    <mergeCell ref="AW310:AX310"/>
    <mergeCell ref="AY310:AZ310"/>
    <mergeCell ref="BA310:BB310"/>
    <mergeCell ref="BC310:BD310"/>
    <mergeCell ref="BE310:BF310"/>
    <mergeCell ref="BG310:BH310"/>
    <mergeCell ref="AU307:AV307"/>
    <mergeCell ref="AW307:AX307"/>
    <mergeCell ref="AG307:AH307"/>
    <mergeCell ref="AI307:AJ307"/>
    <mergeCell ref="AK307:AL307"/>
    <mergeCell ref="AM307:AN307"/>
    <mergeCell ref="AO307:AP307"/>
    <mergeCell ref="AQ307:AR307"/>
    <mergeCell ref="AS307:AT307"/>
    <mergeCell ref="BM307:BN307"/>
    <mergeCell ref="BO307:BP307"/>
    <mergeCell ref="AY307:AZ307"/>
    <mergeCell ref="BA307:BB307"/>
    <mergeCell ref="BC307:BD307"/>
    <mergeCell ref="BE307:BF307"/>
    <mergeCell ref="BG307:BH307"/>
    <mergeCell ref="BI307:BJ307"/>
    <mergeCell ref="BK307:BL307"/>
    <mergeCell ref="S306:T306"/>
    <mergeCell ref="U306:V306"/>
    <mergeCell ref="W306:X306"/>
    <mergeCell ref="Y306:Z306"/>
    <mergeCell ref="AA306:AB306"/>
    <mergeCell ref="AC306:AD306"/>
    <mergeCell ref="AE306:AF306"/>
    <mergeCell ref="AG306:AH306"/>
    <mergeCell ref="AI306:AJ306"/>
    <mergeCell ref="AK306:AL306"/>
    <mergeCell ref="AM306:AN306"/>
    <mergeCell ref="AO306:AP306"/>
    <mergeCell ref="AQ306:AR306"/>
    <mergeCell ref="AS306:AT306"/>
    <mergeCell ref="BI306:BJ306"/>
    <mergeCell ref="BK306:BL306"/>
    <mergeCell ref="BM306:BN306"/>
    <mergeCell ref="BO306:BP306"/>
    <mergeCell ref="BM309:BN309"/>
    <mergeCell ref="BO309:BP309"/>
    <mergeCell ref="BI309:BJ309"/>
    <mergeCell ref="BK309:BL309"/>
    <mergeCell ref="BI308:BJ308"/>
    <mergeCell ref="BK308:BL308"/>
    <mergeCell ref="BM308:BN308"/>
    <mergeCell ref="BO308:BP308"/>
    <mergeCell ref="U309:V309"/>
    <mergeCell ref="W309:X309"/>
    <mergeCell ref="Y309:Z309"/>
    <mergeCell ref="AA309:AB309"/>
    <mergeCell ref="AC309:AD309"/>
    <mergeCell ref="AE309:AF309"/>
    <mergeCell ref="AU308:AV308"/>
    <mergeCell ref="AW308:AX308"/>
    <mergeCell ref="AY308:AZ308"/>
    <mergeCell ref="BA308:BB308"/>
    <mergeCell ref="BC308:BD308"/>
    <mergeCell ref="BE308:BF308"/>
    <mergeCell ref="BG308:BH308"/>
    <mergeCell ref="BO305:BP305"/>
    <mergeCell ref="AU305:AV305"/>
    <mergeCell ref="AW305:AX305"/>
    <mergeCell ref="AY305:AZ305"/>
    <mergeCell ref="BA305:BB305"/>
    <mergeCell ref="BC305:BD305"/>
    <mergeCell ref="BE305:BF305"/>
    <mergeCell ref="BG305:BH305"/>
    <mergeCell ref="E305:F305"/>
    <mergeCell ref="G305:H305"/>
    <mergeCell ref="I305:J305"/>
    <mergeCell ref="K305:L305"/>
    <mergeCell ref="M305:N305"/>
    <mergeCell ref="O305:P305"/>
    <mergeCell ref="Q305:R305"/>
    <mergeCell ref="BM311:BN311"/>
    <mergeCell ref="BO311:BP311"/>
    <mergeCell ref="AY311:AZ311"/>
    <mergeCell ref="BA311:BB311"/>
    <mergeCell ref="BC311:BD311"/>
    <mergeCell ref="BE311:BF311"/>
    <mergeCell ref="BG311:BH311"/>
    <mergeCell ref="BI311:BJ311"/>
    <mergeCell ref="BK311:BL311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I310:AJ310"/>
    <mergeCell ref="AK310:AL310"/>
    <mergeCell ref="AM310:AN310"/>
    <mergeCell ref="AO310:AP310"/>
    <mergeCell ref="AQ310:AR310"/>
    <mergeCell ref="AS310:AT310"/>
    <mergeCell ref="BI310:BJ310"/>
    <mergeCell ref="BK310:BL310"/>
    <mergeCell ref="BM310:BN310"/>
    <mergeCell ref="BO310:BP310"/>
    <mergeCell ref="E310:F310"/>
    <mergeCell ref="G310:H310"/>
    <mergeCell ref="I310:J310"/>
    <mergeCell ref="K310:L310"/>
    <mergeCell ref="M310:N310"/>
    <mergeCell ref="O310:P310"/>
    <mergeCell ref="Q310:R310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Z311"/>
    <mergeCell ref="AA311:AB311"/>
    <mergeCell ref="AC311:AD311"/>
    <mergeCell ref="AE311:AF311"/>
    <mergeCell ref="AU310:AV310"/>
    <mergeCell ref="E302:F302"/>
    <mergeCell ref="G302:H302"/>
    <mergeCell ref="I302:J302"/>
    <mergeCell ref="K302:L302"/>
    <mergeCell ref="M302:N302"/>
    <mergeCell ref="O302:P302"/>
    <mergeCell ref="Q302:R302"/>
    <mergeCell ref="AU304:AV304"/>
    <mergeCell ref="AW304:AX304"/>
    <mergeCell ref="AG304:AH304"/>
    <mergeCell ref="AI304:AJ304"/>
    <mergeCell ref="AK304:AL304"/>
    <mergeCell ref="AM304:AN304"/>
    <mergeCell ref="AO304:AP304"/>
    <mergeCell ref="AQ304:AR304"/>
    <mergeCell ref="AS304:AT304"/>
    <mergeCell ref="S305:T305"/>
    <mergeCell ref="U305:V305"/>
    <mergeCell ref="W305:X305"/>
    <mergeCell ref="Y305:Z305"/>
    <mergeCell ref="AA305:AB305"/>
    <mergeCell ref="AC305:AD305"/>
    <mergeCell ref="AE305:AF305"/>
    <mergeCell ref="AG305:AH305"/>
    <mergeCell ref="AI305:AJ305"/>
    <mergeCell ref="AK305:AL305"/>
    <mergeCell ref="AM305:AN305"/>
    <mergeCell ref="AO305:AP305"/>
    <mergeCell ref="AQ305:AR305"/>
    <mergeCell ref="AS305:AT305"/>
    <mergeCell ref="BI305:BJ305"/>
    <mergeCell ref="BK305:BL305"/>
    <mergeCell ref="BM305:BN305"/>
    <mergeCell ref="E299:F299"/>
    <mergeCell ref="G299:H299"/>
    <mergeCell ref="I299:J299"/>
    <mergeCell ref="K299:L299"/>
    <mergeCell ref="M299:N299"/>
    <mergeCell ref="O299:P299"/>
    <mergeCell ref="Q299:R299"/>
    <mergeCell ref="S300:T300"/>
    <mergeCell ref="U300:V300"/>
    <mergeCell ref="W300:X300"/>
    <mergeCell ref="Y300:Z300"/>
    <mergeCell ref="AA300:AB300"/>
    <mergeCell ref="AC300:AD300"/>
    <mergeCell ref="AE300:AF300"/>
    <mergeCell ref="AU299:AV299"/>
    <mergeCell ref="AW299:AX299"/>
    <mergeCell ref="AY299:AZ299"/>
    <mergeCell ref="BA299:BB299"/>
    <mergeCell ref="BC299:BD299"/>
    <mergeCell ref="BE299:BF299"/>
    <mergeCell ref="BG299:BH299"/>
    <mergeCell ref="E300:F300"/>
    <mergeCell ref="G300:H300"/>
    <mergeCell ref="I300:J300"/>
    <mergeCell ref="K300:L300"/>
    <mergeCell ref="M300:N300"/>
    <mergeCell ref="O300:P300"/>
    <mergeCell ref="Q300:R300"/>
    <mergeCell ref="AU302:AV302"/>
    <mergeCell ref="AW302:AX302"/>
    <mergeCell ref="AG302:AH302"/>
    <mergeCell ref="AI302:AJ302"/>
    <mergeCell ref="AK302:AL302"/>
    <mergeCell ref="AM302:AN302"/>
    <mergeCell ref="AO302:AP302"/>
    <mergeCell ref="AQ302:AR302"/>
    <mergeCell ref="AS302:AT302"/>
    <mergeCell ref="AY302:AZ302"/>
    <mergeCell ref="BA302:BB302"/>
    <mergeCell ref="BC302:BD302"/>
    <mergeCell ref="BE302:BF302"/>
    <mergeCell ref="BG302:BH302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I301:AJ301"/>
    <mergeCell ref="AK301:AL301"/>
    <mergeCell ref="AM301:AN301"/>
    <mergeCell ref="AO301:AP301"/>
    <mergeCell ref="AQ301:AR301"/>
    <mergeCell ref="AS301:AT301"/>
    <mergeCell ref="E301:F301"/>
    <mergeCell ref="G301:H301"/>
    <mergeCell ref="I301:J301"/>
    <mergeCell ref="K301:L301"/>
    <mergeCell ref="M301:N301"/>
    <mergeCell ref="O301:P301"/>
    <mergeCell ref="Q301:R301"/>
    <mergeCell ref="S302:T302"/>
    <mergeCell ref="AW303:AX303"/>
    <mergeCell ref="AY303:AZ303"/>
    <mergeCell ref="BA303:BB303"/>
    <mergeCell ref="BC303:BD303"/>
    <mergeCell ref="BE303:BF303"/>
    <mergeCell ref="BG303:BH303"/>
    <mergeCell ref="AU300:AV300"/>
    <mergeCell ref="AW300:AX300"/>
    <mergeCell ref="AG300:AH300"/>
    <mergeCell ref="AI300:AJ300"/>
    <mergeCell ref="AK300:AL300"/>
    <mergeCell ref="AM300:AN300"/>
    <mergeCell ref="AO300:AP300"/>
    <mergeCell ref="AQ300:AR300"/>
    <mergeCell ref="AS300:AT300"/>
    <mergeCell ref="BM300:BN300"/>
    <mergeCell ref="BO300:BP300"/>
    <mergeCell ref="AY300:AZ300"/>
    <mergeCell ref="BA300:BB300"/>
    <mergeCell ref="BC300:BD300"/>
    <mergeCell ref="BE300:BF300"/>
    <mergeCell ref="BG300:BH300"/>
    <mergeCell ref="BI300:BJ300"/>
    <mergeCell ref="BK300:BL300"/>
    <mergeCell ref="S299:T299"/>
    <mergeCell ref="U299:V299"/>
    <mergeCell ref="W299:X299"/>
    <mergeCell ref="Y299:Z299"/>
    <mergeCell ref="AA299:AB299"/>
    <mergeCell ref="AC299:AD299"/>
    <mergeCell ref="AE299:AF299"/>
    <mergeCell ref="AG299:AH299"/>
    <mergeCell ref="AI299:AJ299"/>
    <mergeCell ref="AK299:AL299"/>
    <mergeCell ref="AM299:AN299"/>
    <mergeCell ref="AO299:AP299"/>
    <mergeCell ref="AQ299:AR299"/>
    <mergeCell ref="AS299:AT299"/>
    <mergeCell ref="BI299:BJ299"/>
    <mergeCell ref="BK299:BL299"/>
    <mergeCell ref="BM299:BN299"/>
    <mergeCell ref="BO299:BP299"/>
    <mergeCell ref="BM302:BN302"/>
    <mergeCell ref="BO302:BP302"/>
    <mergeCell ref="BI302:BJ302"/>
    <mergeCell ref="BK302:BL302"/>
    <mergeCell ref="BI301:BJ301"/>
    <mergeCell ref="BK301:BL301"/>
    <mergeCell ref="BM301:BN301"/>
    <mergeCell ref="BO301:BP301"/>
    <mergeCell ref="U302:V302"/>
    <mergeCell ref="W302:X302"/>
    <mergeCell ref="Y302:Z302"/>
    <mergeCell ref="AA302:AB302"/>
    <mergeCell ref="AC302:AD302"/>
    <mergeCell ref="AE302:AF302"/>
    <mergeCell ref="AU301:AV301"/>
    <mergeCell ref="AW301:AX301"/>
    <mergeCell ref="AY301:AZ301"/>
    <mergeCell ref="BA301:BB301"/>
    <mergeCell ref="BC301:BD301"/>
    <mergeCell ref="BE301:BF301"/>
    <mergeCell ref="BG301:BH301"/>
    <mergeCell ref="BO298:BP298"/>
    <mergeCell ref="AU298:AV298"/>
    <mergeCell ref="AW298:AX298"/>
    <mergeCell ref="AY298:AZ298"/>
    <mergeCell ref="BA298:BB298"/>
    <mergeCell ref="BC298:BD298"/>
    <mergeCell ref="BE298:BF298"/>
    <mergeCell ref="BG298:BH298"/>
    <mergeCell ref="E298:F298"/>
    <mergeCell ref="G298:H298"/>
    <mergeCell ref="I298:J298"/>
    <mergeCell ref="K298:L298"/>
    <mergeCell ref="M298:N298"/>
    <mergeCell ref="O298:P298"/>
    <mergeCell ref="Q298:R298"/>
    <mergeCell ref="BM304:BN304"/>
    <mergeCell ref="BO304:BP304"/>
    <mergeCell ref="AY304:AZ304"/>
    <mergeCell ref="BA304:BB304"/>
    <mergeCell ref="BC304:BD304"/>
    <mergeCell ref="BE304:BF304"/>
    <mergeCell ref="BG304:BH304"/>
    <mergeCell ref="BI304:BJ304"/>
    <mergeCell ref="BK304:BL304"/>
    <mergeCell ref="S303:T303"/>
    <mergeCell ref="U303:V303"/>
    <mergeCell ref="W303:X303"/>
    <mergeCell ref="Y303:Z303"/>
    <mergeCell ref="AA303:AB303"/>
    <mergeCell ref="AC303:AD303"/>
    <mergeCell ref="AE303:AF303"/>
    <mergeCell ref="AG303:AH303"/>
    <mergeCell ref="AI303:AJ303"/>
    <mergeCell ref="AK303:AL303"/>
    <mergeCell ref="AM303:AN303"/>
    <mergeCell ref="AO303:AP303"/>
    <mergeCell ref="AQ303:AR303"/>
    <mergeCell ref="AS303:AT303"/>
    <mergeCell ref="BI303:BJ303"/>
    <mergeCell ref="BK303:BL303"/>
    <mergeCell ref="BM303:BN303"/>
    <mergeCell ref="BO303:BP303"/>
    <mergeCell ref="E303:F303"/>
    <mergeCell ref="G303:H303"/>
    <mergeCell ref="I303:J303"/>
    <mergeCell ref="K303:L303"/>
    <mergeCell ref="M303:N303"/>
    <mergeCell ref="O303:P303"/>
    <mergeCell ref="Q303:R303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Z304"/>
    <mergeCell ref="AA304:AB304"/>
    <mergeCell ref="AC304:AD304"/>
    <mergeCell ref="AE304:AF304"/>
    <mergeCell ref="AU303:AV303"/>
    <mergeCell ref="E295:F295"/>
    <mergeCell ref="G295:H295"/>
    <mergeCell ref="I295:J295"/>
    <mergeCell ref="K295:L295"/>
    <mergeCell ref="M295:N295"/>
    <mergeCell ref="O295:P295"/>
    <mergeCell ref="Q295:R295"/>
    <mergeCell ref="AU297:AV297"/>
    <mergeCell ref="AW297:AX297"/>
    <mergeCell ref="AG297:AH297"/>
    <mergeCell ref="AI297:AJ297"/>
    <mergeCell ref="AK297:AL297"/>
    <mergeCell ref="AM297:AN297"/>
    <mergeCell ref="AO297:AP297"/>
    <mergeCell ref="AQ297:AR297"/>
    <mergeCell ref="AS297:AT297"/>
    <mergeCell ref="S298:T298"/>
    <mergeCell ref="U298:V298"/>
    <mergeCell ref="W298:X298"/>
    <mergeCell ref="Y298:Z298"/>
    <mergeCell ref="AA298:AB298"/>
    <mergeCell ref="AC298:AD298"/>
    <mergeCell ref="AE298:AF298"/>
    <mergeCell ref="AG298:AH298"/>
    <mergeCell ref="AI298:AJ298"/>
    <mergeCell ref="AK298:AL298"/>
    <mergeCell ref="AM298:AN298"/>
    <mergeCell ref="AO298:AP298"/>
    <mergeCell ref="AQ298:AR298"/>
    <mergeCell ref="AS298:AT298"/>
    <mergeCell ref="BI298:BJ298"/>
    <mergeCell ref="BK298:BL298"/>
    <mergeCell ref="BM298:BN298"/>
    <mergeCell ref="E292:F292"/>
    <mergeCell ref="G292:H292"/>
    <mergeCell ref="I292:J292"/>
    <mergeCell ref="K292:L292"/>
    <mergeCell ref="M292:N292"/>
    <mergeCell ref="O292:P292"/>
    <mergeCell ref="Q292:R292"/>
    <mergeCell ref="S293:T293"/>
    <mergeCell ref="U293:V293"/>
    <mergeCell ref="W293:X293"/>
    <mergeCell ref="Y293:Z293"/>
    <mergeCell ref="AA293:AB293"/>
    <mergeCell ref="AC293:AD293"/>
    <mergeCell ref="AE293:AF293"/>
    <mergeCell ref="AU292:AV292"/>
    <mergeCell ref="AW292:AX292"/>
    <mergeCell ref="AY292:AZ292"/>
    <mergeCell ref="BA292:BB292"/>
    <mergeCell ref="BC292:BD292"/>
    <mergeCell ref="BE292:BF292"/>
    <mergeCell ref="BG292:BH292"/>
    <mergeCell ref="E293:F293"/>
    <mergeCell ref="G293:H293"/>
    <mergeCell ref="I293:J293"/>
    <mergeCell ref="K293:L293"/>
    <mergeCell ref="M293:N293"/>
    <mergeCell ref="O293:P293"/>
    <mergeCell ref="Q293:R293"/>
    <mergeCell ref="AU295:AV295"/>
    <mergeCell ref="AW295:AX295"/>
    <mergeCell ref="AG295:AH295"/>
    <mergeCell ref="AI295:AJ295"/>
    <mergeCell ref="AK295:AL295"/>
    <mergeCell ref="AM295:AN295"/>
    <mergeCell ref="AO295:AP295"/>
    <mergeCell ref="AQ295:AR295"/>
    <mergeCell ref="AS295:AT295"/>
    <mergeCell ref="AY295:AZ295"/>
    <mergeCell ref="BA295:BB295"/>
    <mergeCell ref="BC295:BD295"/>
    <mergeCell ref="BE295:BF295"/>
    <mergeCell ref="BG295:BH295"/>
    <mergeCell ref="S294:T294"/>
    <mergeCell ref="U294:V294"/>
    <mergeCell ref="W294:X294"/>
    <mergeCell ref="Y294:Z294"/>
    <mergeCell ref="AA294:AB294"/>
    <mergeCell ref="AC294:AD294"/>
    <mergeCell ref="AE294:AF294"/>
    <mergeCell ref="AG294:AH294"/>
    <mergeCell ref="AI294:AJ294"/>
    <mergeCell ref="AK294:AL294"/>
    <mergeCell ref="AM294:AN294"/>
    <mergeCell ref="AO294:AP294"/>
    <mergeCell ref="AQ294:AR294"/>
    <mergeCell ref="AS294:AT294"/>
    <mergeCell ref="E294:F294"/>
    <mergeCell ref="G294:H294"/>
    <mergeCell ref="I294:J294"/>
    <mergeCell ref="K294:L294"/>
    <mergeCell ref="M294:N294"/>
    <mergeCell ref="O294:P294"/>
    <mergeCell ref="Q294:R294"/>
    <mergeCell ref="S295:T295"/>
    <mergeCell ref="AW296:AX296"/>
    <mergeCell ref="AY296:AZ296"/>
    <mergeCell ref="BA296:BB296"/>
    <mergeCell ref="BC296:BD296"/>
    <mergeCell ref="BE296:BF296"/>
    <mergeCell ref="BG296:BH296"/>
    <mergeCell ref="AU293:AV293"/>
    <mergeCell ref="AW293:AX293"/>
    <mergeCell ref="AG293:AH293"/>
    <mergeCell ref="AI293:AJ293"/>
    <mergeCell ref="AK293:AL293"/>
    <mergeCell ref="AM293:AN293"/>
    <mergeCell ref="AO293:AP293"/>
    <mergeCell ref="AQ293:AR293"/>
    <mergeCell ref="AS293:AT293"/>
    <mergeCell ref="BM293:BN293"/>
    <mergeCell ref="BO293:BP293"/>
    <mergeCell ref="AY293:AZ293"/>
    <mergeCell ref="BA293:BB293"/>
    <mergeCell ref="BC293:BD293"/>
    <mergeCell ref="BE293:BF293"/>
    <mergeCell ref="BG293:BH293"/>
    <mergeCell ref="BI293:BJ293"/>
    <mergeCell ref="BK293:BL293"/>
    <mergeCell ref="S292:T292"/>
    <mergeCell ref="U292:V292"/>
    <mergeCell ref="W292:X292"/>
    <mergeCell ref="Y292:Z292"/>
    <mergeCell ref="AA292:AB292"/>
    <mergeCell ref="AC292:AD292"/>
    <mergeCell ref="AE292:AF292"/>
    <mergeCell ref="AG292:AH292"/>
    <mergeCell ref="AI292:AJ292"/>
    <mergeCell ref="AK292:AL292"/>
    <mergeCell ref="AM292:AN292"/>
    <mergeCell ref="AO292:AP292"/>
    <mergeCell ref="AQ292:AR292"/>
    <mergeCell ref="AS292:AT292"/>
    <mergeCell ref="BI292:BJ292"/>
    <mergeCell ref="BK292:BL292"/>
    <mergeCell ref="BM292:BN292"/>
    <mergeCell ref="BO292:BP292"/>
    <mergeCell ref="BM295:BN295"/>
    <mergeCell ref="BO295:BP295"/>
    <mergeCell ref="BI295:BJ295"/>
    <mergeCell ref="BK295:BL295"/>
    <mergeCell ref="BI294:BJ294"/>
    <mergeCell ref="BK294:BL294"/>
    <mergeCell ref="BM294:BN294"/>
    <mergeCell ref="BO294:BP294"/>
    <mergeCell ref="U295:V295"/>
    <mergeCell ref="W295:X295"/>
    <mergeCell ref="Y295:Z295"/>
    <mergeCell ref="AA295:AB295"/>
    <mergeCell ref="AC295:AD295"/>
    <mergeCell ref="AE295:AF295"/>
    <mergeCell ref="AU294:AV294"/>
    <mergeCell ref="AW294:AX294"/>
    <mergeCell ref="AY294:AZ294"/>
    <mergeCell ref="BA294:BB294"/>
    <mergeCell ref="BC294:BD294"/>
    <mergeCell ref="BE294:BF294"/>
    <mergeCell ref="BG294:BH294"/>
    <mergeCell ref="BO291:BP291"/>
    <mergeCell ref="AU291:AV291"/>
    <mergeCell ref="AW291:AX291"/>
    <mergeCell ref="AY291:AZ291"/>
    <mergeCell ref="BA291:BB291"/>
    <mergeCell ref="BC291:BD291"/>
    <mergeCell ref="BE291:BF291"/>
    <mergeCell ref="BG291:BH291"/>
    <mergeCell ref="E291:F291"/>
    <mergeCell ref="G291:H291"/>
    <mergeCell ref="I291:J291"/>
    <mergeCell ref="K291:L291"/>
    <mergeCell ref="M291:N291"/>
    <mergeCell ref="O291:P291"/>
    <mergeCell ref="Q291:R291"/>
    <mergeCell ref="BM297:BN297"/>
    <mergeCell ref="BO297:BP297"/>
    <mergeCell ref="AY297:AZ297"/>
    <mergeCell ref="BA297:BB297"/>
    <mergeCell ref="BC297:BD297"/>
    <mergeCell ref="BE297:BF297"/>
    <mergeCell ref="BG297:BH297"/>
    <mergeCell ref="BI297:BJ297"/>
    <mergeCell ref="BK297:BL297"/>
    <mergeCell ref="S296:T296"/>
    <mergeCell ref="U296:V296"/>
    <mergeCell ref="W296:X296"/>
    <mergeCell ref="Y296:Z296"/>
    <mergeCell ref="AA296:AB296"/>
    <mergeCell ref="AC296:AD296"/>
    <mergeCell ref="AE296:AF296"/>
    <mergeCell ref="AG296:AH296"/>
    <mergeCell ref="AI296:AJ296"/>
    <mergeCell ref="AK296:AL296"/>
    <mergeCell ref="AM296:AN296"/>
    <mergeCell ref="AO296:AP296"/>
    <mergeCell ref="AQ296:AR296"/>
    <mergeCell ref="AS296:AT296"/>
    <mergeCell ref="BI296:BJ296"/>
    <mergeCell ref="BK296:BL296"/>
    <mergeCell ref="BM296:BN296"/>
    <mergeCell ref="BO296:BP296"/>
    <mergeCell ref="E296:F296"/>
    <mergeCell ref="G296:H296"/>
    <mergeCell ref="I296:J296"/>
    <mergeCell ref="K296:L296"/>
    <mergeCell ref="M296:N296"/>
    <mergeCell ref="O296:P296"/>
    <mergeCell ref="Q296:R296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AC297:AD297"/>
    <mergeCell ref="AE297:AF297"/>
    <mergeCell ref="AU296:AV296"/>
    <mergeCell ref="E288:F288"/>
    <mergeCell ref="G288:H288"/>
    <mergeCell ref="I288:J288"/>
    <mergeCell ref="K288:L288"/>
    <mergeCell ref="M288:N288"/>
    <mergeCell ref="O288:P288"/>
    <mergeCell ref="Q288:R288"/>
    <mergeCell ref="AU290:AV290"/>
    <mergeCell ref="AW290:AX290"/>
    <mergeCell ref="AG290:AH290"/>
    <mergeCell ref="AI290:AJ290"/>
    <mergeCell ref="AK290:AL290"/>
    <mergeCell ref="AM290:AN290"/>
    <mergeCell ref="AO290:AP290"/>
    <mergeCell ref="AQ290:AR290"/>
    <mergeCell ref="AS290:AT290"/>
    <mergeCell ref="S291:T291"/>
    <mergeCell ref="U291:V291"/>
    <mergeCell ref="W291:X291"/>
    <mergeCell ref="Y291:Z291"/>
    <mergeCell ref="AA291:AB291"/>
    <mergeCell ref="AC291:AD291"/>
    <mergeCell ref="AE291:AF291"/>
    <mergeCell ref="AG291:AH291"/>
    <mergeCell ref="AI291:AJ291"/>
    <mergeCell ref="AK291:AL291"/>
    <mergeCell ref="AM291:AN291"/>
    <mergeCell ref="AO291:AP291"/>
    <mergeCell ref="AQ291:AR291"/>
    <mergeCell ref="AS291:AT291"/>
    <mergeCell ref="BI291:BJ291"/>
    <mergeCell ref="BK291:BL291"/>
    <mergeCell ref="BM291:BN291"/>
    <mergeCell ref="E285:F285"/>
    <mergeCell ref="G285:H285"/>
    <mergeCell ref="I285:J285"/>
    <mergeCell ref="K285:L285"/>
    <mergeCell ref="M285:N285"/>
    <mergeCell ref="O285:P285"/>
    <mergeCell ref="Q285:R285"/>
    <mergeCell ref="S286:T286"/>
    <mergeCell ref="U286:V286"/>
    <mergeCell ref="W286:X286"/>
    <mergeCell ref="Y286:Z286"/>
    <mergeCell ref="AA286:AB286"/>
    <mergeCell ref="AC286:AD286"/>
    <mergeCell ref="AE286:AF286"/>
    <mergeCell ref="AU285:AV285"/>
    <mergeCell ref="AW285:AX285"/>
    <mergeCell ref="AY285:AZ285"/>
    <mergeCell ref="BA285:BB285"/>
    <mergeCell ref="BC285:BD285"/>
    <mergeCell ref="BE285:BF285"/>
    <mergeCell ref="BG285:BH285"/>
    <mergeCell ref="E286:F286"/>
    <mergeCell ref="G286:H286"/>
    <mergeCell ref="I286:J286"/>
    <mergeCell ref="K286:L286"/>
    <mergeCell ref="M286:N286"/>
    <mergeCell ref="O286:P286"/>
    <mergeCell ref="Q286:R286"/>
    <mergeCell ref="AU288:AV288"/>
    <mergeCell ref="AW288:AX288"/>
    <mergeCell ref="AG288:AH288"/>
    <mergeCell ref="AI288:AJ288"/>
    <mergeCell ref="AK288:AL288"/>
    <mergeCell ref="AM288:AN288"/>
    <mergeCell ref="AO288:AP288"/>
    <mergeCell ref="AQ288:AR288"/>
    <mergeCell ref="AS288:AT288"/>
    <mergeCell ref="AY288:AZ288"/>
    <mergeCell ref="BA288:BB288"/>
    <mergeCell ref="BC288:BD288"/>
    <mergeCell ref="BE288:BF288"/>
    <mergeCell ref="BG288:BH288"/>
    <mergeCell ref="S287:T287"/>
    <mergeCell ref="U287:V287"/>
    <mergeCell ref="W287:X287"/>
    <mergeCell ref="Y287:Z287"/>
    <mergeCell ref="AA287:AB287"/>
    <mergeCell ref="AC287:AD287"/>
    <mergeCell ref="AE287:AF287"/>
    <mergeCell ref="AG287:AH287"/>
    <mergeCell ref="AI287:AJ287"/>
    <mergeCell ref="AK287:AL287"/>
    <mergeCell ref="AM287:AN287"/>
    <mergeCell ref="AO287:AP287"/>
    <mergeCell ref="AQ287:AR287"/>
    <mergeCell ref="AS287:AT287"/>
    <mergeCell ref="E287:F287"/>
    <mergeCell ref="G287:H287"/>
    <mergeCell ref="I287:J287"/>
    <mergeCell ref="K287:L287"/>
    <mergeCell ref="M287:N287"/>
    <mergeCell ref="O287:P287"/>
    <mergeCell ref="Q287:R287"/>
    <mergeCell ref="S288:T288"/>
    <mergeCell ref="AW289:AX289"/>
    <mergeCell ref="AY289:AZ289"/>
    <mergeCell ref="BA289:BB289"/>
    <mergeCell ref="BC289:BD289"/>
    <mergeCell ref="BE289:BF289"/>
    <mergeCell ref="BG289:BH289"/>
    <mergeCell ref="AU286:AV286"/>
    <mergeCell ref="AW286:AX286"/>
    <mergeCell ref="AG286:AH286"/>
    <mergeCell ref="AI286:AJ286"/>
    <mergeCell ref="AK286:AL286"/>
    <mergeCell ref="AM286:AN286"/>
    <mergeCell ref="AO286:AP286"/>
    <mergeCell ref="AQ286:AR286"/>
    <mergeCell ref="AS286:AT286"/>
    <mergeCell ref="BM286:BN286"/>
    <mergeCell ref="BO286:BP286"/>
    <mergeCell ref="AY286:AZ286"/>
    <mergeCell ref="BA286:BB286"/>
    <mergeCell ref="BC286:BD286"/>
    <mergeCell ref="BE286:BF286"/>
    <mergeCell ref="BG286:BH286"/>
    <mergeCell ref="BI286:BJ286"/>
    <mergeCell ref="BK286:BL286"/>
    <mergeCell ref="S285:T285"/>
    <mergeCell ref="U285:V285"/>
    <mergeCell ref="W285:X285"/>
    <mergeCell ref="Y285:Z285"/>
    <mergeCell ref="AA285:AB285"/>
    <mergeCell ref="AC285:AD285"/>
    <mergeCell ref="AE285:AF285"/>
    <mergeCell ref="AG285:AH285"/>
    <mergeCell ref="AI285:AJ285"/>
    <mergeCell ref="AK285:AL285"/>
    <mergeCell ref="AM285:AN285"/>
    <mergeCell ref="AO285:AP285"/>
    <mergeCell ref="AQ285:AR285"/>
    <mergeCell ref="AS285:AT285"/>
    <mergeCell ref="BI285:BJ285"/>
    <mergeCell ref="BK285:BL285"/>
    <mergeCell ref="BM285:BN285"/>
    <mergeCell ref="BO285:BP285"/>
    <mergeCell ref="BM288:BN288"/>
    <mergeCell ref="BO288:BP288"/>
    <mergeCell ref="BI288:BJ288"/>
    <mergeCell ref="BK288:BL288"/>
    <mergeCell ref="BI287:BJ287"/>
    <mergeCell ref="BK287:BL287"/>
    <mergeCell ref="BM287:BN287"/>
    <mergeCell ref="BO287:BP287"/>
    <mergeCell ref="U288:V288"/>
    <mergeCell ref="W288:X288"/>
    <mergeCell ref="Y288:Z288"/>
    <mergeCell ref="AA288:AB288"/>
    <mergeCell ref="AC288:AD288"/>
    <mergeCell ref="AE288:AF288"/>
    <mergeCell ref="AU287:AV287"/>
    <mergeCell ref="AW287:AX287"/>
    <mergeCell ref="AY287:AZ287"/>
    <mergeCell ref="BA287:BB287"/>
    <mergeCell ref="BC287:BD287"/>
    <mergeCell ref="BE287:BF287"/>
    <mergeCell ref="BG287:BH287"/>
    <mergeCell ref="BO284:BP284"/>
    <mergeCell ref="AU284:AV284"/>
    <mergeCell ref="AW284:AX284"/>
    <mergeCell ref="AY284:AZ284"/>
    <mergeCell ref="BA284:BB284"/>
    <mergeCell ref="BC284:BD284"/>
    <mergeCell ref="BE284:BF284"/>
    <mergeCell ref="BG284:BH284"/>
    <mergeCell ref="E284:F284"/>
    <mergeCell ref="G284:H284"/>
    <mergeCell ref="I284:J284"/>
    <mergeCell ref="K284:L284"/>
    <mergeCell ref="M284:N284"/>
    <mergeCell ref="O284:P284"/>
    <mergeCell ref="Q284:R284"/>
    <mergeCell ref="BM290:BN290"/>
    <mergeCell ref="BO290:BP290"/>
    <mergeCell ref="AY290:AZ290"/>
    <mergeCell ref="BA290:BB290"/>
    <mergeCell ref="BC290:BD290"/>
    <mergeCell ref="BE290:BF290"/>
    <mergeCell ref="BG290:BH290"/>
    <mergeCell ref="BI290:BJ290"/>
    <mergeCell ref="BK290:BL290"/>
    <mergeCell ref="S289:T289"/>
    <mergeCell ref="U289:V289"/>
    <mergeCell ref="W289:X289"/>
    <mergeCell ref="Y289:Z289"/>
    <mergeCell ref="AA289:AB289"/>
    <mergeCell ref="AC289:AD289"/>
    <mergeCell ref="AE289:AF289"/>
    <mergeCell ref="AG289:AH289"/>
    <mergeCell ref="AI289:AJ289"/>
    <mergeCell ref="AK289:AL289"/>
    <mergeCell ref="AM289:AN289"/>
    <mergeCell ref="AO289:AP289"/>
    <mergeCell ref="AQ289:AR289"/>
    <mergeCell ref="AS289:AT289"/>
    <mergeCell ref="BI289:BJ289"/>
    <mergeCell ref="BK289:BL289"/>
    <mergeCell ref="BM289:BN289"/>
    <mergeCell ref="BO289:BP289"/>
    <mergeCell ref="E289:F289"/>
    <mergeCell ref="G289:H289"/>
    <mergeCell ref="I289:J289"/>
    <mergeCell ref="K289:L289"/>
    <mergeCell ref="M289:N289"/>
    <mergeCell ref="O289:P289"/>
    <mergeCell ref="Q289:R289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Z290"/>
    <mergeCell ref="AA290:AB290"/>
    <mergeCell ref="AC290:AD290"/>
    <mergeCell ref="AE290:AF290"/>
    <mergeCell ref="AU289:AV289"/>
    <mergeCell ref="E281:F281"/>
    <mergeCell ref="G281:H281"/>
    <mergeCell ref="I281:J281"/>
    <mergeCell ref="K281:L281"/>
    <mergeCell ref="M281:N281"/>
    <mergeCell ref="O281:P281"/>
    <mergeCell ref="Q281:R281"/>
    <mergeCell ref="AU283:AV283"/>
    <mergeCell ref="AW283:AX283"/>
    <mergeCell ref="AG283:AH283"/>
    <mergeCell ref="AI283:AJ283"/>
    <mergeCell ref="AK283:AL283"/>
    <mergeCell ref="AM283:AN283"/>
    <mergeCell ref="AO283:AP283"/>
    <mergeCell ref="AQ283:AR283"/>
    <mergeCell ref="AS283:AT283"/>
    <mergeCell ref="S284:T284"/>
    <mergeCell ref="U284:V284"/>
    <mergeCell ref="W284:X284"/>
    <mergeCell ref="Y284:Z284"/>
    <mergeCell ref="AA284:AB284"/>
    <mergeCell ref="AC284:AD284"/>
    <mergeCell ref="AE284:AF284"/>
    <mergeCell ref="AG284:AH284"/>
    <mergeCell ref="AI284:AJ284"/>
    <mergeCell ref="AK284:AL284"/>
    <mergeCell ref="AM284:AN284"/>
    <mergeCell ref="AO284:AP284"/>
    <mergeCell ref="AQ284:AR284"/>
    <mergeCell ref="AS284:AT284"/>
    <mergeCell ref="BI284:BJ284"/>
    <mergeCell ref="BK284:BL284"/>
    <mergeCell ref="BM284:BN284"/>
    <mergeCell ref="E278:F278"/>
    <mergeCell ref="G278:H278"/>
    <mergeCell ref="I278:J278"/>
    <mergeCell ref="K278:L278"/>
    <mergeCell ref="M278:N278"/>
    <mergeCell ref="O278:P278"/>
    <mergeCell ref="Q278:R278"/>
    <mergeCell ref="S279:T279"/>
    <mergeCell ref="U279:V279"/>
    <mergeCell ref="W279:X279"/>
    <mergeCell ref="Y279:Z279"/>
    <mergeCell ref="AA279:AB279"/>
    <mergeCell ref="AC279:AD279"/>
    <mergeCell ref="AE279:AF279"/>
    <mergeCell ref="AU278:AV278"/>
    <mergeCell ref="AW278:AX278"/>
    <mergeCell ref="AY278:AZ278"/>
    <mergeCell ref="BA278:BB278"/>
    <mergeCell ref="BC278:BD278"/>
    <mergeCell ref="BE278:BF278"/>
    <mergeCell ref="BG278:BH278"/>
    <mergeCell ref="E279:F279"/>
    <mergeCell ref="G279:H279"/>
    <mergeCell ref="I279:J279"/>
    <mergeCell ref="K279:L279"/>
    <mergeCell ref="M279:N279"/>
    <mergeCell ref="O279:P279"/>
    <mergeCell ref="Q279:R279"/>
    <mergeCell ref="AU281:AV281"/>
    <mergeCell ref="AW281:AX281"/>
    <mergeCell ref="AG281:AH281"/>
    <mergeCell ref="AI281:AJ281"/>
    <mergeCell ref="AK281:AL281"/>
    <mergeCell ref="AM281:AN281"/>
    <mergeCell ref="AO281:AP281"/>
    <mergeCell ref="AQ281:AR281"/>
    <mergeCell ref="AS281:AT281"/>
    <mergeCell ref="AY281:AZ281"/>
    <mergeCell ref="BA281:BB281"/>
    <mergeCell ref="BC281:BD281"/>
    <mergeCell ref="BE281:BF281"/>
    <mergeCell ref="BG281:BH281"/>
    <mergeCell ref="S280:T280"/>
    <mergeCell ref="U280:V280"/>
    <mergeCell ref="W280:X280"/>
    <mergeCell ref="Y280:Z280"/>
    <mergeCell ref="AA280:AB280"/>
    <mergeCell ref="AC280:AD280"/>
    <mergeCell ref="AE280:AF280"/>
    <mergeCell ref="AG280:AH280"/>
    <mergeCell ref="AI280:AJ280"/>
    <mergeCell ref="AK280:AL280"/>
    <mergeCell ref="AM280:AN280"/>
    <mergeCell ref="AO280:AP280"/>
    <mergeCell ref="AQ280:AR280"/>
    <mergeCell ref="AS280:AT280"/>
    <mergeCell ref="E280:F280"/>
    <mergeCell ref="G280:H280"/>
    <mergeCell ref="I280:J280"/>
    <mergeCell ref="K280:L280"/>
    <mergeCell ref="M280:N280"/>
    <mergeCell ref="O280:P280"/>
    <mergeCell ref="Q280:R280"/>
    <mergeCell ref="S281:T281"/>
    <mergeCell ref="AW282:AX282"/>
    <mergeCell ref="AY282:AZ282"/>
    <mergeCell ref="BA282:BB282"/>
    <mergeCell ref="BC282:BD282"/>
    <mergeCell ref="BE282:BF282"/>
    <mergeCell ref="BG282:BH282"/>
    <mergeCell ref="AU279:AV279"/>
    <mergeCell ref="AW279:AX279"/>
    <mergeCell ref="AG279:AH279"/>
    <mergeCell ref="AI279:AJ279"/>
    <mergeCell ref="AK279:AL279"/>
    <mergeCell ref="AM279:AN279"/>
    <mergeCell ref="AO279:AP279"/>
    <mergeCell ref="AQ279:AR279"/>
    <mergeCell ref="AS279:AT279"/>
    <mergeCell ref="BM279:BN279"/>
    <mergeCell ref="BO279:BP279"/>
    <mergeCell ref="AY279:AZ279"/>
    <mergeCell ref="BA279:BB279"/>
    <mergeCell ref="BC279:BD279"/>
    <mergeCell ref="BE279:BF279"/>
    <mergeCell ref="BG279:BH279"/>
    <mergeCell ref="BI279:BJ279"/>
    <mergeCell ref="BK279:BL279"/>
    <mergeCell ref="S278:T278"/>
    <mergeCell ref="U278:V278"/>
    <mergeCell ref="W278:X278"/>
    <mergeCell ref="Y278:Z278"/>
    <mergeCell ref="AA278:AB278"/>
    <mergeCell ref="AC278:AD278"/>
    <mergeCell ref="AE278:AF278"/>
    <mergeCell ref="AG278:AH278"/>
    <mergeCell ref="AI278:AJ278"/>
    <mergeCell ref="AK278:AL278"/>
    <mergeCell ref="AM278:AN278"/>
    <mergeCell ref="AO278:AP278"/>
    <mergeCell ref="AQ278:AR278"/>
    <mergeCell ref="AS278:AT278"/>
    <mergeCell ref="BI278:BJ278"/>
    <mergeCell ref="BK278:BL278"/>
    <mergeCell ref="BM278:BN278"/>
    <mergeCell ref="BO278:BP278"/>
    <mergeCell ref="BM281:BN281"/>
    <mergeCell ref="BO281:BP281"/>
    <mergeCell ref="BI281:BJ281"/>
    <mergeCell ref="BK281:BL281"/>
    <mergeCell ref="BI280:BJ280"/>
    <mergeCell ref="BK280:BL280"/>
    <mergeCell ref="BM280:BN280"/>
    <mergeCell ref="BO280:BP280"/>
    <mergeCell ref="U281:V281"/>
    <mergeCell ref="W281:X281"/>
    <mergeCell ref="Y281:Z281"/>
    <mergeCell ref="AA281:AB281"/>
    <mergeCell ref="AC281:AD281"/>
    <mergeCell ref="AE281:AF281"/>
    <mergeCell ref="AU280:AV280"/>
    <mergeCell ref="AW280:AX280"/>
    <mergeCell ref="AY280:AZ280"/>
    <mergeCell ref="BA280:BB280"/>
    <mergeCell ref="BC280:BD280"/>
    <mergeCell ref="BE280:BF280"/>
    <mergeCell ref="BG280:BH280"/>
    <mergeCell ref="BO277:BP277"/>
    <mergeCell ref="AU277:AV277"/>
    <mergeCell ref="AW277:AX277"/>
    <mergeCell ref="AY277:AZ277"/>
    <mergeCell ref="BA277:BB277"/>
    <mergeCell ref="BC277:BD277"/>
    <mergeCell ref="BE277:BF277"/>
    <mergeCell ref="BG277:BH277"/>
    <mergeCell ref="E277:F277"/>
    <mergeCell ref="G277:H277"/>
    <mergeCell ref="I277:J277"/>
    <mergeCell ref="K277:L277"/>
    <mergeCell ref="M277:N277"/>
    <mergeCell ref="O277:P277"/>
    <mergeCell ref="Q277:R277"/>
    <mergeCell ref="BM283:BN283"/>
    <mergeCell ref="BO283:BP283"/>
    <mergeCell ref="AY283:AZ283"/>
    <mergeCell ref="BA283:BB283"/>
    <mergeCell ref="BC283:BD283"/>
    <mergeCell ref="BE283:BF283"/>
    <mergeCell ref="BG283:BH283"/>
    <mergeCell ref="BI283:BJ283"/>
    <mergeCell ref="BK283:BL283"/>
    <mergeCell ref="S282:T282"/>
    <mergeCell ref="U282:V282"/>
    <mergeCell ref="W282:X282"/>
    <mergeCell ref="Y282:Z282"/>
    <mergeCell ref="AA282:AB282"/>
    <mergeCell ref="AC282:AD282"/>
    <mergeCell ref="AE282:AF282"/>
    <mergeCell ref="AG282:AH282"/>
    <mergeCell ref="AI282:AJ282"/>
    <mergeCell ref="AK282:AL282"/>
    <mergeCell ref="AM282:AN282"/>
    <mergeCell ref="AO282:AP282"/>
    <mergeCell ref="AQ282:AR282"/>
    <mergeCell ref="AS282:AT282"/>
    <mergeCell ref="BI282:BJ282"/>
    <mergeCell ref="BK282:BL282"/>
    <mergeCell ref="BM282:BN282"/>
    <mergeCell ref="BO282:BP282"/>
    <mergeCell ref="E282:F282"/>
    <mergeCell ref="G282:H282"/>
    <mergeCell ref="I282:J282"/>
    <mergeCell ref="K282:L282"/>
    <mergeCell ref="M282:N282"/>
    <mergeCell ref="O282:P282"/>
    <mergeCell ref="Q282:R282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Z283"/>
    <mergeCell ref="AA283:AB283"/>
    <mergeCell ref="AC283:AD283"/>
    <mergeCell ref="AE283:AF283"/>
    <mergeCell ref="AU282:AV282"/>
    <mergeCell ref="E274:F274"/>
    <mergeCell ref="G274:H274"/>
    <mergeCell ref="I274:J274"/>
    <mergeCell ref="K274:L274"/>
    <mergeCell ref="M274:N274"/>
    <mergeCell ref="O274:P274"/>
    <mergeCell ref="Q274:R274"/>
    <mergeCell ref="AU276:AV276"/>
    <mergeCell ref="AW276:AX276"/>
    <mergeCell ref="AG276:AH276"/>
    <mergeCell ref="AI276:AJ276"/>
    <mergeCell ref="AK276:AL276"/>
    <mergeCell ref="AM276:AN276"/>
    <mergeCell ref="AO276:AP276"/>
    <mergeCell ref="AQ276:AR276"/>
    <mergeCell ref="AS276:AT276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I277:AJ277"/>
    <mergeCell ref="AK277:AL277"/>
    <mergeCell ref="AM277:AN277"/>
    <mergeCell ref="AO277:AP277"/>
    <mergeCell ref="AQ277:AR277"/>
    <mergeCell ref="AS277:AT277"/>
    <mergeCell ref="BI277:BJ277"/>
    <mergeCell ref="BK277:BL277"/>
    <mergeCell ref="BM277:BN277"/>
    <mergeCell ref="E271:F271"/>
    <mergeCell ref="G271:H271"/>
    <mergeCell ref="I271:J271"/>
    <mergeCell ref="K271:L271"/>
    <mergeCell ref="M271:N271"/>
    <mergeCell ref="O271:P271"/>
    <mergeCell ref="Q271:R271"/>
    <mergeCell ref="S272:T272"/>
    <mergeCell ref="U272:V272"/>
    <mergeCell ref="W272:X272"/>
    <mergeCell ref="Y272:Z272"/>
    <mergeCell ref="AA272:AB272"/>
    <mergeCell ref="AC272:AD272"/>
    <mergeCell ref="AE272:AF272"/>
    <mergeCell ref="AU271:AV271"/>
    <mergeCell ref="AW271:AX271"/>
    <mergeCell ref="AY271:AZ271"/>
    <mergeCell ref="BA271:BB271"/>
    <mergeCell ref="BC271:BD271"/>
    <mergeCell ref="BE271:BF271"/>
    <mergeCell ref="BG271:BH271"/>
    <mergeCell ref="E272:F272"/>
    <mergeCell ref="G272:H272"/>
    <mergeCell ref="I272:J272"/>
    <mergeCell ref="K272:L272"/>
    <mergeCell ref="M272:N272"/>
    <mergeCell ref="O272:P272"/>
    <mergeCell ref="Q272:R272"/>
    <mergeCell ref="AU274:AV274"/>
    <mergeCell ref="AW274:AX274"/>
    <mergeCell ref="AG274:AH274"/>
    <mergeCell ref="AI274:AJ274"/>
    <mergeCell ref="AK274:AL274"/>
    <mergeCell ref="AM274:AN274"/>
    <mergeCell ref="AO274:AP274"/>
    <mergeCell ref="AQ274:AR274"/>
    <mergeCell ref="AS274:AT274"/>
    <mergeCell ref="AY274:AZ274"/>
    <mergeCell ref="BA274:BB274"/>
    <mergeCell ref="BC274:BD274"/>
    <mergeCell ref="BE274:BF274"/>
    <mergeCell ref="BG274:BH274"/>
    <mergeCell ref="S273:T273"/>
    <mergeCell ref="U273:V273"/>
    <mergeCell ref="W273:X273"/>
    <mergeCell ref="Y273:Z273"/>
    <mergeCell ref="AA273:AB273"/>
    <mergeCell ref="AC273:AD273"/>
    <mergeCell ref="AE273:AF273"/>
    <mergeCell ref="AG273:AH273"/>
    <mergeCell ref="AI273:AJ273"/>
    <mergeCell ref="AK273:AL273"/>
    <mergeCell ref="AM273:AN273"/>
    <mergeCell ref="AO273:AP273"/>
    <mergeCell ref="AQ273:AR273"/>
    <mergeCell ref="AS273:AT273"/>
    <mergeCell ref="E273:F273"/>
    <mergeCell ref="G273:H273"/>
    <mergeCell ref="I273:J273"/>
    <mergeCell ref="K273:L273"/>
    <mergeCell ref="M273:N273"/>
    <mergeCell ref="O273:P273"/>
    <mergeCell ref="Q273:R273"/>
    <mergeCell ref="S274:T274"/>
    <mergeCell ref="AW275:AX275"/>
    <mergeCell ref="AY275:AZ275"/>
    <mergeCell ref="BA275:BB275"/>
    <mergeCell ref="BC275:BD275"/>
    <mergeCell ref="BE275:BF275"/>
    <mergeCell ref="BG275:BH275"/>
    <mergeCell ref="AU272:AV272"/>
    <mergeCell ref="AW272:AX272"/>
    <mergeCell ref="AG272:AH272"/>
    <mergeCell ref="AI272:AJ272"/>
    <mergeCell ref="AK272:AL272"/>
    <mergeCell ref="AM272:AN272"/>
    <mergeCell ref="AO272:AP272"/>
    <mergeCell ref="AQ272:AR272"/>
    <mergeCell ref="AS272:AT272"/>
    <mergeCell ref="BM272:BN272"/>
    <mergeCell ref="BO272:BP272"/>
    <mergeCell ref="AY272:AZ272"/>
    <mergeCell ref="BA272:BB272"/>
    <mergeCell ref="BC272:BD272"/>
    <mergeCell ref="BE272:BF272"/>
    <mergeCell ref="BG272:BH272"/>
    <mergeCell ref="BI272:BJ272"/>
    <mergeCell ref="BK272:BL272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I271:AJ271"/>
    <mergeCell ref="AK271:AL271"/>
    <mergeCell ref="AM271:AN271"/>
    <mergeCell ref="AO271:AP271"/>
    <mergeCell ref="AQ271:AR271"/>
    <mergeCell ref="AS271:AT271"/>
    <mergeCell ref="BI271:BJ271"/>
    <mergeCell ref="BK271:BL271"/>
    <mergeCell ref="BM271:BN271"/>
    <mergeCell ref="BO271:BP271"/>
    <mergeCell ref="BM274:BN274"/>
    <mergeCell ref="BO274:BP274"/>
    <mergeCell ref="BI274:BJ274"/>
    <mergeCell ref="BK274:BL274"/>
    <mergeCell ref="BI273:BJ273"/>
    <mergeCell ref="BK273:BL273"/>
    <mergeCell ref="BM273:BN273"/>
    <mergeCell ref="BO273:BP273"/>
    <mergeCell ref="U274:V274"/>
    <mergeCell ref="W274:X274"/>
    <mergeCell ref="Y274:Z274"/>
    <mergeCell ref="AA274:AB274"/>
    <mergeCell ref="AC274:AD274"/>
    <mergeCell ref="AE274:AF274"/>
    <mergeCell ref="AU273:AV273"/>
    <mergeCell ref="AW273:AX273"/>
    <mergeCell ref="AY273:AZ273"/>
    <mergeCell ref="BA273:BB273"/>
    <mergeCell ref="BC273:BD273"/>
    <mergeCell ref="BE273:BF273"/>
    <mergeCell ref="BG273:BH273"/>
    <mergeCell ref="BO270:BP270"/>
    <mergeCell ref="AU270:AV270"/>
    <mergeCell ref="AW270:AX270"/>
    <mergeCell ref="AY270:AZ270"/>
    <mergeCell ref="BA270:BB270"/>
    <mergeCell ref="BC270:BD270"/>
    <mergeCell ref="BE270:BF270"/>
    <mergeCell ref="BG270:BH270"/>
    <mergeCell ref="E270:F270"/>
    <mergeCell ref="G270:H270"/>
    <mergeCell ref="I270:J270"/>
    <mergeCell ref="K270:L270"/>
    <mergeCell ref="M270:N270"/>
    <mergeCell ref="O270:P270"/>
    <mergeCell ref="Q270:R270"/>
    <mergeCell ref="BM276:BN276"/>
    <mergeCell ref="BO276:BP276"/>
    <mergeCell ref="AY276:AZ276"/>
    <mergeCell ref="BA276:BB276"/>
    <mergeCell ref="BC276:BD276"/>
    <mergeCell ref="BE276:BF276"/>
    <mergeCell ref="BG276:BH276"/>
    <mergeCell ref="BI276:BJ276"/>
    <mergeCell ref="BK276:BL276"/>
    <mergeCell ref="S275:T275"/>
    <mergeCell ref="U275:V275"/>
    <mergeCell ref="W275:X275"/>
    <mergeCell ref="Y275:Z275"/>
    <mergeCell ref="AA275:AB275"/>
    <mergeCell ref="AC275:AD275"/>
    <mergeCell ref="AE275:AF275"/>
    <mergeCell ref="AG275:AH275"/>
    <mergeCell ref="AI275:AJ275"/>
    <mergeCell ref="AK275:AL275"/>
    <mergeCell ref="AM275:AN275"/>
    <mergeCell ref="AO275:AP275"/>
    <mergeCell ref="AQ275:AR275"/>
    <mergeCell ref="AS275:AT275"/>
    <mergeCell ref="BI275:BJ275"/>
    <mergeCell ref="BK275:BL275"/>
    <mergeCell ref="BM275:BN275"/>
    <mergeCell ref="BO275:BP275"/>
    <mergeCell ref="E275:F275"/>
    <mergeCell ref="G275:H275"/>
    <mergeCell ref="I275:J275"/>
    <mergeCell ref="K275:L275"/>
    <mergeCell ref="M275:N275"/>
    <mergeCell ref="O275:P275"/>
    <mergeCell ref="Q275:R275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F276"/>
    <mergeCell ref="AU275:AV275"/>
    <mergeCell ref="E267:F267"/>
    <mergeCell ref="G267:H267"/>
    <mergeCell ref="I267:J267"/>
    <mergeCell ref="K267:L267"/>
    <mergeCell ref="M267:N267"/>
    <mergeCell ref="O267:P267"/>
    <mergeCell ref="Q267:R267"/>
    <mergeCell ref="AU269:AV269"/>
    <mergeCell ref="AW269:AX269"/>
    <mergeCell ref="AG269:AH269"/>
    <mergeCell ref="AI269:AJ269"/>
    <mergeCell ref="AK269:AL269"/>
    <mergeCell ref="AM269:AN269"/>
    <mergeCell ref="AO269:AP269"/>
    <mergeCell ref="AQ269:AR269"/>
    <mergeCell ref="AS269:AT269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I270:AJ270"/>
    <mergeCell ref="AK270:AL270"/>
    <mergeCell ref="AM270:AN270"/>
    <mergeCell ref="AO270:AP270"/>
    <mergeCell ref="AQ270:AR270"/>
    <mergeCell ref="AS270:AT270"/>
    <mergeCell ref="BI270:BJ270"/>
    <mergeCell ref="BK270:BL270"/>
    <mergeCell ref="BM270:BN270"/>
    <mergeCell ref="E264:F264"/>
    <mergeCell ref="G264:H264"/>
    <mergeCell ref="I264:J264"/>
    <mergeCell ref="K264:L264"/>
    <mergeCell ref="M264:N264"/>
    <mergeCell ref="O264:P264"/>
    <mergeCell ref="Q264:R264"/>
    <mergeCell ref="S265:T265"/>
    <mergeCell ref="U265:V265"/>
    <mergeCell ref="W265:X265"/>
    <mergeCell ref="Y265:Z265"/>
    <mergeCell ref="AA265:AB265"/>
    <mergeCell ref="AC265:AD265"/>
    <mergeCell ref="AE265:AF265"/>
    <mergeCell ref="AU264:AV264"/>
    <mergeCell ref="AW264:AX264"/>
    <mergeCell ref="AY264:AZ264"/>
    <mergeCell ref="BA264:BB264"/>
    <mergeCell ref="BC264:BD264"/>
    <mergeCell ref="BE264:BF264"/>
    <mergeCell ref="BG264:BH264"/>
    <mergeCell ref="E265:F265"/>
    <mergeCell ref="G265:H265"/>
    <mergeCell ref="I265:J265"/>
    <mergeCell ref="K265:L265"/>
    <mergeCell ref="M265:N265"/>
    <mergeCell ref="O265:P265"/>
    <mergeCell ref="Q265:R265"/>
    <mergeCell ref="AU267:AV267"/>
    <mergeCell ref="AW267:AX267"/>
    <mergeCell ref="AG267:AH267"/>
    <mergeCell ref="AI267:AJ267"/>
    <mergeCell ref="AK267:AL267"/>
    <mergeCell ref="AM267:AN267"/>
    <mergeCell ref="AO267:AP267"/>
    <mergeCell ref="AQ267:AR267"/>
    <mergeCell ref="AS267:AT267"/>
    <mergeCell ref="AY267:AZ267"/>
    <mergeCell ref="BA267:BB267"/>
    <mergeCell ref="BC267:BD267"/>
    <mergeCell ref="BE267:BF267"/>
    <mergeCell ref="BG267:BH267"/>
    <mergeCell ref="S266:T266"/>
    <mergeCell ref="U266:V266"/>
    <mergeCell ref="W266:X266"/>
    <mergeCell ref="Y266:Z266"/>
    <mergeCell ref="AA266:AB266"/>
    <mergeCell ref="AC266:AD266"/>
    <mergeCell ref="AE266:AF266"/>
    <mergeCell ref="AG266:AH266"/>
    <mergeCell ref="AI266:AJ266"/>
    <mergeCell ref="AK266:AL266"/>
    <mergeCell ref="AM266:AN266"/>
    <mergeCell ref="AO266:AP266"/>
    <mergeCell ref="AQ266:AR266"/>
    <mergeCell ref="AS266:AT266"/>
    <mergeCell ref="E266:F266"/>
    <mergeCell ref="G266:H266"/>
    <mergeCell ref="I266:J266"/>
    <mergeCell ref="K266:L266"/>
    <mergeCell ref="M266:N266"/>
    <mergeCell ref="O266:P266"/>
    <mergeCell ref="Q266:R266"/>
    <mergeCell ref="S267:T267"/>
    <mergeCell ref="AW268:AX268"/>
    <mergeCell ref="AY268:AZ268"/>
    <mergeCell ref="BA268:BB268"/>
    <mergeCell ref="BC268:BD268"/>
    <mergeCell ref="BE268:BF268"/>
    <mergeCell ref="BG268:BH268"/>
    <mergeCell ref="AU265:AV265"/>
    <mergeCell ref="AW265:AX265"/>
    <mergeCell ref="AG265:AH265"/>
    <mergeCell ref="AI265:AJ265"/>
    <mergeCell ref="AK265:AL265"/>
    <mergeCell ref="AM265:AN265"/>
    <mergeCell ref="AO265:AP265"/>
    <mergeCell ref="AQ265:AR265"/>
    <mergeCell ref="AS265:AT265"/>
    <mergeCell ref="BM265:BN265"/>
    <mergeCell ref="BO265:BP265"/>
    <mergeCell ref="AY265:AZ265"/>
    <mergeCell ref="BA265:BB265"/>
    <mergeCell ref="BC265:BD265"/>
    <mergeCell ref="BE265:BF265"/>
    <mergeCell ref="BG265:BH265"/>
    <mergeCell ref="BI265:BJ265"/>
    <mergeCell ref="BK265:BL265"/>
    <mergeCell ref="S264:T264"/>
    <mergeCell ref="U264:V264"/>
    <mergeCell ref="W264:X264"/>
    <mergeCell ref="Y264:Z264"/>
    <mergeCell ref="AA264:AB264"/>
    <mergeCell ref="AC264:AD264"/>
    <mergeCell ref="AE264:AF264"/>
    <mergeCell ref="AG264:AH264"/>
    <mergeCell ref="AI264:AJ264"/>
    <mergeCell ref="AK264:AL264"/>
    <mergeCell ref="AM264:AN264"/>
    <mergeCell ref="AO264:AP264"/>
    <mergeCell ref="AQ264:AR264"/>
    <mergeCell ref="AS264:AT264"/>
    <mergeCell ref="BI264:BJ264"/>
    <mergeCell ref="BK264:BL264"/>
    <mergeCell ref="BM264:BN264"/>
    <mergeCell ref="BO264:BP264"/>
    <mergeCell ref="BM267:BN267"/>
    <mergeCell ref="BO267:BP267"/>
    <mergeCell ref="BI267:BJ267"/>
    <mergeCell ref="BK267:BL267"/>
    <mergeCell ref="BI266:BJ266"/>
    <mergeCell ref="BK266:BL266"/>
    <mergeCell ref="BM266:BN266"/>
    <mergeCell ref="BO266:BP266"/>
    <mergeCell ref="U267:V267"/>
    <mergeCell ref="W267:X267"/>
    <mergeCell ref="Y267:Z267"/>
    <mergeCell ref="AA267:AB267"/>
    <mergeCell ref="AC267:AD267"/>
    <mergeCell ref="AE267:AF267"/>
    <mergeCell ref="AU266:AV266"/>
    <mergeCell ref="AW266:AX266"/>
    <mergeCell ref="AY266:AZ266"/>
    <mergeCell ref="BA266:BB266"/>
    <mergeCell ref="BC266:BD266"/>
    <mergeCell ref="BE266:BF266"/>
    <mergeCell ref="BG266:BH266"/>
    <mergeCell ref="BO263:BP263"/>
    <mergeCell ref="AU263:AV263"/>
    <mergeCell ref="AW263:AX263"/>
    <mergeCell ref="AY263:AZ263"/>
    <mergeCell ref="BA263:BB263"/>
    <mergeCell ref="BC263:BD263"/>
    <mergeCell ref="BE263:BF263"/>
    <mergeCell ref="BG263:BH263"/>
    <mergeCell ref="E263:F263"/>
    <mergeCell ref="G263:H263"/>
    <mergeCell ref="I263:J263"/>
    <mergeCell ref="K263:L263"/>
    <mergeCell ref="M263:N263"/>
    <mergeCell ref="O263:P263"/>
    <mergeCell ref="Q263:R263"/>
    <mergeCell ref="BM269:BN269"/>
    <mergeCell ref="BO269:BP269"/>
    <mergeCell ref="AY269:AZ269"/>
    <mergeCell ref="BA269:BB269"/>
    <mergeCell ref="BC269:BD269"/>
    <mergeCell ref="BE269:BF269"/>
    <mergeCell ref="BG269:BH269"/>
    <mergeCell ref="BI269:BJ269"/>
    <mergeCell ref="BK269:BL269"/>
    <mergeCell ref="S268:T268"/>
    <mergeCell ref="U268:V268"/>
    <mergeCell ref="W268:X268"/>
    <mergeCell ref="Y268:Z268"/>
    <mergeCell ref="AA268:AB268"/>
    <mergeCell ref="AC268:AD268"/>
    <mergeCell ref="AE268:AF268"/>
    <mergeCell ref="AG268:AH268"/>
    <mergeCell ref="AI268:AJ268"/>
    <mergeCell ref="AK268:AL268"/>
    <mergeCell ref="AM268:AN268"/>
    <mergeCell ref="AO268:AP268"/>
    <mergeCell ref="AQ268:AR268"/>
    <mergeCell ref="AS268:AT268"/>
    <mergeCell ref="BI268:BJ268"/>
    <mergeCell ref="BK268:BL268"/>
    <mergeCell ref="BM268:BN268"/>
    <mergeCell ref="BO268:BP268"/>
    <mergeCell ref="E268:F268"/>
    <mergeCell ref="G268:H268"/>
    <mergeCell ref="I268:J268"/>
    <mergeCell ref="K268:L268"/>
    <mergeCell ref="M268:N268"/>
    <mergeCell ref="O268:P268"/>
    <mergeCell ref="Q268:R268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AC269:AD269"/>
    <mergeCell ref="AE269:AF269"/>
    <mergeCell ref="AU268:AV268"/>
    <mergeCell ref="E260:F260"/>
    <mergeCell ref="G260:H260"/>
    <mergeCell ref="I260:J260"/>
    <mergeCell ref="K260:L260"/>
    <mergeCell ref="M260:N260"/>
    <mergeCell ref="O260:P260"/>
    <mergeCell ref="Q260:R260"/>
    <mergeCell ref="AU262:AV262"/>
    <mergeCell ref="AW262:AX262"/>
    <mergeCell ref="AG262:AH262"/>
    <mergeCell ref="AI262:AJ262"/>
    <mergeCell ref="AK262:AL262"/>
    <mergeCell ref="AM262:AN262"/>
    <mergeCell ref="AO262:AP262"/>
    <mergeCell ref="AQ262:AR262"/>
    <mergeCell ref="AS262:AT262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I263:AJ263"/>
    <mergeCell ref="AK263:AL263"/>
    <mergeCell ref="AM263:AN263"/>
    <mergeCell ref="AO263:AP263"/>
    <mergeCell ref="AQ263:AR263"/>
    <mergeCell ref="AS263:AT263"/>
    <mergeCell ref="BI263:BJ263"/>
    <mergeCell ref="BK263:BL263"/>
    <mergeCell ref="BM263:BN263"/>
    <mergeCell ref="E257:F257"/>
    <mergeCell ref="G257:H257"/>
    <mergeCell ref="I257:J257"/>
    <mergeCell ref="K257:L257"/>
    <mergeCell ref="M257:N257"/>
    <mergeCell ref="O257:P257"/>
    <mergeCell ref="Q257:R257"/>
    <mergeCell ref="S258:T258"/>
    <mergeCell ref="U258:V258"/>
    <mergeCell ref="W258:X258"/>
    <mergeCell ref="Y258:Z258"/>
    <mergeCell ref="AA258:AB258"/>
    <mergeCell ref="AC258:AD258"/>
    <mergeCell ref="AE258:AF258"/>
    <mergeCell ref="AU257:AV257"/>
    <mergeCell ref="AW257:AX257"/>
    <mergeCell ref="AY257:AZ257"/>
    <mergeCell ref="BA257:BB257"/>
    <mergeCell ref="BC257:BD257"/>
    <mergeCell ref="BE257:BF257"/>
    <mergeCell ref="BG257:BH257"/>
    <mergeCell ref="E258:F258"/>
    <mergeCell ref="G258:H258"/>
    <mergeCell ref="I258:J258"/>
    <mergeCell ref="K258:L258"/>
    <mergeCell ref="M258:N258"/>
    <mergeCell ref="O258:P258"/>
    <mergeCell ref="Q258:R258"/>
    <mergeCell ref="AU260:AV260"/>
    <mergeCell ref="AW260:AX260"/>
    <mergeCell ref="AG260:AH260"/>
    <mergeCell ref="AI260:AJ260"/>
    <mergeCell ref="AK260:AL260"/>
    <mergeCell ref="AM260:AN260"/>
    <mergeCell ref="AO260:AP260"/>
    <mergeCell ref="AQ260:AR260"/>
    <mergeCell ref="AS260:AT260"/>
    <mergeCell ref="AY260:AZ260"/>
    <mergeCell ref="BA260:BB260"/>
    <mergeCell ref="BC260:BD260"/>
    <mergeCell ref="BE260:BF260"/>
    <mergeCell ref="BG260:BH260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I259:AJ259"/>
    <mergeCell ref="AK259:AL259"/>
    <mergeCell ref="AM259:AN259"/>
    <mergeCell ref="AO259:AP259"/>
    <mergeCell ref="AQ259:AR259"/>
    <mergeCell ref="AS259:AT259"/>
    <mergeCell ref="E259:F259"/>
    <mergeCell ref="G259:H259"/>
    <mergeCell ref="I259:J259"/>
    <mergeCell ref="K259:L259"/>
    <mergeCell ref="M259:N259"/>
    <mergeCell ref="O259:P259"/>
    <mergeCell ref="Q259:R259"/>
    <mergeCell ref="S260:T260"/>
    <mergeCell ref="AW261:AX261"/>
    <mergeCell ref="AY261:AZ261"/>
    <mergeCell ref="BA261:BB261"/>
    <mergeCell ref="BC261:BD261"/>
    <mergeCell ref="BE261:BF261"/>
    <mergeCell ref="BG261:BH261"/>
    <mergeCell ref="AU258:AV258"/>
    <mergeCell ref="AW258:AX258"/>
    <mergeCell ref="AG258:AH258"/>
    <mergeCell ref="AI258:AJ258"/>
    <mergeCell ref="AK258:AL258"/>
    <mergeCell ref="AM258:AN258"/>
    <mergeCell ref="AO258:AP258"/>
    <mergeCell ref="AQ258:AR258"/>
    <mergeCell ref="AS258:AT258"/>
    <mergeCell ref="BM258:BN258"/>
    <mergeCell ref="BO258:BP258"/>
    <mergeCell ref="AY258:AZ258"/>
    <mergeCell ref="BA258:BB258"/>
    <mergeCell ref="BC258:BD258"/>
    <mergeCell ref="BE258:BF258"/>
    <mergeCell ref="BG258:BH258"/>
    <mergeCell ref="BI258:BJ258"/>
    <mergeCell ref="BK258:BL258"/>
    <mergeCell ref="S257:T257"/>
    <mergeCell ref="U257:V257"/>
    <mergeCell ref="W257:X257"/>
    <mergeCell ref="Y257:Z257"/>
    <mergeCell ref="AA257:AB257"/>
    <mergeCell ref="AC257:AD257"/>
    <mergeCell ref="AE257:AF257"/>
    <mergeCell ref="AG257:AH257"/>
    <mergeCell ref="AI257:AJ257"/>
    <mergeCell ref="AK257:AL257"/>
    <mergeCell ref="AM257:AN257"/>
    <mergeCell ref="AO257:AP257"/>
    <mergeCell ref="AQ257:AR257"/>
    <mergeCell ref="AS257:AT257"/>
    <mergeCell ref="BI257:BJ257"/>
    <mergeCell ref="BK257:BL257"/>
    <mergeCell ref="BM257:BN257"/>
    <mergeCell ref="BO257:BP257"/>
    <mergeCell ref="BM260:BN260"/>
    <mergeCell ref="BO260:BP260"/>
    <mergeCell ref="BI260:BJ260"/>
    <mergeCell ref="BK260:BL260"/>
    <mergeCell ref="BI259:BJ259"/>
    <mergeCell ref="BK259:BL259"/>
    <mergeCell ref="BM259:BN259"/>
    <mergeCell ref="BO259:BP259"/>
    <mergeCell ref="U260:V260"/>
    <mergeCell ref="W260:X260"/>
    <mergeCell ref="Y260:Z260"/>
    <mergeCell ref="AA260:AB260"/>
    <mergeCell ref="AC260:AD260"/>
    <mergeCell ref="AE260:AF260"/>
    <mergeCell ref="AU259:AV259"/>
    <mergeCell ref="AW259:AX259"/>
    <mergeCell ref="AY259:AZ259"/>
    <mergeCell ref="BA259:BB259"/>
    <mergeCell ref="BC259:BD259"/>
    <mergeCell ref="BE259:BF259"/>
    <mergeCell ref="BG259:BH259"/>
    <mergeCell ref="BO256:BP256"/>
    <mergeCell ref="AU256:AV256"/>
    <mergeCell ref="AW256:AX256"/>
    <mergeCell ref="AY256:AZ256"/>
    <mergeCell ref="BA256:BB256"/>
    <mergeCell ref="BC256:BD256"/>
    <mergeCell ref="BE256:BF256"/>
    <mergeCell ref="BG256:BH256"/>
    <mergeCell ref="E256:F256"/>
    <mergeCell ref="G256:H256"/>
    <mergeCell ref="I256:J256"/>
    <mergeCell ref="K256:L256"/>
    <mergeCell ref="M256:N256"/>
    <mergeCell ref="O256:P256"/>
    <mergeCell ref="Q256:R256"/>
    <mergeCell ref="BM262:BN262"/>
    <mergeCell ref="BO262:BP262"/>
    <mergeCell ref="AY262:AZ262"/>
    <mergeCell ref="BA262:BB262"/>
    <mergeCell ref="BC262:BD262"/>
    <mergeCell ref="BE262:BF262"/>
    <mergeCell ref="BG262:BH262"/>
    <mergeCell ref="BI262:BJ262"/>
    <mergeCell ref="BK262:BL262"/>
    <mergeCell ref="S261:T261"/>
    <mergeCell ref="U261:V261"/>
    <mergeCell ref="W261:X261"/>
    <mergeCell ref="Y261:Z261"/>
    <mergeCell ref="AA261:AB261"/>
    <mergeCell ref="AC261:AD261"/>
    <mergeCell ref="AE261:AF261"/>
    <mergeCell ref="AG261:AH261"/>
    <mergeCell ref="AI261:AJ261"/>
    <mergeCell ref="AK261:AL261"/>
    <mergeCell ref="AM261:AN261"/>
    <mergeCell ref="AO261:AP261"/>
    <mergeCell ref="AQ261:AR261"/>
    <mergeCell ref="AS261:AT261"/>
    <mergeCell ref="BI261:BJ261"/>
    <mergeCell ref="BK261:BL261"/>
    <mergeCell ref="BM261:BN261"/>
    <mergeCell ref="BO261:BP261"/>
    <mergeCell ref="E261:F261"/>
    <mergeCell ref="G261:H261"/>
    <mergeCell ref="I261:J261"/>
    <mergeCell ref="K261:L261"/>
    <mergeCell ref="M261:N261"/>
    <mergeCell ref="O261:P261"/>
    <mergeCell ref="Q261:R261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F262"/>
    <mergeCell ref="AU261:AV261"/>
    <mergeCell ref="E253:F253"/>
    <mergeCell ref="G253:H253"/>
    <mergeCell ref="I253:J253"/>
    <mergeCell ref="K253:L253"/>
    <mergeCell ref="M253:N253"/>
    <mergeCell ref="O253:P253"/>
    <mergeCell ref="Q253:R253"/>
    <mergeCell ref="AU255:AV255"/>
    <mergeCell ref="AW255:AX255"/>
    <mergeCell ref="AG255:AH255"/>
    <mergeCell ref="AI255:AJ255"/>
    <mergeCell ref="AK255:AL255"/>
    <mergeCell ref="AM255:AN255"/>
    <mergeCell ref="AO255:AP255"/>
    <mergeCell ref="AQ255:AR255"/>
    <mergeCell ref="AS255:AT255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I256:AJ256"/>
    <mergeCell ref="AK256:AL256"/>
    <mergeCell ref="AM256:AN256"/>
    <mergeCell ref="AO256:AP256"/>
    <mergeCell ref="AQ256:AR256"/>
    <mergeCell ref="AS256:AT256"/>
    <mergeCell ref="BI256:BJ256"/>
    <mergeCell ref="BK256:BL256"/>
    <mergeCell ref="BM256:BN256"/>
    <mergeCell ref="E250:F250"/>
    <mergeCell ref="G250:H250"/>
    <mergeCell ref="I250:J250"/>
    <mergeCell ref="K250:L250"/>
    <mergeCell ref="M250:N250"/>
    <mergeCell ref="O250:P250"/>
    <mergeCell ref="Q250:R250"/>
    <mergeCell ref="S251:T251"/>
    <mergeCell ref="U251:V251"/>
    <mergeCell ref="W251:X251"/>
    <mergeCell ref="Y251:Z251"/>
    <mergeCell ref="AA251:AB251"/>
    <mergeCell ref="AC251:AD251"/>
    <mergeCell ref="AE251:AF251"/>
    <mergeCell ref="AU250:AV250"/>
    <mergeCell ref="AW250:AX250"/>
    <mergeCell ref="AY250:AZ250"/>
    <mergeCell ref="BA250:BB250"/>
    <mergeCell ref="BC250:BD250"/>
    <mergeCell ref="BE250:BF250"/>
    <mergeCell ref="BG250:BH250"/>
    <mergeCell ref="E251:F251"/>
    <mergeCell ref="G251:H251"/>
    <mergeCell ref="I251:J251"/>
    <mergeCell ref="K251:L251"/>
    <mergeCell ref="M251:N251"/>
    <mergeCell ref="O251:P251"/>
    <mergeCell ref="Q251:R251"/>
    <mergeCell ref="AU253:AV253"/>
    <mergeCell ref="AW253:AX253"/>
    <mergeCell ref="AG253:AH253"/>
    <mergeCell ref="AI253:AJ253"/>
    <mergeCell ref="AK253:AL253"/>
    <mergeCell ref="AM253:AN253"/>
    <mergeCell ref="AO253:AP253"/>
    <mergeCell ref="AQ253:AR253"/>
    <mergeCell ref="AS253:AT253"/>
    <mergeCell ref="AY253:AZ253"/>
    <mergeCell ref="BA253:BB253"/>
    <mergeCell ref="BC253:BD253"/>
    <mergeCell ref="BE253:BF253"/>
    <mergeCell ref="BG253:BH253"/>
    <mergeCell ref="S252:T252"/>
    <mergeCell ref="U252:V252"/>
    <mergeCell ref="W252:X252"/>
    <mergeCell ref="Y252:Z252"/>
    <mergeCell ref="AA252:AB252"/>
    <mergeCell ref="AC252:AD252"/>
    <mergeCell ref="AE252:AF252"/>
    <mergeCell ref="AG252:AH252"/>
    <mergeCell ref="AI252:AJ252"/>
    <mergeCell ref="AK252:AL252"/>
    <mergeCell ref="AM252:AN252"/>
    <mergeCell ref="AO252:AP252"/>
    <mergeCell ref="AQ252:AR252"/>
    <mergeCell ref="AS252:AT252"/>
    <mergeCell ref="E252:F252"/>
    <mergeCell ref="G252:H252"/>
    <mergeCell ref="I252:J252"/>
    <mergeCell ref="K252:L252"/>
    <mergeCell ref="M252:N252"/>
    <mergeCell ref="O252:P252"/>
    <mergeCell ref="Q252:R252"/>
    <mergeCell ref="S253:T253"/>
    <mergeCell ref="AW254:AX254"/>
    <mergeCell ref="AY254:AZ254"/>
    <mergeCell ref="BA254:BB254"/>
    <mergeCell ref="BC254:BD254"/>
    <mergeCell ref="BE254:BF254"/>
    <mergeCell ref="BG254:BH254"/>
    <mergeCell ref="AU251:AV251"/>
    <mergeCell ref="AW251:AX251"/>
    <mergeCell ref="AG251:AH251"/>
    <mergeCell ref="AI251:AJ251"/>
    <mergeCell ref="AK251:AL251"/>
    <mergeCell ref="AM251:AN251"/>
    <mergeCell ref="AO251:AP251"/>
    <mergeCell ref="AQ251:AR251"/>
    <mergeCell ref="AS251:AT251"/>
    <mergeCell ref="BM251:BN251"/>
    <mergeCell ref="BO251:BP251"/>
    <mergeCell ref="AY251:AZ251"/>
    <mergeCell ref="BA251:BB251"/>
    <mergeCell ref="BC251:BD251"/>
    <mergeCell ref="BE251:BF251"/>
    <mergeCell ref="BG251:BH251"/>
    <mergeCell ref="BI251:BJ251"/>
    <mergeCell ref="BK251:BL251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I250:AJ250"/>
    <mergeCell ref="AK250:AL250"/>
    <mergeCell ref="AM250:AN250"/>
    <mergeCell ref="AO250:AP250"/>
    <mergeCell ref="AQ250:AR250"/>
    <mergeCell ref="AS250:AT250"/>
    <mergeCell ref="BI250:BJ250"/>
    <mergeCell ref="BK250:BL250"/>
    <mergeCell ref="BM250:BN250"/>
    <mergeCell ref="BO250:BP250"/>
    <mergeCell ref="BM253:BN253"/>
    <mergeCell ref="BO253:BP253"/>
    <mergeCell ref="BI253:BJ253"/>
    <mergeCell ref="BK253:BL253"/>
    <mergeCell ref="BI252:BJ252"/>
    <mergeCell ref="BK252:BL252"/>
    <mergeCell ref="BM252:BN252"/>
    <mergeCell ref="BO252:BP252"/>
    <mergeCell ref="U253:V253"/>
    <mergeCell ref="W253:X253"/>
    <mergeCell ref="Y253:Z253"/>
    <mergeCell ref="AA253:AB253"/>
    <mergeCell ref="AC253:AD253"/>
    <mergeCell ref="AE253:AF253"/>
    <mergeCell ref="AU252:AV252"/>
    <mergeCell ref="AW252:AX252"/>
    <mergeCell ref="AY252:AZ252"/>
    <mergeCell ref="BA252:BB252"/>
    <mergeCell ref="BC252:BD252"/>
    <mergeCell ref="BE252:BF252"/>
    <mergeCell ref="BG252:BH252"/>
    <mergeCell ref="BO249:BP249"/>
    <mergeCell ref="AU249:AV249"/>
    <mergeCell ref="AW249:AX249"/>
    <mergeCell ref="AY249:AZ249"/>
    <mergeCell ref="BA249:BB249"/>
    <mergeCell ref="BC249:BD249"/>
    <mergeCell ref="BE249:BF249"/>
    <mergeCell ref="BG249:BH249"/>
    <mergeCell ref="E249:F249"/>
    <mergeCell ref="G249:H249"/>
    <mergeCell ref="I249:J249"/>
    <mergeCell ref="K249:L249"/>
    <mergeCell ref="M249:N249"/>
    <mergeCell ref="O249:P249"/>
    <mergeCell ref="Q249:R249"/>
    <mergeCell ref="BM255:BN255"/>
    <mergeCell ref="BO255:BP255"/>
    <mergeCell ref="AY255:AZ255"/>
    <mergeCell ref="BA255:BB255"/>
    <mergeCell ref="BC255:BD255"/>
    <mergeCell ref="BE255:BF255"/>
    <mergeCell ref="BG255:BH255"/>
    <mergeCell ref="BI255:BJ255"/>
    <mergeCell ref="BK255:BL255"/>
    <mergeCell ref="S254:T254"/>
    <mergeCell ref="U254:V254"/>
    <mergeCell ref="W254:X254"/>
    <mergeCell ref="Y254:Z254"/>
    <mergeCell ref="AA254:AB254"/>
    <mergeCell ref="AC254:AD254"/>
    <mergeCell ref="AE254:AF254"/>
    <mergeCell ref="AG254:AH254"/>
    <mergeCell ref="AI254:AJ254"/>
    <mergeCell ref="AK254:AL254"/>
    <mergeCell ref="AM254:AN254"/>
    <mergeCell ref="AO254:AP254"/>
    <mergeCell ref="AQ254:AR254"/>
    <mergeCell ref="AS254:AT254"/>
    <mergeCell ref="BI254:BJ254"/>
    <mergeCell ref="BK254:BL254"/>
    <mergeCell ref="BM254:BN254"/>
    <mergeCell ref="BO254:BP254"/>
    <mergeCell ref="E254:F254"/>
    <mergeCell ref="G254:H254"/>
    <mergeCell ref="I254:J254"/>
    <mergeCell ref="K254:L254"/>
    <mergeCell ref="M254:N254"/>
    <mergeCell ref="O254:P254"/>
    <mergeCell ref="Q254:R254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U254:AV254"/>
    <mergeCell ref="E246:F246"/>
    <mergeCell ref="G246:H246"/>
    <mergeCell ref="I246:J246"/>
    <mergeCell ref="K246:L246"/>
    <mergeCell ref="M246:N246"/>
    <mergeCell ref="O246:P246"/>
    <mergeCell ref="Q246:R246"/>
    <mergeCell ref="AU248:AV248"/>
    <mergeCell ref="AW248:AX248"/>
    <mergeCell ref="AG248:AH248"/>
    <mergeCell ref="AI248:AJ248"/>
    <mergeCell ref="AK248:AL248"/>
    <mergeCell ref="AM248:AN248"/>
    <mergeCell ref="AO248:AP248"/>
    <mergeCell ref="AQ248:AR248"/>
    <mergeCell ref="AS248:AT248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I249:AJ249"/>
    <mergeCell ref="AK249:AL249"/>
    <mergeCell ref="AM249:AN249"/>
    <mergeCell ref="AO249:AP249"/>
    <mergeCell ref="AQ249:AR249"/>
    <mergeCell ref="AS249:AT249"/>
    <mergeCell ref="BI249:BJ249"/>
    <mergeCell ref="BK249:BL249"/>
    <mergeCell ref="BM249:BN249"/>
    <mergeCell ref="E243:F243"/>
    <mergeCell ref="G243:H243"/>
    <mergeCell ref="I243:J243"/>
    <mergeCell ref="K243:L243"/>
    <mergeCell ref="M243:N243"/>
    <mergeCell ref="O243:P243"/>
    <mergeCell ref="Q243:R243"/>
    <mergeCell ref="S244:T244"/>
    <mergeCell ref="U244:V244"/>
    <mergeCell ref="W244:X244"/>
    <mergeCell ref="Y244:Z244"/>
    <mergeCell ref="AA244:AB244"/>
    <mergeCell ref="AC244:AD244"/>
    <mergeCell ref="AE244:AF244"/>
    <mergeCell ref="AU243:AV243"/>
    <mergeCell ref="AW243:AX243"/>
    <mergeCell ref="AY243:AZ243"/>
    <mergeCell ref="BA243:BB243"/>
    <mergeCell ref="BC243:BD243"/>
    <mergeCell ref="BE243:BF243"/>
    <mergeCell ref="BG243:BH243"/>
    <mergeCell ref="E244:F244"/>
    <mergeCell ref="G244:H244"/>
    <mergeCell ref="I244:J244"/>
    <mergeCell ref="K244:L244"/>
    <mergeCell ref="M244:N244"/>
    <mergeCell ref="O244:P244"/>
    <mergeCell ref="Q244:R244"/>
    <mergeCell ref="AU246:AV246"/>
    <mergeCell ref="AW246:AX246"/>
    <mergeCell ref="AG246:AH246"/>
    <mergeCell ref="AI246:AJ246"/>
    <mergeCell ref="AK246:AL246"/>
    <mergeCell ref="AM246:AN246"/>
    <mergeCell ref="AO246:AP246"/>
    <mergeCell ref="AQ246:AR246"/>
    <mergeCell ref="AS246:AT246"/>
    <mergeCell ref="AY246:AZ246"/>
    <mergeCell ref="BA246:BB246"/>
    <mergeCell ref="BC246:BD246"/>
    <mergeCell ref="BE246:BF246"/>
    <mergeCell ref="BG246:BH246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I245:AJ245"/>
    <mergeCell ref="AK245:AL245"/>
    <mergeCell ref="AM245:AN245"/>
    <mergeCell ref="AO245:AP245"/>
    <mergeCell ref="AQ245:AR245"/>
    <mergeCell ref="AS245:AT245"/>
    <mergeCell ref="E245:F245"/>
    <mergeCell ref="G245:H245"/>
    <mergeCell ref="I245:J245"/>
    <mergeCell ref="K245:L245"/>
    <mergeCell ref="M245:N245"/>
    <mergeCell ref="O245:P245"/>
    <mergeCell ref="Q245:R245"/>
    <mergeCell ref="S246:T246"/>
    <mergeCell ref="AW247:AX247"/>
    <mergeCell ref="AY247:AZ247"/>
    <mergeCell ref="BA247:BB247"/>
    <mergeCell ref="BC247:BD247"/>
    <mergeCell ref="BE247:BF247"/>
    <mergeCell ref="BG247:BH247"/>
    <mergeCell ref="AU244:AV244"/>
    <mergeCell ref="AW244:AX244"/>
    <mergeCell ref="AG244:AH244"/>
    <mergeCell ref="AI244:AJ244"/>
    <mergeCell ref="AK244:AL244"/>
    <mergeCell ref="AM244:AN244"/>
    <mergeCell ref="AO244:AP244"/>
    <mergeCell ref="AQ244:AR244"/>
    <mergeCell ref="AS244:AT244"/>
    <mergeCell ref="BM244:BN244"/>
    <mergeCell ref="BO244:BP244"/>
    <mergeCell ref="AY244:AZ244"/>
    <mergeCell ref="BA244:BB244"/>
    <mergeCell ref="BC244:BD244"/>
    <mergeCell ref="BE244:BF244"/>
    <mergeCell ref="BG244:BH244"/>
    <mergeCell ref="BI244:BJ244"/>
    <mergeCell ref="BK244:BL244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I243:AJ243"/>
    <mergeCell ref="AK243:AL243"/>
    <mergeCell ref="AM243:AN243"/>
    <mergeCell ref="AO243:AP243"/>
    <mergeCell ref="AQ243:AR243"/>
    <mergeCell ref="AS243:AT243"/>
    <mergeCell ref="BI243:BJ243"/>
    <mergeCell ref="BK243:BL243"/>
    <mergeCell ref="BM243:BN243"/>
    <mergeCell ref="BO243:BP243"/>
    <mergeCell ref="BM246:BN246"/>
    <mergeCell ref="BO246:BP246"/>
    <mergeCell ref="BI246:BJ246"/>
    <mergeCell ref="BK246:BL246"/>
    <mergeCell ref="BI245:BJ245"/>
    <mergeCell ref="BK245:BL245"/>
    <mergeCell ref="BM245:BN245"/>
    <mergeCell ref="BO245:BP245"/>
    <mergeCell ref="U246:V246"/>
    <mergeCell ref="W246:X246"/>
    <mergeCell ref="Y246:Z246"/>
    <mergeCell ref="AA246:AB246"/>
    <mergeCell ref="AC246:AD246"/>
    <mergeCell ref="AE246:AF246"/>
    <mergeCell ref="AU245:AV245"/>
    <mergeCell ref="AW245:AX245"/>
    <mergeCell ref="AY245:AZ245"/>
    <mergeCell ref="BA245:BB245"/>
    <mergeCell ref="BC245:BD245"/>
    <mergeCell ref="BE245:BF245"/>
    <mergeCell ref="BG245:BH245"/>
    <mergeCell ref="BO242:BP242"/>
    <mergeCell ref="AU242:AV242"/>
    <mergeCell ref="AW242:AX242"/>
    <mergeCell ref="AY242:AZ242"/>
    <mergeCell ref="BA242:BB242"/>
    <mergeCell ref="BC242:BD242"/>
    <mergeCell ref="BE242:BF242"/>
    <mergeCell ref="BG242:BH242"/>
    <mergeCell ref="E242:F242"/>
    <mergeCell ref="G242:H242"/>
    <mergeCell ref="I242:J242"/>
    <mergeCell ref="K242:L242"/>
    <mergeCell ref="M242:N242"/>
    <mergeCell ref="O242:P242"/>
    <mergeCell ref="Q242:R242"/>
    <mergeCell ref="BM248:BN248"/>
    <mergeCell ref="BO248:BP248"/>
    <mergeCell ref="AY248:AZ248"/>
    <mergeCell ref="BA248:BB248"/>
    <mergeCell ref="BC248:BD248"/>
    <mergeCell ref="BE248:BF248"/>
    <mergeCell ref="BG248:BH248"/>
    <mergeCell ref="BI248:BJ248"/>
    <mergeCell ref="BK248:BL248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I247:AJ247"/>
    <mergeCell ref="AK247:AL247"/>
    <mergeCell ref="AM247:AN247"/>
    <mergeCell ref="AO247:AP247"/>
    <mergeCell ref="AQ247:AR247"/>
    <mergeCell ref="AS247:AT247"/>
    <mergeCell ref="BI247:BJ247"/>
    <mergeCell ref="BK247:BL247"/>
    <mergeCell ref="BM247:BN247"/>
    <mergeCell ref="BO247:BP247"/>
    <mergeCell ref="E247:F247"/>
    <mergeCell ref="G247:H247"/>
    <mergeCell ref="I247:J247"/>
    <mergeCell ref="K247:L247"/>
    <mergeCell ref="M247:N247"/>
    <mergeCell ref="O247:P247"/>
    <mergeCell ref="Q247:R247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U247:AV247"/>
    <mergeCell ref="E239:F239"/>
    <mergeCell ref="G239:H239"/>
    <mergeCell ref="I239:J239"/>
    <mergeCell ref="K239:L239"/>
    <mergeCell ref="M239:N239"/>
    <mergeCell ref="O239:P239"/>
    <mergeCell ref="Q239:R239"/>
    <mergeCell ref="AU241:AV241"/>
    <mergeCell ref="AW241:AX241"/>
    <mergeCell ref="AG241:AH241"/>
    <mergeCell ref="AI241:AJ241"/>
    <mergeCell ref="AK241:AL241"/>
    <mergeCell ref="AM241:AN241"/>
    <mergeCell ref="AO241:AP241"/>
    <mergeCell ref="AQ241:AR241"/>
    <mergeCell ref="AS241:AT241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I242:AJ242"/>
    <mergeCell ref="AK242:AL242"/>
    <mergeCell ref="AM242:AN242"/>
    <mergeCell ref="AO242:AP242"/>
    <mergeCell ref="AQ242:AR242"/>
    <mergeCell ref="AS242:AT242"/>
    <mergeCell ref="BI242:BJ242"/>
    <mergeCell ref="BK242:BL242"/>
    <mergeCell ref="BM242:BN242"/>
    <mergeCell ref="E236:F236"/>
    <mergeCell ref="G236:H236"/>
    <mergeCell ref="I236:J236"/>
    <mergeCell ref="K236:L236"/>
    <mergeCell ref="M236:N236"/>
    <mergeCell ref="O236:P236"/>
    <mergeCell ref="Q236:R236"/>
    <mergeCell ref="S237:T237"/>
    <mergeCell ref="U237:V237"/>
    <mergeCell ref="W237:X237"/>
    <mergeCell ref="Y237:Z237"/>
    <mergeCell ref="AA237:AB237"/>
    <mergeCell ref="AC237:AD237"/>
    <mergeCell ref="AE237:AF237"/>
    <mergeCell ref="AU236:AV236"/>
    <mergeCell ref="AW236:AX236"/>
    <mergeCell ref="AY236:AZ236"/>
    <mergeCell ref="BA236:BB236"/>
    <mergeCell ref="BC236:BD236"/>
    <mergeCell ref="BE236:BF236"/>
    <mergeCell ref="BG236:BH236"/>
    <mergeCell ref="E237:F237"/>
    <mergeCell ref="G237:H237"/>
    <mergeCell ref="I237:J237"/>
    <mergeCell ref="K237:L237"/>
    <mergeCell ref="M237:N237"/>
    <mergeCell ref="O237:P237"/>
    <mergeCell ref="Q237:R237"/>
    <mergeCell ref="AU239:AV239"/>
    <mergeCell ref="AW239:AX239"/>
    <mergeCell ref="AG239:AH239"/>
    <mergeCell ref="AI239:AJ239"/>
    <mergeCell ref="AK239:AL239"/>
    <mergeCell ref="AM239:AN239"/>
    <mergeCell ref="AO239:AP239"/>
    <mergeCell ref="AQ239:AR239"/>
    <mergeCell ref="AS239:AT239"/>
    <mergeCell ref="AY239:AZ239"/>
    <mergeCell ref="BA239:BB239"/>
    <mergeCell ref="BC239:BD239"/>
    <mergeCell ref="BE239:BF239"/>
    <mergeCell ref="BG239:BH239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I238:AJ238"/>
    <mergeCell ref="AK238:AL238"/>
    <mergeCell ref="AM238:AN238"/>
    <mergeCell ref="AO238:AP238"/>
    <mergeCell ref="AQ238:AR238"/>
    <mergeCell ref="AS238:AT238"/>
    <mergeCell ref="E238:F238"/>
    <mergeCell ref="G238:H238"/>
    <mergeCell ref="I238:J238"/>
    <mergeCell ref="K238:L238"/>
    <mergeCell ref="M238:N238"/>
    <mergeCell ref="O238:P238"/>
    <mergeCell ref="Q238:R238"/>
    <mergeCell ref="S239:T239"/>
    <mergeCell ref="AW240:AX240"/>
    <mergeCell ref="AY240:AZ240"/>
    <mergeCell ref="BA240:BB240"/>
    <mergeCell ref="BC240:BD240"/>
    <mergeCell ref="BE240:BF240"/>
    <mergeCell ref="BG240:BH240"/>
    <mergeCell ref="AU237:AV237"/>
    <mergeCell ref="AW237:AX237"/>
    <mergeCell ref="AG237:AH237"/>
    <mergeCell ref="AI237:AJ237"/>
    <mergeCell ref="AK237:AL237"/>
    <mergeCell ref="AM237:AN237"/>
    <mergeCell ref="AO237:AP237"/>
    <mergeCell ref="AQ237:AR237"/>
    <mergeCell ref="AS237:AT237"/>
    <mergeCell ref="BM237:BN237"/>
    <mergeCell ref="BO237:BP237"/>
    <mergeCell ref="AY237:AZ237"/>
    <mergeCell ref="BA237:BB237"/>
    <mergeCell ref="BC237:BD237"/>
    <mergeCell ref="BE237:BF237"/>
    <mergeCell ref="BG237:BH237"/>
    <mergeCell ref="BI237:BJ237"/>
    <mergeCell ref="BK237:BL237"/>
    <mergeCell ref="S236:T236"/>
    <mergeCell ref="U236:V236"/>
    <mergeCell ref="W236:X236"/>
    <mergeCell ref="Y236:Z236"/>
    <mergeCell ref="AA236:AB236"/>
    <mergeCell ref="AC236:AD236"/>
    <mergeCell ref="AE236:AF236"/>
    <mergeCell ref="AG236:AH236"/>
    <mergeCell ref="AI236:AJ236"/>
    <mergeCell ref="AK236:AL236"/>
    <mergeCell ref="AM236:AN236"/>
    <mergeCell ref="AO236:AP236"/>
    <mergeCell ref="AQ236:AR236"/>
    <mergeCell ref="AS236:AT236"/>
    <mergeCell ref="BI236:BJ236"/>
    <mergeCell ref="BK236:BL236"/>
    <mergeCell ref="BM236:BN236"/>
    <mergeCell ref="BO236:BP236"/>
    <mergeCell ref="BM239:BN239"/>
    <mergeCell ref="BO239:BP239"/>
    <mergeCell ref="BI239:BJ239"/>
    <mergeCell ref="BK239:BL239"/>
    <mergeCell ref="BI238:BJ238"/>
    <mergeCell ref="BK238:BL238"/>
    <mergeCell ref="BM238:BN238"/>
    <mergeCell ref="BO238:BP238"/>
    <mergeCell ref="U239:V239"/>
    <mergeCell ref="W239:X239"/>
    <mergeCell ref="Y239:Z239"/>
    <mergeCell ref="AA239:AB239"/>
    <mergeCell ref="AC239:AD239"/>
    <mergeCell ref="AE239:AF239"/>
    <mergeCell ref="AU238:AV238"/>
    <mergeCell ref="AW238:AX238"/>
    <mergeCell ref="AY238:AZ238"/>
    <mergeCell ref="BA238:BB238"/>
    <mergeCell ref="BC238:BD238"/>
    <mergeCell ref="BE238:BF238"/>
    <mergeCell ref="BG238:BH238"/>
    <mergeCell ref="BO235:BP235"/>
    <mergeCell ref="AU235:AV235"/>
    <mergeCell ref="AW235:AX235"/>
    <mergeCell ref="AY235:AZ235"/>
    <mergeCell ref="BA235:BB235"/>
    <mergeCell ref="BC235:BD235"/>
    <mergeCell ref="BE235:BF235"/>
    <mergeCell ref="BG235:BH235"/>
    <mergeCell ref="E235:F235"/>
    <mergeCell ref="G235:H235"/>
    <mergeCell ref="I235:J235"/>
    <mergeCell ref="K235:L235"/>
    <mergeCell ref="M235:N235"/>
    <mergeCell ref="O235:P235"/>
    <mergeCell ref="Q235:R235"/>
    <mergeCell ref="BM241:BN241"/>
    <mergeCell ref="BO241:BP241"/>
    <mergeCell ref="AY241:AZ241"/>
    <mergeCell ref="BA241:BB241"/>
    <mergeCell ref="BC241:BD241"/>
    <mergeCell ref="BE241:BF241"/>
    <mergeCell ref="BG241:BH241"/>
    <mergeCell ref="BI241:BJ241"/>
    <mergeCell ref="BK241:BL241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I240:AJ240"/>
    <mergeCell ref="AK240:AL240"/>
    <mergeCell ref="AM240:AN240"/>
    <mergeCell ref="AO240:AP240"/>
    <mergeCell ref="AQ240:AR240"/>
    <mergeCell ref="AS240:AT240"/>
    <mergeCell ref="BI240:BJ240"/>
    <mergeCell ref="BK240:BL240"/>
    <mergeCell ref="BM240:BN240"/>
    <mergeCell ref="BO240:BP240"/>
    <mergeCell ref="E240:F240"/>
    <mergeCell ref="G240:H240"/>
    <mergeCell ref="I240:J240"/>
    <mergeCell ref="K240:L240"/>
    <mergeCell ref="M240:N240"/>
    <mergeCell ref="O240:P240"/>
    <mergeCell ref="Q240:R240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U240:AV240"/>
    <mergeCell ref="E232:F232"/>
    <mergeCell ref="G232:H232"/>
    <mergeCell ref="I232:J232"/>
    <mergeCell ref="K232:L232"/>
    <mergeCell ref="M232:N232"/>
    <mergeCell ref="O232:P232"/>
    <mergeCell ref="Q232:R232"/>
    <mergeCell ref="AU234:AV234"/>
    <mergeCell ref="AW234:AX234"/>
    <mergeCell ref="AG234:AH234"/>
    <mergeCell ref="AI234:AJ234"/>
    <mergeCell ref="AK234:AL234"/>
    <mergeCell ref="AM234:AN234"/>
    <mergeCell ref="AO234:AP234"/>
    <mergeCell ref="AQ234:AR234"/>
    <mergeCell ref="AS234:AT234"/>
    <mergeCell ref="S235:T235"/>
    <mergeCell ref="U235:V235"/>
    <mergeCell ref="W235:X235"/>
    <mergeCell ref="Y235:Z235"/>
    <mergeCell ref="AA235:AB235"/>
    <mergeCell ref="AC235:AD235"/>
    <mergeCell ref="AE235:AF235"/>
    <mergeCell ref="AG235:AH235"/>
    <mergeCell ref="AI235:AJ235"/>
    <mergeCell ref="AK235:AL235"/>
    <mergeCell ref="AM235:AN235"/>
    <mergeCell ref="AO235:AP235"/>
    <mergeCell ref="AQ235:AR235"/>
    <mergeCell ref="AS235:AT235"/>
    <mergeCell ref="BI235:BJ235"/>
    <mergeCell ref="BK235:BL235"/>
    <mergeCell ref="BM235:BN235"/>
    <mergeCell ref="E229:F229"/>
    <mergeCell ref="G229:H229"/>
    <mergeCell ref="I229:J229"/>
    <mergeCell ref="K229:L229"/>
    <mergeCell ref="M229:N229"/>
    <mergeCell ref="O229:P229"/>
    <mergeCell ref="Q229:R229"/>
    <mergeCell ref="S230:T230"/>
    <mergeCell ref="U230:V230"/>
    <mergeCell ref="W230:X230"/>
    <mergeCell ref="Y230:Z230"/>
    <mergeCell ref="AA230:AB230"/>
    <mergeCell ref="AC230:AD230"/>
    <mergeCell ref="AE230:AF230"/>
    <mergeCell ref="AU229:AV229"/>
    <mergeCell ref="AW229:AX229"/>
    <mergeCell ref="AY229:AZ229"/>
    <mergeCell ref="BA229:BB229"/>
    <mergeCell ref="BC229:BD229"/>
    <mergeCell ref="BE229:BF229"/>
    <mergeCell ref="BG229:BH229"/>
    <mergeCell ref="E230:F230"/>
    <mergeCell ref="G230:H230"/>
    <mergeCell ref="I230:J230"/>
    <mergeCell ref="K230:L230"/>
    <mergeCell ref="M230:N230"/>
    <mergeCell ref="O230:P230"/>
    <mergeCell ref="Q230:R230"/>
    <mergeCell ref="AU232:AV232"/>
    <mergeCell ref="AW232:AX232"/>
    <mergeCell ref="AG232:AH232"/>
    <mergeCell ref="AI232:AJ232"/>
    <mergeCell ref="AK232:AL232"/>
    <mergeCell ref="AM232:AN232"/>
    <mergeCell ref="AO232:AP232"/>
    <mergeCell ref="AQ232:AR232"/>
    <mergeCell ref="AS232:AT232"/>
    <mergeCell ref="AY232:AZ232"/>
    <mergeCell ref="BA232:BB232"/>
    <mergeCell ref="BC232:BD232"/>
    <mergeCell ref="BE232:BF232"/>
    <mergeCell ref="BG232:BH232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I231:AJ231"/>
    <mergeCell ref="AK231:AL231"/>
    <mergeCell ref="AM231:AN231"/>
    <mergeCell ref="AO231:AP231"/>
    <mergeCell ref="AQ231:AR231"/>
    <mergeCell ref="AS231:AT231"/>
    <mergeCell ref="E231:F231"/>
    <mergeCell ref="G231:H231"/>
    <mergeCell ref="I231:J231"/>
    <mergeCell ref="K231:L231"/>
    <mergeCell ref="M231:N231"/>
    <mergeCell ref="O231:P231"/>
    <mergeCell ref="Q231:R231"/>
    <mergeCell ref="S232:T232"/>
    <mergeCell ref="AW233:AX233"/>
    <mergeCell ref="AY233:AZ233"/>
    <mergeCell ref="BA233:BB233"/>
    <mergeCell ref="BC233:BD233"/>
    <mergeCell ref="BE233:BF233"/>
    <mergeCell ref="BG233:BH233"/>
    <mergeCell ref="AU230:AV230"/>
    <mergeCell ref="AW230:AX230"/>
    <mergeCell ref="AG230:AH230"/>
    <mergeCell ref="AI230:AJ230"/>
    <mergeCell ref="AK230:AL230"/>
    <mergeCell ref="AM230:AN230"/>
    <mergeCell ref="AO230:AP230"/>
    <mergeCell ref="AQ230:AR230"/>
    <mergeCell ref="AS230:AT230"/>
    <mergeCell ref="BM230:BN230"/>
    <mergeCell ref="BO230:BP230"/>
    <mergeCell ref="AY230:AZ230"/>
    <mergeCell ref="BA230:BB230"/>
    <mergeCell ref="BC230:BD230"/>
    <mergeCell ref="BE230:BF230"/>
    <mergeCell ref="BG230:BH230"/>
    <mergeCell ref="BI230:BJ230"/>
    <mergeCell ref="BK230:BL230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I229:AJ229"/>
    <mergeCell ref="AK229:AL229"/>
    <mergeCell ref="AM229:AN229"/>
    <mergeCell ref="AO229:AP229"/>
    <mergeCell ref="AQ229:AR229"/>
    <mergeCell ref="AS229:AT229"/>
    <mergeCell ref="BI229:BJ229"/>
    <mergeCell ref="BK229:BL229"/>
    <mergeCell ref="BM229:BN229"/>
    <mergeCell ref="BO229:BP229"/>
    <mergeCell ref="BM232:BN232"/>
    <mergeCell ref="BO232:BP232"/>
    <mergeCell ref="BI232:BJ232"/>
    <mergeCell ref="BK232:BL232"/>
    <mergeCell ref="BI231:BJ231"/>
    <mergeCell ref="BK231:BL231"/>
    <mergeCell ref="BM231:BN231"/>
    <mergeCell ref="BO231:BP231"/>
    <mergeCell ref="U232:V232"/>
    <mergeCell ref="W232:X232"/>
    <mergeCell ref="Y232:Z232"/>
    <mergeCell ref="AA232:AB232"/>
    <mergeCell ref="AC232:AD232"/>
    <mergeCell ref="AE232:AF232"/>
    <mergeCell ref="AU231:AV231"/>
    <mergeCell ref="AW231:AX231"/>
    <mergeCell ref="AY231:AZ231"/>
    <mergeCell ref="BA231:BB231"/>
    <mergeCell ref="BC231:BD231"/>
    <mergeCell ref="BE231:BF231"/>
    <mergeCell ref="BG231:BH231"/>
    <mergeCell ref="BO228:BP228"/>
    <mergeCell ref="AU228:AV228"/>
    <mergeCell ref="AW228:AX228"/>
    <mergeCell ref="AY228:AZ228"/>
    <mergeCell ref="BA228:BB228"/>
    <mergeCell ref="BC228:BD228"/>
    <mergeCell ref="BE228:BF228"/>
    <mergeCell ref="BG228:BH228"/>
    <mergeCell ref="E228:F228"/>
    <mergeCell ref="G228:H228"/>
    <mergeCell ref="I228:J228"/>
    <mergeCell ref="K228:L228"/>
    <mergeCell ref="M228:N228"/>
    <mergeCell ref="O228:P228"/>
    <mergeCell ref="Q228:R228"/>
    <mergeCell ref="BM234:BN234"/>
    <mergeCell ref="BO234:BP234"/>
    <mergeCell ref="AY234:AZ234"/>
    <mergeCell ref="BA234:BB234"/>
    <mergeCell ref="BC234:BD234"/>
    <mergeCell ref="BE234:BF234"/>
    <mergeCell ref="BG234:BH234"/>
    <mergeCell ref="BI234:BJ234"/>
    <mergeCell ref="BK234:BL234"/>
    <mergeCell ref="S233:T233"/>
    <mergeCell ref="U233:V233"/>
    <mergeCell ref="W233:X233"/>
    <mergeCell ref="Y233:Z233"/>
    <mergeCell ref="AA233:AB233"/>
    <mergeCell ref="AC233:AD233"/>
    <mergeCell ref="AE233:AF233"/>
    <mergeCell ref="AG233:AH233"/>
    <mergeCell ref="AI233:AJ233"/>
    <mergeCell ref="AK233:AL233"/>
    <mergeCell ref="AM233:AN233"/>
    <mergeCell ref="AO233:AP233"/>
    <mergeCell ref="AQ233:AR233"/>
    <mergeCell ref="AS233:AT233"/>
    <mergeCell ref="BI233:BJ233"/>
    <mergeCell ref="BK233:BL233"/>
    <mergeCell ref="BM233:BN233"/>
    <mergeCell ref="BO233:BP233"/>
    <mergeCell ref="E233:F233"/>
    <mergeCell ref="G233:H233"/>
    <mergeCell ref="I233:J233"/>
    <mergeCell ref="K233:L233"/>
    <mergeCell ref="M233:N233"/>
    <mergeCell ref="O233:P233"/>
    <mergeCell ref="Q233:R233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F234"/>
    <mergeCell ref="AU233:AV233"/>
    <mergeCell ref="E225:F225"/>
    <mergeCell ref="G225:H225"/>
    <mergeCell ref="I225:J225"/>
    <mergeCell ref="K225:L225"/>
    <mergeCell ref="M225:N225"/>
    <mergeCell ref="O225:P225"/>
    <mergeCell ref="Q225:R225"/>
    <mergeCell ref="AU227:AV227"/>
    <mergeCell ref="AW227:AX227"/>
    <mergeCell ref="AG227:AH227"/>
    <mergeCell ref="AI227:AJ227"/>
    <mergeCell ref="AK227:AL227"/>
    <mergeCell ref="AM227:AN227"/>
    <mergeCell ref="AO227:AP227"/>
    <mergeCell ref="AQ227:AR227"/>
    <mergeCell ref="AS227:AT227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I228:AJ228"/>
    <mergeCell ref="AK228:AL228"/>
    <mergeCell ref="AM228:AN228"/>
    <mergeCell ref="AO228:AP228"/>
    <mergeCell ref="AQ228:AR228"/>
    <mergeCell ref="AS228:AT228"/>
    <mergeCell ref="BI228:BJ228"/>
    <mergeCell ref="BK228:BL228"/>
    <mergeCell ref="BM228:BN228"/>
    <mergeCell ref="E222:F222"/>
    <mergeCell ref="G222:H222"/>
    <mergeCell ref="I222:J222"/>
    <mergeCell ref="K222:L222"/>
    <mergeCell ref="M222:N222"/>
    <mergeCell ref="O222:P222"/>
    <mergeCell ref="Q222:R222"/>
    <mergeCell ref="S223:T223"/>
    <mergeCell ref="U223:V223"/>
    <mergeCell ref="W223:X223"/>
    <mergeCell ref="Y223:Z223"/>
    <mergeCell ref="AA223:AB223"/>
    <mergeCell ref="AC223:AD223"/>
    <mergeCell ref="AE223:AF223"/>
    <mergeCell ref="AU222:AV222"/>
    <mergeCell ref="AW222:AX222"/>
    <mergeCell ref="AY222:AZ222"/>
    <mergeCell ref="BA222:BB222"/>
    <mergeCell ref="BC222:BD222"/>
    <mergeCell ref="BE222:BF222"/>
    <mergeCell ref="BG222:BH222"/>
    <mergeCell ref="E223:F223"/>
    <mergeCell ref="G223:H223"/>
    <mergeCell ref="I223:J223"/>
    <mergeCell ref="K223:L223"/>
    <mergeCell ref="M223:N223"/>
    <mergeCell ref="O223:P223"/>
    <mergeCell ref="Q223:R223"/>
    <mergeCell ref="AU225:AV225"/>
    <mergeCell ref="AW225:AX225"/>
    <mergeCell ref="AG225:AH225"/>
    <mergeCell ref="AI225:AJ225"/>
    <mergeCell ref="AK225:AL225"/>
    <mergeCell ref="AM225:AN225"/>
    <mergeCell ref="AO225:AP225"/>
    <mergeCell ref="AQ225:AR225"/>
    <mergeCell ref="AS225:AT225"/>
    <mergeCell ref="AY225:AZ225"/>
    <mergeCell ref="BA225:BB225"/>
    <mergeCell ref="BC225:BD225"/>
    <mergeCell ref="BE225:BF225"/>
    <mergeCell ref="BG225:BH225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I224:AJ224"/>
    <mergeCell ref="AK224:AL224"/>
    <mergeCell ref="AM224:AN224"/>
    <mergeCell ref="AO224:AP224"/>
    <mergeCell ref="AQ224:AR224"/>
    <mergeCell ref="AS224:AT224"/>
    <mergeCell ref="E224:F224"/>
    <mergeCell ref="G224:H224"/>
    <mergeCell ref="I224:J224"/>
    <mergeCell ref="K224:L224"/>
    <mergeCell ref="M224:N224"/>
    <mergeCell ref="O224:P224"/>
    <mergeCell ref="Q224:R224"/>
    <mergeCell ref="S225:T225"/>
    <mergeCell ref="AW226:AX226"/>
    <mergeCell ref="AY226:AZ226"/>
    <mergeCell ref="BA226:BB226"/>
    <mergeCell ref="BC226:BD226"/>
    <mergeCell ref="BE226:BF226"/>
    <mergeCell ref="BG226:BH226"/>
    <mergeCell ref="AU223:AV223"/>
    <mergeCell ref="AW223:AX223"/>
    <mergeCell ref="AG223:AH223"/>
    <mergeCell ref="AI223:AJ223"/>
    <mergeCell ref="AK223:AL223"/>
    <mergeCell ref="AM223:AN223"/>
    <mergeCell ref="AO223:AP223"/>
    <mergeCell ref="AQ223:AR223"/>
    <mergeCell ref="AS223:AT223"/>
    <mergeCell ref="BM223:BN223"/>
    <mergeCell ref="BO223:BP223"/>
    <mergeCell ref="AY223:AZ223"/>
    <mergeCell ref="BA223:BB223"/>
    <mergeCell ref="BC223:BD223"/>
    <mergeCell ref="BE223:BF223"/>
    <mergeCell ref="BG223:BH223"/>
    <mergeCell ref="BI223:BJ223"/>
    <mergeCell ref="BK223:BL223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I222:AJ222"/>
    <mergeCell ref="AK222:AL222"/>
    <mergeCell ref="AM222:AN222"/>
    <mergeCell ref="AO222:AP222"/>
    <mergeCell ref="AQ222:AR222"/>
    <mergeCell ref="AS222:AT222"/>
    <mergeCell ref="BI222:BJ222"/>
    <mergeCell ref="BK222:BL222"/>
    <mergeCell ref="BM222:BN222"/>
    <mergeCell ref="BO222:BP222"/>
    <mergeCell ref="BM225:BN225"/>
    <mergeCell ref="BO225:BP225"/>
    <mergeCell ref="BI225:BJ225"/>
    <mergeCell ref="BK225:BL225"/>
    <mergeCell ref="BI224:BJ224"/>
    <mergeCell ref="BK224:BL224"/>
    <mergeCell ref="BM224:BN224"/>
    <mergeCell ref="BO224:BP224"/>
    <mergeCell ref="U225:V225"/>
    <mergeCell ref="W225:X225"/>
    <mergeCell ref="Y225:Z225"/>
    <mergeCell ref="AA225:AB225"/>
    <mergeCell ref="AC225:AD225"/>
    <mergeCell ref="AE225:AF225"/>
    <mergeCell ref="AU224:AV224"/>
    <mergeCell ref="AW224:AX224"/>
    <mergeCell ref="AY224:AZ224"/>
    <mergeCell ref="BA224:BB224"/>
    <mergeCell ref="BC224:BD224"/>
    <mergeCell ref="BE224:BF224"/>
    <mergeCell ref="BG224:BH224"/>
    <mergeCell ref="BO221:BP221"/>
    <mergeCell ref="AU221:AV221"/>
    <mergeCell ref="AW221:AX221"/>
    <mergeCell ref="AY221:AZ221"/>
    <mergeCell ref="BA221:BB221"/>
    <mergeCell ref="BC221:BD221"/>
    <mergeCell ref="BE221:BF221"/>
    <mergeCell ref="BG221:BH221"/>
    <mergeCell ref="E221:F221"/>
    <mergeCell ref="G221:H221"/>
    <mergeCell ref="I221:J221"/>
    <mergeCell ref="K221:L221"/>
    <mergeCell ref="M221:N221"/>
    <mergeCell ref="O221:P221"/>
    <mergeCell ref="Q221:R221"/>
    <mergeCell ref="BM227:BN227"/>
    <mergeCell ref="BO227:BP227"/>
    <mergeCell ref="AY227:AZ227"/>
    <mergeCell ref="BA227:BB227"/>
    <mergeCell ref="BC227:BD227"/>
    <mergeCell ref="BE227:BF227"/>
    <mergeCell ref="BG227:BH227"/>
    <mergeCell ref="BI227:BJ227"/>
    <mergeCell ref="BK227:BL227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I226:AJ226"/>
    <mergeCell ref="AK226:AL226"/>
    <mergeCell ref="AM226:AN226"/>
    <mergeCell ref="AO226:AP226"/>
    <mergeCell ref="AQ226:AR226"/>
    <mergeCell ref="AS226:AT226"/>
    <mergeCell ref="BI226:BJ226"/>
    <mergeCell ref="BK226:BL226"/>
    <mergeCell ref="BM226:BN226"/>
    <mergeCell ref="BO226:BP226"/>
    <mergeCell ref="E226:F226"/>
    <mergeCell ref="G226:H226"/>
    <mergeCell ref="I226:J226"/>
    <mergeCell ref="K226:L226"/>
    <mergeCell ref="M226:N226"/>
    <mergeCell ref="O226:P226"/>
    <mergeCell ref="Q226:R226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U226:AV226"/>
    <mergeCell ref="E218:F218"/>
    <mergeCell ref="G218:H218"/>
    <mergeCell ref="I218:J218"/>
    <mergeCell ref="K218:L218"/>
    <mergeCell ref="M218:N218"/>
    <mergeCell ref="O218:P218"/>
    <mergeCell ref="Q218:R218"/>
    <mergeCell ref="AU220:AV220"/>
    <mergeCell ref="AW220:AX220"/>
    <mergeCell ref="AG220:AH220"/>
    <mergeCell ref="AI220:AJ220"/>
    <mergeCell ref="AK220:AL220"/>
    <mergeCell ref="AM220:AN220"/>
    <mergeCell ref="AO220:AP220"/>
    <mergeCell ref="AQ220:AR220"/>
    <mergeCell ref="AS220:AT220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K221:AL221"/>
    <mergeCell ref="AM221:AN221"/>
    <mergeCell ref="AO221:AP221"/>
    <mergeCell ref="AQ221:AR221"/>
    <mergeCell ref="AS221:AT221"/>
    <mergeCell ref="BI221:BJ221"/>
    <mergeCell ref="BK221:BL221"/>
    <mergeCell ref="BM221:BN221"/>
    <mergeCell ref="E215:F215"/>
    <mergeCell ref="G215:H215"/>
    <mergeCell ref="I215:J215"/>
    <mergeCell ref="K215:L215"/>
    <mergeCell ref="M215:N215"/>
    <mergeCell ref="O215:P215"/>
    <mergeCell ref="Q215:R215"/>
    <mergeCell ref="S216:T216"/>
    <mergeCell ref="U216:V216"/>
    <mergeCell ref="W216:X216"/>
    <mergeCell ref="Y216:Z216"/>
    <mergeCell ref="AA216:AB216"/>
    <mergeCell ref="AC216:AD216"/>
    <mergeCell ref="AE216:AF216"/>
    <mergeCell ref="AU215:AV215"/>
    <mergeCell ref="AW215:AX215"/>
    <mergeCell ref="AY215:AZ215"/>
    <mergeCell ref="BA215:BB215"/>
    <mergeCell ref="BC215:BD215"/>
    <mergeCell ref="BE215:BF215"/>
    <mergeCell ref="BG215:BH215"/>
    <mergeCell ref="E216:F216"/>
    <mergeCell ref="G216:H216"/>
    <mergeCell ref="I216:J216"/>
    <mergeCell ref="K216:L216"/>
    <mergeCell ref="M216:N216"/>
    <mergeCell ref="O216:P216"/>
    <mergeCell ref="Q216:R216"/>
    <mergeCell ref="AU218:AV218"/>
    <mergeCell ref="AW218:AX218"/>
    <mergeCell ref="AG218:AH218"/>
    <mergeCell ref="AI218:AJ218"/>
    <mergeCell ref="AK218:AL218"/>
    <mergeCell ref="AM218:AN218"/>
    <mergeCell ref="AO218:AP218"/>
    <mergeCell ref="AQ218:AR218"/>
    <mergeCell ref="AS218:AT218"/>
    <mergeCell ref="AY218:AZ218"/>
    <mergeCell ref="BA218:BB218"/>
    <mergeCell ref="BC218:BD218"/>
    <mergeCell ref="BE218:BF218"/>
    <mergeCell ref="BG218:BH218"/>
    <mergeCell ref="S217:T217"/>
    <mergeCell ref="U217:V217"/>
    <mergeCell ref="W217:X217"/>
    <mergeCell ref="Y217:Z217"/>
    <mergeCell ref="AA217:AB217"/>
    <mergeCell ref="AC217:AD217"/>
    <mergeCell ref="AE217:AF217"/>
    <mergeCell ref="AG217:AH217"/>
    <mergeCell ref="AI217:AJ217"/>
    <mergeCell ref="AK217:AL217"/>
    <mergeCell ref="AM217:AN217"/>
    <mergeCell ref="AO217:AP217"/>
    <mergeCell ref="AQ217:AR217"/>
    <mergeCell ref="AS217:AT217"/>
    <mergeCell ref="E217:F217"/>
    <mergeCell ref="G217:H217"/>
    <mergeCell ref="I217:J217"/>
    <mergeCell ref="K217:L217"/>
    <mergeCell ref="M217:N217"/>
    <mergeCell ref="O217:P217"/>
    <mergeCell ref="Q217:R217"/>
    <mergeCell ref="S218:T218"/>
    <mergeCell ref="AW219:AX219"/>
    <mergeCell ref="AY219:AZ219"/>
    <mergeCell ref="BA219:BB219"/>
    <mergeCell ref="BC219:BD219"/>
    <mergeCell ref="BE219:BF219"/>
    <mergeCell ref="BG219:BH219"/>
    <mergeCell ref="AU216:AV216"/>
    <mergeCell ref="AW216:AX216"/>
    <mergeCell ref="AG216:AH216"/>
    <mergeCell ref="AI216:AJ216"/>
    <mergeCell ref="AK216:AL216"/>
    <mergeCell ref="AM216:AN216"/>
    <mergeCell ref="AO216:AP216"/>
    <mergeCell ref="AQ216:AR216"/>
    <mergeCell ref="AS216:AT216"/>
    <mergeCell ref="BM216:BN216"/>
    <mergeCell ref="BO216:BP216"/>
    <mergeCell ref="AY216:AZ216"/>
    <mergeCell ref="BA216:BB216"/>
    <mergeCell ref="BC216:BD216"/>
    <mergeCell ref="BE216:BF216"/>
    <mergeCell ref="BG216:BH216"/>
    <mergeCell ref="BI216:BJ216"/>
    <mergeCell ref="BK216:BL216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I215:AJ215"/>
    <mergeCell ref="AK215:AL215"/>
    <mergeCell ref="AM215:AN215"/>
    <mergeCell ref="AO215:AP215"/>
    <mergeCell ref="AQ215:AR215"/>
    <mergeCell ref="AS215:AT215"/>
    <mergeCell ref="BI215:BJ215"/>
    <mergeCell ref="BK215:BL215"/>
    <mergeCell ref="BM215:BN215"/>
    <mergeCell ref="BO215:BP215"/>
    <mergeCell ref="BM218:BN218"/>
    <mergeCell ref="BO218:BP218"/>
    <mergeCell ref="BI218:BJ218"/>
    <mergeCell ref="BK218:BL218"/>
    <mergeCell ref="BI217:BJ217"/>
    <mergeCell ref="BK217:BL217"/>
    <mergeCell ref="BM217:BN217"/>
    <mergeCell ref="BO217:BP217"/>
    <mergeCell ref="U218:V218"/>
    <mergeCell ref="W218:X218"/>
    <mergeCell ref="Y218:Z218"/>
    <mergeCell ref="AA218:AB218"/>
    <mergeCell ref="AC218:AD218"/>
    <mergeCell ref="AE218:AF218"/>
    <mergeCell ref="AU217:AV217"/>
    <mergeCell ref="AW217:AX217"/>
    <mergeCell ref="AY217:AZ217"/>
    <mergeCell ref="BA217:BB217"/>
    <mergeCell ref="BC217:BD217"/>
    <mergeCell ref="BE217:BF217"/>
    <mergeCell ref="BG217:BH217"/>
    <mergeCell ref="BO214:BP214"/>
    <mergeCell ref="AU214:AV214"/>
    <mergeCell ref="AW214:AX214"/>
    <mergeCell ref="AY214:AZ214"/>
    <mergeCell ref="BA214:BB214"/>
    <mergeCell ref="BC214:BD214"/>
    <mergeCell ref="BE214:BF214"/>
    <mergeCell ref="BG214:BH214"/>
    <mergeCell ref="E214:F214"/>
    <mergeCell ref="G214:H214"/>
    <mergeCell ref="I214:J214"/>
    <mergeCell ref="K214:L214"/>
    <mergeCell ref="M214:N214"/>
    <mergeCell ref="O214:P214"/>
    <mergeCell ref="Q214:R214"/>
    <mergeCell ref="BM220:BN220"/>
    <mergeCell ref="BO220:BP220"/>
    <mergeCell ref="AY220:AZ220"/>
    <mergeCell ref="BA220:BB220"/>
    <mergeCell ref="BC220:BD220"/>
    <mergeCell ref="BE220:BF220"/>
    <mergeCell ref="BG220:BH220"/>
    <mergeCell ref="BI220:BJ220"/>
    <mergeCell ref="BK220:BL220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I219:AJ219"/>
    <mergeCell ref="AK219:AL219"/>
    <mergeCell ref="AM219:AN219"/>
    <mergeCell ref="AO219:AP219"/>
    <mergeCell ref="AQ219:AR219"/>
    <mergeCell ref="AS219:AT219"/>
    <mergeCell ref="BI219:BJ219"/>
    <mergeCell ref="BK219:BL219"/>
    <mergeCell ref="BM219:BN219"/>
    <mergeCell ref="BO219:BP219"/>
    <mergeCell ref="E219:F219"/>
    <mergeCell ref="G219:H219"/>
    <mergeCell ref="I219:J219"/>
    <mergeCell ref="K219:L219"/>
    <mergeCell ref="M219:N219"/>
    <mergeCell ref="O219:P219"/>
    <mergeCell ref="Q219:R219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U219:AV219"/>
    <mergeCell ref="E211:F211"/>
    <mergeCell ref="G211:H211"/>
    <mergeCell ref="I211:J211"/>
    <mergeCell ref="K211:L211"/>
    <mergeCell ref="M211:N211"/>
    <mergeCell ref="O211:P211"/>
    <mergeCell ref="Q211:R211"/>
    <mergeCell ref="AU213:AV213"/>
    <mergeCell ref="AW213:AX213"/>
    <mergeCell ref="AG213:AH213"/>
    <mergeCell ref="AI213:AJ213"/>
    <mergeCell ref="AK213:AL213"/>
    <mergeCell ref="AM213:AN213"/>
    <mergeCell ref="AO213:AP213"/>
    <mergeCell ref="AQ213:AR213"/>
    <mergeCell ref="AS213:AT213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I214:AJ214"/>
    <mergeCell ref="AK214:AL214"/>
    <mergeCell ref="AM214:AN214"/>
    <mergeCell ref="AO214:AP214"/>
    <mergeCell ref="AQ214:AR214"/>
    <mergeCell ref="AS214:AT214"/>
    <mergeCell ref="BI214:BJ214"/>
    <mergeCell ref="BK214:BL214"/>
    <mergeCell ref="BM214:BN214"/>
    <mergeCell ref="E208:F208"/>
    <mergeCell ref="G208:H208"/>
    <mergeCell ref="I208:J208"/>
    <mergeCell ref="K208:L208"/>
    <mergeCell ref="M208:N208"/>
    <mergeCell ref="O208:P208"/>
    <mergeCell ref="Q208:R208"/>
    <mergeCell ref="S209:T209"/>
    <mergeCell ref="U209:V209"/>
    <mergeCell ref="W209:X209"/>
    <mergeCell ref="Y209:Z209"/>
    <mergeCell ref="AA209:AB209"/>
    <mergeCell ref="AC209:AD209"/>
    <mergeCell ref="AE209:AF209"/>
    <mergeCell ref="AU208:AV208"/>
    <mergeCell ref="AW208:AX208"/>
    <mergeCell ref="AY208:AZ208"/>
    <mergeCell ref="BA208:BB208"/>
    <mergeCell ref="BC208:BD208"/>
    <mergeCell ref="BE208:BF208"/>
    <mergeCell ref="BG208:BH208"/>
    <mergeCell ref="E209:F209"/>
    <mergeCell ref="G209:H209"/>
    <mergeCell ref="I209:J209"/>
    <mergeCell ref="K209:L209"/>
    <mergeCell ref="M209:N209"/>
    <mergeCell ref="O209:P209"/>
    <mergeCell ref="Q209:R209"/>
    <mergeCell ref="AU211:AV211"/>
    <mergeCell ref="AW211:AX211"/>
    <mergeCell ref="AG211:AH211"/>
    <mergeCell ref="AI211:AJ211"/>
    <mergeCell ref="AK211:AL211"/>
    <mergeCell ref="AM211:AN211"/>
    <mergeCell ref="AO211:AP211"/>
    <mergeCell ref="AQ211:AR211"/>
    <mergeCell ref="AS211:AT211"/>
    <mergeCell ref="AY211:AZ211"/>
    <mergeCell ref="BA211:BB211"/>
    <mergeCell ref="BC211:BD211"/>
    <mergeCell ref="BE211:BF211"/>
    <mergeCell ref="BG211:BH211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I210:AJ210"/>
    <mergeCell ref="AK210:AL210"/>
    <mergeCell ref="AM210:AN210"/>
    <mergeCell ref="AO210:AP210"/>
    <mergeCell ref="AQ210:AR210"/>
    <mergeCell ref="AS210:AT210"/>
    <mergeCell ref="E210:F210"/>
    <mergeCell ref="G210:H210"/>
    <mergeCell ref="I210:J210"/>
    <mergeCell ref="K210:L210"/>
    <mergeCell ref="M210:N210"/>
    <mergeCell ref="O210:P210"/>
    <mergeCell ref="Q210:R210"/>
    <mergeCell ref="S211:T211"/>
    <mergeCell ref="AW212:AX212"/>
    <mergeCell ref="AY212:AZ212"/>
    <mergeCell ref="BA212:BB212"/>
    <mergeCell ref="BC212:BD212"/>
    <mergeCell ref="BE212:BF212"/>
    <mergeCell ref="BG212:BH212"/>
    <mergeCell ref="AU209:AV209"/>
    <mergeCell ref="AW209:AX209"/>
    <mergeCell ref="AG209:AH209"/>
    <mergeCell ref="AI209:AJ209"/>
    <mergeCell ref="AK209:AL209"/>
    <mergeCell ref="AM209:AN209"/>
    <mergeCell ref="AO209:AP209"/>
    <mergeCell ref="AQ209:AR209"/>
    <mergeCell ref="AS209:AT209"/>
    <mergeCell ref="BM209:BN209"/>
    <mergeCell ref="BO209:BP209"/>
    <mergeCell ref="AY209:AZ209"/>
    <mergeCell ref="BA209:BB209"/>
    <mergeCell ref="BC209:BD209"/>
    <mergeCell ref="BE209:BF209"/>
    <mergeCell ref="BG209:BH209"/>
    <mergeCell ref="BI209:BJ209"/>
    <mergeCell ref="BK209:BL209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I208:AJ208"/>
    <mergeCell ref="AK208:AL208"/>
    <mergeCell ref="AM208:AN208"/>
    <mergeCell ref="AO208:AP208"/>
    <mergeCell ref="AQ208:AR208"/>
    <mergeCell ref="AS208:AT208"/>
    <mergeCell ref="BI208:BJ208"/>
    <mergeCell ref="BK208:BL208"/>
    <mergeCell ref="BM208:BN208"/>
    <mergeCell ref="BO208:BP208"/>
    <mergeCell ref="BM211:BN211"/>
    <mergeCell ref="BO211:BP211"/>
    <mergeCell ref="BI211:BJ211"/>
    <mergeCell ref="BK211:BL211"/>
    <mergeCell ref="BI210:BJ210"/>
    <mergeCell ref="BK210:BL210"/>
    <mergeCell ref="BM210:BN210"/>
    <mergeCell ref="BO210:BP210"/>
    <mergeCell ref="U211:V211"/>
    <mergeCell ref="W211:X211"/>
    <mergeCell ref="Y211:Z211"/>
    <mergeCell ref="AA211:AB211"/>
    <mergeCell ref="AC211:AD211"/>
    <mergeCell ref="AE211:AF211"/>
    <mergeCell ref="AU210:AV210"/>
    <mergeCell ref="AW210:AX210"/>
    <mergeCell ref="AY210:AZ210"/>
    <mergeCell ref="BA210:BB210"/>
    <mergeCell ref="BC210:BD210"/>
    <mergeCell ref="BE210:BF210"/>
    <mergeCell ref="BG210:BH210"/>
    <mergeCell ref="BO207:BP207"/>
    <mergeCell ref="AU207:AV207"/>
    <mergeCell ref="AW207:AX207"/>
    <mergeCell ref="AY207:AZ207"/>
    <mergeCell ref="BA207:BB207"/>
    <mergeCell ref="BC207:BD207"/>
    <mergeCell ref="BE207:BF207"/>
    <mergeCell ref="BG207:BH207"/>
    <mergeCell ref="E207:F207"/>
    <mergeCell ref="G207:H207"/>
    <mergeCell ref="I207:J207"/>
    <mergeCell ref="K207:L207"/>
    <mergeCell ref="M207:N207"/>
    <mergeCell ref="O207:P207"/>
    <mergeCell ref="Q207:R207"/>
    <mergeCell ref="BM213:BN213"/>
    <mergeCell ref="BO213:BP213"/>
    <mergeCell ref="AY213:AZ213"/>
    <mergeCell ref="BA213:BB213"/>
    <mergeCell ref="BC213:BD213"/>
    <mergeCell ref="BE213:BF213"/>
    <mergeCell ref="BG213:BH213"/>
    <mergeCell ref="BI213:BJ213"/>
    <mergeCell ref="BK213:BL213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I212:AJ212"/>
    <mergeCell ref="AK212:AL212"/>
    <mergeCell ref="AM212:AN212"/>
    <mergeCell ref="AO212:AP212"/>
    <mergeCell ref="AQ212:AR212"/>
    <mergeCell ref="AS212:AT212"/>
    <mergeCell ref="BI212:BJ212"/>
    <mergeCell ref="BK212:BL212"/>
    <mergeCell ref="BM212:BN212"/>
    <mergeCell ref="BO212:BP212"/>
    <mergeCell ref="E212:F212"/>
    <mergeCell ref="G212:H212"/>
    <mergeCell ref="I212:J212"/>
    <mergeCell ref="K212:L212"/>
    <mergeCell ref="M212:N212"/>
    <mergeCell ref="O212:P212"/>
    <mergeCell ref="Q212:R212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F213"/>
    <mergeCell ref="AU212:AV212"/>
    <mergeCell ref="E204:F204"/>
    <mergeCell ref="G204:H204"/>
    <mergeCell ref="I204:J204"/>
    <mergeCell ref="K204:L204"/>
    <mergeCell ref="M204:N204"/>
    <mergeCell ref="O204:P204"/>
    <mergeCell ref="Q204:R204"/>
    <mergeCell ref="AU206:AV206"/>
    <mergeCell ref="AW206:AX206"/>
    <mergeCell ref="AG206:AH206"/>
    <mergeCell ref="AI206:AJ206"/>
    <mergeCell ref="AK206:AL206"/>
    <mergeCell ref="AM206:AN206"/>
    <mergeCell ref="AO206:AP206"/>
    <mergeCell ref="AQ206:AR206"/>
    <mergeCell ref="AS206:AT206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I207:AJ207"/>
    <mergeCell ref="AK207:AL207"/>
    <mergeCell ref="AM207:AN207"/>
    <mergeCell ref="AO207:AP207"/>
    <mergeCell ref="AQ207:AR207"/>
    <mergeCell ref="AS207:AT207"/>
    <mergeCell ref="BI207:BJ207"/>
    <mergeCell ref="BK207:BL207"/>
    <mergeCell ref="BM207:BN207"/>
    <mergeCell ref="E201:F201"/>
    <mergeCell ref="G201:H201"/>
    <mergeCell ref="I201:J201"/>
    <mergeCell ref="K201:L201"/>
    <mergeCell ref="M201:N201"/>
    <mergeCell ref="O201:P201"/>
    <mergeCell ref="Q201:R201"/>
    <mergeCell ref="S202:T202"/>
    <mergeCell ref="U202:V202"/>
    <mergeCell ref="W202:X202"/>
    <mergeCell ref="Y202:Z202"/>
    <mergeCell ref="AA202:AB202"/>
    <mergeCell ref="AC202:AD202"/>
    <mergeCell ref="AE202:AF202"/>
    <mergeCell ref="AU201:AV201"/>
    <mergeCell ref="AW201:AX201"/>
    <mergeCell ref="AY201:AZ201"/>
    <mergeCell ref="BA201:BB201"/>
    <mergeCell ref="BC201:BD201"/>
    <mergeCell ref="BE201:BF201"/>
    <mergeCell ref="BG201:BH201"/>
    <mergeCell ref="E202:F202"/>
    <mergeCell ref="G202:H202"/>
    <mergeCell ref="I202:J202"/>
    <mergeCell ref="K202:L202"/>
    <mergeCell ref="M202:N202"/>
    <mergeCell ref="O202:P202"/>
    <mergeCell ref="Q202:R202"/>
    <mergeCell ref="AU204:AV204"/>
    <mergeCell ref="AW204:AX204"/>
    <mergeCell ref="AG204:AH204"/>
    <mergeCell ref="AI204:AJ204"/>
    <mergeCell ref="AK204:AL204"/>
    <mergeCell ref="AM204:AN204"/>
    <mergeCell ref="AO204:AP204"/>
    <mergeCell ref="AQ204:AR204"/>
    <mergeCell ref="AS204:AT204"/>
    <mergeCell ref="AY204:AZ204"/>
    <mergeCell ref="BA204:BB204"/>
    <mergeCell ref="BC204:BD204"/>
    <mergeCell ref="BE204:BF204"/>
    <mergeCell ref="BG204:BH204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I203:AJ203"/>
    <mergeCell ref="AK203:AL203"/>
    <mergeCell ref="AM203:AN203"/>
    <mergeCell ref="AO203:AP203"/>
    <mergeCell ref="AQ203:AR203"/>
    <mergeCell ref="AS203:AT203"/>
    <mergeCell ref="E203:F203"/>
    <mergeCell ref="G203:H203"/>
    <mergeCell ref="I203:J203"/>
    <mergeCell ref="K203:L203"/>
    <mergeCell ref="M203:N203"/>
    <mergeCell ref="O203:P203"/>
    <mergeCell ref="Q203:R203"/>
    <mergeCell ref="S204:T204"/>
    <mergeCell ref="AW205:AX205"/>
    <mergeCell ref="AY205:AZ205"/>
    <mergeCell ref="BA205:BB205"/>
    <mergeCell ref="BC205:BD205"/>
    <mergeCell ref="BE205:BF205"/>
    <mergeCell ref="BG205:BH205"/>
    <mergeCell ref="AU202:AV202"/>
    <mergeCell ref="AW202:AX202"/>
    <mergeCell ref="AG202:AH202"/>
    <mergeCell ref="AI202:AJ202"/>
    <mergeCell ref="AK202:AL202"/>
    <mergeCell ref="AM202:AN202"/>
    <mergeCell ref="AO202:AP202"/>
    <mergeCell ref="AQ202:AR202"/>
    <mergeCell ref="AS202:AT202"/>
    <mergeCell ref="BM202:BN202"/>
    <mergeCell ref="BO202:BP202"/>
    <mergeCell ref="AY202:AZ202"/>
    <mergeCell ref="BA202:BB202"/>
    <mergeCell ref="BC202:BD202"/>
    <mergeCell ref="BE202:BF202"/>
    <mergeCell ref="BG202:BH202"/>
    <mergeCell ref="BI202:BJ202"/>
    <mergeCell ref="BK202:BL202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I201:AJ201"/>
    <mergeCell ref="AK201:AL201"/>
    <mergeCell ref="AM201:AN201"/>
    <mergeCell ref="AO201:AP201"/>
    <mergeCell ref="AQ201:AR201"/>
    <mergeCell ref="AS201:AT201"/>
    <mergeCell ref="BI201:BJ201"/>
    <mergeCell ref="BK201:BL201"/>
    <mergeCell ref="BM201:BN201"/>
    <mergeCell ref="BO201:BP201"/>
    <mergeCell ref="BM204:BN204"/>
    <mergeCell ref="BO204:BP204"/>
    <mergeCell ref="BI204:BJ204"/>
    <mergeCell ref="BK204:BL204"/>
    <mergeCell ref="BI203:BJ203"/>
    <mergeCell ref="BK203:BL203"/>
    <mergeCell ref="BM203:BN203"/>
    <mergeCell ref="BO203:BP203"/>
    <mergeCell ref="U204:V204"/>
    <mergeCell ref="W204:X204"/>
    <mergeCell ref="Y204:Z204"/>
    <mergeCell ref="AA204:AB204"/>
    <mergeCell ref="AC204:AD204"/>
    <mergeCell ref="AE204:AF204"/>
    <mergeCell ref="AU203:AV203"/>
    <mergeCell ref="AW203:AX203"/>
    <mergeCell ref="AY203:AZ203"/>
    <mergeCell ref="BA203:BB203"/>
    <mergeCell ref="BC203:BD203"/>
    <mergeCell ref="BE203:BF203"/>
    <mergeCell ref="BG203:BH203"/>
    <mergeCell ref="BO200:BP200"/>
    <mergeCell ref="AU200:AV200"/>
    <mergeCell ref="AW200:AX200"/>
    <mergeCell ref="AY200:AZ200"/>
    <mergeCell ref="BA200:BB200"/>
    <mergeCell ref="BC200:BD200"/>
    <mergeCell ref="BE200:BF200"/>
    <mergeCell ref="BG200:BH200"/>
    <mergeCell ref="E200:F200"/>
    <mergeCell ref="G200:H200"/>
    <mergeCell ref="I200:J200"/>
    <mergeCell ref="K200:L200"/>
    <mergeCell ref="M200:N200"/>
    <mergeCell ref="O200:P200"/>
    <mergeCell ref="Q200:R200"/>
    <mergeCell ref="BM206:BN206"/>
    <mergeCell ref="BO206:BP206"/>
    <mergeCell ref="AY206:AZ206"/>
    <mergeCell ref="BA206:BB206"/>
    <mergeCell ref="BC206:BD206"/>
    <mergeCell ref="BE206:BF206"/>
    <mergeCell ref="BG206:BH206"/>
    <mergeCell ref="BI206:BJ206"/>
    <mergeCell ref="BK206:BL206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I205:AJ205"/>
    <mergeCell ref="AK205:AL205"/>
    <mergeCell ref="AM205:AN205"/>
    <mergeCell ref="AO205:AP205"/>
    <mergeCell ref="AQ205:AR205"/>
    <mergeCell ref="AS205:AT205"/>
    <mergeCell ref="BI205:BJ205"/>
    <mergeCell ref="BK205:BL205"/>
    <mergeCell ref="BM205:BN205"/>
    <mergeCell ref="BO205:BP205"/>
    <mergeCell ref="E205:F205"/>
    <mergeCell ref="G205:H205"/>
    <mergeCell ref="I205:J205"/>
    <mergeCell ref="K205:L205"/>
    <mergeCell ref="M205:N205"/>
    <mergeCell ref="O205:P205"/>
    <mergeCell ref="Q205:R205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U205:AV205"/>
    <mergeCell ref="E197:F197"/>
    <mergeCell ref="G197:H197"/>
    <mergeCell ref="I197:J197"/>
    <mergeCell ref="K197:L197"/>
    <mergeCell ref="M197:N197"/>
    <mergeCell ref="O197:P197"/>
    <mergeCell ref="Q197:R197"/>
    <mergeCell ref="AU199:AV199"/>
    <mergeCell ref="AW199:AX199"/>
    <mergeCell ref="AG199:AH199"/>
    <mergeCell ref="AI199:AJ199"/>
    <mergeCell ref="AK199:AL199"/>
    <mergeCell ref="AM199:AN199"/>
    <mergeCell ref="AO199:AP199"/>
    <mergeCell ref="AQ199:AR199"/>
    <mergeCell ref="AS199:AT199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I200:AJ200"/>
    <mergeCell ref="AK200:AL200"/>
    <mergeCell ref="AM200:AN200"/>
    <mergeCell ref="AO200:AP200"/>
    <mergeCell ref="AQ200:AR200"/>
    <mergeCell ref="AS200:AT200"/>
    <mergeCell ref="BI200:BJ200"/>
    <mergeCell ref="BK200:BL200"/>
    <mergeCell ref="BM200:BN200"/>
    <mergeCell ref="E194:F194"/>
    <mergeCell ref="G194:H194"/>
    <mergeCell ref="I194:J194"/>
    <mergeCell ref="K194:L194"/>
    <mergeCell ref="M194:N194"/>
    <mergeCell ref="O194:P194"/>
    <mergeCell ref="Q194:R194"/>
    <mergeCell ref="S195:T195"/>
    <mergeCell ref="U195:V195"/>
    <mergeCell ref="W195:X195"/>
    <mergeCell ref="Y195:Z195"/>
    <mergeCell ref="AA195:AB195"/>
    <mergeCell ref="AC195:AD195"/>
    <mergeCell ref="AE195:AF195"/>
    <mergeCell ref="AU194:AV194"/>
    <mergeCell ref="AW194:AX194"/>
    <mergeCell ref="AY194:AZ194"/>
    <mergeCell ref="BA194:BB194"/>
    <mergeCell ref="BC194:BD194"/>
    <mergeCell ref="BE194:BF194"/>
    <mergeCell ref="BG194:BH194"/>
    <mergeCell ref="E195:F195"/>
    <mergeCell ref="G195:H195"/>
    <mergeCell ref="I195:J195"/>
    <mergeCell ref="K195:L195"/>
    <mergeCell ref="M195:N195"/>
    <mergeCell ref="O195:P195"/>
    <mergeCell ref="Q195:R195"/>
    <mergeCell ref="AU197:AV197"/>
    <mergeCell ref="AW197:AX197"/>
    <mergeCell ref="AG197:AH197"/>
    <mergeCell ref="AI197:AJ197"/>
    <mergeCell ref="AK197:AL197"/>
    <mergeCell ref="AM197:AN197"/>
    <mergeCell ref="AO197:AP197"/>
    <mergeCell ref="AQ197:AR197"/>
    <mergeCell ref="AS197:AT197"/>
    <mergeCell ref="AY197:AZ197"/>
    <mergeCell ref="BA197:BB197"/>
    <mergeCell ref="BC197:BD197"/>
    <mergeCell ref="BE197:BF197"/>
    <mergeCell ref="BG197:BH197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I196:AJ196"/>
    <mergeCell ref="AK196:AL196"/>
    <mergeCell ref="AM196:AN196"/>
    <mergeCell ref="AO196:AP196"/>
    <mergeCell ref="AQ196:AR196"/>
    <mergeCell ref="AS196:AT196"/>
    <mergeCell ref="E196:F196"/>
    <mergeCell ref="G196:H196"/>
    <mergeCell ref="I196:J196"/>
    <mergeCell ref="K196:L196"/>
    <mergeCell ref="M196:N196"/>
    <mergeCell ref="O196:P196"/>
    <mergeCell ref="Q196:R196"/>
    <mergeCell ref="S197:T197"/>
    <mergeCell ref="AW198:AX198"/>
    <mergeCell ref="AY198:AZ198"/>
    <mergeCell ref="BA198:BB198"/>
    <mergeCell ref="BC198:BD198"/>
    <mergeCell ref="BE198:BF198"/>
    <mergeCell ref="BG198:BH198"/>
    <mergeCell ref="AU195:AV195"/>
    <mergeCell ref="AW195:AX195"/>
    <mergeCell ref="AG195:AH195"/>
    <mergeCell ref="AI195:AJ195"/>
    <mergeCell ref="AK195:AL195"/>
    <mergeCell ref="AM195:AN195"/>
    <mergeCell ref="AO195:AP195"/>
    <mergeCell ref="AQ195:AR195"/>
    <mergeCell ref="AS195:AT195"/>
    <mergeCell ref="BM195:BN195"/>
    <mergeCell ref="BO195:BP195"/>
    <mergeCell ref="AY195:AZ195"/>
    <mergeCell ref="BA195:BB195"/>
    <mergeCell ref="BC195:BD195"/>
    <mergeCell ref="BE195:BF195"/>
    <mergeCell ref="BG195:BH195"/>
    <mergeCell ref="BI195:BJ195"/>
    <mergeCell ref="BK195:BL195"/>
    <mergeCell ref="S194:T194"/>
    <mergeCell ref="U194:V194"/>
    <mergeCell ref="W194:X194"/>
    <mergeCell ref="Y194:Z194"/>
    <mergeCell ref="AA194:AB194"/>
    <mergeCell ref="AC194:AD194"/>
    <mergeCell ref="AE194:AF194"/>
    <mergeCell ref="AG194:AH194"/>
    <mergeCell ref="AI194:AJ194"/>
    <mergeCell ref="AK194:AL194"/>
    <mergeCell ref="AM194:AN194"/>
    <mergeCell ref="AO194:AP194"/>
    <mergeCell ref="AQ194:AR194"/>
    <mergeCell ref="AS194:AT194"/>
    <mergeCell ref="BI194:BJ194"/>
    <mergeCell ref="BK194:BL194"/>
    <mergeCell ref="BM194:BN194"/>
    <mergeCell ref="BO194:BP194"/>
    <mergeCell ref="BM197:BN197"/>
    <mergeCell ref="BO197:BP197"/>
    <mergeCell ref="BI197:BJ197"/>
    <mergeCell ref="BK197:BL197"/>
    <mergeCell ref="BI196:BJ196"/>
    <mergeCell ref="BK196:BL196"/>
    <mergeCell ref="BM196:BN196"/>
    <mergeCell ref="BO196:BP196"/>
    <mergeCell ref="U197:V197"/>
    <mergeCell ref="W197:X197"/>
    <mergeCell ref="Y197:Z197"/>
    <mergeCell ref="AA197:AB197"/>
    <mergeCell ref="AC197:AD197"/>
    <mergeCell ref="AE197:AF197"/>
    <mergeCell ref="AU196:AV196"/>
    <mergeCell ref="AW196:AX196"/>
    <mergeCell ref="AY196:AZ196"/>
    <mergeCell ref="BA196:BB196"/>
    <mergeCell ref="BC196:BD196"/>
    <mergeCell ref="BE196:BF196"/>
    <mergeCell ref="BG196:BH196"/>
    <mergeCell ref="BO193:BP193"/>
    <mergeCell ref="AU193:AV193"/>
    <mergeCell ref="AW193:AX193"/>
    <mergeCell ref="AY193:AZ193"/>
    <mergeCell ref="BA193:BB193"/>
    <mergeCell ref="BC193:BD193"/>
    <mergeCell ref="BE193:BF193"/>
    <mergeCell ref="BG193:BH193"/>
    <mergeCell ref="E193:F193"/>
    <mergeCell ref="G193:H193"/>
    <mergeCell ref="I193:J193"/>
    <mergeCell ref="K193:L193"/>
    <mergeCell ref="M193:N193"/>
    <mergeCell ref="O193:P193"/>
    <mergeCell ref="Q193:R193"/>
    <mergeCell ref="BM199:BN199"/>
    <mergeCell ref="BO199:BP199"/>
    <mergeCell ref="AY199:AZ199"/>
    <mergeCell ref="BA199:BB199"/>
    <mergeCell ref="BC199:BD199"/>
    <mergeCell ref="BE199:BF199"/>
    <mergeCell ref="BG199:BH199"/>
    <mergeCell ref="BI199:BJ199"/>
    <mergeCell ref="BK199:BL199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I198:AJ198"/>
    <mergeCell ref="AK198:AL198"/>
    <mergeCell ref="AM198:AN198"/>
    <mergeCell ref="AO198:AP198"/>
    <mergeCell ref="AQ198:AR198"/>
    <mergeCell ref="AS198:AT198"/>
    <mergeCell ref="BI198:BJ198"/>
    <mergeCell ref="BK198:BL198"/>
    <mergeCell ref="BM198:BN198"/>
    <mergeCell ref="BO198:BP198"/>
    <mergeCell ref="E198:F198"/>
    <mergeCell ref="G198:H198"/>
    <mergeCell ref="I198:J198"/>
    <mergeCell ref="K198:L198"/>
    <mergeCell ref="M198:N198"/>
    <mergeCell ref="O198:P198"/>
    <mergeCell ref="Q198:R198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U198:AV198"/>
    <mergeCell ref="E190:F190"/>
    <mergeCell ref="G190:H190"/>
    <mergeCell ref="I190:J190"/>
    <mergeCell ref="K190:L190"/>
    <mergeCell ref="M190:N190"/>
    <mergeCell ref="O190:P190"/>
    <mergeCell ref="Q190:R190"/>
    <mergeCell ref="AU192:AV192"/>
    <mergeCell ref="AW192:AX192"/>
    <mergeCell ref="AG192:AH192"/>
    <mergeCell ref="AI192:AJ192"/>
    <mergeCell ref="AK192:AL192"/>
    <mergeCell ref="AM192:AN192"/>
    <mergeCell ref="AO192:AP192"/>
    <mergeCell ref="AQ192:AR192"/>
    <mergeCell ref="AS192:AT192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I193:AJ193"/>
    <mergeCell ref="AK193:AL193"/>
    <mergeCell ref="AM193:AN193"/>
    <mergeCell ref="AO193:AP193"/>
    <mergeCell ref="AQ193:AR193"/>
    <mergeCell ref="AS193:AT193"/>
    <mergeCell ref="BI193:BJ193"/>
    <mergeCell ref="BK193:BL193"/>
    <mergeCell ref="BM193:BN193"/>
    <mergeCell ref="E187:F187"/>
    <mergeCell ref="G187:H187"/>
    <mergeCell ref="I187:J187"/>
    <mergeCell ref="K187:L187"/>
    <mergeCell ref="M187:N187"/>
    <mergeCell ref="O187:P187"/>
    <mergeCell ref="Q187:R187"/>
    <mergeCell ref="S188:T188"/>
    <mergeCell ref="U188:V188"/>
    <mergeCell ref="W188:X188"/>
    <mergeCell ref="Y188:Z188"/>
    <mergeCell ref="AA188:AB188"/>
    <mergeCell ref="AC188:AD188"/>
    <mergeCell ref="AE188:AF188"/>
    <mergeCell ref="AU187:AV187"/>
    <mergeCell ref="AW187:AX187"/>
    <mergeCell ref="AY187:AZ187"/>
    <mergeCell ref="BA187:BB187"/>
    <mergeCell ref="BC187:BD187"/>
    <mergeCell ref="BE187:BF187"/>
    <mergeCell ref="BG187:BH187"/>
    <mergeCell ref="E188:F188"/>
    <mergeCell ref="G188:H188"/>
    <mergeCell ref="I188:J188"/>
    <mergeCell ref="K188:L188"/>
    <mergeCell ref="M188:N188"/>
    <mergeCell ref="O188:P188"/>
    <mergeCell ref="Q188:R188"/>
    <mergeCell ref="AU190:AV190"/>
    <mergeCell ref="AW190:AX190"/>
    <mergeCell ref="AG190:AH190"/>
    <mergeCell ref="AI190:AJ190"/>
    <mergeCell ref="AK190:AL190"/>
    <mergeCell ref="AM190:AN190"/>
    <mergeCell ref="AO190:AP190"/>
    <mergeCell ref="AQ190:AR190"/>
    <mergeCell ref="AS190:AT190"/>
    <mergeCell ref="AY190:AZ190"/>
    <mergeCell ref="BA190:BB190"/>
    <mergeCell ref="BC190:BD190"/>
    <mergeCell ref="BE190:BF190"/>
    <mergeCell ref="BG190:BH190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I189:AJ189"/>
    <mergeCell ref="AK189:AL189"/>
    <mergeCell ref="AM189:AN189"/>
    <mergeCell ref="AO189:AP189"/>
    <mergeCell ref="AQ189:AR189"/>
    <mergeCell ref="AS189:AT189"/>
    <mergeCell ref="E189:F189"/>
    <mergeCell ref="G189:H189"/>
    <mergeCell ref="I189:J189"/>
    <mergeCell ref="K189:L189"/>
    <mergeCell ref="M189:N189"/>
    <mergeCell ref="O189:P189"/>
    <mergeCell ref="Q189:R189"/>
    <mergeCell ref="S190:T190"/>
    <mergeCell ref="AW191:AX191"/>
    <mergeCell ref="AY191:AZ191"/>
    <mergeCell ref="BA191:BB191"/>
    <mergeCell ref="BC191:BD191"/>
    <mergeCell ref="BE191:BF191"/>
    <mergeCell ref="BG191:BH191"/>
    <mergeCell ref="AU188:AV188"/>
    <mergeCell ref="AW188:AX188"/>
    <mergeCell ref="AG188:AH188"/>
    <mergeCell ref="AI188:AJ188"/>
    <mergeCell ref="AK188:AL188"/>
    <mergeCell ref="AM188:AN188"/>
    <mergeCell ref="AO188:AP188"/>
    <mergeCell ref="AQ188:AR188"/>
    <mergeCell ref="AS188:AT188"/>
    <mergeCell ref="BM188:BN188"/>
    <mergeCell ref="BO188:BP188"/>
    <mergeCell ref="AY188:AZ188"/>
    <mergeCell ref="BA188:BB188"/>
    <mergeCell ref="BC188:BD188"/>
    <mergeCell ref="BE188:BF188"/>
    <mergeCell ref="BG188:BH188"/>
    <mergeCell ref="BI188:BJ188"/>
    <mergeCell ref="BK188:BL188"/>
    <mergeCell ref="S187:T187"/>
    <mergeCell ref="U187:V187"/>
    <mergeCell ref="W187:X187"/>
    <mergeCell ref="Y187:Z187"/>
    <mergeCell ref="AA187:AB187"/>
    <mergeCell ref="AC187:AD187"/>
    <mergeCell ref="AE187:AF187"/>
    <mergeCell ref="AG187:AH187"/>
    <mergeCell ref="AI187:AJ187"/>
    <mergeCell ref="AK187:AL187"/>
    <mergeCell ref="AM187:AN187"/>
    <mergeCell ref="AO187:AP187"/>
    <mergeCell ref="AQ187:AR187"/>
    <mergeCell ref="AS187:AT187"/>
    <mergeCell ref="BI187:BJ187"/>
    <mergeCell ref="BK187:BL187"/>
    <mergeCell ref="BM187:BN187"/>
    <mergeCell ref="BO187:BP187"/>
    <mergeCell ref="BM190:BN190"/>
    <mergeCell ref="BO190:BP190"/>
    <mergeCell ref="BI190:BJ190"/>
    <mergeCell ref="BK190:BL190"/>
    <mergeCell ref="BI189:BJ189"/>
    <mergeCell ref="BK189:BL189"/>
    <mergeCell ref="BM189:BN189"/>
    <mergeCell ref="BO189:BP189"/>
    <mergeCell ref="U190:V190"/>
    <mergeCell ref="W190:X190"/>
    <mergeCell ref="Y190:Z190"/>
    <mergeCell ref="AA190:AB190"/>
    <mergeCell ref="AC190:AD190"/>
    <mergeCell ref="AE190:AF190"/>
    <mergeCell ref="AU189:AV189"/>
    <mergeCell ref="AW189:AX189"/>
    <mergeCell ref="AY189:AZ189"/>
    <mergeCell ref="BA189:BB189"/>
    <mergeCell ref="BC189:BD189"/>
    <mergeCell ref="BE189:BF189"/>
    <mergeCell ref="BG189:BH189"/>
    <mergeCell ref="BO186:BP186"/>
    <mergeCell ref="AU186:AV186"/>
    <mergeCell ref="AW186:AX186"/>
    <mergeCell ref="AY186:AZ186"/>
    <mergeCell ref="BA186:BB186"/>
    <mergeCell ref="BC186:BD186"/>
    <mergeCell ref="BE186:BF186"/>
    <mergeCell ref="BG186:BH186"/>
    <mergeCell ref="E186:F186"/>
    <mergeCell ref="G186:H186"/>
    <mergeCell ref="I186:J186"/>
    <mergeCell ref="K186:L186"/>
    <mergeCell ref="M186:N186"/>
    <mergeCell ref="O186:P186"/>
    <mergeCell ref="Q186:R186"/>
    <mergeCell ref="BM192:BN192"/>
    <mergeCell ref="BO192:BP192"/>
    <mergeCell ref="AY192:AZ192"/>
    <mergeCell ref="BA192:BB192"/>
    <mergeCell ref="BC192:BD192"/>
    <mergeCell ref="BE192:BF192"/>
    <mergeCell ref="BG192:BH192"/>
    <mergeCell ref="BI192:BJ192"/>
    <mergeCell ref="BK192:BL192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I191:AJ191"/>
    <mergeCell ref="AK191:AL191"/>
    <mergeCell ref="AM191:AN191"/>
    <mergeCell ref="AO191:AP191"/>
    <mergeCell ref="AQ191:AR191"/>
    <mergeCell ref="AS191:AT191"/>
    <mergeCell ref="BI191:BJ191"/>
    <mergeCell ref="BK191:BL191"/>
    <mergeCell ref="BM191:BN191"/>
    <mergeCell ref="BO191:BP191"/>
    <mergeCell ref="E191:F191"/>
    <mergeCell ref="G191:H191"/>
    <mergeCell ref="I191:J191"/>
    <mergeCell ref="K191:L191"/>
    <mergeCell ref="M191:N191"/>
    <mergeCell ref="O191:P191"/>
    <mergeCell ref="Q191:R191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U191:AV191"/>
    <mergeCell ref="E183:F183"/>
    <mergeCell ref="G183:H183"/>
    <mergeCell ref="I183:J183"/>
    <mergeCell ref="K183:L183"/>
    <mergeCell ref="M183:N183"/>
    <mergeCell ref="O183:P183"/>
    <mergeCell ref="Q183:R183"/>
    <mergeCell ref="AU185:AV185"/>
    <mergeCell ref="AW185:AX185"/>
    <mergeCell ref="AG185:AH185"/>
    <mergeCell ref="AI185:AJ185"/>
    <mergeCell ref="AK185:AL185"/>
    <mergeCell ref="AM185:AN185"/>
    <mergeCell ref="AO185:AP185"/>
    <mergeCell ref="AQ185:AR185"/>
    <mergeCell ref="AS185:AT185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I186:AJ186"/>
    <mergeCell ref="AK186:AL186"/>
    <mergeCell ref="AM186:AN186"/>
    <mergeCell ref="AO186:AP186"/>
    <mergeCell ref="AQ186:AR186"/>
    <mergeCell ref="AS186:AT186"/>
    <mergeCell ref="BI186:BJ186"/>
    <mergeCell ref="BK186:BL186"/>
    <mergeCell ref="BM186:BN186"/>
    <mergeCell ref="E180:F180"/>
    <mergeCell ref="G180:H180"/>
    <mergeCell ref="I180:J180"/>
    <mergeCell ref="K180:L180"/>
    <mergeCell ref="M180:N180"/>
    <mergeCell ref="O180:P180"/>
    <mergeCell ref="Q180:R180"/>
    <mergeCell ref="S181:T181"/>
    <mergeCell ref="U181:V181"/>
    <mergeCell ref="W181:X181"/>
    <mergeCell ref="Y181:Z181"/>
    <mergeCell ref="AA181:AB181"/>
    <mergeCell ref="AC181:AD181"/>
    <mergeCell ref="AE181:AF181"/>
    <mergeCell ref="AU180:AV180"/>
    <mergeCell ref="AW180:AX180"/>
    <mergeCell ref="AY180:AZ180"/>
    <mergeCell ref="BA180:BB180"/>
    <mergeCell ref="BC180:BD180"/>
    <mergeCell ref="BE180:BF180"/>
    <mergeCell ref="BG180:BH180"/>
    <mergeCell ref="E181:F181"/>
    <mergeCell ref="G181:H181"/>
    <mergeCell ref="I181:J181"/>
    <mergeCell ref="K181:L181"/>
    <mergeCell ref="M181:N181"/>
    <mergeCell ref="O181:P181"/>
    <mergeCell ref="Q181:R181"/>
    <mergeCell ref="AU183:AV183"/>
    <mergeCell ref="AW183:AX183"/>
    <mergeCell ref="AG183:AH183"/>
    <mergeCell ref="AI183:AJ183"/>
    <mergeCell ref="AK183:AL183"/>
    <mergeCell ref="AM183:AN183"/>
    <mergeCell ref="AO183:AP183"/>
    <mergeCell ref="AQ183:AR183"/>
    <mergeCell ref="AS183:AT183"/>
    <mergeCell ref="AY183:AZ183"/>
    <mergeCell ref="BA183:BB183"/>
    <mergeCell ref="BC183:BD183"/>
    <mergeCell ref="BE183:BF183"/>
    <mergeCell ref="BG183:BH183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I182:AJ182"/>
    <mergeCell ref="AK182:AL182"/>
    <mergeCell ref="AM182:AN182"/>
    <mergeCell ref="AO182:AP182"/>
    <mergeCell ref="AQ182:AR182"/>
    <mergeCell ref="AS182:AT182"/>
    <mergeCell ref="E182:F182"/>
    <mergeCell ref="G182:H182"/>
    <mergeCell ref="I182:J182"/>
    <mergeCell ref="K182:L182"/>
    <mergeCell ref="M182:N182"/>
    <mergeCell ref="O182:P182"/>
    <mergeCell ref="Q182:R182"/>
    <mergeCell ref="S183:T183"/>
    <mergeCell ref="AW184:AX184"/>
    <mergeCell ref="AY184:AZ184"/>
    <mergeCell ref="BA184:BB184"/>
    <mergeCell ref="BC184:BD184"/>
    <mergeCell ref="BE184:BF184"/>
    <mergeCell ref="BG184:BH184"/>
    <mergeCell ref="AU181:AV181"/>
    <mergeCell ref="AW181:AX181"/>
    <mergeCell ref="AG181:AH181"/>
    <mergeCell ref="AI181:AJ181"/>
    <mergeCell ref="AK181:AL181"/>
    <mergeCell ref="AM181:AN181"/>
    <mergeCell ref="AO181:AP181"/>
    <mergeCell ref="AQ181:AR181"/>
    <mergeCell ref="AS181:AT181"/>
    <mergeCell ref="BM181:BN181"/>
    <mergeCell ref="BO181:BP181"/>
    <mergeCell ref="AY181:AZ181"/>
    <mergeCell ref="BA181:BB181"/>
    <mergeCell ref="BC181:BD181"/>
    <mergeCell ref="BE181:BF181"/>
    <mergeCell ref="BG181:BH181"/>
    <mergeCell ref="BI181:BJ181"/>
    <mergeCell ref="BK181:BL181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I180:AJ180"/>
    <mergeCell ref="AK180:AL180"/>
    <mergeCell ref="AM180:AN180"/>
    <mergeCell ref="AO180:AP180"/>
    <mergeCell ref="AQ180:AR180"/>
    <mergeCell ref="AS180:AT180"/>
    <mergeCell ref="BI180:BJ180"/>
    <mergeCell ref="BK180:BL180"/>
    <mergeCell ref="BM180:BN180"/>
    <mergeCell ref="BO180:BP180"/>
    <mergeCell ref="BM183:BN183"/>
    <mergeCell ref="BO183:BP183"/>
    <mergeCell ref="BI183:BJ183"/>
    <mergeCell ref="BK183:BL183"/>
    <mergeCell ref="BI182:BJ182"/>
    <mergeCell ref="BK182:BL182"/>
    <mergeCell ref="BM182:BN182"/>
    <mergeCell ref="BO182:BP182"/>
    <mergeCell ref="U183:V183"/>
    <mergeCell ref="W183:X183"/>
    <mergeCell ref="Y183:Z183"/>
    <mergeCell ref="AA183:AB183"/>
    <mergeCell ref="AC183:AD183"/>
    <mergeCell ref="AE183:AF183"/>
    <mergeCell ref="AU182:AV182"/>
    <mergeCell ref="AW182:AX182"/>
    <mergeCell ref="AY182:AZ182"/>
    <mergeCell ref="BA182:BB182"/>
    <mergeCell ref="BC182:BD182"/>
    <mergeCell ref="BE182:BF182"/>
    <mergeCell ref="BG182:BH182"/>
    <mergeCell ref="BO179:BP179"/>
    <mergeCell ref="AU179:AV179"/>
    <mergeCell ref="AW179:AX179"/>
    <mergeCell ref="AY179:AZ179"/>
    <mergeCell ref="BA179:BB179"/>
    <mergeCell ref="BC179:BD179"/>
    <mergeCell ref="BE179:BF179"/>
    <mergeCell ref="BG179:BH179"/>
    <mergeCell ref="E179:F179"/>
    <mergeCell ref="G179:H179"/>
    <mergeCell ref="I179:J179"/>
    <mergeCell ref="K179:L179"/>
    <mergeCell ref="M179:N179"/>
    <mergeCell ref="O179:P179"/>
    <mergeCell ref="Q179:R179"/>
    <mergeCell ref="BM185:BN185"/>
    <mergeCell ref="BO185:BP185"/>
    <mergeCell ref="AY185:AZ185"/>
    <mergeCell ref="BA185:BB185"/>
    <mergeCell ref="BC185:BD185"/>
    <mergeCell ref="BE185:BF185"/>
    <mergeCell ref="BG185:BH185"/>
    <mergeCell ref="BI185:BJ185"/>
    <mergeCell ref="BK185:BL185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I184:AJ184"/>
    <mergeCell ref="AK184:AL184"/>
    <mergeCell ref="AM184:AN184"/>
    <mergeCell ref="AO184:AP184"/>
    <mergeCell ref="AQ184:AR184"/>
    <mergeCell ref="AS184:AT184"/>
    <mergeCell ref="BI184:BJ184"/>
    <mergeCell ref="BK184:BL184"/>
    <mergeCell ref="BM184:BN184"/>
    <mergeCell ref="BO184:BP184"/>
    <mergeCell ref="E184:F184"/>
    <mergeCell ref="G184:H184"/>
    <mergeCell ref="I184:J184"/>
    <mergeCell ref="K184:L184"/>
    <mergeCell ref="M184:N184"/>
    <mergeCell ref="O184:P184"/>
    <mergeCell ref="Q184:R184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U184:AV184"/>
    <mergeCell ref="E176:F176"/>
    <mergeCell ref="G176:H176"/>
    <mergeCell ref="I176:J176"/>
    <mergeCell ref="K176:L176"/>
    <mergeCell ref="M176:N176"/>
    <mergeCell ref="O176:P176"/>
    <mergeCell ref="Q176:R176"/>
    <mergeCell ref="AU178:AV178"/>
    <mergeCell ref="AW178:AX178"/>
    <mergeCell ref="AG178:AH178"/>
    <mergeCell ref="AI178:AJ178"/>
    <mergeCell ref="AK178:AL178"/>
    <mergeCell ref="AM178:AN178"/>
    <mergeCell ref="AO178:AP178"/>
    <mergeCell ref="AQ178:AR178"/>
    <mergeCell ref="AS178:AT178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I179:AJ179"/>
    <mergeCell ref="AK179:AL179"/>
    <mergeCell ref="AM179:AN179"/>
    <mergeCell ref="AO179:AP179"/>
    <mergeCell ref="AQ179:AR179"/>
    <mergeCell ref="AS179:AT179"/>
    <mergeCell ref="BI179:BJ179"/>
    <mergeCell ref="BK179:BL179"/>
    <mergeCell ref="BM179:BN179"/>
    <mergeCell ref="E173:F173"/>
    <mergeCell ref="G173:H173"/>
    <mergeCell ref="I173:J173"/>
    <mergeCell ref="K173:L173"/>
    <mergeCell ref="M173:N173"/>
    <mergeCell ref="O173:P173"/>
    <mergeCell ref="Q173:R173"/>
    <mergeCell ref="S174:T174"/>
    <mergeCell ref="U174:V174"/>
    <mergeCell ref="W174:X174"/>
    <mergeCell ref="Y174:Z174"/>
    <mergeCell ref="AA174:AB174"/>
    <mergeCell ref="AC174:AD174"/>
    <mergeCell ref="AE174:AF174"/>
    <mergeCell ref="AU173:AV173"/>
    <mergeCell ref="AW173:AX173"/>
    <mergeCell ref="AY173:AZ173"/>
    <mergeCell ref="BA173:BB173"/>
    <mergeCell ref="BC173:BD173"/>
    <mergeCell ref="BE173:BF173"/>
    <mergeCell ref="BG173:BH173"/>
    <mergeCell ref="E174:F174"/>
    <mergeCell ref="G174:H174"/>
    <mergeCell ref="I174:J174"/>
    <mergeCell ref="K174:L174"/>
    <mergeCell ref="M174:N174"/>
    <mergeCell ref="O174:P174"/>
    <mergeCell ref="Q174:R174"/>
    <mergeCell ref="AU176:AV176"/>
    <mergeCell ref="AW176:AX176"/>
    <mergeCell ref="AG176:AH176"/>
    <mergeCell ref="AI176:AJ176"/>
    <mergeCell ref="AK176:AL176"/>
    <mergeCell ref="AM176:AN176"/>
    <mergeCell ref="AO176:AP176"/>
    <mergeCell ref="AQ176:AR176"/>
    <mergeCell ref="AS176:AT176"/>
    <mergeCell ref="AY176:AZ176"/>
    <mergeCell ref="BA176:BB176"/>
    <mergeCell ref="BC176:BD176"/>
    <mergeCell ref="BE176:BF176"/>
    <mergeCell ref="BG176:BH176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I175:AJ175"/>
    <mergeCell ref="AK175:AL175"/>
    <mergeCell ref="AM175:AN175"/>
    <mergeCell ref="AO175:AP175"/>
    <mergeCell ref="AQ175:AR175"/>
    <mergeCell ref="AS175:AT175"/>
    <mergeCell ref="E175:F175"/>
    <mergeCell ref="G175:H175"/>
    <mergeCell ref="I175:J175"/>
    <mergeCell ref="K175:L175"/>
    <mergeCell ref="M175:N175"/>
    <mergeCell ref="O175:P175"/>
    <mergeCell ref="Q175:R175"/>
    <mergeCell ref="S176:T176"/>
    <mergeCell ref="AW177:AX177"/>
    <mergeCell ref="AY177:AZ177"/>
    <mergeCell ref="BA177:BB177"/>
    <mergeCell ref="BC177:BD177"/>
    <mergeCell ref="BE177:BF177"/>
    <mergeCell ref="BG177:BH177"/>
    <mergeCell ref="AU174:AV174"/>
    <mergeCell ref="AW174:AX174"/>
    <mergeCell ref="AG174:AH174"/>
    <mergeCell ref="AI174:AJ174"/>
    <mergeCell ref="AK174:AL174"/>
    <mergeCell ref="AM174:AN174"/>
    <mergeCell ref="AO174:AP174"/>
    <mergeCell ref="AQ174:AR174"/>
    <mergeCell ref="AS174:AT174"/>
    <mergeCell ref="BM174:BN174"/>
    <mergeCell ref="BO174:BP174"/>
    <mergeCell ref="AY174:AZ174"/>
    <mergeCell ref="BA174:BB174"/>
    <mergeCell ref="BC174:BD174"/>
    <mergeCell ref="BE174:BF174"/>
    <mergeCell ref="BG174:BH174"/>
    <mergeCell ref="BI174:BJ174"/>
    <mergeCell ref="BK174:BL174"/>
    <mergeCell ref="S173:T173"/>
    <mergeCell ref="U173:V173"/>
    <mergeCell ref="W173:X173"/>
    <mergeCell ref="Y173:Z173"/>
    <mergeCell ref="AA173:AB173"/>
    <mergeCell ref="AC173:AD173"/>
    <mergeCell ref="AE173:AF173"/>
    <mergeCell ref="AG173:AH173"/>
    <mergeCell ref="AI173:AJ173"/>
    <mergeCell ref="AK173:AL173"/>
    <mergeCell ref="AM173:AN173"/>
    <mergeCell ref="AO173:AP173"/>
    <mergeCell ref="AQ173:AR173"/>
    <mergeCell ref="AS173:AT173"/>
    <mergeCell ref="BI173:BJ173"/>
    <mergeCell ref="BK173:BL173"/>
    <mergeCell ref="BM173:BN173"/>
    <mergeCell ref="BO173:BP173"/>
    <mergeCell ref="BM176:BN176"/>
    <mergeCell ref="BO176:BP176"/>
    <mergeCell ref="BI176:BJ176"/>
    <mergeCell ref="BK176:BL176"/>
    <mergeCell ref="BI175:BJ175"/>
    <mergeCell ref="BK175:BL175"/>
    <mergeCell ref="BM175:BN175"/>
    <mergeCell ref="BO175:BP175"/>
    <mergeCell ref="U176:V176"/>
    <mergeCell ref="W176:X176"/>
    <mergeCell ref="Y176:Z176"/>
    <mergeCell ref="AA176:AB176"/>
    <mergeCell ref="AC176:AD176"/>
    <mergeCell ref="AE176:AF176"/>
    <mergeCell ref="AU175:AV175"/>
    <mergeCell ref="AW175:AX175"/>
    <mergeCell ref="AY175:AZ175"/>
    <mergeCell ref="BA175:BB175"/>
    <mergeCell ref="BC175:BD175"/>
    <mergeCell ref="BE175:BF175"/>
    <mergeCell ref="BG175:BH175"/>
    <mergeCell ref="BO172:BP172"/>
    <mergeCell ref="AU172:AV172"/>
    <mergeCell ref="AW172:AX172"/>
    <mergeCell ref="AY172:AZ172"/>
    <mergeCell ref="BA172:BB172"/>
    <mergeCell ref="BC172:BD172"/>
    <mergeCell ref="BE172:BF172"/>
    <mergeCell ref="BG172:BH172"/>
    <mergeCell ref="E172:F172"/>
    <mergeCell ref="G172:H172"/>
    <mergeCell ref="I172:J172"/>
    <mergeCell ref="K172:L172"/>
    <mergeCell ref="M172:N172"/>
    <mergeCell ref="O172:P172"/>
    <mergeCell ref="Q172:R172"/>
    <mergeCell ref="BM178:BN178"/>
    <mergeCell ref="BO178:BP178"/>
    <mergeCell ref="AY178:AZ178"/>
    <mergeCell ref="BA178:BB178"/>
    <mergeCell ref="BC178:BD178"/>
    <mergeCell ref="BE178:BF178"/>
    <mergeCell ref="BG178:BH178"/>
    <mergeCell ref="BI178:BJ178"/>
    <mergeCell ref="BK178:BL178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I177:AJ177"/>
    <mergeCell ref="AK177:AL177"/>
    <mergeCell ref="AM177:AN177"/>
    <mergeCell ref="AO177:AP177"/>
    <mergeCell ref="AQ177:AR177"/>
    <mergeCell ref="AS177:AT177"/>
    <mergeCell ref="BI177:BJ177"/>
    <mergeCell ref="BK177:BL177"/>
    <mergeCell ref="BM177:BN177"/>
    <mergeCell ref="BO177:BP177"/>
    <mergeCell ref="E177:F177"/>
    <mergeCell ref="G177:H177"/>
    <mergeCell ref="I177:J177"/>
    <mergeCell ref="K177:L177"/>
    <mergeCell ref="M177:N177"/>
    <mergeCell ref="O177:P177"/>
    <mergeCell ref="Q177:R177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U177:AV177"/>
    <mergeCell ref="E169:F169"/>
    <mergeCell ref="G169:H169"/>
    <mergeCell ref="I169:J169"/>
    <mergeCell ref="K169:L169"/>
    <mergeCell ref="M169:N169"/>
    <mergeCell ref="O169:P169"/>
    <mergeCell ref="Q169:R169"/>
    <mergeCell ref="AU171:AV171"/>
    <mergeCell ref="AW171:AX171"/>
    <mergeCell ref="AG171:AH171"/>
    <mergeCell ref="AI171:AJ171"/>
    <mergeCell ref="AK171:AL171"/>
    <mergeCell ref="AM171:AN171"/>
    <mergeCell ref="AO171:AP171"/>
    <mergeCell ref="AQ171:AR171"/>
    <mergeCell ref="AS171:AT171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I172:AJ172"/>
    <mergeCell ref="AK172:AL172"/>
    <mergeCell ref="AM172:AN172"/>
    <mergeCell ref="AO172:AP172"/>
    <mergeCell ref="AQ172:AR172"/>
    <mergeCell ref="AS172:AT172"/>
    <mergeCell ref="BI172:BJ172"/>
    <mergeCell ref="BK172:BL172"/>
    <mergeCell ref="BM172:BN172"/>
    <mergeCell ref="E166:F166"/>
    <mergeCell ref="G166:H166"/>
    <mergeCell ref="I166:J166"/>
    <mergeCell ref="K166:L166"/>
    <mergeCell ref="M166:N166"/>
    <mergeCell ref="O166:P166"/>
    <mergeCell ref="Q166:R166"/>
    <mergeCell ref="S167:T167"/>
    <mergeCell ref="U167:V167"/>
    <mergeCell ref="W167:X167"/>
    <mergeCell ref="Y167:Z167"/>
    <mergeCell ref="AA167:AB167"/>
    <mergeCell ref="AC167:AD167"/>
    <mergeCell ref="AE167:AF167"/>
    <mergeCell ref="AU166:AV166"/>
    <mergeCell ref="AW166:AX166"/>
    <mergeCell ref="AY166:AZ166"/>
    <mergeCell ref="BA166:BB166"/>
    <mergeCell ref="BC166:BD166"/>
    <mergeCell ref="BE166:BF166"/>
    <mergeCell ref="BG166:BH166"/>
    <mergeCell ref="E167:F167"/>
    <mergeCell ref="G167:H167"/>
    <mergeCell ref="I167:J167"/>
    <mergeCell ref="K167:L167"/>
    <mergeCell ref="M167:N167"/>
    <mergeCell ref="O167:P167"/>
    <mergeCell ref="Q167:R167"/>
    <mergeCell ref="AU169:AV169"/>
    <mergeCell ref="AW169:AX169"/>
    <mergeCell ref="AG169:AH169"/>
    <mergeCell ref="AI169:AJ169"/>
    <mergeCell ref="AK169:AL169"/>
    <mergeCell ref="AM169:AN169"/>
    <mergeCell ref="AO169:AP169"/>
    <mergeCell ref="AQ169:AR169"/>
    <mergeCell ref="AS169:AT169"/>
    <mergeCell ref="AY169:AZ169"/>
    <mergeCell ref="BA169:BB169"/>
    <mergeCell ref="BC169:BD169"/>
    <mergeCell ref="BE169:BF169"/>
    <mergeCell ref="BG169:BH169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I168:AJ168"/>
    <mergeCell ref="AK168:AL168"/>
    <mergeCell ref="AM168:AN168"/>
    <mergeCell ref="AO168:AP168"/>
    <mergeCell ref="AQ168:AR168"/>
    <mergeCell ref="AS168:AT168"/>
    <mergeCell ref="E168:F168"/>
    <mergeCell ref="G168:H168"/>
    <mergeCell ref="I168:J168"/>
    <mergeCell ref="K168:L168"/>
    <mergeCell ref="M168:N168"/>
    <mergeCell ref="O168:P168"/>
    <mergeCell ref="Q168:R168"/>
    <mergeCell ref="S169:T169"/>
    <mergeCell ref="AW170:AX170"/>
    <mergeCell ref="AY170:AZ170"/>
    <mergeCell ref="BA170:BB170"/>
    <mergeCell ref="BC170:BD170"/>
    <mergeCell ref="BE170:BF170"/>
    <mergeCell ref="BG170:BH170"/>
    <mergeCell ref="AU167:AV167"/>
    <mergeCell ref="AW167:AX167"/>
    <mergeCell ref="AG167:AH167"/>
    <mergeCell ref="AI167:AJ167"/>
    <mergeCell ref="AK167:AL167"/>
    <mergeCell ref="AM167:AN167"/>
    <mergeCell ref="AO167:AP167"/>
    <mergeCell ref="AQ167:AR167"/>
    <mergeCell ref="AS167:AT167"/>
    <mergeCell ref="BM167:BN167"/>
    <mergeCell ref="BO167:BP167"/>
    <mergeCell ref="AY167:AZ167"/>
    <mergeCell ref="BA167:BB167"/>
    <mergeCell ref="BC167:BD167"/>
    <mergeCell ref="BE167:BF167"/>
    <mergeCell ref="BG167:BH167"/>
    <mergeCell ref="BI167:BJ167"/>
    <mergeCell ref="BK167:BL167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I166:AJ166"/>
    <mergeCell ref="AK166:AL166"/>
    <mergeCell ref="AM166:AN166"/>
    <mergeCell ref="AO166:AP166"/>
    <mergeCell ref="AQ166:AR166"/>
    <mergeCell ref="AS166:AT166"/>
    <mergeCell ref="BI166:BJ166"/>
    <mergeCell ref="BK166:BL166"/>
    <mergeCell ref="BM166:BN166"/>
    <mergeCell ref="BO166:BP166"/>
    <mergeCell ref="BM169:BN169"/>
    <mergeCell ref="BO169:BP169"/>
    <mergeCell ref="BI169:BJ169"/>
    <mergeCell ref="BK169:BL169"/>
    <mergeCell ref="BI168:BJ168"/>
    <mergeCell ref="BK168:BL168"/>
    <mergeCell ref="BM168:BN168"/>
    <mergeCell ref="BO168:BP168"/>
    <mergeCell ref="U169:V169"/>
    <mergeCell ref="W169:X169"/>
    <mergeCell ref="Y169:Z169"/>
    <mergeCell ref="AA169:AB169"/>
    <mergeCell ref="AC169:AD169"/>
    <mergeCell ref="AE169:AF169"/>
    <mergeCell ref="AU168:AV168"/>
    <mergeCell ref="AW168:AX168"/>
    <mergeCell ref="AY168:AZ168"/>
    <mergeCell ref="BA168:BB168"/>
    <mergeCell ref="BC168:BD168"/>
    <mergeCell ref="BE168:BF168"/>
    <mergeCell ref="BG168:BH168"/>
    <mergeCell ref="BO165:BP165"/>
    <mergeCell ref="AU165:AV165"/>
    <mergeCell ref="AW165:AX165"/>
    <mergeCell ref="AY165:AZ165"/>
    <mergeCell ref="BA165:BB165"/>
    <mergeCell ref="BC165:BD165"/>
    <mergeCell ref="BE165:BF165"/>
    <mergeCell ref="BG165:BH165"/>
    <mergeCell ref="E165:F165"/>
    <mergeCell ref="G165:H165"/>
    <mergeCell ref="I165:J165"/>
    <mergeCell ref="K165:L165"/>
    <mergeCell ref="M165:N165"/>
    <mergeCell ref="O165:P165"/>
    <mergeCell ref="Q165:R165"/>
    <mergeCell ref="BM171:BN171"/>
    <mergeCell ref="BO171:BP171"/>
    <mergeCell ref="AY171:AZ171"/>
    <mergeCell ref="BA171:BB171"/>
    <mergeCell ref="BC171:BD171"/>
    <mergeCell ref="BE171:BF171"/>
    <mergeCell ref="BG171:BH171"/>
    <mergeCell ref="BI171:BJ171"/>
    <mergeCell ref="BK171:BL171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I170:AJ170"/>
    <mergeCell ref="AK170:AL170"/>
    <mergeCell ref="AM170:AN170"/>
    <mergeCell ref="AO170:AP170"/>
    <mergeCell ref="AQ170:AR170"/>
    <mergeCell ref="AS170:AT170"/>
    <mergeCell ref="BI170:BJ170"/>
    <mergeCell ref="BK170:BL170"/>
    <mergeCell ref="BM170:BN170"/>
    <mergeCell ref="BO170:BP170"/>
    <mergeCell ref="E170:F170"/>
    <mergeCell ref="G170:H170"/>
    <mergeCell ref="I170:J170"/>
    <mergeCell ref="K170:L170"/>
    <mergeCell ref="M170:N170"/>
    <mergeCell ref="O170:P170"/>
    <mergeCell ref="Q170:R170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U170:AV170"/>
    <mergeCell ref="E162:F162"/>
    <mergeCell ref="G162:H162"/>
    <mergeCell ref="I162:J162"/>
    <mergeCell ref="K162:L162"/>
    <mergeCell ref="M162:N162"/>
    <mergeCell ref="O162:P162"/>
    <mergeCell ref="Q162:R162"/>
    <mergeCell ref="AU164:AV164"/>
    <mergeCell ref="AW164:AX164"/>
    <mergeCell ref="AG164:AH164"/>
    <mergeCell ref="AI164:AJ164"/>
    <mergeCell ref="AK164:AL164"/>
    <mergeCell ref="AM164:AN164"/>
    <mergeCell ref="AO164:AP164"/>
    <mergeCell ref="AQ164:AR164"/>
    <mergeCell ref="AS164:AT164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I165:AJ165"/>
    <mergeCell ref="AK165:AL165"/>
    <mergeCell ref="AM165:AN165"/>
    <mergeCell ref="AO165:AP165"/>
    <mergeCell ref="AQ165:AR165"/>
    <mergeCell ref="AS165:AT165"/>
    <mergeCell ref="BI165:BJ165"/>
    <mergeCell ref="BK165:BL165"/>
    <mergeCell ref="BM165:BN165"/>
    <mergeCell ref="E159:F159"/>
    <mergeCell ref="G159:H159"/>
    <mergeCell ref="I159:J159"/>
    <mergeCell ref="K159:L159"/>
    <mergeCell ref="M159:N159"/>
    <mergeCell ref="O159:P159"/>
    <mergeCell ref="Q159:R159"/>
    <mergeCell ref="S160:T160"/>
    <mergeCell ref="U160:V160"/>
    <mergeCell ref="W160:X160"/>
    <mergeCell ref="Y160:Z160"/>
    <mergeCell ref="AA160:AB160"/>
    <mergeCell ref="AC160:AD160"/>
    <mergeCell ref="AE160:AF160"/>
    <mergeCell ref="AU159:AV159"/>
    <mergeCell ref="AW159:AX159"/>
    <mergeCell ref="AY159:AZ159"/>
    <mergeCell ref="BA159:BB159"/>
    <mergeCell ref="BC159:BD159"/>
    <mergeCell ref="BE159:BF159"/>
    <mergeCell ref="BG159:BH159"/>
    <mergeCell ref="E160:F160"/>
    <mergeCell ref="G160:H160"/>
    <mergeCell ref="I160:J160"/>
    <mergeCell ref="K160:L160"/>
    <mergeCell ref="M160:N160"/>
    <mergeCell ref="O160:P160"/>
    <mergeCell ref="Q160:R160"/>
    <mergeCell ref="AU162:AV162"/>
    <mergeCell ref="AW162:AX162"/>
    <mergeCell ref="AG162:AH162"/>
    <mergeCell ref="AI162:AJ162"/>
    <mergeCell ref="AK162:AL162"/>
    <mergeCell ref="AM162:AN162"/>
    <mergeCell ref="AO162:AP162"/>
    <mergeCell ref="AQ162:AR162"/>
    <mergeCell ref="AS162:AT162"/>
    <mergeCell ref="AY162:AZ162"/>
    <mergeCell ref="BA162:BB162"/>
    <mergeCell ref="BC162:BD162"/>
    <mergeCell ref="BE162:BF162"/>
    <mergeCell ref="BG162:BH162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I161:AJ161"/>
    <mergeCell ref="AK161:AL161"/>
    <mergeCell ref="AM161:AN161"/>
    <mergeCell ref="AO161:AP161"/>
    <mergeCell ref="AQ161:AR161"/>
    <mergeCell ref="AS161:AT161"/>
    <mergeCell ref="E161:F161"/>
    <mergeCell ref="G161:H161"/>
    <mergeCell ref="I161:J161"/>
    <mergeCell ref="K161:L161"/>
    <mergeCell ref="M161:N161"/>
    <mergeCell ref="O161:P161"/>
    <mergeCell ref="Q161:R161"/>
    <mergeCell ref="S162:T162"/>
    <mergeCell ref="AW163:AX163"/>
    <mergeCell ref="AY163:AZ163"/>
    <mergeCell ref="BA163:BB163"/>
    <mergeCell ref="BC163:BD163"/>
    <mergeCell ref="BE163:BF163"/>
    <mergeCell ref="BG163:BH163"/>
    <mergeCell ref="AU160:AV160"/>
    <mergeCell ref="AW160:AX160"/>
    <mergeCell ref="AG160:AH160"/>
    <mergeCell ref="AI160:AJ160"/>
    <mergeCell ref="AK160:AL160"/>
    <mergeCell ref="AM160:AN160"/>
    <mergeCell ref="AO160:AP160"/>
    <mergeCell ref="AQ160:AR160"/>
    <mergeCell ref="AS160:AT160"/>
    <mergeCell ref="BM160:BN160"/>
    <mergeCell ref="BO160:BP160"/>
    <mergeCell ref="AY160:AZ160"/>
    <mergeCell ref="BA160:BB160"/>
    <mergeCell ref="BC160:BD160"/>
    <mergeCell ref="BE160:BF160"/>
    <mergeCell ref="BG160:BH160"/>
    <mergeCell ref="BI160:BJ160"/>
    <mergeCell ref="BK160:BL160"/>
    <mergeCell ref="S159:T159"/>
    <mergeCell ref="U159:V159"/>
    <mergeCell ref="W159:X159"/>
    <mergeCell ref="Y159:Z159"/>
    <mergeCell ref="AA159:AB159"/>
    <mergeCell ref="AC159:AD159"/>
    <mergeCell ref="AE159:AF159"/>
    <mergeCell ref="AG159:AH159"/>
    <mergeCell ref="AI159:AJ159"/>
    <mergeCell ref="AK159:AL159"/>
    <mergeCell ref="AM159:AN159"/>
    <mergeCell ref="AO159:AP159"/>
    <mergeCell ref="AQ159:AR159"/>
    <mergeCell ref="AS159:AT159"/>
    <mergeCell ref="BI159:BJ159"/>
    <mergeCell ref="BK159:BL159"/>
    <mergeCell ref="BM159:BN159"/>
    <mergeCell ref="BO159:BP159"/>
    <mergeCell ref="BM162:BN162"/>
    <mergeCell ref="BO162:BP162"/>
    <mergeCell ref="BI162:BJ162"/>
    <mergeCell ref="BK162:BL162"/>
    <mergeCell ref="BI161:BJ161"/>
    <mergeCell ref="BK161:BL161"/>
    <mergeCell ref="BM161:BN161"/>
    <mergeCell ref="BO161:BP161"/>
    <mergeCell ref="U162:V162"/>
    <mergeCell ref="W162:X162"/>
    <mergeCell ref="Y162:Z162"/>
    <mergeCell ref="AA162:AB162"/>
    <mergeCell ref="AC162:AD162"/>
    <mergeCell ref="AE162:AF162"/>
    <mergeCell ref="AU161:AV161"/>
    <mergeCell ref="AW161:AX161"/>
    <mergeCell ref="AY161:AZ161"/>
    <mergeCell ref="BA161:BB161"/>
    <mergeCell ref="BC161:BD161"/>
    <mergeCell ref="BE161:BF161"/>
    <mergeCell ref="BG161:BH161"/>
    <mergeCell ref="BO158:BP158"/>
    <mergeCell ref="AU158:AV158"/>
    <mergeCell ref="AW158:AX158"/>
    <mergeCell ref="AY158:AZ158"/>
    <mergeCell ref="BA158:BB158"/>
    <mergeCell ref="BC158:BD158"/>
    <mergeCell ref="BE158:BF158"/>
    <mergeCell ref="BG158:BH158"/>
    <mergeCell ref="E158:F158"/>
    <mergeCell ref="G158:H158"/>
    <mergeCell ref="I158:J158"/>
    <mergeCell ref="K158:L158"/>
    <mergeCell ref="M158:N158"/>
    <mergeCell ref="O158:P158"/>
    <mergeCell ref="Q158:R158"/>
    <mergeCell ref="BM164:BN164"/>
    <mergeCell ref="BO164:BP164"/>
    <mergeCell ref="AY164:AZ164"/>
    <mergeCell ref="BA164:BB164"/>
    <mergeCell ref="BC164:BD164"/>
    <mergeCell ref="BE164:BF164"/>
    <mergeCell ref="BG164:BH164"/>
    <mergeCell ref="BI164:BJ164"/>
    <mergeCell ref="BK164:BL164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I163:AJ163"/>
    <mergeCell ref="AK163:AL163"/>
    <mergeCell ref="AM163:AN163"/>
    <mergeCell ref="AO163:AP163"/>
    <mergeCell ref="AQ163:AR163"/>
    <mergeCell ref="AS163:AT163"/>
    <mergeCell ref="BI163:BJ163"/>
    <mergeCell ref="BK163:BL163"/>
    <mergeCell ref="BM163:BN163"/>
    <mergeCell ref="BO163:BP163"/>
    <mergeCell ref="E163:F163"/>
    <mergeCell ref="G163:H163"/>
    <mergeCell ref="I163:J163"/>
    <mergeCell ref="K163:L163"/>
    <mergeCell ref="M163:N163"/>
    <mergeCell ref="O163:P163"/>
    <mergeCell ref="Q163:R163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U163:AV163"/>
    <mergeCell ref="E155:F155"/>
    <mergeCell ref="G155:H155"/>
    <mergeCell ref="I155:J155"/>
    <mergeCell ref="K155:L155"/>
    <mergeCell ref="M155:N155"/>
    <mergeCell ref="O155:P155"/>
    <mergeCell ref="Q155:R155"/>
    <mergeCell ref="AU157:AV157"/>
    <mergeCell ref="AW157:AX157"/>
    <mergeCell ref="AG157:AH157"/>
    <mergeCell ref="AI157:AJ157"/>
    <mergeCell ref="AK157:AL157"/>
    <mergeCell ref="AM157:AN157"/>
    <mergeCell ref="AO157:AP157"/>
    <mergeCell ref="AQ157:AR157"/>
    <mergeCell ref="AS157:AT157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I158:AJ158"/>
    <mergeCell ref="AK158:AL158"/>
    <mergeCell ref="AM158:AN158"/>
    <mergeCell ref="AO158:AP158"/>
    <mergeCell ref="AQ158:AR158"/>
    <mergeCell ref="AS158:AT158"/>
    <mergeCell ref="BI158:BJ158"/>
    <mergeCell ref="BK158:BL158"/>
    <mergeCell ref="BM158:BN158"/>
    <mergeCell ref="E152:F152"/>
    <mergeCell ref="G152:H152"/>
    <mergeCell ref="I152:J152"/>
    <mergeCell ref="K152:L152"/>
    <mergeCell ref="M152:N152"/>
    <mergeCell ref="O152:P152"/>
    <mergeCell ref="Q152:R152"/>
    <mergeCell ref="S153:T153"/>
    <mergeCell ref="U153:V153"/>
    <mergeCell ref="W153:X153"/>
    <mergeCell ref="Y153:Z153"/>
    <mergeCell ref="AA153:AB153"/>
    <mergeCell ref="AC153:AD153"/>
    <mergeCell ref="AE153:AF153"/>
    <mergeCell ref="AU152:AV152"/>
    <mergeCell ref="AW152:AX152"/>
    <mergeCell ref="AY152:AZ152"/>
    <mergeCell ref="BA152:BB152"/>
    <mergeCell ref="BC152:BD152"/>
    <mergeCell ref="BE152:BF152"/>
    <mergeCell ref="BG152:BH152"/>
    <mergeCell ref="E153:F153"/>
    <mergeCell ref="G153:H153"/>
    <mergeCell ref="I153:J153"/>
    <mergeCell ref="K153:L153"/>
    <mergeCell ref="M153:N153"/>
    <mergeCell ref="O153:P153"/>
    <mergeCell ref="Q153:R153"/>
    <mergeCell ref="AU155:AV155"/>
    <mergeCell ref="AW155:AX155"/>
    <mergeCell ref="AG155:AH155"/>
    <mergeCell ref="AI155:AJ155"/>
    <mergeCell ref="AK155:AL155"/>
    <mergeCell ref="AM155:AN155"/>
    <mergeCell ref="AO155:AP155"/>
    <mergeCell ref="AQ155:AR155"/>
    <mergeCell ref="AS155:AT155"/>
    <mergeCell ref="AY155:AZ155"/>
    <mergeCell ref="BA155:BB155"/>
    <mergeCell ref="BC155:BD155"/>
    <mergeCell ref="BE155:BF155"/>
    <mergeCell ref="BG155:BH155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I154:AJ154"/>
    <mergeCell ref="AK154:AL154"/>
    <mergeCell ref="AM154:AN154"/>
    <mergeCell ref="AO154:AP154"/>
    <mergeCell ref="AQ154:AR154"/>
    <mergeCell ref="AS154:AT154"/>
    <mergeCell ref="E154:F154"/>
    <mergeCell ref="G154:H154"/>
    <mergeCell ref="I154:J154"/>
    <mergeCell ref="K154:L154"/>
    <mergeCell ref="M154:N154"/>
    <mergeCell ref="O154:P154"/>
    <mergeCell ref="Q154:R154"/>
    <mergeCell ref="S155:T155"/>
    <mergeCell ref="AW156:AX156"/>
    <mergeCell ref="AY156:AZ156"/>
    <mergeCell ref="BA156:BB156"/>
    <mergeCell ref="BC156:BD156"/>
    <mergeCell ref="BE156:BF156"/>
    <mergeCell ref="BG156:BH156"/>
    <mergeCell ref="AU153:AV153"/>
    <mergeCell ref="AW153:AX153"/>
    <mergeCell ref="AG153:AH153"/>
    <mergeCell ref="AI153:AJ153"/>
    <mergeCell ref="AK153:AL153"/>
    <mergeCell ref="AM153:AN153"/>
    <mergeCell ref="AO153:AP153"/>
    <mergeCell ref="AQ153:AR153"/>
    <mergeCell ref="AS153:AT153"/>
    <mergeCell ref="BM153:BN153"/>
    <mergeCell ref="BO153:BP153"/>
    <mergeCell ref="AY153:AZ153"/>
    <mergeCell ref="BA153:BB153"/>
    <mergeCell ref="BC153:BD153"/>
    <mergeCell ref="BE153:BF153"/>
    <mergeCell ref="BG153:BH153"/>
    <mergeCell ref="BI153:BJ153"/>
    <mergeCell ref="BK153:BL153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I152:AJ152"/>
    <mergeCell ref="AK152:AL152"/>
    <mergeCell ref="AM152:AN152"/>
    <mergeCell ref="AO152:AP152"/>
    <mergeCell ref="AQ152:AR152"/>
    <mergeCell ref="AS152:AT152"/>
    <mergeCell ref="BI152:BJ152"/>
    <mergeCell ref="BK152:BL152"/>
    <mergeCell ref="BM152:BN152"/>
    <mergeCell ref="BO152:BP152"/>
    <mergeCell ref="BM155:BN155"/>
    <mergeCell ref="BO155:BP155"/>
    <mergeCell ref="BI155:BJ155"/>
    <mergeCell ref="BK155:BL155"/>
    <mergeCell ref="BI154:BJ154"/>
    <mergeCell ref="BK154:BL154"/>
    <mergeCell ref="BM154:BN154"/>
    <mergeCell ref="BO154:BP154"/>
    <mergeCell ref="U155:V155"/>
    <mergeCell ref="W155:X155"/>
    <mergeCell ref="Y155:Z155"/>
    <mergeCell ref="AA155:AB155"/>
    <mergeCell ref="AC155:AD155"/>
    <mergeCell ref="AE155:AF155"/>
    <mergeCell ref="AU154:AV154"/>
    <mergeCell ref="AW154:AX154"/>
    <mergeCell ref="AY154:AZ154"/>
    <mergeCell ref="BA154:BB154"/>
    <mergeCell ref="BC154:BD154"/>
    <mergeCell ref="BE154:BF154"/>
    <mergeCell ref="BG154:BH154"/>
    <mergeCell ref="BO151:BP151"/>
    <mergeCell ref="AU151:AV151"/>
    <mergeCell ref="AW151:AX151"/>
    <mergeCell ref="AY151:AZ151"/>
    <mergeCell ref="BA151:BB151"/>
    <mergeCell ref="BC151:BD151"/>
    <mergeCell ref="BE151:BF151"/>
    <mergeCell ref="BG151:BH151"/>
    <mergeCell ref="E151:F151"/>
    <mergeCell ref="G151:H151"/>
    <mergeCell ref="I151:J151"/>
    <mergeCell ref="K151:L151"/>
    <mergeCell ref="M151:N151"/>
    <mergeCell ref="O151:P151"/>
    <mergeCell ref="Q151:R151"/>
    <mergeCell ref="BM157:BN157"/>
    <mergeCell ref="BO157:BP157"/>
    <mergeCell ref="AY157:AZ157"/>
    <mergeCell ref="BA157:BB157"/>
    <mergeCell ref="BC157:BD157"/>
    <mergeCell ref="BE157:BF157"/>
    <mergeCell ref="BG157:BH157"/>
    <mergeCell ref="BI157:BJ157"/>
    <mergeCell ref="BK157:BL157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I156:AJ156"/>
    <mergeCell ref="AK156:AL156"/>
    <mergeCell ref="AM156:AN156"/>
    <mergeCell ref="AO156:AP156"/>
    <mergeCell ref="AQ156:AR156"/>
    <mergeCell ref="AS156:AT156"/>
    <mergeCell ref="BI156:BJ156"/>
    <mergeCell ref="BK156:BL156"/>
    <mergeCell ref="BM156:BN156"/>
    <mergeCell ref="BO156:BP156"/>
    <mergeCell ref="E156:F156"/>
    <mergeCell ref="G156:H156"/>
    <mergeCell ref="I156:J156"/>
    <mergeCell ref="K156:L156"/>
    <mergeCell ref="M156:N156"/>
    <mergeCell ref="O156:P156"/>
    <mergeCell ref="Q156:R156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U156:AV156"/>
    <mergeCell ref="E148:F148"/>
    <mergeCell ref="G148:H148"/>
    <mergeCell ref="I148:J148"/>
    <mergeCell ref="K148:L148"/>
    <mergeCell ref="M148:N148"/>
    <mergeCell ref="O148:P148"/>
    <mergeCell ref="Q148:R148"/>
    <mergeCell ref="AU150:AV150"/>
    <mergeCell ref="AW150:AX150"/>
    <mergeCell ref="AG150:AH150"/>
    <mergeCell ref="AI150:AJ150"/>
    <mergeCell ref="AK150:AL150"/>
    <mergeCell ref="AM150:AN150"/>
    <mergeCell ref="AO150:AP150"/>
    <mergeCell ref="AQ150:AR150"/>
    <mergeCell ref="AS150:AT150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I151:AJ151"/>
    <mergeCell ref="AK151:AL151"/>
    <mergeCell ref="AM151:AN151"/>
    <mergeCell ref="AO151:AP151"/>
    <mergeCell ref="AQ151:AR151"/>
    <mergeCell ref="AS151:AT151"/>
    <mergeCell ref="BI151:BJ151"/>
    <mergeCell ref="BK151:BL151"/>
    <mergeCell ref="BM151:BN151"/>
    <mergeCell ref="E145:F145"/>
    <mergeCell ref="G145:H145"/>
    <mergeCell ref="I145:J145"/>
    <mergeCell ref="K145:L145"/>
    <mergeCell ref="M145:N145"/>
    <mergeCell ref="O145:P145"/>
    <mergeCell ref="Q145:R145"/>
    <mergeCell ref="S146:T146"/>
    <mergeCell ref="U146:V146"/>
    <mergeCell ref="W146:X146"/>
    <mergeCell ref="Y146:Z146"/>
    <mergeCell ref="AA146:AB146"/>
    <mergeCell ref="AC146:AD146"/>
    <mergeCell ref="AE146:AF146"/>
    <mergeCell ref="AU145:AV145"/>
    <mergeCell ref="AW145:AX145"/>
    <mergeCell ref="AY145:AZ145"/>
    <mergeCell ref="BA145:BB145"/>
    <mergeCell ref="BC145:BD145"/>
    <mergeCell ref="BE145:BF145"/>
    <mergeCell ref="BG145:BH145"/>
    <mergeCell ref="E146:F146"/>
    <mergeCell ref="G146:H146"/>
    <mergeCell ref="I146:J146"/>
    <mergeCell ref="K146:L146"/>
    <mergeCell ref="M146:N146"/>
    <mergeCell ref="O146:P146"/>
    <mergeCell ref="Q146:R146"/>
    <mergeCell ref="AU148:AV148"/>
    <mergeCell ref="AW148:AX148"/>
    <mergeCell ref="AG148:AH148"/>
    <mergeCell ref="AI148:AJ148"/>
    <mergeCell ref="AK148:AL148"/>
    <mergeCell ref="AM148:AN148"/>
    <mergeCell ref="AO148:AP148"/>
    <mergeCell ref="AQ148:AR148"/>
    <mergeCell ref="AS148:AT148"/>
    <mergeCell ref="AY148:AZ148"/>
    <mergeCell ref="BA148:BB148"/>
    <mergeCell ref="BC148:BD148"/>
    <mergeCell ref="BE148:BF148"/>
    <mergeCell ref="BG148:BH148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I147:AJ147"/>
    <mergeCell ref="AK147:AL147"/>
    <mergeCell ref="AM147:AN147"/>
    <mergeCell ref="AO147:AP147"/>
    <mergeCell ref="AQ147:AR147"/>
    <mergeCell ref="AS147:AT147"/>
    <mergeCell ref="E147:F147"/>
    <mergeCell ref="G147:H147"/>
    <mergeCell ref="I147:J147"/>
    <mergeCell ref="K147:L147"/>
    <mergeCell ref="M147:N147"/>
    <mergeCell ref="O147:P147"/>
    <mergeCell ref="Q147:R147"/>
    <mergeCell ref="S148:T148"/>
    <mergeCell ref="AW149:AX149"/>
    <mergeCell ref="AY149:AZ149"/>
    <mergeCell ref="BA149:BB149"/>
    <mergeCell ref="BC149:BD149"/>
    <mergeCell ref="BE149:BF149"/>
    <mergeCell ref="BG149:BH149"/>
    <mergeCell ref="AU146:AV146"/>
    <mergeCell ref="AW146:AX146"/>
    <mergeCell ref="AG146:AH146"/>
    <mergeCell ref="AI146:AJ146"/>
    <mergeCell ref="AK146:AL146"/>
    <mergeCell ref="AM146:AN146"/>
    <mergeCell ref="AO146:AP146"/>
    <mergeCell ref="AQ146:AR146"/>
    <mergeCell ref="AS146:AT146"/>
    <mergeCell ref="BM146:BN146"/>
    <mergeCell ref="BO146:BP146"/>
    <mergeCell ref="AY146:AZ146"/>
    <mergeCell ref="BA146:BB146"/>
    <mergeCell ref="BC146:BD146"/>
    <mergeCell ref="BE146:BF146"/>
    <mergeCell ref="BG146:BH146"/>
    <mergeCell ref="BI146:BJ146"/>
    <mergeCell ref="BK146:BL146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I145:AJ145"/>
    <mergeCell ref="AK145:AL145"/>
    <mergeCell ref="AM145:AN145"/>
    <mergeCell ref="AO145:AP145"/>
    <mergeCell ref="AQ145:AR145"/>
    <mergeCell ref="AS145:AT145"/>
    <mergeCell ref="BI145:BJ145"/>
    <mergeCell ref="BK145:BL145"/>
    <mergeCell ref="BM145:BN145"/>
    <mergeCell ref="BO145:BP145"/>
    <mergeCell ref="BM148:BN148"/>
    <mergeCell ref="BO148:BP148"/>
    <mergeCell ref="BI148:BJ148"/>
    <mergeCell ref="BK148:BL148"/>
    <mergeCell ref="BI147:BJ147"/>
    <mergeCell ref="BK147:BL147"/>
    <mergeCell ref="BM147:BN147"/>
    <mergeCell ref="BO147:BP147"/>
    <mergeCell ref="U148:V148"/>
    <mergeCell ref="W148:X148"/>
    <mergeCell ref="Y148:Z148"/>
    <mergeCell ref="AA148:AB148"/>
    <mergeCell ref="AC148:AD148"/>
    <mergeCell ref="AE148:AF148"/>
    <mergeCell ref="AU147:AV147"/>
    <mergeCell ref="AW147:AX147"/>
    <mergeCell ref="AY147:AZ147"/>
    <mergeCell ref="BA147:BB147"/>
    <mergeCell ref="BC147:BD147"/>
    <mergeCell ref="BE147:BF147"/>
    <mergeCell ref="BG147:BH147"/>
    <mergeCell ref="BO144:BP144"/>
    <mergeCell ref="AU144:AV144"/>
    <mergeCell ref="AW144:AX144"/>
    <mergeCell ref="AY144:AZ144"/>
    <mergeCell ref="BA144:BB144"/>
    <mergeCell ref="BC144:BD144"/>
    <mergeCell ref="BE144:BF144"/>
    <mergeCell ref="BG144:BH144"/>
    <mergeCell ref="E144:F144"/>
    <mergeCell ref="G144:H144"/>
    <mergeCell ref="I144:J144"/>
    <mergeCell ref="K144:L144"/>
    <mergeCell ref="M144:N144"/>
    <mergeCell ref="O144:P144"/>
    <mergeCell ref="Q144:R144"/>
    <mergeCell ref="BM150:BN150"/>
    <mergeCell ref="BO150:BP150"/>
    <mergeCell ref="AY150:AZ150"/>
    <mergeCell ref="BA150:BB150"/>
    <mergeCell ref="BC150:BD150"/>
    <mergeCell ref="BE150:BF150"/>
    <mergeCell ref="BG150:BH150"/>
    <mergeCell ref="BI150:BJ150"/>
    <mergeCell ref="BK150:BL150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I149:AJ149"/>
    <mergeCell ref="AK149:AL149"/>
    <mergeCell ref="AM149:AN149"/>
    <mergeCell ref="AO149:AP149"/>
    <mergeCell ref="AQ149:AR149"/>
    <mergeCell ref="AS149:AT149"/>
    <mergeCell ref="BI149:BJ149"/>
    <mergeCell ref="BK149:BL149"/>
    <mergeCell ref="BM149:BN149"/>
    <mergeCell ref="BO149:BP149"/>
    <mergeCell ref="E149:F149"/>
    <mergeCell ref="G149:H149"/>
    <mergeCell ref="I149:J149"/>
    <mergeCell ref="K149:L149"/>
    <mergeCell ref="M149:N149"/>
    <mergeCell ref="O149:P149"/>
    <mergeCell ref="Q149:R149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U149:AV149"/>
    <mergeCell ref="E141:F141"/>
    <mergeCell ref="G141:H141"/>
    <mergeCell ref="I141:J141"/>
    <mergeCell ref="K141:L141"/>
    <mergeCell ref="M141:N141"/>
    <mergeCell ref="O141:P141"/>
    <mergeCell ref="Q141:R141"/>
    <mergeCell ref="AU143:AV143"/>
    <mergeCell ref="AW143:AX143"/>
    <mergeCell ref="AG143:AH143"/>
    <mergeCell ref="AI143:AJ143"/>
    <mergeCell ref="AK143:AL143"/>
    <mergeCell ref="AM143:AN143"/>
    <mergeCell ref="AO143:AP143"/>
    <mergeCell ref="AQ143:AR143"/>
    <mergeCell ref="AS143:AT143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I144:AJ144"/>
    <mergeCell ref="AK144:AL144"/>
    <mergeCell ref="AM144:AN144"/>
    <mergeCell ref="AO144:AP144"/>
    <mergeCell ref="AQ144:AR144"/>
    <mergeCell ref="AS144:AT144"/>
    <mergeCell ref="BI144:BJ144"/>
    <mergeCell ref="BK144:BL144"/>
    <mergeCell ref="BM144:BN144"/>
    <mergeCell ref="E138:F138"/>
    <mergeCell ref="G138:H138"/>
    <mergeCell ref="I138:J138"/>
    <mergeCell ref="K138:L138"/>
    <mergeCell ref="M138:N138"/>
    <mergeCell ref="O138:P138"/>
    <mergeCell ref="Q138:R138"/>
    <mergeCell ref="S139:T139"/>
    <mergeCell ref="U139:V139"/>
    <mergeCell ref="W139:X139"/>
    <mergeCell ref="Y139:Z139"/>
    <mergeCell ref="AA139:AB139"/>
    <mergeCell ref="AC139:AD139"/>
    <mergeCell ref="AE139:AF139"/>
    <mergeCell ref="AU138:AV138"/>
    <mergeCell ref="AW138:AX138"/>
    <mergeCell ref="AY138:AZ138"/>
    <mergeCell ref="BA138:BB138"/>
    <mergeCell ref="BC138:BD138"/>
    <mergeCell ref="BE138:BF138"/>
    <mergeCell ref="BG138:BH138"/>
    <mergeCell ref="E139:F139"/>
    <mergeCell ref="G139:H139"/>
    <mergeCell ref="I139:J139"/>
    <mergeCell ref="K139:L139"/>
    <mergeCell ref="M139:N139"/>
    <mergeCell ref="O139:P139"/>
    <mergeCell ref="Q139:R139"/>
    <mergeCell ref="AU141:AV141"/>
    <mergeCell ref="AW141:AX141"/>
    <mergeCell ref="AG141:AH141"/>
    <mergeCell ref="AI141:AJ141"/>
    <mergeCell ref="AK141:AL141"/>
    <mergeCell ref="AM141:AN141"/>
    <mergeCell ref="AO141:AP141"/>
    <mergeCell ref="AQ141:AR141"/>
    <mergeCell ref="AS141:AT141"/>
    <mergeCell ref="AY141:AZ141"/>
    <mergeCell ref="BA141:BB141"/>
    <mergeCell ref="BC141:BD141"/>
    <mergeCell ref="BE141:BF141"/>
    <mergeCell ref="BG141:BH141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K140:AL140"/>
    <mergeCell ref="AM140:AN140"/>
    <mergeCell ref="AO140:AP140"/>
    <mergeCell ref="AQ140:AR140"/>
    <mergeCell ref="AS140:AT140"/>
    <mergeCell ref="E140:F140"/>
    <mergeCell ref="G140:H140"/>
    <mergeCell ref="I140:J140"/>
    <mergeCell ref="K140:L140"/>
    <mergeCell ref="M140:N140"/>
    <mergeCell ref="O140:P140"/>
    <mergeCell ref="Q140:R140"/>
    <mergeCell ref="S141:T141"/>
    <mergeCell ref="AW142:AX142"/>
    <mergeCell ref="AY142:AZ142"/>
    <mergeCell ref="BA142:BB142"/>
    <mergeCell ref="BC142:BD142"/>
    <mergeCell ref="BE142:BF142"/>
    <mergeCell ref="BG142:BH142"/>
    <mergeCell ref="AU139:AV139"/>
    <mergeCell ref="AW139:AX139"/>
    <mergeCell ref="AG139:AH139"/>
    <mergeCell ref="AI139:AJ139"/>
    <mergeCell ref="AK139:AL139"/>
    <mergeCell ref="AM139:AN139"/>
    <mergeCell ref="AO139:AP139"/>
    <mergeCell ref="AQ139:AR139"/>
    <mergeCell ref="AS139:AT139"/>
    <mergeCell ref="BM139:BN139"/>
    <mergeCell ref="BO139:BP139"/>
    <mergeCell ref="AY139:AZ139"/>
    <mergeCell ref="BA139:BB139"/>
    <mergeCell ref="BC139:BD139"/>
    <mergeCell ref="BE139:BF139"/>
    <mergeCell ref="BG139:BH139"/>
    <mergeCell ref="BI139:BJ139"/>
    <mergeCell ref="BK139:BL139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I138:AJ138"/>
    <mergeCell ref="AK138:AL138"/>
    <mergeCell ref="AM138:AN138"/>
    <mergeCell ref="AO138:AP138"/>
    <mergeCell ref="AQ138:AR138"/>
    <mergeCell ref="AS138:AT138"/>
    <mergeCell ref="BI138:BJ138"/>
    <mergeCell ref="BK138:BL138"/>
    <mergeCell ref="BM138:BN138"/>
    <mergeCell ref="BO138:BP138"/>
    <mergeCell ref="BM141:BN141"/>
    <mergeCell ref="BO141:BP141"/>
    <mergeCell ref="BI141:BJ141"/>
    <mergeCell ref="BK141:BL141"/>
    <mergeCell ref="BI140:BJ140"/>
    <mergeCell ref="BK140:BL140"/>
    <mergeCell ref="BM140:BN140"/>
    <mergeCell ref="BO140:BP140"/>
    <mergeCell ref="U141:V141"/>
    <mergeCell ref="W141:X141"/>
    <mergeCell ref="Y141:Z141"/>
    <mergeCell ref="AA141:AB141"/>
    <mergeCell ref="AC141:AD141"/>
    <mergeCell ref="AE141:AF141"/>
    <mergeCell ref="AU140:AV140"/>
    <mergeCell ref="AW140:AX140"/>
    <mergeCell ref="AY140:AZ140"/>
    <mergeCell ref="BA140:BB140"/>
    <mergeCell ref="BC140:BD140"/>
    <mergeCell ref="BE140:BF140"/>
    <mergeCell ref="BG140:BH140"/>
    <mergeCell ref="BO137:BP137"/>
    <mergeCell ref="AU137:AV137"/>
    <mergeCell ref="AW137:AX137"/>
    <mergeCell ref="AY137:AZ137"/>
    <mergeCell ref="BA137:BB137"/>
    <mergeCell ref="BC137:BD137"/>
    <mergeCell ref="BE137:BF137"/>
    <mergeCell ref="BG137:BH137"/>
    <mergeCell ref="E137:F137"/>
    <mergeCell ref="G137:H137"/>
    <mergeCell ref="I137:J137"/>
    <mergeCell ref="K137:L137"/>
    <mergeCell ref="M137:N137"/>
    <mergeCell ref="O137:P137"/>
    <mergeCell ref="Q137:R137"/>
    <mergeCell ref="BM143:BN143"/>
    <mergeCell ref="BO143:BP143"/>
    <mergeCell ref="AY143:AZ143"/>
    <mergeCell ref="BA143:BB143"/>
    <mergeCell ref="BC143:BD143"/>
    <mergeCell ref="BE143:BF143"/>
    <mergeCell ref="BG143:BH143"/>
    <mergeCell ref="BI143:BJ143"/>
    <mergeCell ref="BK143:BL143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I142:AJ142"/>
    <mergeCell ref="AK142:AL142"/>
    <mergeCell ref="AM142:AN142"/>
    <mergeCell ref="AO142:AP142"/>
    <mergeCell ref="AQ142:AR142"/>
    <mergeCell ref="AS142:AT142"/>
    <mergeCell ref="BI142:BJ142"/>
    <mergeCell ref="BK142:BL142"/>
    <mergeCell ref="BM142:BN142"/>
    <mergeCell ref="BO142:BP142"/>
    <mergeCell ref="E142:F142"/>
    <mergeCell ref="G142:H142"/>
    <mergeCell ref="I142:J142"/>
    <mergeCell ref="K142:L142"/>
    <mergeCell ref="M142:N142"/>
    <mergeCell ref="O142:P142"/>
    <mergeCell ref="Q142:R142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U142:AV142"/>
    <mergeCell ref="E134:F134"/>
    <mergeCell ref="G134:H134"/>
    <mergeCell ref="I134:J134"/>
    <mergeCell ref="K134:L134"/>
    <mergeCell ref="M134:N134"/>
    <mergeCell ref="O134:P134"/>
    <mergeCell ref="Q134:R134"/>
    <mergeCell ref="AU136:AV136"/>
    <mergeCell ref="AW136:AX136"/>
    <mergeCell ref="AG136:AH136"/>
    <mergeCell ref="AI136:AJ136"/>
    <mergeCell ref="AK136:AL136"/>
    <mergeCell ref="AM136:AN136"/>
    <mergeCell ref="AO136:AP136"/>
    <mergeCell ref="AQ136:AR136"/>
    <mergeCell ref="AS136:AT136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I137:AJ137"/>
    <mergeCell ref="AK137:AL137"/>
    <mergeCell ref="AM137:AN137"/>
    <mergeCell ref="AO137:AP137"/>
    <mergeCell ref="AQ137:AR137"/>
    <mergeCell ref="AS137:AT137"/>
    <mergeCell ref="BI137:BJ137"/>
    <mergeCell ref="BK137:BL137"/>
    <mergeCell ref="BM137:BN137"/>
    <mergeCell ref="E131:F131"/>
    <mergeCell ref="G131:H131"/>
    <mergeCell ref="I131:J131"/>
    <mergeCell ref="K131:L131"/>
    <mergeCell ref="M131:N131"/>
    <mergeCell ref="O131:P131"/>
    <mergeCell ref="Q131:R131"/>
    <mergeCell ref="S132:T132"/>
    <mergeCell ref="U132:V132"/>
    <mergeCell ref="W132:X132"/>
    <mergeCell ref="Y132:Z132"/>
    <mergeCell ref="AA132:AB132"/>
    <mergeCell ref="AC132:AD132"/>
    <mergeCell ref="AE132:AF132"/>
    <mergeCell ref="AU131:AV131"/>
    <mergeCell ref="AW131:AX131"/>
    <mergeCell ref="AY131:AZ131"/>
    <mergeCell ref="BA131:BB131"/>
    <mergeCell ref="BC131:BD131"/>
    <mergeCell ref="BE131:BF131"/>
    <mergeCell ref="BG131:BH131"/>
    <mergeCell ref="E132:F132"/>
    <mergeCell ref="G132:H132"/>
    <mergeCell ref="I132:J132"/>
    <mergeCell ref="K132:L132"/>
    <mergeCell ref="M132:N132"/>
    <mergeCell ref="O132:P132"/>
    <mergeCell ref="Q132:R132"/>
    <mergeCell ref="AU134:AV134"/>
    <mergeCell ref="AW134:AX134"/>
    <mergeCell ref="AG134:AH134"/>
    <mergeCell ref="AI134:AJ134"/>
    <mergeCell ref="AK134:AL134"/>
    <mergeCell ref="AM134:AN134"/>
    <mergeCell ref="AO134:AP134"/>
    <mergeCell ref="AQ134:AR134"/>
    <mergeCell ref="AS134:AT134"/>
    <mergeCell ref="AY134:AZ134"/>
    <mergeCell ref="BA134:BB134"/>
    <mergeCell ref="BC134:BD134"/>
    <mergeCell ref="BE134:BF134"/>
    <mergeCell ref="BG134:BH134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I133:AJ133"/>
    <mergeCell ref="AK133:AL133"/>
    <mergeCell ref="AM133:AN133"/>
    <mergeCell ref="AO133:AP133"/>
    <mergeCell ref="AQ133:AR133"/>
    <mergeCell ref="AS133:AT133"/>
    <mergeCell ref="E133:F133"/>
    <mergeCell ref="G133:H133"/>
    <mergeCell ref="I133:J133"/>
    <mergeCell ref="K133:L133"/>
    <mergeCell ref="M133:N133"/>
    <mergeCell ref="O133:P133"/>
    <mergeCell ref="Q133:R133"/>
    <mergeCell ref="S134:T134"/>
    <mergeCell ref="AW135:AX135"/>
    <mergeCell ref="AY135:AZ135"/>
    <mergeCell ref="BA135:BB135"/>
    <mergeCell ref="BC135:BD135"/>
    <mergeCell ref="BE135:BF135"/>
    <mergeCell ref="BG135:BH135"/>
    <mergeCell ref="AU132:AV132"/>
    <mergeCell ref="AW132:AX132"/>
    <mergeCell ref="AG132:AH132"/>
    <mergeCell ref="AI132:AJ132"/>
    <mergeCell ref="AK132:AL132"/>
    <mergeCell ref="AM132:AN132"/>
    <mergeCell ref="AO132:AP132"/>
    <mergeCell ref="AQ132:AR132"/>
    <mergeCell ref="AS132:AT132"/>
    <mergeCell ref="BM132:BN132"/>
    <mergeCell ref="BO132:BP132"/>
    <mergeCell ref="AY132:AZ132"/>
    <mergeCell ref="BA132:BB132"/>
    <mergeCell ref="BC132:BD132"/>
    <mergeCell ref="BE132:BF132"/>
    <mergeCell ref="BG132:BH132"/>
    <mergeCell ref="BI132:BJ132"/>
    <mergeCell ref="BK132:BL132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I131:AJ131"/>
    <mergeCell ref="AK131:AL131"/>
    <mergeCell ref="AM131:AN131"/>
    <mergeCell ref="AO131:AP131"/>
    <mergeCell ref="AQ131:AR131"/>
    <mergeCell ref="AS131:AT131"/>
    <mergeCell ref="BI131:BJ131"/>
    <mergeCell ref="BK131:BL131"/>
    <mergeCell ref="BM131:BN131"/>
    <mergeCell ref="BO131:BP131"/>
    <mergeCell ref="BM134:BN134"/>
    <mergeCell ref="BO134:BP134"/>
    <mergeCell ref="BI134:BJ134"/>
    <mergeCell ref="BK134:BL134"/>
    <mergeCell ref="BI133:BJ133"/>
    <mergeCell ref="BK133:BL133"/>
    <mergeCell ref="BM133:BN133"/>
    <mergeCell ref="BO133:BP133"/>
    <mergeCell ref="U134:V134"/>
    <mergeCell ref="W134:X134"/>
    <mergeCell ref="Y134:Z134"/>
    <mergeCell ref="AA134:AB134"/>
    <mergeCell ref="AC134:AD134"/>
    <mergeCell ref="AE134:AF134"/>
    <mergeCell ref="AU133:AV133"/>
    <mergeCell ref="AW133:AX133"/>
    <mergeCell ref="AY133:AZ133"/>
    <mergeCell ref="BA133:BB133"/>
    <mergeCell ref="BC133:BD133"/>
    <mergeCell ref="BE133:BF133"/>
    <mergeCell ref="BG133:BH133"/>
    <mergeCell ref="BO130:BP130"/>
    <mergeCell ref="AU130:AV130"/>
    <mergeCell ref="AW130:AX130"/>
    <mergeCell ref="AY130:AZ130"/>
    <mergeCell ref="BA130:BB130"/>
    <mergeCell ref="BC130:BD130"/>
    <mergeCell ref="BE130:BF130"/>
    <mergeCell ref="BG130:BH130"/>
    <mergeCell ref="E130:F130"/>
    <mergeCell ref="G130:H130"/>
    <mergeCell ref="I130:J130"/>
    <mergeCell ref="K130:L130"/>
    <mergeCell ref="M130:N130"/>
    <mergeCell ref="O130:P130"/>
    <mergeCell ref="Q130:R130"/>
    <mergeCell ref="BM136:BN136"/>
    <mergeCell ref="BO136:BP136"/>
    <mergeCell ref="AY136:AZ136"/>
    <mergeCell ref="BA136:BB136"/>
    <mergeCell ref="BC136:BD136"/>
    <mergeCell ref="BE136:BF136"/>
    <mergeCell ref="BG136:BH136"/>
    <mergeCell ref="BI136:BJ136"/>
    <mergeCell ref="BK136:BL136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I135:AJ135"/>
    <mergeCell ref="AK135:AL135"/>
    <mergeCell ref="AM135:AN135"/>
    <mergeCell ref="AO135:AP135"/>
    <mergeCell ref="AQ135:AR135"/>
    <mergeCell ref="AS135:AT135"/>
    <mergeCell ref="BI135:BJ135"/>
    <mergeCell ref="BK135:BL135"/>
    <mergeCell ref="BM135:BN135"/>
    <mergeCell ref="BO135:BP135"/>
    <mergeCell ref="E135:F135"/>
    <mergeCell ref="G135:H135"/>
    <mergeCell ref="I135:J135"/>
    <mergeCell ref="K135:L135"/>
    <mergeCell ref="M135:N135"/>
    <mergeCell ref="O135:P135"/>
    <mergeCell ref="Q135:R135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U135:AV135"/>
    <mergeCell ref="E127:F127"/>
    <mergeCell ref="G127:H127"/>
    <mergeCell ref="I127:J127"/>
    <mergeCell ref="K127:L127"/>
    <mergeCell ref="M127:N127"/>
    <mergeCell ref="O127:P127"/>
    <mergeCell ref="Q127:R127"/>
    <mergeCell ref="AU129:AV129"/>
    <mergeCell ref="AW129:AX129"/>
    <mergeCell ref="AG129:AH129"/>
    <mergeCell ref="AI129:AJ129"/>
    <mergeCell ref="AK129:AL129"/>
    <mergeCell ref="AM129:AN129"/>
    <mergeCell ref="AO129:AP129"/>
    <mergeCell ref="AQ129:AR129"/>
    <mergeCell ref="AS129:AT129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I130:AJ130"/>
    <mergeCell ref="AK130:AL130"/>
    <mergeCell ref="AM130:AN130"/>
    <mergeCell ref="AO130:AP130"/>
    <mergeCell ref="AQ130:AR130"/>
    <mergeCell ref="AS130:AT130"/>
    <mergeCell ref="BI130:BJ130"/>
    <mergeCell ref="BK130:BL130"/>
    <mergeCell ref="BM130:BN130"/>
    <mergeCell ref="E124:F124"/>
    <mergeCell ref="G124:H124"/>
    <mergeCell ref="I124:J124"/>
    <mergeCell ref="K124:L124"/>
    <mergeCell ref="M124:N124"/>
    <mergeCell ref="O124:P124"/>
    <mergeCell ref="Q124:R124"/>
    <mergeCell ref="S125:T125"/>
    <mergeCell ref="U125:V125"/>
    <mergeCell ref="W125:X125"/>
    <mergeCell ref="Y125:Z125"/>
    <mergeCell ref="AA125:AB125"/>
    <mergeCell ref="AC125:AD125"/>
    <mergeCell ref="AE125:AF125"/>
    <mergeCell ref="AU124:AV124"/>
    <mergeCell ref="AW124:AX124"/>
    <mergeCell ref="AY124:AZ124"/>
    <mergeCell ref="BA124:BB124"/>
    <mergeCell ref="BC124:BD124"/>
    <mergeCell ref="BE124:BF124"/>
    <mergeCell ref="BG124:BH124"/>
    <mergeCell ref="E125:F125"/>
    <mergeCell ref="G125:H125"/>
    <mergeCell ref="I125:J125"/>
    <mergeCell ref="K125:L125"/>
    <mergeCell ref="M125:N125"/>
    <mergeCell ref="O125:P125"/>
    <mergeCell ref="Q125:R125"/>
    <mergeCell ref="AU127:AV127"/>
    <mergeCell ref="AW127:AX127"/>
    <mergeCell ref="AG127:AH127"/>
    <mergeCell ref="AI127:AJ127"/>
    <mergeCell ref="AK127:AL127"/>
    <mergeCell ref="AM127:AN127"/>
    <mergeCell ref="AO127:AP127"/>
    <mergeCell ref="AQ127:AR127"/>
    <mergeCell ref="AS127:AT127"/>
    <mergeCell ref="AY127:AZ127"/>
    <mergeCell ref="BA127:BB127"/>
    <mergeCell ref="BC127:BD127"/>
    <mergeCell ref="BE127:BF127"/>
    <mergeCell ref="BG127:BH127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I126:AJ126"/>
    <mergeCell ref="AK126:AL126"/>
    <mergeCell ref="AM126:AN126"/>
    <mergeCell ref="AO126:AP126"/>
    <mergeCell ref="AQ126:AR126"/>
    <mergeCell ref="AS126:AT126"/>
    <mergeCell ref="E126:F126"/>
    <mergeCell ref="G126:H126"/>
    <mergeCell ref="I126:J126"/>
    <mergeCell ref="K126:L126"/>
    <mergeCell ref="M126:N126"/>
    <mergeCell ref="O126:P126"/>
    <mergeCell ref="Q126:R126"/>
    <mergeCell ref="S127:T127"/>
    <mergeCell ref="AW128:AX128"/>
    <mergeCell ref="AY128:AZ128"/>
    <mergeCell ref="BA128:BB128"/>
    <mergeCell ref="BC128:BD128"/>
    <mergeCell ref="BE128:BF128"/>
    <mergeCell ref="BG128:BH128"/>
    <mergeCell ref="AU125:AV125"/>
    <mergeCell ref="AW125:AX125"/>
    <mergeCell ref="AG125:AH125"/>
    <mergeCell ref="AI125:AJ125"/>
    <mergeCell ref="AK125:AL125"/>
    <mergeCell ref="AM125:AN125"/>
    <mergeCell ref="AO125:AP125"/>
    <mergeCell ref="AQ125:AR125"/>
    <mergeCell ref="AS125:AT125"/>
    <mergeCell ref="BM125:BN125"/>
    <mergeCell ref="BO125:BP125"/>
    <mergeCell ref="AY125:AZ125"/>
    <mergeCell ref="BA125:BB125"/>
    <mergeCell ref="BC125:BD125"/>
    <mergeCell ref="BE125:BF125"/>
    <mergeCell ref="BG125:BH125"/>
    <mergeCell ref="BI125:BJ125"/>
    <mergeCell ref="BK125:BL125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I124:AJ124"/>
    <mergeCell ref="AK124:AL124"/>
    <mergeCell ref="AM124:AN124"/>
    <mergeCell ref="AO124:AP124"/>
    <mergeCell ref="AQ124:AR124"/>
    <mergeCell ref="AS124:AT124"/>
    <mergeCell ref="BI124:BJ124"/>
    <mergeCell ref="BK124:BL124"/>
    <mergeCell ref="BM124:BN124"/>
    <mergeCell ref="BO124:BP124"/>
    <mergeCell ref="BM127:BN127"/>
    <mergeCell ref="BO127:BP127"/>
    <mergeCell ref="BI127:BJ127"/>
    <mergeCell ref="BK127:BL127"/>
    <mergeCell ref="BI126:BJ126"/>
    <mergeCell ref="BK126:BL126"/>
    <mergeCell ref="BM126:BN126"/>
    <mergeCell ref="BO126:BP126"/>
    <mergeCell ref="U127:V127"/>
    <mergeCell ref="W127:X127"/>
    <mergeCell ref="Y127:Z127"/>
    <mergeCell ref="AA127:AB127"/>
    <mergeCell ref="AC127:AD127"/>
    <mergeCell ref="AE127:AF127"/>
    <mergeCell ref="AU126:AV126"/>
    <mergeCell ref="AW126:AX126"/>
    <mergeCell ref="AY126:AZ126"/>
    <mergeCell ref="BA126:BB126"/>
    <mergeCell ref="BC126:BD126"/>
    <mergeCell ref="BE126:BF126"/>
    <mergeCell ref="BG126:BH126"/>
    <mergeCell ref="BO123:BP123"/>
    <mergeCell ref="AU123:AV123"/>
    <mergeCell ref="AW123:AX123"/>
    <mergeCell ref="AY123:AZ123"/>
    <mergeCell ref="BA123:BB123"/>
    <mergeCell ref="BC123:BD123"/>
    <mergeCell ref="BE123:BF123"/>
    <mergeCell ref="BG123:BH123"/>
    <mergeCell ref="E123:F123"/>
    <mergeCell ref="G123:H123"/>
    <mergeCell ref="I123:J123"/>
    <mergeCell ref="K123:L123"/>
    <mergeCell ref="M123:N123"/>
    <mergeCell ref="O123:P123"/>
    <mergeCell ref="Q123:R123"/>
    <mergeCell ref="BM129:BN129"/>
    <mergeCell ref="BO129:BP129"/>
    <mergeCell ref="AY129:AZ129"/>
    <mergeCell ref="BA129:BB129"/>
    <mergeCell ref="BC129:BD129"/>
    <mergeCell ref="BE129:BF129"/>
    <mergeCell ref="BG129:BH129"/>
    <mergeCell ref="BI129:BJ129"/>
    <mergeCell ref="BK129:BL129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I128:AJ128"/>
    <mergeCell ref="AK128:AL128"/>
    <mergeCell ref="AM128:AN128"/>
    <mergeCell ref="AO128:AP128"/>
    <mergeCell ref="AQ128:AR128"/>
    <mergeCell ref="AS128:AT128"/>
    <mergeCell ref="BI128:BJ128"/>
    <mergeCell ref="BK128:BL128"/>
    <mergeCell ref="BM128:BN128"/>
    <mergeCell ref="BO128:BP128"/>
    <mergeCell ref="E128:F128"/>
    <mergeCell ref="G128:H128"/>
    <mergeCell ref="I128:J128"/>
    <mergeCell ref="K128:L128"/>
    <mergeCell ref="M128:N128"/>
    <mergeCell ref="O128:P128"/>
    <mergeCell ref="Q128:R128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U128:AV128"/>
    <mergeCell ref="E120:F120"/>
    <mergeCell ref="G120:H120"/>
    <mergeCell ref="I120:J120"/>
    <mergeCell ref="K120:L120"/>
    <mergeCell ref="M120:N120"/>
    <mergeCell ref="O120:P120"/>
    <mergeCell ref="Q120:R120"/>
    <mergeCell ref="AU122:AV122"/>
    <mergeCell ref="AW122:AX122"/>
    <mergeCell ref="AG122:AH122"/>
    <mergeCell ref="AI122:AJ122"/>
    <mergeCell ref="AK122:AL122"/>
    <mergeCell ref="AM122:AN122"/>
    <mergeCell ref="AO122:AP122"/>
    <mergeCell ref="AQ122:AR122"/>
    <mergeCell ref="AS122:AT122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I123:AJ123"/>
    <mergeCell ref="AK123:AL123"/>
    <mergeCell ref="AM123:AN123"/>
    <mergeCell ref="AO123:AP123"/>
    <mergeCell ref="AQ123:AR123"/>
    <mergeCell ref="AS123:AT123"/>
    <mergeCell ref="BI123:BJ123"/>
    <mergeCell ref="BK123:BL123"/>
    <mergeCell ref="BM123:BN123"/>
    <mergeCell ref="E117:F117"/>
    <mergeCell ref="G117:H117"/>
    <mergeCell ref="I117:J117"/>
    <mergeCell ref="K117:L117"/>
    <mergeCell ref="M117:N117"/>
    <mergeCell ref="O117:P117"/>
    <mergeCell ref="Q117:R117"/>
    <mergeCell ref="S118:T118"/>
    <mergeCell ref="U118:V118"/>
    <mergeCell ref="W118:X118"/>
    <mergeCell ref="Y118:Z118"/>
    <mergeCell ref="AA118:AB118"/>
    <mergeCell ref="AC118:AD118"/>
    <mergeCell ref="AE118:AF118"/>
    <mergeCell ref="AU117:AV117"/>
    <mergeCell ref="AW117:AX117"/>
    <mergeCell ref="AY117:AZ117"/>
    <mergeCell ref="BA117:BB117"/>
    <mergeCell ref="BC117:BD117"/>
    <mergeCell ref="BE117:BF117"/>
    <mergeCell ref="BG117:BH117"/>
    <mergeCell ref="E118:F118"/>
    <mergeCell ref="G118:H118"/>
    <mergeCell ref="I118:J118"/>
    <mergeCell ref="K118:L118"/>
    <mergeCell ref="M118:N118"/>
    <mergeCell ref="O118:P118"/>
    <mergeCell ref="Q118:R118"/>
    <mergeCell ref="AU120:AV120"/>
    <mergeCell ref="AW120:AX120"/>
    <mergeCell ref="AG120:AH120"/>
    <mergeCell ref="AI120:AJ120"/>
    <mergeCell ref="AK120:AL120"/>
    <mergeCell ref="AM120:AN120"/>
    <mergeCell ref="AO120:AP120"/>
    <mergeCell ref="AQ120:AR120"/>
    <mergeCell ref="AS120:AT120"/>
    <mergeCell ref="AY120:AZ120"/>
    <mergeCell ref="BA120:BB120"/>
    <mergeCell ref="BC120:BD120"/>
    <mergeCell ref="BE120:BF120"/>
    <mergeCell ref="BG120:BH120"/>
    <mergeCell ref="S119:T119"/>
    <mergeCell ref="U119:V119"/>
    <mergeCell ref="W119:X119"/>
    <mergeCell ref="Y119:Z119"/>
    <mergeCell ref="AA119:AB119"/>
    <mergeCell ref="AC119:AD119"/>
    <mergeCell ref="AE119:AF119"/>
    <mergeCell ref="AG119:AH119"/>
    <mergeCell ref="AI119:AJ119"/>
    <mergeCell ref="AK119:AL119"/>
    <mergeCell ref="AM119:AN119"/>
    <mergeCell ref="AO119:AP119"/>
    <mergeCell ref="AQ119:AR119"/>
    <mergeCell ref="AS119:AT119"/>
    <mergeCell ref="E119:F119"/>
    <mergeCell ref="G119:H119"/>
    <mergeCell ref="I119:J119"/>
    <mergeCell ref="K119:L119"/>
    <mergeCell ref="M119:N119"/>
    <mergeCell ref="O119:P119"/>
    <mergeCell ref="Q119:R119"/>
    <mergeCell ref="S120:T120"/>
    <mergeCell ref="AW121:AX121"/>
    <mergeCell ref="AY121:AZ121"/>
    <mergeCell ref="BA121:BB121"/>
    <mergeCell ref="BC121:BD121"/>
    <mergeCell ref="BE121:BF121"/>
    <mergeCell ref="BG121:BH121"/>
    <mergeCell ref="AU118:AV118"/>
    <mergeCell ref="AW118:AX118"/>
    <mergeCell ref="AG118:AH118"/>
    <mergeCell ref="AI118:AJ118"/>
    <mergeCell ref="AK118:AL118"/>
    <mergeCell ref="AM118:AN118"/>
    <mergeCell ref="AO118:AP118"/>
    <mergeCell ref="AQ118:AR118"/>
    <mergeCell ref="AS118:AT118"/>
    <mergeCell ref="BM118:BN118"/>
    <mergeCell ref="BO118:BP118"/>
    <mergeCell ref="AY118:AZ118"/>
    <mergeCell ref="BA118:BB118"/>
    <mergeCell ref="BC118:BD118"/>
    <mergeCell ref="BE118:BF118"/>
    <mergeCell ref="BG118:BH118"/>
    <mergeCell ref="BI118:BJ118"/>
    <mergeCell ref="BK118:BL118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I117:AJ117"/>
    <mergeCell ref="AK117:AL117"/>
    <mergeCell ref="AM117:AN117"/>
    <mergeCell ref="AO117:AP117"/>
    <mergeCell ref="AQ117:AR117"/>
    <mergeCell ref="AS117:AT117"/>
    <mergeCell ref="BI117:BJ117"/>
    <mergeCell ref="BK117:BL117"/>
    <mergeCell ref="BM117:BN117"/>
    <mergeCell ref="BO117:BP117"/>
    <mergeCell ref="BM120:BN120"/>
    <mergeCell ref="BO120:BP120"/>
    <mergeCell ref="BI120:BJ120"/>
    <mergeCell ref="BK120:BL120"/>
    <mergeCell ref="BI119:BJ119"/>
    <mergeCell ref="BK119:BL119"/>
    <mergeCell ref="BM119:BN119"/>
    <mergeCell ref="BO119:BP119"/>
    <mergeCell ref="U120:V120"/>
    <mergeCell ref="W120:X120"/>
    <mergeCell ref="Y120:Z120"/>
    <mergeCell ref="AA120:AB120"/>
    <mergeCell ref="AC120:AD120"/>
    <mergeCell ref="AE120:AF120"/>
    <mergeCell ref="AU119:AV119"/>
    <mergeCell ref="AW119:AX119"/>
    <mergeCell ref="AY119:AZ119"/>
    <mergeCell ref="BA119:BB119"/>
    <mergeCell ref="BC119:BD119"/>
    <mergeCell ref="BE119:BF119"/>
    <mergeCell ref="BG119:BH119"/>
    <mergeCell ref="BO116:BP116"/>
    <mergeCell ref="AU116:AV116"/>
    <mergeCell ref="AW116:AX116"/>
    <mergeCell ref="AY116:AZ116"/>
    <mergeCell ref="BA116:BB116"/>
    <mergeCell ref="BC116:BD116"/>
    <mergeCell ref="BE116:BF116"/>
    <mergeCell ref="BG116:BH116"/>
    <mergeCell ref="E116:F116"/>
    <mergeCell ref="G116:H116"/>
    <mergeCell ref="I116:J116"/>
    <mergeCell ref="K116:L116"/>
    <mergeCell ref="M116:N116"/>
    <mergeCell ref="O116:P116"/>
    <mergeCell ref="Q116:R116"/>
    <mergeCell ref="BM122:BN122"/>
    <mergeCell ref="BO122:BP122"/>
    <mergeCell ref="AY122:AZ122"/>
    <mergeCell ref="BA122:BB122"/>
    <mergeCell ref="BC122:BD122"/>
    <mergeCell ref="BE122:BF122"/>
    <mergeCell ref="BG122:BH122"/>
    <mergeCell ref="BI122:BJ122"/>
    <mergeCell ref="BK122:BL122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I121:AJ121"/>
    <mergeCell ref="AK121:AL121"/>
    <mergeCell ref="AM121:AN121"/>
    <mergeCell ref="AO121:AP121"/>
    <mergeCell ref="AQ121:AR121"/>
    <mergeCell ref="AS121:AT121"/>
    <mergeCell ref="BI121:BJ121"/>
    <mergeCell ref="BK121:BL121"/>
    <mergeCell ref="BM121:BN121"/>
    <mergeCell ref="BO121:BP121"/>
    <mergeCell ref="E121:F121"/>
    <mergeCell ref="G121:H121"/>
    <mergeCell ref="I121:J121"/>
    <mergeCell ref="K121:L121"/>
    <mergeCell ref="M121:N121"/>
    <mergeCell ref="O121:P121"/>
    <mergeCell ref="Q121:R121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U121:AV121"/>
    <mergeCell ref="E113:F113"/>
    <mergeCell ref="G113:H113"/>
    <mergeCell ref="I113:J113"/>
    <mergeCell ref="K113:L113"/>
    <mergeCell ref="M113:N113"/>
    <mergeCell ref="O113:P113"/>
    <mergeCell ref="Q113:R113"/>
    <mergeCell ref="AU115:AV115"/>
    <mergeCell ref="AW115:AX115"/>
    <mergeCell ref="AG115:AH115"/>
    <mergeCell ref="AI115:AJ115"/>
    <mergeCell ref="AK115:AL115"/>
    <mergeCell ref="AM115:AN115"/>
    <mergeCell ref="AO115:AP115"/>
    <mergeCell ref="AQ115:AR115"/>
    <mergeCell ref="AS115:AT115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I116:AJ116"/>
    <mergeCell ref="AK116:AL116"/>
    <mergeCell ref="AM116:AN116"/>
    <mergeCell ref="AO116:AP116"/>
    <mergeCell ref="AQ116:AR116"/>
    <mergeCell ref="AS116:AT116"/>
    <mergeCell ref="BI116:BJ116"/>
    <mergeCell ref="BK116:BL116"/>
    <mergeCell ref="BM116:BN116"/>
    <mergeCell ref="E110:F110"/>
    <mergeCell ref="G110:H110"/>
    <mergeCell ref="I110:J110"/>
    <mergeCell ref="K110:L110"/>
    <mergeCell ref="M110:N110"/>
    <mergeCell ref="O110:P110"/>
    <mergeCell ref="Q110:R110"/>
    <mergeCell ref="S111:T111"/>
    <mergeCell ref="U111:V111"/>
    <mergeCell ref="W111:X111"/>
    <mergeCell ref="Y111:Z111"/>
    <mergeCell ref="AA111:AB111"/>
    <mergeCell ref="AC111:AD111"/>
    <mergeCell ref="AE111:AF111"/>
    <mergeCell ref="AU110:AV110"/>
    <mergeCell ref="AW110:AX110"/>
    <mergeCell ref="AY110:AZ110"/>
    <mergeCell ref="BA110:BB110"/>
    <mergeCell ref="BC110:BD110"/>
    <mergeCell ref="BE110:BF110"/>
    <mergeCell ref="BG110:BH110"/>
    <mergeCell ref="E111:F111"/>
    <mergeCell ref="G111:H111"/>
    <mergeCell ref="I111:J111"/>
    <mergeCell ref="K111:L111"/>
    <mergeCell ref="M111:N111"/>
    <mergeCell ref="O111:P111"/>
    <mergeCell ref="Q111:R111"/>
    <mergeCell ref="AU113:AV113"/>
    <mergeCell ref="AW113:AX113"/>
    <mergeCell ref="AG113:AH113"/>
    <mergeCell ref="AI113:AJ113"/>
    <mergeCell ref="AK113:AL113"/>
    <mergeCell ref="AM113:AN113"/>
    <mergeCell ref="AO113:AP113"/>
    <mergeCell ref="AQ113:AR113"/>
    <mergeCell ref="AS113:AT113"/>
    <mergeCell ref="AY113:AZ113"/>
    <mergeCell ref="BA113:BB113"/>
    <mergeCell ref="BC113:BD113"/>
    <mergeCell ref="BE113:BF113"/>
    <mergeCell ref="BG113:BH113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I112:AJ112"/>
    <mergeCell ref="AK112:AL112"/>
    <mergeCell ref="AM112:AN112"/>
    <mergeCell ref="AO112:AP112"/>
    <mergeCell ref="AQ112:AR112"/>
    <mergeCell ref="AS112:AT112"/>
    <mergeCell ref="E112:F112"/>
    <mergeCell ref="G112:H112"/>
    <mergeCell ref="I112:J112"/>
    <mergeCell ref="K112:L112"/>
    <mergeCell ref="M112:N112"/>
    <mergeCell ref="O112:P112"/>
    <mergeCell ref="Q112:R112"/>
    <mergeCell ref="S113:T113"/>
    <mergeCell ref="AW114:AX114"/>
    <mergeCell ref="AY114:AZ114"/>
    <mergeCell ref="BA114:BB114"/>
    <mergeCell ref="BC114:BD114"/>
    <mergeCell ref="BE114:BF114"/>
    <mergeCell ref="BG114:BH114"/>
    <mergeCell ref="AU111:AV111"/>
    <mergeCell ref="AW111:AX111"/>
    <mergeCell ref="AG111:AH111"/>
    <mergeCell ref="AI111:AJ111"/>
    <mergeCell ref="AK111:AL111"/>
    <mergeCell ref="AM111:AN111"/>
    <mergeCell ref="AO111:AP111"/>
    <mergeCell ref="AQ111:AR111"/>
    <mergeCell ref="AS111:AT111"/>
    <mergeCell ref="BM111:BN111"/>
    <mergeCell ref="BO111:BP111"/>
    <mergeCell ref="AY111:AZ111"/>
    <mergeCell ref="BA111:BB111"/>
    <mergeCell ref="BC111:BD111"/>
    <mergeCell ref="BE111:BF111"/>
    <mergeCell ref="BG111:BH111"/>
    <mergeCell ref="BI111:BJ111"/>
    <mergeCell ref="BK111:BL111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I110:AJ110"/>
    <mergeCell ref="AK110:AL110"/>
    <mergeCell ref="AM110:AN110"/>
    <mergeCell ref="AO110:AP110"/>
    <mergeCell ref="AQ110:AR110"/>
    <mergeCell ref="AS110:AT110"/>
    <mergeCell ref="BI110:BJ110"/>
    <mergeCell ref="BK110:BL110"/>
    <mergeCell ref="BM110:BN110"/>
    <mergeCell ref="BO110:BP110"/>
    <mergeCell ref="BM113:BN113"/>
    <mergeCell ref="BO113:BP113"/>
    <mergeCell ref="BI113:BJ113"/>
    <mergeCell ref="BK113:BL113"/>
    <mergeCell ref="BI112:BJ112"/>
    <mergeCell ref="BK112:BL112"/>
    <mergeCell ref="BM112:BN112"/>
    <mergeCell ref="BO112:BP112"/>
    <mergeCell ref="U113:V113"/>
    <mergeCell ref="W113:X113"/>
    <mergeCell ref="Y113:Z113"/>
    <mergeCell ref="AA113:AB113"/>
    <mergeCell ref="AC113:AD113"/>
    <mergeCell ref="AE113:AF113"/>
    <mergeCell ref="AU112:AV112"/>
    <mergeCell ref="AW112:AX112"/>
    <mergeCell ref="AY112:AZ112"/>
    <mergeCell ref="BA112:BB112"/>
    <mergeCell ref="BC112:BD112"/>
    <mergeCell ref="BE112:BF112"/>
    <mergeCell ref="BG112:BH112"/>
    <mergeCell ref="BO109:BP109"/>
    <mergeCell ref="AU109:AV109"/>
    <mergeCell ref="AW109:AX109"/>
    <mergeCell ref="AY109:AZ109"/>
    <mergeCell ref="BA109:BB109"/>
    <mergeCell ref="BC109:BD109"/>
    <mergeCell ref="BE109:BF109"/>
    <mergeCell ref="BG109:BH109"/>
    <mergeCell ref="E109:F109"/>
    <mergeCell ref="G109:H109"/>
    <mergeCell ref="I109:J109"/>
    <mergeCell ref="K109:L109"/>
    <mergeCell ref="M109:N109"/>
    <mergeCell ref="O109:P109"/>
    <mergeCell ref="Q109:R109"/>
    <mergeCell ref="BM115:BN115"/>
    <mergeCell ref="BO115:BP115"/>
    <mergeCell ref="AY115:AZ115"/>
    <mergeCell ref="BA115:BB115"/>
    <mergeCell ref="BC115:BD115"/>
    <mergeCell ref="BE115:BF115"/>
    <mergeCell ref="BG115:BH115"/>
    <mergeCell ref="BI115:BJ115"/>
    <mergeCell ref="BK115:BL115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I114:AJ114"/>
    <mergeCell ref="AK114:AL114"/>
    <mergeCell ref="AM114:AN114"/>
    <mergeCell ref="AO114:AP114"/>
    <mergeCell ref="AQ114:AR114"/>
    <mergeCell ref="AS114:AT114"/>
    <mergeCell ref="BI114:BJ114"/>
    <mergeCell ref="BK114:BL114"/>
    <mergeCell ref="BM114:BN114"/>
    <mergeCell ref="BO114:BP114"/>
    <mergeCell ref="E114:F114"/>
    <mergeCell ref="G114:H114"/>
    <mergeCell ref="I114:J114"/>
    <mergeCell ref="K114:L114"/>
    <mergeCell ref="M114:N114"/>
    <mergeCell ref="O114:P114"/>
    <mergeCell ref="Q114:R114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U114:AV114"/>
    <mergeCell ref="E106:F106"/>
    <mergeCell ref="G106:H106"/>
    <mergeCell ref="I106:J106"/>
    <mergeCell ref="K106:L106"/>
    <mergeCell ref="M106:N106"/>
    <mergeCell ref="O106:P106"/>
    <mergeCell ref="Q106:R106"/>
    <mergeCell ref="AU108:AV108"/>
    <mergeCell ref="AW108:AX108"/>
    <mergeCell ref="AG108:AH108"/>
    <mergeCell ref="AI108:AJ108"/>
    <mergeCell ref="AK108:AL108"/>
    <mergeCell ref="AM108:AN108"/>
    <mergeCell ref="AO108:AP108"/>
    <mergeCell ref="AQ108:AR108"/>
    <mergeCell ref="AS108:AT108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I109:AJ109"/>
    <mergeCell ref="AK109:AL109"/>
    <mergeCell ref="AM109:AN109"/>
    <mergeCell ref="AO109:AP109"/>
    <mergeCell ref="AQ109:AR109"/>
    <mergeCell ref="AS109:AT109"/>
    <mergeCell ref="BI109:BJ109"/>
    <mergeCell ref="BK109:BL109"/>
    <mergeCell ref="BM109:BN109"/>
    <mergeCell ref="E103:F103"/>
    <mergeCell ref="G103:H103"/>
    <mergeCell ref="I103:J103"/>
    <mergeCell ref="K103:L103"/>
    <mergeCell ref="M103:N103"/>
    <mergeCell ref="O103:P103"/>
    <mergeCell ref="Q103:R103"/>
    <mergeCell ref="S104:T104"/>
    <mergeCell ref="U104:V104"/>
    <mergeCell ref="W104:X104"/>
    <mergeCell ref="Y104:Z104"/>
    <mergeCell ref="AA104:AB104"/>
    <mergeCell ref="AC104:AD104"/>
    <mergeCell ref="AE104:AF104"/>
    <mergeCell ref="AU103:AV103"/>
    <mergeCell ref="AW103:AX103"/>
    <mergeCell ref="AY103:AZ103"/>
    <mergeCell ref="BA103:BB103"/>
    <mergeCell ref="BC103:BD103"/>
    <mergeCell ref="BE103:BF103"/>
    <mergeCell ref="BG103:BH103"/>
    <mergeCell ref="E104:F104"/>
    <mergeCell ref="G104:H104"/>
    <mergeCell ref="I104:J104"/>
    <mergeCell ref="K104:L104"/>
    <mergeCell ref="M104:N104"/>
    <mergeCell ref="O104:P104"/>
    <mergeCell ref="Q104:R104"/>
    <mergeCell ref="AU106:AV106"/>
    <mergeCell ref="AW106:AX106"/>
    <mergeCell ref="AG106:AH106"/>
    <mergeCell ref="AI106:AJ106"/>
    <mergeCell ref="AK106:AL106"/>
    <mergeCell ref="AM106:AN106"/>
    <mergeCell ref="AO106:AP106"/>
    <mergeCell ref="AQ106:AR106"/>
    <mergeCell ref="AS106:AT106"/>
    <mergeCell ref="AY106:AZ106"/>
    <mergeCell ref="BA106:BB106"/>
    <mergeCell ref="BC106:BD106"/>
    <mergeCell ref="BE106:BF106"/>
    <mergeCell ref="BG106:BH106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I105:AJ105"/>
    <mergeCell ref="AK105:AL105"/>
    <mergeCell ref="AM105:AN105"/>
    <mergeCell ref="AO105:AP105"/>
    <mergeCell ref="AQ105:AR105"/>
    <mergeCell ref="AS105:AT105"/>
    <mergeCell ref="E105:F105"/>
    <mergeCell ref="G105:H105"/>
    <mergeCell ref="I105:J105"/>
    <mergeCell ref="K105:L105"/>
    <mergeCell ref="M105:N105"/>
    <mergeCell ref="O105:P105"/>
    <mergeCell ref="Q105:R105"/>
    <mergeCell ref="S106:T106"/>
    <mergeCell ref="AW107:AX107"/>
    <mergeCell ref="AY107:AZ107"/>
    <mergeCell ref="BA107:BB107"/>
    <mergeCell ref="BC107:BD107"/>
    <mergeCell ref="BE107:BF107"/>
    <mergeCell ref="BG107:BH107"/>
    <mergeCell ref="AU104:AV104"/>
    <mergeCell ref="AW104:AX104"/>
    <mergeCell ref="AG104:AH104"/>
    <mergeCell ref="AI104:AJ104"/>
    <mergeCell ref="AK104:AL104"/>
    <mergeCell ref="AM104:AN104"/>
    <mergeCell ref="AO104:AP104"/>
    <mergeCell ref="AQ104:AR104"/>
    <mergeCell ref="AS104:AT104"/>
    <mergeCell ref="BM104:BN104"/>
    <mergeCell ref="BO104:BP104"/>
    <mergeCell ref="AY104:AZ104"/>
    <mergeCell ref="BA104:BB104"/>
    <mergeCell ref="BC104:BD104"/>
    <mergeCell ref="BE104:BF104"/>
    <mergeCell ref="BG104:BH104"/>
    <mergeCell ref="BI104:BJ104"/>
    <mergeCell ref="BK104:BL104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I103:AJ103"/>
    <mergeCell ref="AK103:AL103"/>
    <mergeCell ref="AM103:AN103"/>
    <mergeCell ref="AO103:AP103"/>
    <mergeCell ref="AQ103:AR103"/>
    <mergeCell ref="AS103:AT103"/>
    <mergeCell ref="BI103:BJ103"/>
    <mergeCell ref="BK103:BL103"/>
    <mergeCell ref="BM103:BN103"/>
    <mergeCell ref="BO103:BP103"/>
    <mergeCell ref="BM106:BN106"/>
    <mergeCell ref="BO106:BP106"/>
    <mergeCell ref="BI106:BJ106"/>
    <mergeCell ref="BK106:BL106"/>
    <mergeCell ref="BI105:BJ105"/>
    <mergeCell ref="BK105:BL105"/>
    <mergeCell ref="BM105:BN105"/>
    <mergeCell ref="BO105:BP105"/>
    <mergeCell ref="U106:V106"/>
    <mergeCell ref="W106:X106"/>
    <mergeCell ref="Y106:Z106"/>
    <mergeCell ref="AA106:AB106"/>
    <mergeCell ref="AC106:AD106"/>
    <mergeCell ref="AE106:AF106"/>
    <mergeCell ref="AU105:AV105"/>
    <mergeCell ref="AW105:AX105"/>
    <mergeCell ref="AY105:AZ105"/>
    <mergeCell ref="BA105:BB105"/>
    <mergeCell ref="BC105:BD105"/>
    <mergeCell ref="BE105:BF105"/>
    <mergeCell ref="BG105:BH105"/>
    <mergeCell ref="BO102:BP102"/>
    <mergeCell ref="AU102:AV102"/>
    <mergeCell ref="AW102:AX102"/>
    <mergeCell ref="AY102:AZ102"/>
    <mergeCell ref="BA102:BB102"/>
    <mergeCell ref="BC102:BD102"/>
    <mergeCell ref="BE102:BF102"/>
    <mergeCell ref="BG102:BH102"/>
    <mergeCell ref="E102:F102"/>
    <mergeCell ref="G102:H102"/>
    <mergeCell ref="I102:J102"/>
    <mergeCell ref="K102:L102"/>
    <mergeCell ref="M102:N102"/>
    <mergeCell ref="O102:P102"/>
    <mergeCell ref="Q102:R102"/>
    <mergeCell ref="BM108:BN108"/>
    <mergeCell ref="BO108:BP108"/>
    <mergeCell ref="AY108:AZ108"/>
    <mergeCell ref="BA108:BB108"/>
    <mergeCell ref="BC108:BD108"/>
    <mergeCell ref="BE108:BF108"/>
    <mergeCell ref="BG108:BH108"/>
    <mergeCell ref="BI108:BJ108"/>
    <mergeCell ref="BK108:BL108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I107:AJ107"/>
    <mergeCell ref="AK107:AL107"/>
    <mergeCell ref="AM107:AN107"/>
    <mergeCell ref="AO107:AP107"/>
    <mergeCell ref="AQ107:AR107"/>
    <mergeCell ref="AS107:AT107"/>
    <mergeCell ref="BI107:BJ107"/>
    <mergeCell ref="BK107:BL107"/>
    <mergeCell ref="BM107:BN107"/>
    <mergeCell ref="BO107:BP107"/>
    <mergeCell ref="E107:F107"/>
    <mergeCell ref="G107:H107"/>
    <mergeCell ref="I107:J107"/>
    <mergeCell ref="K107:L107"/>
    <mergeCell ref="M107:N107"/>
    <mergeCell ref="O107:P107"/>
    <mergeCell ref="Q107:R107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U107:AV107"/>
    <mergeCell ref="E99:F99"/>
    <mergeCell ref="G99:H99"/>
    <mergeCell ref="I99:J99"/>
    <mergeCell ref="K99:L99"/>
    <mergeCell ref="M99:N99"/>
    <mergeCell ref="O99:P99"/>
    <mergeCell ref="Q99:R99"/>
    <mergeCell ref="AU101:AV101"/>
    <mergeCell ref="AW101:AX101"/>
    <mergeCell ref="AG101:AH101"/>
    <mergeCell ref="AI101:AJ101"/>
    <mergeCell ref="AK101:AL101"/>
    <mergeCell ref="AM101:AN101"/>
    <mergeCell ref="AO101:AP101"/>
    <mergeCell ref="AQ101:AR101"/>
    <mergeCell ref="AS101:AT101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I102:AJ102"/>
    <mergeCell ref="AK102:AL102"/>
    <mergeCell ref="AM102:AN102"/>
    <mergeCell ref="AO102:AP102"/>
    <mergeCell ref="AQ102:AR102"/>
    <mergeCell ref="AS102:AT102"/>
    <mergeCell ref="BI102:BJ102"/>
    <mergeCell ref="BK102:BL102"/>
    <mergeCell ref="BM102:BN102"/>
    <mergeCell ref="E96:F96"/>
    <mergeCell ref="G96:H96"/>
    <mergeCell ref="I96:J96"/>
    <mergeCell ref="K96:L96"/>
    <mergeCell ref="M96:N96"/>
    <mergeCell ref="O96:P96"/>
    <mergeCell ref="Q96:R96"/>
    <mergeCell ref="S97:T97"/>
    <mergeCell ref="U97:V97"/>
    <mergeCell ref="W97:X97"/>
    <mergeCell ref="Y97:Z97"/>
    <mergeCell ref="AA97:AB97"/>
    <mergeCell ref="AC97:AD97"/>
    <mergeCell ref="AE97:AF97"/>
    <mergeCell ref="AU96:AV96"/>
    <mergeCell ref="AW96:AX96"/>
    <mergeCell ref="AY96:AZ96"/>
    <mergeCell ref="BA96:BB96"/>
    <mergeCell ref="BC96:BD96"/>
    <mergeCell ref="BE96:BF96"/>
    <mergeCell ref="BG96:BH96"/>
    <mergeCell ref="E97:F97"/>
    <mergeCell ref="G97:H97"/>
    <mergeCell ref="I97:J97"/>
    <mergeCell ref="K97:L97"/>
    <mergeCell ref="M97:N97"/>
    <mergeCell ref="O97:P97"/>
    <mergeCell ref="Q97:R97"/>
    <mergeCell ref="AU99:AV99"/>
    <mergeCell ref="AW99:AX99"/>
    <mergeCell ref="AG99:AH99"/>
    <mergeCell ref="AI99:AJ99"/>
    <mergeCell ref="AK99:AL99"/>
    <mergeCell ref="AM99:AN99"/>
    <mergeCell ref="AO99:AP99"/>
    <mergeCell ref="AQ99:AR99"/>
    <mergeCell ref="AS99:AT99"/>
    <mergeCell ref="AY99:AZ99"/>
    <mergeCell ref="BA99:BB99"/>
    <mergeCell ref="BC99:BD99"/>
    <mergeCell ref="BE99:BF99"/>
    <mergeCell ref="BG99:BH99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I98:AJ98"/>
    <mergeCell ref="AK98:AL98"/>
    <mergeCell ref="AM98:AN98"/>
    <mergeCell ref="AO98:AP98"/>
    <mergeCell ref="AQ98:AR98"/>
    <mergeCell ref="AS98:AT98"/>
    <mergeCell ref="E98:F98"/>
    <mergeCell ref="G98:H98"/>
    <mergeCell ref="I98:J98"/>
    <mergeCell ref="K98:L98"/>
    <mergeCell ref="M98:N98"/>
    <mergeCell ref="O98:P98"/>
    <mergeCell ref="Q98:R98"/>
    <mergeCell ref="S99:T99"/>
    <mergeCell ref="AW100:AX100"/>
    <mergeCell ref="AY100:AZ100"/>
    <mergeCell ref="BA100:BB100"/>
    <mergeCell ref="BC100:BD100"/>
    <mergeCell ref="BE100:BF100"/>
    <mergeCell ref="BG100:BH100"/>
    <mergeCell ref="AU97:AV97"/>
    <mergeCell ref="AW97:AX97"/>
    <mergeCell ref="AG97:AH97"/>
    <mergeCell ref="AI97:AJ97"/>
    <mergeCell ref="AK97:AL97"/>
    <mergeCell ref="AM97:AN97"/>
    <mergeCell ref="AO97:AP97"/>
    <mergeCell ref="AQ97:AR97"/>
    <mergeCell ref="AS97:AT97"/>
    <mergeCell ref="BM97:BN97"/>
    <mergeCell ref="BO97:BP97"/>
    <mergeCell ref="AY97:AZ97"/>
    <mergeCell ref="BA97:BB97"/>
    <mergeCell ref="BC97:BD97"/>
    <mergeCell ref="BE97:BF97"/>
    <mergeCell ref="BG97:BH97"/>
    <mergeCell ref="BI97:BJ97"/>
    <mergeCell ref="BK97:BL97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I96:AJ96"/>
    <mergeCell ref="AK96:AL96"/>
    <mergeCell ref="AM96:AN96"/>
    <mergeCell ref="AO96:AP96"/>
    <mergeCell ref="AQ96:AR96"/>
    <mergeCell ref="AS96:AT96"/>
    <mergeCell ref="BI96:BJ96"/>
    <mergeCell ref="BK96:BL96"/>
    <mergeCell ref="BM96:BN96"/>
    <mergeCell ref="BO96:BP96"/>
    <mergeCell ref="BM99:BN99"/>
    <mergeCell ref="BO99:BP99"/>
    <mergeCell ref="BI99:BJ99"/>
    <mergeCell ref="BK99:BL99"/>
    <mergeCell ref="BI98:BJ98"/>
    <mergeCell ref="BK98:BL98"/>
    <mergeCell ref="BM98:BN98"/>
    <mergeCell ref="BO98:BP98"/>
    <mergeCell ref="U99:V99"/>
    <mergeCell ref="W99:X99"/>
    <mergeCell ref="Y99:Z99"/>
    <mergeCell ref="AA99:AB99"/>
    <mergeCell ref="AC99:AD99"/>
    <mergeCell ref="AE99:AF99"/>
    <mergeCell ref="AU98:AV98"/>
    <mergeCell ref="AW98:AX98"/>
    <mergeCell ref="AY98:AZ98"/>
    <mergeCell ref="BA98:BB98"/>
    <mergeCell ref="BC98:BD98"/>
    <mergeCell ref="BE98:BF98"/>
    <mergeCell ref="BG98:BH98"/>
    <mergeCell ref="BO95:BP95"/>
    <mergeCell ref="AU95:AV95"/>
    <mergeCell ref="AW95:AX95"/>
    <mergeCell ref="AY95:AZ95"/>
    <mergeCell ref="BA95:BB95"/>
    <mergeCell ref="BC95:BD95"/>
    <mergeCell ref="BE95:BF95"/>
    <mergeCell ref="BG95:BH95"/>
    <mergeCell ref="E95:F95"/>
    <mergeCell ref="G95:H95"/>
    <mergeCell ref="I95:J95"/>
    <mergeCell ref="K95:L95"/>
    <mergeCell ref="M95:N95"/>
    <mergeCell ref="O95:P95"/>
    <mergeCell ref="Q95:R95"/>
    <mergeCell ref="BM101:BN101"/>
    <mergeCell ref="BO101:BP101"/>
    <mergeCell ref="AY101:AZ101"/>
    <mergeCell ref="BA101:BB101"/>
    <mergeCell ref="BC101:BD101"/>
    <mergeCell ref="BE101:BF101"/>
    <mergeCell ref="BG101:BH101"/>
    <mergeCell ref="BI101:BJ101"/>
    <mergeCell ref="BK101:BL101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I100:AJ100"/>
    <mergeCell ref="AK100:AL100"/>
    <mergeCell ref="AM100:AN100"/>
    <mergeCell ref="AO100:AP100"/>
    <mergeCell ref="AQ100:AR100"/>
    <mergeCell ref="AS100:AT100"/>
    <mergeCell ref="BI100:BJ100"/>
    <mergeCell ref="BK100:BL100"/>
    <mergeCell ref="BM100:BN100"/>
    <mergeCell ref="BO100:BP100"/>
    <mergeCell ref="E100:F100"/>
    <mergeCell ref="G100:H100"/>
    <mergeCell ref="I100:J100"/>
    <mergeCell ref="K100:L100"/>
    <mergeCell ref="M100:N100"/>
    <mergeCell ref="O100:P100"/>
    <mergeCell ref="Q100:R100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U100:AV100"/>
    <mergeCell ref="E92:F92"/>
    <mergeCell ref="G92:H92"/>
    <mergeCell ref="I92:J92"/>
    <mergeCell ref="K92:L92"/>
    <mergeCell ref="M92:N92"/>
    <mergeCell ref="O92:P92"/>
    <mergeCell ref="Q92:R92"/>
    <mergeCell ref="AU94:AV94"/>
    <mergeCell ref="AW94:AX94"/>
    <mergeCell ref="AG94:AH94"/>
    <mergeCell ref="AI94:AJ94"/>
    <mergeCell ref="AK94:AL94"/>
    <mergeCell ref="AM94:AN94"/>
    <mergeCell ref="AO94:AP94"/>
    <mergeCell ref="AQ94:AR94"/>
    <mergeCell ref="AS94:AT94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AK95:AL95"/>
    <mergeCell ref="AM95:AN95"/>
    <mergeCell ref="AO95:AP95"/>
    <mergeCell ref="AQ95:AR95"/>
    <mergeCell ref="AS95:AT95"/>
    <mergeCell ref="BI95:BJ95"/>
    <mergeCell ref="BK95:BL95"/>
    <mergeCell ref="BM95:BN95"/>
    <mergeCell ref="E89:F89"/>
    <mergeCell ref="G89:H89"/>
    <mergeCell ref="I89:J89"/>
    <mergeCell ref="K89:L89"/>
    <mergeCell ref="M89:N89"/>
    <mergeCell ref="O89:P89"/>
    <mergeCell ref="Q89:R89"/>
    <mergeCell ref="S90:T90"/>
    <mergeCell ref="U90:V90"/>
    <mergeCell ref="W90:X90"/>
    <mergeCell ref="Y90:Z90"/>
    <mergeCell ref="AA90:AB90"/>
    <mergeCell ref="AC90:AD90"/>
    <mergeCell ref="AE90:AF90"/>
    <mergeCell ref="AU89:AV89"/>
    <mergeCell ref="AW89:AX89"/>
    <mergeCell ref="AY89:AZ89"/>
    <mergeCell ref="BA89:BB89"/>
    <mergeCell ref="BC89:BD89"/>
    <mergeCell ref="BE89:BF89"/>
    <mergeCell ref="BG89:BH89"/>
    <mergeCell ref="E90:F90"/>
    <mergeCell ref="G90:H90"/>
    <mergeCell ref="I90:J90"/>
    <mergeCell ref="K90:L90"/>
    <mergeCell ref="M90:N90"/>
    <mergeCell ref="O90:P90"/>
    <mergeCell ref="Q90:R90"/>
    <mergeCell ref="AU92:AV92"/>
    <mergeCell ref="AW92:AX92"/>
    <mergeCell ref="AG92:AH92"/>
    <mergeCell ref="AI92:AJ92"/>
    <mergeCell ref="AK92:AL92"/>
    <mergeCell ref="AM92:AN92"/>
    <mergeCell ref="AO92:AP92"/>
    <mergeCell ref="AQ92:AR92"/>
    <mergeCell ref="AS92:AT92"/>
    <mergeCell ref="AY92:AZ92"/>
    <mergeCell ref="BA92:BB92"/>
    <mergeCell ref="BC92:BD92"/>
    <mergeCell ref="BE92:BF92"/>
    <mergeCell ref="BG92:BH92"/>
    <mergeCell ref="S91:T91"/>
    <mergeCell ref="U91:V91"/>
    <mergeCell ref="W91:X91"/>
    <mergeCell ref="Y91:Z91"/>
    <mergeCell ref="AA91:AB91"/>
    <mergeCell ref="AC91:AD91"/>
    <mergeCell ref="AE91:AF91"/>
    <mergeCell ref="AG91:AH91"/>
    <mergeCell ref="AI91:AJ91"/>
    <mergeCell ref="AK91:AL91"/>
    <mergeCell ref="AM91:AN91"/>
    <mergeCell ref="AO91:AP91"/>
    <mergeCell ref="AQ91:AR91"/>
    <mergeCell ref="AS91:AT91"/>
    <mergeCell ref="E91:F91"/>
    <mergeCell ref="G91:H91"/>
    <mergeCell ref="I91:J91"/>
    <mergeCell ref="K91:L91"/>
    <mergeCell ref="M91:N91"/>
    <mergeCell ref="O91:P91"/>
    <mergeCell ref="Q91:R91"/>
    <mergeCell ref="S92:T92"/>
    <mergeCell ref="AW93:AX93"/>
    <mergeCell ref="AY93:AZ93"/>
    <mergeCell ref="BA93:BB93"/>
    <mergeCell ref="BC93:BD93"/>
    <mergeCell ref="BE93:BF93"/>
    <mergeCell ref="BG93:BH93"/>
    <mergeCell ref="AU90:AV90"/>
    <mergeCell ref="AW90:AX90"/>
    <mergeCell ref="AG90:AH90"/>
    <mergeCell ref="AI90:AJ90"/>
    <mergeCell ref="AK90:AL90"/>
    <mergeCell ref="AM90:AN90"/>
    <mergeCell ref="AO90:AP90"/>
    <mergeCell ref="AQ90:AR90"/>
    <mergeCell ref="AS90:AT90"/>
    <mergeCell ref="BM90:BN90"/>
    <mergeCell ref="BO90:BP90"/>
    <mergeCell ref="AY90:AZ90"/>
    <mergeCell ref="BA90:BB90"/>
    <mergeCell ref="BC90:BD90"/>
    <mergeCell ref="BE90:BF90"/>
    <mergeCell ref="BG90:BH90"/>
    <mergeCell ref="BI90:BJ90"/>
    <mergeCell ref="BK90:BL90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I89:AJ89"/>
    <mergeCell ref="AK89:AL89"/>
    <mergeCell ref="AM89:AN89"/>
    <mergeCell ref="AO89:AP89"/>
    <mergeCell ref="AQ89:AR89"/>
    <mergeCell ref="AS89:AT89"/>
    <mergeCell ref="BI89:BJ89"/>
    <mergeCell ref="BK89:BL89"/>
    <mergeCell ref="BM89:BN89"/>
    <mergeCell ref="BO89:BP89"/>
    <mergeCell ref="BM92:BN92"/>
    <mergeCell ref="BO92:BP92"/>
    <mergeCell ref="BI92:BJ92"/>
    <mergeCell ref="BK92:BL92"/>
    <mergeCell ref="BI91:BJ91"/>
    <mergeCell ref="BK91:BL91"/>
    <mergeCell ref="BM91:BN91"/>
    <mergeCell ref="BO91:BP91"/>
    <mergeCell ref="U92:V92"/>
    <mergeCell ref="W92:X92"/>
    <mergeCell ref="Y92:Z92"/>
    <mergeCell ref="AA92:AB92"/>
    <mergeCell ref="AC92:AD92"/>
    <mergeCell ref="AE92:AF92"/>
    <mergeCell ref="AU91:AV91"/>
    <mergeCell ref="AW91:AX91"/>
    <mergeCell ref="AY91:AZ91"/>
    <mergeCell ref="BA91:BB91"/>
    <mergeCell ref="BC91:BD91"/>
    <mergeCell ref="BE91:BF91"/>
    <mergeCell ref="BG91:BH91"/>
    <mergeCell ref="BO88:BP88"/>
    <mergeCell ref="AU88:AV88"/>
    <mergeCell ref="AW88:AX88"/>
    <mergeCell ref="AY88:AZ88"/>
    <mergeCell ref="BA88:BB88"/>
    <mergeCell ref="BC88:BD88"/>
    <mergeCell ref="BE88:BF88"/>
    <mergeCell ref="BG88:BH88"/>
    <mergeCell ref="E88:F88"/>
    <mergeCell ref="G88:H88"/>
    <mergeCell ref="I88:J88"/>
    <mergeCell ref="K88:L88"/>
    <mergeCell ref="M88:N88"/>
    <mergeCell ref="O88:P88"/>
    <mergeCell ref="Q88:R88"/>
    <mergeCell ref="BM94:BN94"/>
    <mergeCell ref="BO94:BP94"/>
    <mergeCell ref="AY94:AZ94"/>
    <mergeCell ref="BA94:BB94"/>
    <mergeCell ref="BC94:BD94"/>
    <mergeCell ref="BE94:BF94"/>
    <mergeCell ref="BG94:BH94"/>
    <mergeCell ref="BI94:BJ94"/>
    <mergeCell ref="BK94:BL94"/>
    <mergeCell ref="S93:T93"/>
    <mergeCell ref="U93:V93"/>
    <mergeCell ref="W93:X93"/>
    <mergeCell ref="Y93:Z93"/>
    <mergeCell ref="AA93:AB93"/>
    <mergeCell ref="AC93:AD93"/>
    <mergeCell ref="AE93:AF93"/>
    <mergeCell ref="AG93:AH93"/>
    <mergeCell ref="AI93:AJ93"/>
    <mergeCell ref="AK93:AL93"/>
    <mergeCell ref="AM93:AN93"/>
    <mergeCell ref="AO93:AP93"/>
    <mergeCell ref="AQ93:AR93"/>
    <mergeCell ref="AS93:AT93"/>
    <mergeCell ref="BI93:BJ93"/>
    <mergeCell ref="BK93:BL93"/>
    <mergeCell ref="BM93:BN93"/>
    <mergeCell ref="BO93:BP93"/>
    <mergeCell ref="E93:F93"/>
    <mergeCell ref="G93:H93"/>
    <mergeCell ref="I93:J93"/>
    <mergeCell ref="K93:L93"/>
    <mergeCell ref="M93:N93"/>
    <mergeCell ref="O93:P93"/>
    <mergeCell ref="Q93:R93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Z94"/>
    <mergeCell ref="AA94:AB94"/>
    <mergeCell ref="AC94:AD94"/>
    <mergeCell ref="AE94:AF94"/>
    <mergeCell ref="AU93:AV93"/>
    <mergeCell ref="E85:F85"/>
    <mergeCell ref="G85:H85"/>
    <mergeCell ref="I85:J85"/>
    <mergeCell ref="K85:L85"/>
    <mergeCell ref="M85:N85"/>
    <mergeCell ref="O85:P85"/>
    <mergeCell ref="Q85:R85"/>
    <mergeCell ref="AU87:AV87"/>
    <mergeCell ref="AW87:AX87"/>
    <mergeCell ref="AG87:AH87"/>
    <mergeCell ref="AI87:AJ87"/>
    <mergeCell ref="AK87:AL87"/>
    <mergeCell ref="AM87:AN87"/>
    <mergeCell ref="AO87:AP87"/>
    <mergeCell ref="AQ87:AR87"/>
    <mergeCell ref="AS87:AT87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I88:AJ88"/>
    <mergeCell ref="AK88:AL88"/>
    <mergeCell ref="AM88:AN88"/>
    <mergeCell ref="AO88:AP88"/>
    <mergeCell ref="AQ88:AR88"/>
    <mergeCell ref="AS88:AT88"/>
    <mergeCell ref="BI88:BJ88"/>
    <mergeCell ref="BK88:BL88"/>
    <mergeCell ref="BM88:BN88"/>
    <mergeCell ref="E82:F82"/>
    <mergeCell ref="G82:H82"/>
    <mergeCell ref="I82:J82"/>
    <mergeCell ref="K82:L82"/>
    <mergeCell ref="M82:N82"/>
    <mergeCell ref="O82:P82"/>
    <mergeCell ref="Q82:R82"/>
    <mergeCell ref="S83:T83"/>
    <mergeCell ref="U83:V83"/>
    <mergeCell ref="W83:X83"/>
    <mergeCell ref="Y83:Z83"/>
    <mergeCell ref="AA83:AB83"/>
    <mergeCell ref="AC83:AD83"/>
    <mergeCell ref="AE83:AF83"/>
    <mergeCell ref="AU82:AV82"/>
    <mergeCell ref="AW82:AX82"/>
    <mergeCell ref="AY82:AZ82"/>
    <mergeCell ref="BA82:BB82"/>
    <mergeCell ref="BC82:BD82"/>
    <mergeCell ref="BE82:BF82"/>
    <mergeCell ref="BG82:BH82"/>
    <mergeCell ref="E83:F83"/>
    <mergeCell ref="G83:H83"/>
    <mergeCell ref="I83:J83"/>
    <mergeCell ref="K83:L83"/>
    <mergeCell ref="M83:N83"/>
    <mergeCell ref="O83:P83"/>
    <mergeCell ref="Q83:R83"/>
    <mergeCell ref="AU85:AV85"/>
    <mergeCell ref="AW85:AX85"/>
    <mergeCell ref="AG85:AH85"/>
    <mergeCell ref="AI85:AJ85"/>
    <mergeCell ref="AK85:AL85"/>
    <mergeCell ref="AM85:AN85"/>
    <mergeCell ref="AO85:AP85"/>
    <mergeCell ref="AQ85:AR85"/>
    <mergeCell ref="AS85:AT85"/>
    <mergeCell ref="AY85:AZ85"/>
    <mergeCell ref="BA85:BB85"/>
    <mergeCell ref="BC85:BD85"/>
    <mergeCell ref="BE85:BF85"/>
    <mergeCell ref="BG85:BH85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I84:AJ84"/>
    <mergeCell ref="AK84:AL84"/>
    <mergeCell ref="AM84:AN84"/>
    <mergeCell ref="AO84:AP84"/>
    <mergeCell ref="AQ84:AR84"/>
    <mergeCell ref="AS84:AT84"/>
    <mergeCell ref="E84:F84"/>
    <mergeCell ref="G84:H84"/>
    <mergeCell ref="I84:J84"/>
    <mergeCell ref="K84:L84"/>
    <mergeCell ref="M84:N84"/>
    <mergeCell ref="O84:P84"/>
    <mergeCell ref="Q84:R84"/>
    <mergeCell ref="S85:T85"/>
    <mergeCell ref="AW86:AX86"/>
    <mergeCell ref="AY86:AZ86"/>
    <mergeCell ref="BA86:BB86"/>
    <mergeCell ref="BC86:BD86"/>
    <mergeCell ref="BE86:BF86"/>
    <mergeCell ref="BG86:BH86"/>
    <mergeCell ref="AU83:AV83"/>
    <mergeCell ref="AW83:AX83"/>
    <mergeCell ref="AG83:AH83"/>
    <mergeCell ref="AI83:AJ83"/>
    <mergeCell ref="AK83:AL83"/>
    <mergeCell ref="AM83:AN83"/>
    <mergeCell ref="AO83:AP83"/>
    <mergeCell ref="AQ83:AR83"/>
    <mergeCell ref="AS83:AT83"/>
    <mergeCell ref="BM83:BN83"/>
    <mergeCell ref="BO83:BP83"/>
    <mergeCell ref="AY83:AZ83"/>
    <mergeCell ref="BA83:BB83"/>
    <mergeCell ref="BC83:BD83"/>
    <mergeCell ref="BE83:BF83"/>
    <mergeCell ref="BG83:BH83"/>
    <mergeCell ref="BI83:BJ83"/>
    <mergeCell ref="BK83:BL83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I82:AJ82"/>
    <mergeCell ref="AK82:AL82"/>
    <mergeCell ref="AM82:AN82"/>
    <mergeCell ref="AO82:AP82"/>
    <mergeCell ref="AQ82:AR82"/>
    <mergeCell ref="AS82:AT82"/>
    <mergeCell ref="BI82:BJ82"/>
    <mergeCell ref="BK82:BL82"/>
    <mergeCell ref="BM82:BN82"/>
    <mergeCell ref="BO82:BP82"/>
    <mergeCell ref="BM85:BN85"/>
    <mergeCell ref="BO85:BP85"/>
    <mergeCell ref="BI85:BJ85"/>
    <mergeCell ref="BK85:BL85"/>
    <mergeCell ref="BI84:BJ84"/>
    <mergeCell ref="BK84:BL84"/>
    <mergeCell ref="BM84:BN84"/>
    <mergeCell ref="BO84:BP84"/>
    <mergeCell ref="U85:V85"/>
    <mergeCell ref="W85:X85"/>
    <mergeCell ref="Y85:Z85"/>
    <mergeCell ref="AA85:AB85"/>
    <mergeCell ref="AC85:AD85"/>
    <mergeCell ref="AE85:AF85"/>
    <mergeCell ref="AU84:AV84"/>
    <mergeCell ref="AW84:AX84"/>
    <mergeCell ref="AY84:AZ84"/>
    <mergeCell ref="BA84:BB84"/>
    <mergeCell ref="BC84:BD84"/>
    <mergeCell ref="BE84:BF84"/>
    <mergeCell ref="BG84:BH84"/>
    <mergeCell ref="BO81:BP81"/>
    <mergeCell ref="AU81:AV81"/>
    <mergeCell ref="AW81:AX81"/>
    <mergeCell ref="AY81:AZ81"/>
    <mergeCell ref="BA81:BB81"/>
    <mergeCell ref="BC81:BD81"/>
    <mergeCell ref="BE81:BF81"/>
    <mergeCell ref="BG81:BH81"/>
    <mergeCell ref="E81:F81"/>
    <mergeCell ref="G81:H81"/>
    <mergeCell ref="I81:J81"/>
    <mergeCell ref="K81:L81"/>
    <mergeCell ref="M81:N81"/>
    <mergeCell ref="O81:P81"/>
    <mergeCell ref="Q81:R81"/>
    <mergeCell ref="BM87:BN87"/>
    <mergeCell ref="BO87:BP87"/>
    <mergeCell ref="AY87:AZ87"/>
    <mergeCell ref="BA87:BB87"/>
    <mergeCell ref="BC87:BD87"/>
    <mergeCell ref="BE87:BF87"/>
    <mergeCell ref="BG87:BH87"/>
    <mergeCell ref="BI87:BJ87"/>
    <mergeCell ref="BK87:BL87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I86:AJ86"/>
    <mergeCell ref="AK86:AL86"/>
    <mergeCell ref="AM86:AN86"/>
    <mergeCell ref="AO86:AP86"/>
    <mergeCell ref="AQ86:AR86"/>
    <mergeCell ref="AS86:AT86"/>
    <mergeCell ref="BI86:BJ86"/>
    <mergeCell ref="BK86:BL86"/>
    <mergeCell ref="BM86:BN86"/>
    <mergeCell ref="BO86:BP86"/>
    <mergeCell ref="E86:F86"/>
    <mergeCell ref="G86:H86"/>
    <mergeCell ref="I86:J86"/>
    <mergeCell ref="K86:L86"/>
    <mergeCell ref="M86:N86"/>
    <mergeCell ref="O86:P86"/>
    <mergeCell ref="Q86:R86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AU86:AV86"/>
    <mergeCell ref="E78:F78"/>
    <mergeCell ref="G78:H78"/>
    <mergeCell ref="I78:J78"/>
    <mergeCell ref="K78:L78"/>
    <mergeCell ref="M78:N78"/>
    <mergeCell ref="O78:P78"/>
    <mergeCell ref="Q78:R78"/>
    <mergeCell ref="AU80:AV80"/>
    <mergeCell ref="AW80:AX80"/>
    <mergeCell ref="AG80:AH80"/>
    <mergeCell ref="AI80:AJ80"/>
    <mergeCell ref="AK80:AL80"/>
    <mergeCell ref="AM80:AN80"/>
    <mergeCell ref="AO80:AP80"/>
    <mergeCell ref="AQ80:AR80"/>
    <mergeCell ref="AS80:AT80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I81:AJ81"/>
    <mergeCell ref="AK81:AL81"/>
    <mergeCell ref="AM81:AN81"/>
    <mergeCell ref="AO81:AP81"/>
    <mergeCell ref="AQ81:AR81"/>
    <mergeCell ref="AS81:AT81"/>
    <mergeCell ref="BI81:BJ81"/>
    <mergeCell ref="BK81:BL81"/>
    <mergeCell ref="BM81:BN81"/>
    <mergeCell ref="E75:F75"/>
    <mergeCell ref="G75:H75"/>
    <mergeCell ref="I75:J75"/>
    <mergeCell ref="K75:L75"/>
    <mergeCell ref="M75:N75"/>
    <mergeCell ref="O75:P75"/>
    <mergeCell ref="Q75:R75"/>
    <mergeCell ref="S76:T76"/>
    <mergeCell ref="U76:V76"/>
    <mergeCell ref="W76:X76"/>
    <mergeCell ref="Y76:Z76"/>
    <mergeCell ref="AA76:AB76"/>
    <mergeCell ref="AC76:AD76"/>
    <mergeCell ref="AE76:AF76"/>
    <mergeCell ref="AU75:AV75"/>
    <mergeCell ref="AW75:AX75"/>
    <mergeCell ref="AY75:AZ75"/>
    <mergeCell ref="BA75:BB75"/>
    <mergeCell ref="BC75:BD75"/>
    <mergeCell ref="BE75:BF75"/>
    <mergeCell ref="BG75:BH75"/>
    <mergeCell ref="E76:F76"/>
    <mergeCell ref="G76:H76"/>
    <mergeCell ref="I76:J76"/>
    <mergeCell ref="K76:L76"/>
    <mergeCell ref="M76:N76"/>
    <mergeCell ref="O76:P76"/>
    <mergeCell ref="Q76:R76"/>
    <mergeCell ref="AU78:AV78"/>
    <mergeCell ref="AW78:AX78"/>
    <mergeCell ref="AG78:AH78"/>
    <mergeCell ref="AI78:AJ78"/>
    <mergeCell ref="AK78:AL78"/>
    <mergeCell ref="AM78:AN78"/>
    <mergeCell ref="AO78:AP78"/>
    <mergeCell ref="AQ78:AR78"/>
    <mergeCell ref="AS78:AT78"/>
    <mergeCell ref="AY78:AZ78"/>
    <mergeCell ref="BA78:BB78"/>
    <mergeCell ref="BC78:BD78"/>
    <mergeCell ref="BE78:BF78"/>
    <mergeCell ref="BG78:BH78"/>
    <mergeCell ref="S77:T77"/>
    <mergeCell ref="U77:V77"/>
    <mergeCell ref="W77:X77"/>
    <mergeCell ref="Y77:Z77"/>
    <mergeCell ref="AA77:AB77"/>
    <mergeCell ref="AC77:AD77"/>
    <mergeCell ref="AE77:AF77"/>
    <mergeCell ref="AG77:AH77"/>
    <mergeCell ref="AI77:AJ77"/>
    <mergeCell ref="AK77:AL77"/>
    <mergeCell ref="AM77:AN77"/>
    <mergeCell ref="AO77:AP77"/>
    <mergeCell ref="AQ77:AR77"/>
    <mergeCell ref="AS77:AT77"/>
    <mergeCell ref="E77:F77"/>
    <mergeCell ref="G77:H77"/>
    <mergeCell ref="I77:J77"/>
    <mergeCell ref="K77:L77"/>
    <mergeCell ref="M77:N77"/>
    <mergeCell ref="O77:P77"/>
    <mergeCell ref="Q77:R77"/>
    <mergeCell ref="S78:T78"/>
    <mergeCell ref="AW79:AX79"/>
    <mergeCell ref="AY79:AZ79"/>
    <mergeCell ref="BA79:BB79"/>
    <mergeCell ref="BC79:BD79"/>
    <mergeCell ref="BE79:BF79"/>
    <mergeCell ref="BG79:BH79"/>
    <mergeCell ref="AU76:AV76"/>
    <mergeCell ref="AW76:AX76"/>
    <mergeCell ref="AG76:AH76"/>
    <mergeCell ref="AI76:AJ76"/>
    <mergeCell ref="AK76:AL76"/>
    <mergeCell ref="AM76:AN76"/>
    <mergeCell ref="AO76:AP76"/>
    <mergeCell ref="AQ76:AR76"/>
    <mergeCell ref="AS76:AT76"/>
    <mergeCell ref="BM76:BN76"/>
    <mergeCell ref="BO76:BP76"/>
    <mergeCell ref="AY76:AZ76"/>
    <mergeCell ref="BA76:BB76"/>
    <mergeCell ref="BC76:BD76"/>
    <mergeCell ref="BE76:BF76"/>
    <mergeCell ref="BG76:BH76"/>
    <mergeCell ref="BI76:BJ76"/>
    <mergeCell ref="BK76:BL76"/>
    <mergeCell ref="S75:T75"/>
    <mergeCell ref="U75:V75"/>
    <mergeCell ref="W75:X75"/>
    <mergeCell ref="Y75:Z75"/>
    <mergeCell ref="AA75:AB75"/>
    <mergeCell ref="AC75:AD75"/>
    <mergeCell ref="AE75:AF75"/>
    <mergeCell ref="AG75:AH75"/>
    <mergeCell ref="AI75:AJ75"/>
    <mergeCell ref="AK75:AL75"/>
    <mergeCell ref="AM75:AN75"/>
    <mergeCell ref="AO75:AP75"/>
    <mergeCell ref="AQ75:AR75"/>
    <mergeCell ref="AS75:AT75"/>
    <mergeCell ref="BI75:BJ75"/>
    <mergeCell ref="BK75:BL75"/>
    <mergeCell ref="BM75:BN75"/>
    <mergeCell ref="BO75:BP75"/>
    <mergeCell ref="BM78:BN78"/>
    <mergeCell ref="BO78:BP78"/>
    <mergeCell ref="BI78:BJ78"/>
    <mergeCell ref="BK78:BL78"/>
    <mergeCell ref="BI77:BJ77"/>
    <mergeCell ref="BK77:BL77"/>
    <mergeCell ref="BM77:BN77"/>
    <mergeCell ref="BO77:BP77"/>
    <mergeCell ref="U78:V78"/>
    <mergeCell ref="W78:X78"/>
    <mergeCell ref="Y78:Z78"/>
    <mergeCell ref="AA78:AB78"/>
    <mergeCell ref="AC78:AD78"/>
    <mergeCell ref="AE78:AF78"/>
    <mergeCell ref="AU77:AV77"/>
    <mergeCell ref="AW77:AX77"/>
    <mergeCell ref="AY77:AZ77"/>
    <mergeCell ref="BA77:BB77"/>
    <mergeCell ref="BC77:BD77"/>
    <mergeCell ref="BE77:BF77"/>
    <mergeCell ref="BG77:BH77"/>
    <mergeCell ref="BO74:BP74"/>
    <mergeCell ref="AU74:AV74"/>
    <mergeCell ref="AW74:AX74"/>
    <mergeCell ref="AY74:AZ74"/>
    <mergeCell ref="BA74:BB74"/>
    <mergeCell ref="BC74:BD74"/>
    <mergeCell ref="BE74:BF74"/>
    <mergeCell ref="BG74:BH74"/>
    <mergeCell ref="E74:F74"/>
    <mergeCell ref="G74:H74"/>
    <mergeCell ref="I74:J74"/>
    <mergeCell ref="K74:L74"/>
    <mergeCell ref="M74:N74"/>
    <mergeCell ref="O74:P74"/>
    <mergeCell ref="Q74:R74"/>
    <mergeCell ref="BM80:BN80"/>
    <mergeCell ref="BO80:BP80"/>
    <mergeCell ref="AY80:AZ80"/>
    <mergeCell ref="BA80:BB80"/>
    <mergeCell ref="BC80:BD80"/>
    <mergeCell ref="BE80:BF80"/>
    <mergeCell ref="BG80:BH80"/>
    <mergeCell ref="BI80:BJ80"/>
    <mergeCell ref="BK80:BL80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I79:AJ79"/>
    <mergeCell ref="AK79:AL79"/>
    <mergeCell ref="AM79:AN79"/>
    <mergeCell ref="AO79:AP79"/>
    <mergeCell ref="AQ79:AR79"/>
    <mergeCell ref="AS79:AT79"/>
    <mergeCell ref="BI79:BJ79"/>
    <mergeCell ref="BK79:BL79"/>
    <mergeCell ref="BM79:BN79"/>
    <mergeCell ref="BO79:BP79"/>
    <mergeCell ref="E79:F79"/>
    <mergeCell ref="G79:H79"/>
    <mergeCell ref="I79:J79"/>
    <mergeCell ref="K79:L79"/>
    <mergeCell ref="M79:N79"/>
    <mergeCell ref="O79:P79"/>
    <mergeCell ref="Q79:R79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U79:AV79"/>
    <mergeCell ref="E71:F71"/>
    <mergeCell ref="G71:H71"/>
    <mergeCell ref="I71:J71"/>
    <mergeCell ref="K71:L71"/>
    <mergeCell ref="M71:N71"/>
    <mergeCell ref="O71:P71"/>
    <mergeCell ref="Q71:R71"/>
    <mergeCell ref="AU73:AV73"/>
    <mergeCell ref="AW73:AX73"/>
    <mergeCell ref="AG73:AH73"/>
    <mergeCell ref="AI73:AJ73"/>
    <mergeCell ref="AK73:AL73"/>
    <mergeCell ref="AM73:AN73"/>
    <mergeCell ref="AO73:AP73"/>
    <mergeCell ref="AQ73:AR73"/>
    <mergeCell ref="AS73:AT73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I74:AJ74"/>
    <mergeCell ref="AK74:AL74"/>
    <mergeCell ref="AM74:AN74"/>
    <mergeCell ref="AO74:AP74"/>
    <mergeCell ref="AQ74:AR74"/>
    <mergeCell ref="AS74:AT74"/>
    <mergeCell ref="BI74:BJ74"/>
    <mergeCell ref="BK74:BL74"/>
    <mergeCell ref="BM74:BN74"/>
    <mergeCell ref="E68:F68"/>
    <mergeCell ref="G68:H68"/>
    <mergeCell ref="I68:J68"/>
    <mergeCell ref="K68:L68"/>
    <mergeCell ref="M68:N68"/>
    <mergeCell ref="O68:P68"/>
    <mergeCell ref="Q68:R68"/>
    <mergeCell ref="S69:T69"/>
    <mergeCell ref="U69:V69"/>
    <mergeCell ref="W69:X69"/>
    <mergeCell ref="Y69:Z69"/>
    <mergeCell ref="AA69:AB69"/>
    <mergeCell ref="AC69:AD69"/>
    <mergeCell ref="AE69:AF69"/>
    <mergeCell ref="AU68:AV68"/>
    <mergeCell ref="AW68:AX68"/>
    <mergeCell ref="AY68:AZ68"/>
    <mergeCell ref="BA68:BB68"/>
    <mergeCell ref="BC68:BD68"/>
    <mergeCell ref="BE68:BF68"/>
    <mergeCell ref="BG68:BH68"/>
    <mergeCell ref="E69:F69"/>
    <mergeCell ref="G69:H69"/>
    <mergeCell ref="I69:J69"/>
    <mergeCell ref="K69:L69"/>
    <mergeCell ref="M69:N69"/>
    <mergeCell ref="O69:P69"/>
    <mergeCell ref="Q69:R69"/>
    <mergeCell ref="AU71:AV71"/>
    <mergeCell ref="AW71:AX71"/>
    <mergeCell ref="AG71:AH71"/>
    <mergeCell ref="AI71:AJ71"/>
    <mergeCell ref="AK71:AL71"/>
    <mergeCell ref="AM71:AN71"/>
    <mergeCell ref="AO71:AP71"/>
    <mergeCell ref="AQ71:AR71"/>
    <mergeCell ref="AS71:AT71"/>
    <mergeCell ref="AY71:AZ71"/>
    <mergeCell ref="BA71:BB71"/>
    <mergeCell ref="BC71:BD71"/>
    <mergeCell ref="BE71:BF71"/>
    <mergeCell ref="BG71:BH71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I70:AJ70"/>
    <mergeCell ref="AK70:AL70"/>
    <mergeCell ref="AM70:AN70"/>
    <mergeCell ref="AO70:AP70"/>
    <mergeCell ref="AQ70:AR70"/>
    <mergeCell ref="AS70:AT70"/>
    <mergeCell ref="E70:F70"/>
    <mergeCell ref="G70:H70"/>
    <mergeCell ref="I70:J70"/>
    <mergeCell ref="K70:L70"/>
    <mergeCell ref="M70:N70"/>
    <mergeCell ref="O70:P70"/>
    <mergeCell ref="Q70:R70"/>
    <mergeCell ref="S71:T71"/>
    <mergeCell ref="AU72:AV72"/>
    <mergeCell ref="AW72:AX72"/>
    <mergeCell ref="AY72:AZ72"/>
    <mergeCell ref="BA72:BB72"/>
    <mergeCell ref="BC72:BD72"/>
    <mergeCell ref="BE72:BF72"/>
    <mergeCell ref="BG72:BH72"/>
    <mergeCell ref="AU69:AV69"/>
    <mergeCell ref="AW69:AX69"/>
    <mergeCell ref="AG69:AH69"/>
    <mergeCell ref="AI69:AJ69"/>
    <mergeCell ref="AK69:AL69"/>
    <mergeCell ref="AM69:AN69"/>
    <mergeCell ref="AO69:AP69"/>
    <mergeCell ref="AQ69:AR69"/>
    <mergeCell ref="AS69:AT69"/>
    <mergeCell ref="BM69:BN69"/>
    <mergeCell ref="BO69:BP69"/>
    <mergeCell ref="AY69:AZ69"/>
    <mergeCell ref="BA69:BB69"/>
    <mergeCell ref="BC69:BD69"/>
    <mergeCell ref="BE69:BF69"/>
    <mergeCell ref="BG69:BH69"/>
    <mergeCell ref="BI69:BJ69"/>
    <mergeCell ref="BK69:BL69"/>
    <mergeCell ref="S68:T68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K68:AL68"/>
    <mergeCell ref="AM68:AN68"/>
    <mergeCell ref="AO68:AP68"/>
    <mergeCell ref="AQ68:AR68"/>
    <mergeCell ref="AS68:AT68"/>
    <mergeCell ref="BI68:BJ68"/>
    <mergeCell ref="BK68:BL68"/>
    <mergeCell ref="BM68:BN68"/>
    <mergeCell ref="BO68:BP68"/>
    <mergeCell ref="BM71:BN71"/>
    <mergeCell ref="BO71:BP71"/>
    <mergeCell ref="BI71:BJ71"/>
    <mergeCell ref="BK71:BL71"/>
    <mergeCell ref="BI70:BJ70"/>
    <mergeCell ref="BK70:BL70"/>
    <mergeCell ref="BM70:BN70"/>
    <mergeCell ref="BO70:BP70"/>
    <mergeCell ref="U71:V71"/>
    <mergeCell ref="W71:X71"/>
    <mergeCell ref="Y71:Z71"/>
    <mergeCell ref="AA71:AB71"/>
    <mergeCell ref="AC71:AD71"/>
    <mergeCell ref="AE71:AF71"/>
    <mergeCell ref="AU70:AV70"/>
    <mergeCell ref="AW70:AX70"/>
    <mergeCell ref="AY70:AZ70"/>
    <mergeCell ref="BA70:BB70"/>
    <mergeCell ref="BC70:BD70"/>
    <mergeCell ref="BE70:BF70"/>
    <mergeCell ref="BG70:BH70"/>
    <mergeCell ref="BO67:BP67"/>
    <mergeCell ref="BV67:BY67"/>
    <mergeCell ref="AU67:AV67"/>
    <mergeCell ref="AW67:AX67"/>
    <mergeCell ref="AY67:AZ67"/>
    <mergeCell ref="BA67:BB67"/>
    <mergeCell ref="BC67:BD67"/>
    <mergeCell ref="BE67:BF67"/>
    <mergeCell ref="BG67:BH67"/>
    <mergeCell ref="E67:F67"/>
    <mergeCell ref="G67:H67"/>
    <mergeCell ref="I67:J67"/>
    <mergeCell ref="K67:L67"/>
    <mergeCell ref="M67:N67"/>
    <mergeCell ref="O67:P67"/>
    <mergeCell ref="Q67:R67"/>
    <mergeCell ref="BM73:BN73"/>
    <mergeCell ref="BO73:BP73"/>
    <mergeCell ref="AY73:AZ73"/>
    <mergeCell ref="BA73:BB73"/>
    <mergeCell ref="BC73:BD73"/>
    <mergeCell ref="BE73:BF73"/>
    <mergeCell ref="BG73:BH73"/>
    <mergeCell ref="BI73:BJ73"/>
    <mergeCell ref="BK73:BL73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I72:AJ72"/>
    <mergeCell ref="AK72:AL72"/>
    <mergeCell ref="AM72:AN72"/>
    <mergeCell ref="AO72:AP72"/>
    <mergeCell ref="AQ72:AR72"/>
    <mergeCell ref="AS72:AT72"/>
    <mergeCell ref="BI72:BJ72"/>
    <mergeCell ref="BK72:BL72"/>
    <mergeCell ref="BM72:BN72"/>
    <mergeCell ref="BO72:BP72"/>
    <mergeCell ref="E72:F72"/>
    <mergeCell ref="G72:H72"/>
    <mergeCell ref="I72:J72"/>
    <mergeCell ref="K72:L72"/>
    <mergeCell ref="M72:N72"/>
    <mergeCell ref="O72:P72"/>
    <mergeCell ref="Q72:R72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E64:F64"/>
    <mergeCell ref="G64:H64"/>
    <mergeCell ref="I64:J64"/>
    <mergeCell ref="K64:L64"/>
    <mergeCell ref="M64:N64"/>
    <mergeCell ref="O64:P64"/>
    <mergeCell ref="Q64:R64"/>
    <mergeCell ref="AU66:AV66"/>
    <mergeCell ref="AW66:AX66"/>
    <mergeCell ref="AG66:AH66"/>
    <mergeCell ref="AI66:AJ66"/>
    <mergeCell ref="AK66:AL66"/>
    <mergeCell ref="AM66:AN66"/>
    <mergeCell ref="AO66:AP66"/>
    <mergeCell ref="AQ66:AR66"/>
    <mergeCell ref="AS66:AT66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I67:AJ67"/>
    <mergeCell ref="AK67:AL67"/>
    <mergeCell ref="AM67:AN67"/>
    <mergeCell ref="AO67:AP67"/>
    <mergeCell ref="AQ67:AR67"/>
    <mergeCell ref="AS67:AT67"/>
    <mergeCell ref="BI67:BJ67"/>
    <mergeCell ref="BK67:BL67"/>
    <mergeCell ref="BM67:BN67"/>
    <mergeCell ref="E61:F61"/>
    <mergeCell ref="G61:H61"/>
    <mergeCell ref="I61:J61"/>
    <mergeCell ref="K61:L61"/>
    <mergeCell ref="M61:N61"/>
    <mergeCell ref="O61:P61"/>
    <mergeCell ref="Q61:R61"/>
    <mergeCell ref="S62:T62"/>
    <mergeCell ref="U62:V62"/>
    <mergeCell ref="W62:X62"/>
    <mergeCell ref="Y62:Z62"/>
    <mergeCell ref="AA62:AB62"/>
    <mergeCell ref="AC62:AD62"/>
    <mergeCell ref="AE62:AF62"/>
    <mergeCell ref="AU61:AV61"/>
    <mergeCell ref="AW61:AX61"/>
    <mergeCell ref="AY61:AZ61"/>
    <mergeCell ref="BA61:BB61"/>
    <mergeCell ref="BC61:BD61"/>
    <mergeCell ref="BE61:BF61"/>
    <mergeCell ref="BG61:BH61"/>
    <mergeCell ref="E62:F62"/>
    <mergeCell ref="G62:H62"/>
    <mergeCell ref="I62:J62"/>
    <mergeCell ref="K62:L62"/>
    <mergeCell ref="M62:N62"/>
    <mergeCell ref="O62:P62"/>
    <mergeCell ref="Q62:R62"/>
    <mergeCell ref="AU64:AV64"/>
    <mergeCell ref="AW64:AX64"/>
    <mergeCell ref="AG64:AH64"/>
    <mergeCell ref="AI64:AJ64"/>
    <mergeCell ref="AK64:AL64"/>
    <mergeCell ref="AM64:AN64"/>
    <mergeCell ref="AO64:AP64"/>
    <mergeCell ref="AQ64:AR64"/>
    <mergeCell ref="AS64:AT64"/>
    <mergeCell ref="AY64:AZ64"/>
    <mergeCell ref="BA64:BB64"/>
    <mergeCell ref="BC64:BD64"/>
    <mergeCell ref="BE64:BF64"/>
    <mergeCell ref="BG64:BH64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I63:AJ63"/>
    <mergeCell ref="AK63:AL63"/>
    <mergeCell ref="AM63:AN63"/>
    <mergeCell ref="AO63:AP63"/>
    <mergeCell ref="AQ63:AR63"/>
    <mergeCell ref="AS63:AT63"/>
    <mergeCell ref="E63:F63"/>
    <mergeCell ref="G63:H63"/>
    <mergeCell ref="I63:J63"/>
    <mergeCell ref="K63:L63"/>
    <mergeCell ref="M63:N63"/>
    <mergeCell ref="O63:P63"/>
    <mergeCell ref="Q63:R63"/>
    <mergeCell ref="S64:T64"/>
    <mergeCell ref="AW65:AX65"/>
    <mergeCell ref="AY65:AZ65"/>
    <mergeCell ref="BA65:BB65"/>
    <mergeCell ref="BC65:BD65"/>
    <mergeCell ref="BE65:BF65"/>
    <mergeCell ref="BG65:BH65"/>
    <mergeCell ref="AU62:AV62"/>
    <mergeCell ref="AW62:AX62"/>
    <mergeCell ref="AG62:AH62"/>
    <mergeCell ref="AI62:AJ62"/>
    <mergeCell ref="AK62:AL62"/>
    <mergeCell ref="AM62:AN62"/>
    <mergeCell ref="AO62:AP62"/>
    <mergeCell ref="AQ62:AR62"/>
    <mergeCell ref="AS62:AT62"/>
    <mergeCell ref="BM62:BN62"/>
    <mergeCell ref="BO62:BP62"/>
    <mergeCell ref="AY62:AZ62"/>
    <mergeCell ref="BA62:BB62"/>
    <mergeCell ref="BC62:BD62"/>
    <mergeCell ref="BE62:BF62"/>
    <mergeCell ref="BG62:BH62"/>
    <mergeCell ref="BI62:BJ62"/>
    <mergeCell ref="BK62:BL62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I61:AJ61"/>
    <mergeCell ref="AK61:AL61"/>
    <mergeCell ref="AM61:AN61"/>
    <mergeCell ref="AO61:AP61"/>
    <mergeCell ref="AQ61:AR61"/>
    <mergeCell ref="AS61:AT61"/>
    <mergeCell ref="BI61:BJ61"/>
    <mergeCell ref="BK61:BL61"/>
    <mergeCell ref="BM61:BN61"/>
    <mergeCell ref="BO61:BP61"/>
    <mergeCell ref="BM64:BN64"/>
    <mergeCell ref="BO64:BP64"/>
    <mergeCell ref="BI64:BJ64"/>
    <mergeCell ref="BK64:BL64"/>
    <mergeCell ref="BI63:BJ63"/>
    <mergeCell ref="BK63:BL63"/>
    <mergeCell ref="BM63:BN63"/>
    <mergeCell ref="BO63:BP63"/>
    <mergeCell ref="U64:V64"/>
    <mergeCell ref="W64:X64"/>
    <mergeCell ref="Y64:Z64"/>
    <mergeCell ref="AA64:AB64"/>
    <mergeCell ref="AC64:AD64"/>
    <mergeCell ref="AE64:AF64"/>
    <mergeCell ref="AU63:AV63"/>
    <mergeCell ref="AW63:AX63"/>
    <mergeCell ref="AY63:AZ63"/>
    <mergeCell ref="BA63:BB63"/>
    <mergeCell ref="BC63:BD63"/>
    <mergeCell ref="BE63:BF63"/>
    <mergeCell ref="BG63:BH63"/>
    <mergeCell ref="BO60:BP60"/>
    <mergeCell ref="AU60:AV60"/>
    <mergeCell ref="AW60:AX60"/>
    <mergeCell ref="AY60:AZ60"/>
    <mergeCell ref="BA60:BB60"/>
    <mergeCell ref="BC60:BD60"/>
    <mergeCell ref="BE60:BF60"/>
    <mergeCell ref="BG60:BH60"/>
    <mergeCell ref="E60:F60"/>
    <mergeCell ref="G60:H60"/>
    <mergeCell ref="I60:J60"/>
    <mergeCell ref="K60:L60"/>
    <mergeCell ref="M60:N60"/>
    <mergeCell ref="O60:P60"/>
    <mergeCell ref="Q60:R60"/>
    <mergeCell ref="BM66:BN66"/>
    <mergeCell ref="BO66:BP66"/>
    <mergeCell ref="AY66:AZ66"/>
    <mergeCell ref="BA66:BB66"/>
    <mergeCell ref="BC66:BD66"/>
    <mergeCell ref="BE66:BF66"/>
    <mergeCell ref="BG66:BH66"/>
    <mergeCell ref="BI66:BJ66"/>
    <mergeCell ref="BK66:BL66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I65:AJ65"/>
    <mergeCell ref="AK65:AL65"/>
    <mergeCell ref="AM65:AN65"/>
    <mergeCell ref="AO65:AP65"/>
    <mergeCell ref="AQ65:AR65"/>
    <mergeCell ref="AS65:AT65"/>
    <mergeCell ref="BI65:BJ65"/>
    <mergeCell ref="BK65:BL65"/>
    <mergeCell ref="BM65:BN65"/>
    <mergeCell ref="BO65:BP65"/>
    <mergeCell ref="E65:F65"/>
    <mergeCell ref="G65:H65"/>
    <mergeCell ref="I65:J65"/>
    <mergeCell ref="K65:L65"/>
    <mergeCell ref="M65:N65"/>
    <mergeCell ref="O65:P65"/>
    <mergeCell ref="Q65:R65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U65:AV65"/>
    <mergeCell ref="E57:F57"/>
    <mergeCell ref="G57:H57"/>
    <mergeCell ref="I57:J57"/>
    <mergeCell ref="K57:L57"/>
    <mergeCell ref="M57:N57"/>
    <mergeCell ref="O57:P57"/>
    <mergeCell ref="Q57:R57"/>
    <mergeCell ref="AU59:AV59"/>
    <mergeCell ref="AW59:AX59"/>
    <mergeCell ref="AG59:AH59"/>
    <mergeCell ref="AI59:AJ59"/>
    <mergeCell ref="AK59:AL59"/>
    <mergeCell ref="AM59:AN59"/>
    <mergeCell ref="AO59:AP59"/>
    <mergeCell ref="AQ59:AR59"/>
    <mergeCell ref="AS59:AT59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I60:AJ60"/>
    <mergeCell ref="AK60:AL60"/>
    <mergeCell ref="AM60:AN60"/>
    <mergeCell ref="AO60:AP60"/>
    <mergeCell ref="AQ60:AR60"/>
    <mergeCell ref="AS60:AT60"/>
    <mergeCell ref="BI60:BJ60"/>
    <mergeCell ref="BK60:BL60"/>
    <mergeCell ref="BM60:BN60"/>
    <mergeCell ref="E54:F54"/>
    <mergeCell ref="G54:H54"/>
    <mergeCell ref="I54:J54"/>
    <mergeCell ref="K54:L54"/>
    <mergeCell ref="M54:N54"/>
    <mergeCell ref="O54:P54"/>
    <mergeCell ref="Q54:R54"/>
    <mergeCell ref="S55:T55"/>
    <mergeCell ref="U55:V55"/>
    <mergeCell ref="W55:X55"/>
    <mergeCell ref="Y55:Z55"/>
    <mergeCell ref="AA55:AB55"/>
    <mergeCell ref="AC55:AD55"/>
    <mergeCell ref="AE55:AF55"/>
    <mergeCell ref="AU54:AV54"/>
    <mergeCell ref="AW54:AX54"/>
    <mergeCell ref="AY54:AZ54"/>
    <mergeCell ref="BA54:BB54"/>
    <mergeCell ref="BC54:BD54"/>
    <mergeCell ref="BE54:BF54"/>
    <mergeCell ref="BG54:BH54"/>
    <mergeCell ref="E55:F55"/>
    <mergeCell ref="G55:H55"/>
    <mergeCell ref="I55:J55"/>
    <mergeCell ref="K55:L55"/>
    <mergeCell ref="M55:N55"/>
    <mergeCell ref="O55:P55"/>
    <mergeCell ref="Q55:R55"/>
    <mergeCell ref="AU57:AV57"/>
    <mergeCell ref="AW57:AX57"/>
    <mergeCell ref="AG57:AH57"/>
    <mergeCell ref="AI57:AJ57"/>
    <mergeCell ref="AK57:AL57"/>
    <mergeCell ref="AM57:AN57"/>
    <mergeCell ref="AO57:AP57"/>
    <mergeCell ref="AQ57:AR57"/>
    <mergeCell ref="AS57:AT57"/>
    <mergeCell ref="AY57:AZ57"/>
    <mergeCell ref="BA57:BB57"/>
    <mergeCell ref="BC57:BD57"/>
    <mergeCell ref="BE57:BF57"/>
    <mergeCell ref="BG57:BH57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E56:F56"/>
    <mergeCell ref="G56:H56"/>
    <mergeCell ref="I56:J56"/>
    <mergeCell ref="K56:L56"/>
    <mergeCell ref="M56:N56"/>
    <mergeCell ref="O56:P56"/>
    <mergeCell ref="Q56:R56"/>
    <mergeCell ref="S57:T57"/>
    <mergeCell ref="AU58:AV58"/>
    <mergeCell ref="AW58:AX58"/>
    <mergeCell ref="AY58:AZ58"/>
    <mergeCell ref="BA58:BB58"/>
    <mergeCell ref="BC58:BD58"/>
    <mergeCell ref="BE58:BF58"/>
    <mergeCell ref="BG58:BH58"/>
    <mergeCell ref="AU55:AV55"/>
    <mergeCell ref="AW55:AX55"/>
    <mergeCell ref="AG55:AH55"/>
    <mergeCell ref="AI55:AJ55"/>
    <mergeCell ref="AK55:AL55"/>
    <mergeCell ref="AM55:AN55"/>
    <mergeCell ref="AO55:AP55"/>
    <mergeCell ref="AQ55:AR55"/>
    <mergeCell ref="AS55:AT55"/>
    <mergeCell ref="BM55:BN55"/>
    <mergeCell ref="BO55:BP55"/>
    <mergeCell ref="AY55:AZ55"/>
    <mergeCell ref="BA55:BB55"/>
    <mergeCell ref="BC55:BD55"/>
    <mergeCell ref="BE55:BF55"/>
    <mergeCell ref="BG55:BH55"/>
    <mergeCell ref="BI55:BJ55"/>
    <mergeCell ref="BK55:BL55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K54:AL54"/>
    <mergeCell ref="AM54:AN54"/>
    <mergeCell ref="AO54:AP54"/>
    <mergeCell ref="AQ54:AR54"/>
    <mergeCell ref="AS54:AT54"/>
    <mergeCell ref="BI54:BJ54"/>
    <mergeCell ref="BK54:BL54"/>
    <mergeCell ref="BM54:BN54"/>
    <mergeCell ref="BO54:BP54"/>
    <mergeCell ref="BM57:BN57"/>
    <mergeCell ref="BO57:BP57"/>
    <mergeCell ref="BI57:BJ57"/>
    <mergeCell ref="BK57:BL57"/>
    <mergeCell ref="BI56:BJ56"/>
    <mergeCell ref="BK56:BL56"/>
    <mergeCell ref="BM56:BN56"/>
    <mergeCell ref="BO56:BP56"/>
    <mergeCell ref="U57:V57"/>
    <mergeCell ref="W57:X57"/>
    <mergeCell ref="Y57:Z57"/>
    <mergeCell ref="AA57:AB57"/>
    <mergeCell ref="AC57:AD57"/>
    <mergeCell ref="AE57:AF57"/>
    <mergeCell ref="AU56:AV56"/>
    <mergeCell ref="AW56:AX56"/>
    <mergeCell ref="AY56:AZ56"/>
    <mergeCell ref="BA56:BB56"/>
    <mergeCell ref="BC56:BD56"/>
    <mergeCell ref="BE56:BF56"/>
    <mergeCell ref="BG56:BH56"/>
    <mergeCell ref="BO53:BP53"/>
    <mergeCell ref="BV53:BY53"/>
    <mergeCell ref="AU53:AV53"/>
    <mergeCell ref="AW53:AX53"/>
    <mergeCell ref="AY53:AZ53"/>
    <mergeCell ref="BA53:BB53"/>
    <mergeCell ref="BC53:BD53"/>
    <mergeCell ref="BE53:BF53"/>
    <mergeCell ref="BG53:BH53"/>
    <mergeCell ref="E53:F53"/>
    <mergeCell ref="G53:H53"/>
    <mergeCell ref="I53:J53"/>
    <mergeCell ref="K53:L53"/>
    <mergeCell ref="M53:N53"/>
    <mergeCell ref="O53:P53"/>
    <mergeCell ref="Q53:R53"/>
    <mergeCell ref="BM59:BN59"/>
    <mergeCell ref="BO59:BP59"/>
    <mergeCell ref="AY59:AZ59"/>
    <mergeCell ref="BA59:BB59"/>
    <mergeCell ref="BC59:BD59"/>
    <mergeCell ref="BE59:BF59"/>
    <mergeCell ref="BG59:BH59"/>
    <mergeCell ref="BI59:BJ59"/>
    <mergeCell ref="BK59:BL59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BI58:BJ58"/>
    <mergeCell ref="BK58:BL58"/>
    <mergeCell ref="BM58:BN58"/>
    <mergeCell ref="BO58:BP58"/>
    <mergeCell ref="E58:F58"/>
    <mergeCell ref="G58:H58"/>
    <mergeCell ref="I58:J58"/>
    <mergeCell ref="K58:L58"/>
    <mergeCell ref="M58:N58"/>
    <mergeCell ref="O58:P58"/>
    <mergeCell ref="Q58:R58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E50:F50"/>
    <mergeCell ref="G50:H50"/>
    <mergeCell ref="I50:J50"/>
    <mergeCell ref="K50:L50"/>
    <mergeCell ref="M50:N50"/>
    <mergeCell ref="O50:P50"/>
    <mergeCell ref="Q50:R50"/>
    <mergeCell ref="AU52:AV52"/>
    <mergeCell ref="AW52:AX52"/>
    <mergeCell ref="AG52:AH52"/>
    <mergeCell ref="AI52:AJ52"/>
    <mergeCell ref="AK52:AL52"/>
    <mergeCell ref="AM52:AN52"/>
    <mergeCell ref="AO52:AP52"/>
    <mergeCell ref="AQ52:AR52"/>
    <mergeCell ref="AS52:AT52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BI53:BJ53"/>
    <mergeCell ref="BK53:BL53"/>
    <mergeCell ref="BM53:BN53"/>
    <mergeCell ref="E47:F47"/>
    <mergeCell ref="G47:H47"/>
    <mergeCell ref="I47:J47"/>
    <mergeCell ref="K47:L47"/>
    <mergeCell ref="M47:N47"/>
    <mergeCell ref="O47:P47"/>
    <mergeCell ref="Q47:R47"/>
    <mergeCell ref="S48:T48"/>
    <mergeCell ref="U48:V48"/>
    <mergeCell ref="W48:X48"/>
    <mergeCell ref="Y48:Z48"/>
    <mergeCell ref="AA48:AB48"/>
    <mergeCell ref="AC48:AD48"/>
    <mergeCell ref="AE48:AF48"/>
    <mergeCell ref="AU47:AV47"/>
    <mergeCell ref="AW47:AX47"/>
    <mergeCell ref="AY47:AZ47"/>
    <mergeCell ref="BA47:BB47"/>
    <mergeCell ref="BC47:BD47"/>
    <mergeCell ref="BE47:BF47"/>
    <mergeCell ref="BG47:BH47"/>
    <mergeCell ref="E48:F48"/>
    <mergeCell ref="G48:H48"/>
    <mergeCell ref="I48:J48"/>
    <mergeCell ref="K48:L48"/>
    <mergeCell ref="M48:N48"/>
    <mergeCell ref="O48:P48"/>
    <mergeCell ref="Q48:R48"/>
    <mergeCell ref="AU50:AV50"/>
    <mergeCell ref="AW50:AX50"/>
    <mergeCell ref="AG50:AH50"/>
    <mergeCell ref="AI50:AJ50"/>
    <mergeCell ref="AK50:AL50"/>
    <mergeCell ref="AM50:AN50"/>
    <mergeCell ref="AO50:AP50"/>
    <mergeCell ref="AQ50:AR50"/>
    <mergeCell ref="AS50:AT50"/>
    <mergeCell ref="AY50:AZ50"/>
    <mergeCell ref="BA50:BB50"/>
    <mergeCell ref="BC50:BD50"/>
    <mergeCell ref="BE50:BF50"/>
    <mergeCell ref="BG50:BH50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N49"/>
    <mergeCell ref="AO49:AP49"/>
    <mergeCell ref="AQ49:AR49"/>
    <mergeCell ref="AS49:AT49"/>
    <mergeCell ref="E49:F49"/>
    <mergeCell ref="G49:H49"/>
    <mergeCell ref="I49:J49"/>
    <mergeCell ref="K49:L49"/>
    <mergeCell ref="M49:N49"/>
    <mergeCell ref="O49:P49"/>
    <mergeCell ref="Q49:R49"/>
    <mergeCell ref="S50:T50"/>
    <mergeCell ref="AW51:AX51"/>
    <mergeCell ref="AY51:AZ51"/>
    <mergeCell ref="BA51:BB51"/>
    <mergeCell ref="BC51:BD51"/>
    <mergeCell ref="BE51:BF51"/>
    <mergeCell ref="BG51:BH51"/>
    <mergeCell ref="AU48:AV48"/>
    <mergeCell ref="AW48:AX48"/>
    <mergeCell ref="AG48:AH48"/>
    <mergeCell ref="AI48:AJ48"/>
    <mergeCell ref="AK48:AL48"/>
    <mergeCell ref="AM48:AN48"/>
    <mergeCell ref="AO48:AP48"/>
    <mergeCell ref="AQ48:AR48"/>
    <mergeCell ref="AS48:AT48"/>
    <mergeCell ref="BM48:BN48"/>
    <mergeCell ref="BO48:BP48"/>
    <mergeCell ref="AY48:AZ48"/>
    <mergeCell ref="BA48:BB48"/>
    <mergeCell ref="BC48:BD48"/>
    <mergeCell ref="BE48:BF48"/>
    <mergeCell ref="BG48:BH48"/>
    <mergeCell ref="BI48:BJ48"/>
    <mergeCell ref="BK48:BL48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S47:AT47"/>
    <mergeCell ref="BI47:BJ47"/>
    <mergeCell ref="BK47:BL47"/>
    <mergeCell ref="BM47:BN47"/>
    <mergeCell ref="BO47:BP47"/>
    <mergeCell ref="BM50:BN50"/>
    <mergeCell ref="BO50:BP50"/>
    <mergeCell ref="BI50:BJ50"/>
    <mergeCell ref="BK50:BL50"/>
    <mergeCell ref="BI49:BJ49"/>
    <mergeCell ref="BK49:BL49"/>
    <mergeCell ref="BM49:BN49"/>
    <mergeCell ref="BO49:BP49"/>
    <mergeCell ref="U50:V50"/>
    <mergeCell ref="W50:X50"/>
    <mergeCell ref="Y50:Z50"/>
    <mergeCell ref="AA50:AB50"/>
    <mergeCell ref="AC50:AD50"/>
    <mergeCell ref="AE50:AF50"/>
    <mergeCell ref="AU49:AV49"/>
    <mergeCell ref="AW49:AX49"/>
    <mergeCell ref="AY49:AZ49"/>
    <mergeCell ref="BA49:BB49"/>
    <mergeCell ref="BC49:BD49"/>
    <mergeCell ref="BE49:BF49"/>
    <mergeCell ref="BG49:BH49"/>
    <mergeCell ref="BO46:BP46"/>
    <mergeCell ref="AU46:AV46"/>
    <mergeCell ref="AW46:AX46"/>
    <mergeCell ref="AY46:AZ46"/>
    <mergeCell ref="BA46:BB46"/>
    <mergeCell ref="BC46:BD46"/>
    <mergeCell ref="BE46:BF46"/>
    <mergeCell ref="BG46:BH46"/>
    <mergeCell ref="E46:F46"/>
    <mergeCell ref="G46:H46"/>
    <mergeCell ref="I46:J46"/>
    <mergeCell ref="K46:L46"/>
    <mergeCell ref="M46:N46"/>
    <mergeCell ref="O46:P46"/>
    <mergeCell ref="Q46:R46"/>
    <mergeCell ref="BM52:BN52"/>
    <mergeCell ref="BO52:BP52"/>
    <mergeCell ref="AY52:AZ52"/>
    <mergeCell ref="BA52:BB52"/>
    <mergeCell ref="BC52:BD52"/>
    <mergeCell ref="BE52:BF52"/>
    <mergeCell ref="BG52:BH52"/>
    <mergeCell ref="BI52:BJ52"/>
    <mergeCell ref="BK52:BL52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N51"/>
    <mergeCell ref="AO51:AP51"/>
    <mergeCell ref="AQ51:AR51"/>
    <mergeCell ref="AS51:AT51"/>
    <mergeCell ref="BI51:BJ51"/>
    <mergeCell ref="BK51:BL51"/>
    <mergeCell ref="BM51:BN51"/>
    <mergeCell ref="BO51:BP51"/>
    <mergeCell ref="E51:F51"/>
    <mergeCell ref="G51:H51"/>
    <mergeCell ref="I51:J51"/>
    <mergeCell ref="K51:L51"/>
    <mergeCell ref="M51:N51"/>
    <mergeCell ref="O51:P51"/>
    <mergeCell ref="Q51:R51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U51:AV51"/>
    <mergeCell ref="E43:F43"/>
    <mergeCell ref="G43:H43"/>
    <mergeCell ref="I43:J43"/>
    <mergeCell ref="K43:L43"/>
    <mergeCell ref="M43:N43"/>
    <mergeCell ref="O43:P43"/>
    <mergeCell ref="Q43:R43"/>
    <mergeCell ref="AU45:AV45"/>
    <mergeCell ref="AW45:AX45"/>
    <mergeCell ref="AG45:AH45"/>
    <mergeCell ref="AI45:AJ45"/>
    <mergeCell ref="AK45:AL45"/>
    <mergeCell ref="AM45:AN45"/>
    <mergeCell ref="AO45:AP45"/>
    <mergeCell ref="AQ45:AR45"/>
    <mergeCell ref="AS45:AT45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BI46:BJ46"/>
    <mergeCell ref="BK46:BL46"/>
    <mergeCell ref="BM46:BN46"/>
    <mergeCell ref="E40:F40"/>
    <mergeCell ref="G40:H40"/>
    <mergeCell ref="I40:J40"/>
    <mergeCell ref="K40:L40"/>
    <mergeCell ref="M40:N40"/>
    <mergeCell ref="O40:P40"/>
    <mergeCell ref="Q40:R40"/>
    <mergeCell ref="S41:T41"/>
    <mergeCell ref="U41:V41"/>
    <mergeCell ref="W41:X41"/>
    <mergeCell ref="Y41:Z41"/>
    <mergeCell ref="AA41:AB41"/>
    <mergeCell ref="AC41:AD41"/>
    <mergeCell ref="AE41:AF41"/>
    <mergeCell ref="AU40:AV40"/>
    <mergeCell ref="AW40:AX40"/>
    <mergeCell ref="AY40:AZ40"/>
    <mergeCell ref="BA40:BB40"/>
    <mergeCell ref="BC40:BD40"/>
    <mergeCell ref="BE40:BF40"/>
    <mergeCell ref="BG40:BH40"/>
    <mergeCell ref="E41:F41"/>
    <mergeCell ref="G41:H41"/>
    <mergeCell ref="I41:J41"/>
    <mergeCell ref="K41:L41"/>
    <mergeCell ref="M41:N41"/>
    <mergeCell ref="O41:P41"/>
    <mergeCell ref="Q41:R41"/>
    <mergeCell ref="AU43:AV43"/>
    <mergeCell ref="AW43:AX43"/>
    <mergeCell ref="AG43:AH43"/>
    <mergeCell ref="AI43:AJ43"/>
    <mergeCell ref="AK43:AL43"/>
    <mergeCell ref="AM43:AN43"/>
    <mergeCell ref="AO43:AP43"/>
    <mergeCell ref="AQ43:AR43"/>
    <mergeCell ref="AS43:AT43"/>
    <mergeCell ref="AY43:AZ43"/>
    <mergeCell ref="BA43:BB43"/>
    <mergeCell ref="BC43:BD43"/>
    <mergeCell ref="BE43:BF43"/>
    <mergeCell ref="BG43:BH43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N42"/>
    <mergeCell ref="AO42:AP42"/>
    <mergeCell ref="AQ42:AR42"/>
    <mergeCell ref="AS42:AT42"/>
    <mergeCell ref="E42:F42"/>
    <mergeCell ref="G42:H42"/>
    <mergeCell ref="I42:J42"/>
    <mergeCell ref="K42:L42"/>
    <mergeCell ref="M42:N42"/>
    <mergeCell ref="O42:P42"/>
    <mergeCell ref="Q42:R42"/>
    <mergeCell ref="S43:T43"/>
    <mergeCell ref="BG44:BH44"/>
    <mergeCell ref="AU41:AV41"/>
    <mergeCell ref="AW41:AX41"/>
    <mergeCell ref="AG41:AH41"/>
    <mergeCell ref="AI41:AJ41"/>
    <mergeCell ref="AK41:AL41"/>
    <mergeCell ref="AM41:AN41"/>
    <mergeCell ref="AO41:AP41"/>
    <mergeCell ref="AQ41:AR41"/>
    <mergeCell ref="AS41:AT41"/>
    <mergeCell ref="BM41:BN41"/>
    <mergeCell ref="BO41:BP41"/>
    <mergeCell ref="AY41:AZ41"/>
    <mergeCell ref="BA41:BB41"/>
    <mergeCell ref="BC41:BD41"/>
    <mergeCell ref="BE41:BF41"/>
    <mergeCell ref="BG41:BH41"/>
    <mergeCell ref="BI41:BJ41"/>
    <mergeCell ref="BK41:BL41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BI40:BJ40"/>
    <mergeCell ref="BK40:BL40"/>
    <mergeCell ref="BM40:BN40"/>
    <mergeCell ref="BO40:BP40"/>
    <mergeCell ref="BM43:BN43"/>
    <mergeCell ref="BO43:BP43"/>
    <mergeCell ref="BI43:BJ43"/>
    <mergeCell ref="BK43:BL43"/>
    <mergeCell ref="BI42:BJ42"/>
    <mergeCell ref="BK42:BL42"/>
    <mergeCell ref="BM42:BN42"/>
    <mergeCell ref="BO42:BP42"/>
    <mergeCell ref="U43:V43"/>
    <mergeCell ref="W43:X43"/>
    <mergeCell ref="Y43:Z43"/>
    <mergeCell ref="AA43:AB43"/>
    <mergeCell ref="AC43:AD43"/>
    <mergeCell ref="AE43:AF43"/>
    <mergeCell ref="AU42:AV42"/>
    <mergeCell ref="AW42:AX42"/>
    <mergeCell ref="AY42:AZ42"/>
    <mergeCell ref="BA42:BB42"/>
    <mergeCell ref="BC42:BD42"/>
    <mergeCell ref="BE42:BF42"/>
    <mergeCell ref="BG42:BH42"/>
    <mergeCell ref="BV39:BY39"/>
    <mergeCell ref="AU39:AV39"/>
    <mergeCell ref="AW39:AX39"/>
    <mergeCell ref="AY39:AZ39"/>
    <mergeCell ref="BA39:BB39"/>
    <mergeCell ref="BC39:BD39"/>
    <mergeCell ref="BE39:BF39"/>
    <mergeCell ref="BG39:BH39"/>
    <mergeCell ref="E39:F39"/>
    <mergeCell ref="G39:H39"/>
    <mergeCell ref="I39:J39"/>
    <mergeCell ref="K39:L39"/>
    <mergeCell ref="M39:N39"/>
    <mergeCell ref="O39:P39"/>
    <mergeCell ref="Q39:R39"/>
    <mergeCell ref="BM45:BN45"/>
    <mergeCell ref="BO45:BP45"/>
    <mergeCell ref="AY45:AZ45"/>
    <mergeCell ref="BA45:BB45"/>
    <mergeCell ref="BC45:BD45"/>
    <mergeCell ref="BE45:BF45"/>
    <mergeCell ref="BG45:BH45"/>
    <mergeCell ref="BI45:BJ45"/>
    <mergeCell ref="BK45:BL45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P44"/>
    <mergeCell ref="AQ44:AR44"/>
    <mergeCell ref="AS44:AT44"/>
    <mergeCell ref="BI44:BJ44"/>
    <mergeCell ref="BK44:BL44"/>
    <mergeCell ref="BM44:BN44"/>
    <mergeCell ref="BO44:BP44"/>
    <mergeCell ref="E44:F44"/>
    <mergeCell ref="G44:H44"/>
    <mergeCell ref="I44:J44"/>
    <mergeCell ref="K44:L44"/>
    <mergeCell ref="M44:N44"/>
    <mergeCell ref="O44:P44"/>
    <mergeCell ref="Q44:R44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U44:AV44"/>
    <mergeCell ref="BM36:BN36"/>
    <mergeCell ref="BO36:BP36"/>
    <mergeCell ref="AY36:AZ36"/>
    <mergeCell ref="BA36:BB36"/>
    <mergeCell ref="BC36:BD36"/>
    <mergeCell ref="BE36:BF36"/>
    <mergeCell ref="BG36:BH36"/>
    <mergeCell ref="BI36:BJ36"/>
    <mergeCell ref="BK36:BL36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BI35:BJ35"/>
    <mergeCell ref="BK35:BL35"/>
    <mergeCell ref="BM35:BN35"/>
    <mergeCell ref="BO35:BP35"/>
    <mergeCell ref="E35:F35"/>
    <mergeCell ref="G35:H35"/>
    <mergeCell ref="I35:J35"/>
    <mergeCell ref="K35:L35"/>
    <mergeCell ref="M35:N35"/>
    <mergeCell ref="O35:P35"/>
    <mergeCell ref="Q35:R35"/>
    <mergeCell ref="S36:T36"/>
    <mergeCell ref="U36:V36"/>
    <mergeCell ref="W36:X36"/>
    <mergeCell ref="Y36:Z36"/>
    <mergeCell ref="AA36:AB36"/>
    <mergeCell ref="AC36:AD36"/>
    <mergeCell ref="AE36:AF36"/>
    <mergeCell ref="AU35:AV35"/>
    <mergeCell ref="AW35:AX35"/>
    <mergeCell ref="AY35:AZ35"/>
    <mergeCell ref="BA35:BB35"/>
    <mergeCell ref="BC35:BD35"/>
    <mergeCell ref="BE35:BF35"/>
    <mergeCell ref="BG35:BH35"/>
    <mergeCell ref="E36:F36"/>
    <mergeCell ref="G36:H36"/>
    <mergeCell ref="I36:J36"/>
    <mergeCell ref="K36:L36"/>
    <mergeCell ref="M36:N36"/>
    <mergeCell ref="O36:P36"/>
    <mergeCell ref="Q36:R36"/>
    <mergeCell ref="E33:F33"/>
    <mergeCell ref="G33:H33"/>
    <mergeCell ref="I33:J33"/>
    <mergeCell ref="K33:L33"/>
    <mergeCell ref="M33:N33"/>
    <mergeCell ref="O33:P33"/>
    <mergeCell ref="Q33:R33"/>
    <mergeCell ref="S34:T34"/>
    <mergeCell ref="U34:V34"/>
    <mergeCell ref="W34:X34"/>
    <mergeCell ref="Y34:Z34"/>
    <mergeCell ref="AA34:AB34"/>
    <mergeCell ref="AC34:AD34"/>
    <mergeCell ref="AE34:AF34"/>
    <mergeCell ref="AU33:AV33"/>
    <mergeCell ref="AW33:AX33"/>
    <mergeCell ref="AY33:AZ33"/>
    <mergeCell ref="BA33:BB33"/>
    <mergeCell ref="BC33:BD33"/>
    <mergeCell ref="BE33:BF33"/>
    <mergeCell ref="BG33:BH33"/>
    <mergeCell ref="E34:F34"/>
    <mergeCell ref="G34:H34"/>
    <mergeCell ref="I34:J34"/>
    <mergeCell ref="K34:L34"/>
    <mergeCell ref="M34:N34"/>
    <mergeCell ref="O34:P34"/>
    <mergeCell ref="Q34:R34"/>
    <mergeCell ref="AU36:AV36"/>
    <mergeCell ref="AW36:AX36"/>
    <mergeCell ref="AG36:AH36"/>
    <mergeCell ref="AI36:AJ36"/>
    <mergeCell ref="AK36:AL36"/>
    <mergeCell ref="AM36:AN36"/>
    <mergeCell ref="AO36:AP36"/>
    <mergeCell ref="AQ36:AR36"/>
    <mergeCell ref="AS36:AT36"/>
    <mergeCell ref="AU34:AV34"/>
    <mergeCell ref="AW34:AX34"/>
    <mergeCell ref="AG34:AH34"/>
    <mergeCell ref="AI34:AJ34"/>
    <mergeCell ref="AK34:AL34"/>
    <mergeCell ref="AM34:AN34"/>
    <mergeCell ref="AO34:AP34"/>
    <mergeCell ref="AQ34:AR34"/>
    <mergeCell ref="AS34:AT34"/>
    <mergeCell ref="BM34:BN34"/>
    <mergeCell ref="BO34:BP34"/>
    <mergeCell ref="AY34:AZ34"/>
    <mergeCell ref="BA34:BB34"/>
    <mergeCell ref="BC34:BD34"/>
    <mergeCell ref="BE34:BF34"/>
    <mergeCell ref="BG34:BH34"/>
    <mergeCell ref="BI34:BJ34"/>
    <mergeCell ref="BK34:BL34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BI33:BJ33"/>
    <mergeCell ref="BK33:BL33"/>
    <mergeCell ref="BM33:BN33"/>
    <mergeCell ref="BO33:BP33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BI37:BJ37"/>
    <mergeCell ref="BK37:BL37"/>
    <mergeCell ref="BM37:BN37"/>
    <mergeCell ref="BO37:BP37"/>
    <mergeCell ref="E37:F37"/>
    <mergeCell ref="G37:H37"/>
    <mergeCell ref="I37:J37"/>
    <mergeCell ref="K37:L37"/>
    <mergeCell ref="M37:N37"/>
    <mergeCell ref="O37:P37"/>
    <mergeCell ref="Q37:R37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U37:AV37"/>
    <mergeCell ref="AW37:AX37"/>
    <mergeCell ref="AY37:AZ37"/>
    <mergeCell ref="BA37:BB37"/>
    <mergeCell ref="BC37:BD37"/>
    <mergeCell ref="BE37:BF37"/>
    <mergeCell ref="BG37:BH37"/>
    <mergeCell ref="AU38:AV38"/>
    <mergeCell ref="AW38:AX38"/>
    <mergeCell ref="AG38:AH38"/>
    <mergeCell ref="AI38:AJ38"/>
    <mergeCell ref="AK38:AL38"/>
    <mergeCell ref="AM38:AN38"/>
    <mergeCell ref="AO38:AP38"/>
    <mergeCell ref="AQ38:AR38"/>
    <mergeCell ref="AS38:AT38"/>
    <mergeCell ref="S473:T473"/>
    <mergeCell ref="U473:V473"/>
    <mergeCell ref="W473:X473"/>
    <mergeCell ref="Y473:Z473"/>
    <mergeCell ref="AA473:AB473"/>
    <mergeCell ref="AC473:AD473"/>
    <mergeCell ref="AE473:AF473"/>
    <mergeCell ref="AG473:AH473"/>
    <mergeCell ref="AI473:AJ473"/>
    <mergeCell ref="AK473:AL473"/>
    <mergeCell ref="AM473:AN473"/>
    <mergeCell ref="AO473:AP473"/>
    <mergeCell ref="AQ473:AR473"/>
    <mergeCell ref="AS473:AT473"/>
    <mergeCell ref="BI473:BJ473"/>
    <mergeCell ref="BK473:BL473"/>
    <mergeCell ref="BM473:BN473"/>
    <mergeCell ref="BO473:BP473"/>
    <mergeCell ref="AU473:AV473"/>
    <mergeCell ref="AW473:AX473"/>
    <mergeCell ref="AY473:AZ473"/>
    <mergeCell ref="BA473:BB473"/>
    <mergeCell ref="BC473:BD473"/>
    <mergeCell ref="BE473:BF473"/>
    <mergeCell ref="BG473:BH473"/>
    <mergeCell ref="E473:F473"/>
    <mergeCell ref="G473:H473"/>
    <mergeCell ref="I473:J473"/>
    <mergeCell ref="K473:L473"/>
    <mergeCell ref="M473:N473"/>
    <mergeCell ref="O473:P473"/>
    <mergeCell ref="Q473:R473"/>
    <mergeCell ref="BM38:BN38"/>
    <mergeCell ref="BO38:BP38"/>
    <mergeCell ref="AY38:AZ38"/>
    <mergeCell ref="BA38:BB38"/>
    <mergeCell ref="BC38:BD38"/>
    <mergeCell ref="BE38:BF38"/>
    <mergeCell ref="BG38:BH38"/>
    <mergeCell ref="BI38:BJ38"/>
    <mergeCell ref="BK38:BL38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BI39:BJ39"/>
    <mergeCell ref="BK39:BL39"/>
    <mergeCell ref="BM39:BN39"/>
    <mergeCell ref="BO39:BP39"/>
    <mergeCell ref="AW44:AX44"/>
    <mergeCell ref="AY44:AZ44"/>
    <mergeCell ref="BA44:BB44"/>
    <mergeCell ref="BC44:BD44"/>
    <mergeCell ref="BE44:BF44"/>
    <mergeCell ref="BO470:BP470"/>
    <mergeCell ref="AY470:AZ470"/>
    <mergeCell ref="BA470:BB470"/>
    <mergeCell ref="BC470:BD470"/>
    <mergeCell ref="BE470:BF470"/>
    <mergeCell ref="BG470:BH470"/>
    <mergeCell ref="BI470:BJ470"/>
    <mergeCell ref="BK470:BL470"/>
    <mergeCell ref="S469:T469"/>
    <mergeCell ref="U469:V469"/>
    <mergeCell ref="W469:X469"/>
    <mergeCell ref="Y469:Z469"/>
    <mergeCell ref="AA469:AB469"/>
    <mergeCell ref="AC469:AD469"/>
    <mergeCell ref="AE469:AF469"/>
    <mergeCell ref="AG469:AH469"/>
    <mergeCell ref="AI469:AJ469"/>
    <mergeCell ref="AK469:AL469"/>
    <mergeCell ref="AM469:AN469"/>
    <mergeCell ref="AO469:AP469"/>
    <mergeCell ref="AQ469:AR469"/>
    <mergeCell ref="AS469:AT469"/>
    <mergeCell ref="BI469:BJ469"/>
    <mergeCell ref="BK469:BL469"/>
    <mergeCell ref="BM469:BN469"/>
    <mergeCell ref="BO469:BP469"/>
    <mergeCell ref="E469:F469"/>
    <mergeCell ref="G469:H469"/>
    <mergeCell ref="I469:J469"/>
    <mergeCell ref="K469:L469"/>
    <mergeCell ref="M469:N469"/>
    <mergeCell ref="O469:P469"/>
    <mergeCell ref="Q469:R469"/>
    <mergeCell ref="S470:T470"/>
    <mergeCell ref="U470:V470"/>
    <mergeCell ref="W470:X470"/>
    <mergeCell ref="Y470:Z470"/>
    <mergeCell ref="AA470:AB470"/>
    <mergeCell ref="AC470:AD470"/>
    <mergeCell ref="AE470:AF470"/>
    <mergeCell ref="AU469:AV469"/>
    <mergeCell ref="AW469:AX469"/>
    <mergeCell ref="AY469:AZ469"/>
    <mergeCell ref="BA469:BB469"/>
    <mergeCell ref="BC469:BD469"/>
    <mergeCell ref="BE469:BF469"/>
    <mergeCell ref="BG469:BH469"/>
    <mergeCell ref="E470:F470"/>
    <mergeCell ref="G470:H470"/>
    <mergeCell ref="I470:J470"/>
    <mergeCell ref="K470:L470"/>
    <mergeCell ref="M470:N470"/>
    <mergeCell ref="O470:P470"/>
    <mergeCell ref="Q470:R470"/>
    <mergeCell ref="BO468:BP468"/>
    <mergeCell ref="AY468:AZ468"/>
    <mergeCell ref="BA468:BB468"/>
    <mergeCell ref="BC468:BD468"/>
    <mergeCell ref="BE468:BF468"/>
    <mergeCell ref="BG468:BH468"/>
    <mergeCell ref="BI468:BJ468"/>
    <mergeCell ref="BK468:BL468"/>
    <mergeCell ref="S467:T467"/>
    <mergeCell ref="U467:V467"/>
    <mergeCell ref="W467:X467"/>
    <mergeCell ref="Y467:Z467"/>
    <mergeCell ref="AA467:AB467"/>
    <mergeCell ref="AC467:AD467"/>
    <mergeCell ref="AE467:AF467"/>
    <mergeCell ref="AG467:AH467"/>
    <mergeCell ref="AI467:AJ467"/>
    <mergeCell ref="AK467:AL467"/>
    <mergeCell ref="AM467:AN467"/>
    <mergeCell ref="AO467:AP467"/>
    <mergeCell ref="AQ467:AR467"/>
    <mergeCell ref="AS467:AT467"/>
    <mergeCell ref="BI467:BJ467"/>
    <mergeCell ref="BK467:BL467"/>
    <mergeCell ref="BM467:BN467"/>
    <mergeCell ref="BO467:BP467"/>
    <mergeCell ref="E467:F467"/>
    <mergeCell ref="G467:H467"/>
    <mergeCell ref="I467:J467"/>
    <mergeCell ref="K467:L467"/>
    <mergeCell ref="M467:N467"/>
    <mergeCell ref="O467:P467"/>
    <mergeCell ref="Q467:R467"/>
    <mergeCell ref="S468:T468"/>
    <mergeCell ref="U468:V468"/>
    <mergeCell ref="W468:X468"/>
    <mergeCell ref="Y468:Z468"/>
    <mergeCell ref="AA468:AB468"/>
    <mergeCell ref="AC468:AD468"/>
    <mergeCell ref="AE468:AF468"/>
    <mergeCell ref="AU467:AV467"/>
    <mergeCell ref="AW467:AX467"/>
    <mergeCell ref="AY467:AZ467"/>
    <mergeCell ref="BA467:BB467"/>
    <mergeCell ref="BC467:BD467"/>
    <mergeCell ref="BE467:BF467"/>
    <mergeCell ref="BG467:BH467"/>
    <mergeCell ref="E468:F468"/>
    <mergeCell ref="G468:H468"/>
    <mergeCell ref="I468:J468"/>
    <mergeCell ref="K468:L468"/>
    <mergeCell ref="M468:N468"/>
    <mergeCell ref="O468:P468"/>
    <mergeCell ref="Q468:R468"/>
    <mergeCell ref="O471:P471"/>
    <mergeCell ref="Q471:R471"/>
    <mergeCell ref="E472:F472"/>
    <mergeCell ref="G472:H472"/>
    <mergeCell ref="I472:J472"/>
    <mergeCell ref="K472:L472"/>
    <mergeCell ref="M472:N472"/>
    <mergeCell ref="O472:P472"/>
    <mergeCell ref="Q472:R472"/>
    <mergeCell ref="S472:T472"/>
    <mergeCell ref="U472:V472"/>
    <mergeCell ref="W472:X472"/>
    <mergeCell ref="Y472:Z472"/>
    <mergeCell ref="AA472:AB472"/>
    <mergeCell ref="AC472:AD472"/>
    <mergeCell ref="AE472:AF472"/>
    <mergeCell ref="AU471:AV471"/>
    <mergeCell ref="AW471:AX471"/>
    <mergeCell ref="AY471:AZ471"/>
    <mergeCell ref="BA471:BB471"/>
    <mergeCell ref="BC471:BD471"/>
    <mergeCell ref="BE471:BF471"/>
    <mergeCell ref="BG471:BH471"/>
    <mergeCell ref="AU468:AV468"/>
    <mergeCell ref="AW468:AX468"/>
    <mergeCell ref="AG468:AH468"/>
    <mergeCell ref="AI468:AJ468"/>
    <mergeCell ref="AK468:AL468"/>
    <mergeCell ref="AM468:AN468"/>
    <mergeCell ref="AO468:AP468"/>
    <mergeCell ref="AQ468:AR468"/>
    <mergeCell ref="AS468:AT468"/>
    <mergeCell ref="BM468:BN468"/>
    <mergeCell ref="AU470:AV470"/>
    <mergeCell ref="AW470:AX470"/>
    <mergeCell ref="AG470:AH470"/>
    <mergeCell ref="AI470:AJ470"/>
    <mergeCell ref="AK470:AL470"/>
    <mergeCell ref="AM470:AN470"/>
    <mergeCell ref="AO470:AP470"/>
    <mergeCell ref="AQ470:AR470"/>
    <mergeCell ref="AS470:AT470"/>
    <mergeCell ref="BM470:BN470"/>
    <mergeCell ref="AU472:AV472"/>
    <mergeCell ref="AW472:AX472"/>
    <mergeCell ref="AG472:AH472"/>
    <mergeCell ref="AI472:AJ472"/>
    <mergeCell ref="AK472:AL472"/>
    <mergeCell ref="AM472:AN472"/>
    <mergeCell ref="AO472:AP472"/>
    <mergeCell ref="AQ472:AR472"/>
    <mergeCell ref="AS472:AT472"/>
    <mergeCell ref="S466:T466"/>
    <mergeCell ref="U466:V466"/>
    <mergeCell ref="W466:X466"/>
    <mergeCell ref="Y466:Z466"/>
    <mergeCell ref="AA466:AB466"/>
    <mergeCell ref="AC466:AD466"/>
    <mergeCell ref="AE466:AF466"/>
    <mergeCell ref="AG466:AH466"/>
    <mergeCell ref="AI466:AJ466"/>
    <mergeCell ref="AK466:AL466"/>
    <mergeCell ref="AM466:AN466"/>
    <mergeCell ref="AO466:AP466"/>
    <mergeCell ref="AQ466:AR466"/>
    <mergeCell ref="AS466:AT466"/>
    <mergeCell ref="BI466:BJ466"/>
    <mergeCell ref="BK466:BL466"/>
    <mergeCell ref="BM466:BN466"/>
    <mergeCell ref="BO466:BP466"/>
    <mergeCell ref="AU466:AV466"/>
    <mergeCell ref="AW466:AX466"/>
    <mergeCell ref="AY466:AZ466"/>
    <mergeCell ref="BA466:BB466"/>
    <mergeCell ref="BC466:BD466"/>
    <mergeCell ref="BE466:BF466"/>
    <mergeCell ref="BG466:BH466"/>
    <mergeCell ref="E466:F466"/>
    <mergeCell ref="G466:H466"/>
    <mergeCell ref="I466:J466"/>
    <mergeCell ref="K466:L466"/>
    <mergeCell ref="M466:N466"/>
    <mergeCell ref="O466:P466"/>
    <mergeCell ref="Q466:R466"/>
    <mergeCell ref="BM472:BN472"/>
    <mergeCell ref="BO472:BP472"/>
    <mergeCell ref="AY472:AZ472"/>
    <mergeCell ref="BA472:BB472"/>
    <mergeCell ref="BC472:BD472"/>
    <mergeCell ref="BE472:BF472"/>
    <mergeCell ref="BG472:BH472"/>
    <mergeCell ref="BI472:BJ472"/>
    <mergeCell ref="BK472:BL472"/>
    <mergeCell ref="S471:T471"/>
    <mergeCell ref="U471:V471"/>
    <mergeCell ref="W471:X471"/>
    <mergeCell ref="Y471:Z471"/>
    <mergeCell ref="AA471:AB471"/>
    <mergeCell ref="AC471:AD471"/>
    <mergeCell ref="AE471:AF471"/>
    <mergeCell ref="AG471:AH471"/>
    <mergeCell ref="AI471:AJ471"/>
    <mergeCell ref="AK471:AL471"/>
    <mergeCell ref="AM471:AN471"/>
    <mergeCell ref="AO471:AP471"/>
    <mergeCell ref="AQ471:AR471"/>
    <mergeCell ref="AS471:AT471"/>
    <mergeCell ref="BI471:BJ471"/>
    <mergeCell ref="BK471:BL471"/>
    <mergeCell ref="BM471:BN471"/>
    <mergeCell ref="BO471:BP471"/>
    <mergeCell ref="E471:F471"/>
    <mergeCell ref="G471:H471"/>
    <mergeCell ref="I471:J471"/>
    <mergeCell ref="K471:L471"/>
    <mergeCell ref="M471:N471"/>
    <mergeCell ref="BO463:BP463"/>
    <mergeCell ref="AY463:AZ463"/>
    <mergeCell ref="BA463:BB463"/>
    <mergeCell ref="BC463:BD463"/>
    <mergeCell ref="BE463:BF463"/>
    <mergeCell ref="BG463:BH463"/>
    <mergeCell ref="BI463:BJ463"/>
    <mergeCell ref="BK463:BL463"/>
    <mergeCell ref="S462:T462"/>
    <mergeCell ref="U462:V462"/>
    <mergeCell ref="W462:X462"/>
    <mergeCell ref="Y462:Z462"/>
    <mergeCell ref="AA462:AB462"/>
    <mergeCell ref="AC462:AD462"/>
    <mergeCell ref="AE462:AF462"/>
    <mergeCell ref="AG462:AH462"/>
    <mergeCell ref="AI462:AJ462"/>
    <mergeCell ref="AK462:AL462"/>
    <mergeCell ref="AM462:AN462"/>
    <mergeCell ref="AO462:AP462"/>
    <mergeCell ref="AQ462:AR462"/>
    <mergeCell ref="AS462:AT462"/>
    <mergeCell ref="BI462:BJ462"/>
    <mergeCell ref="BK462:BL462"/>
    <mergeCell ref="BM462:BN462"/>
    <mergeCell ref="BO462:BP462"/>
    <mergeCell ref="E462:F462"/>
    <mergeCell ref="G462:H462"/>
    <mergeCell ref="I462:J462"/>
    <mergeCell ref="K462:L462"/>
    <mergeCell ref="M462:N462"/>
    <mergeCell ref="O462:P462"/>
    <mergeCell ref="Q462:R462"/>
    <mergeCell ref="S463:T463"/>
    <mergeCell ref="U463:V463"/>
    <mergeCell ref="W463:X463"/>
    <mergeCell ref="Y463:Z463"/>
    <mergeCell ref="AA463:AB463"/>
    <mergeCell ref="AC463:AD463"/>
    <mergeCell ref="AE463:AF463"/>
    <mergeCell ref="AU462:AV462"/>
    <mergeCell ref="AW462:AX462"/>
    <mergeCell ref="AY462:AZ462"/>
    <mergeCell ref="BA462:BB462"/>
    <mergeCell ref="BC462:BD462"/>
    <mergeCell ref="BE462:BF462"/>
    <mergeCell ref="BG462:BH462"/>
    <mergeCell ref="E463:F463"/>
    <mergeCell ref="G463:H463"/>
    <mergeCell ref="I463:J463"/>
    <mergeCell ref="K463:L463"/>
    <mergeCell ref="M463:N463"/>
    <mergeCell ref="O463:P463"/>
    <mergeCell ref="Q463:R463"/>
    <mergeCell ref="BO461:BP461"/>
    <mergeCell ref="AY461:AZ461"/>
    <mergeCell ref="BA461:BB461"/>
    <mergeCell ref="BC461:BD461"/>
    <mergeCell ref="BE461:BF461"/>
    <mergeCell ref="BG461:BH461"/>
    <mergeCell ref="BI461:BJ461"/>
    <mergeCell ref="BK461:BL461"/>
    <mergeCell ref="S460:T460"/>
    <mergeCell ref="U460:V460"/>
    <mergeCell ref="W460:X460"/>
    <mergeCell ref="Y460:Z460"/>
    <mergeCell ref="AA460:AB460"/>
    <mergeCell ref="AC460:AD460"/>
    <mergeCell ref="AE460:AF460"/>
    <mergeCell ref="AG460:AH460"/>
    <mergeCell ref="AI460:AJ460"/>
    <mergeCell ref="AK460:AL460"/>
    <mergeCell ref="AM460:AN460"/>
    <mergeCell ref="AO460:AP460"/>
    <mergeCell ref="AQ460:AR460"/>
    <mergeCell ref="AS460:AT460"/>
    <mergeCell ref="BI460:BJ460"/>
    <mergeCell ref="BK460:BL460"/>
    <mergeCell ref="BM460:BN460"/>
    <mergeCell ref="BO460:BP460"/>
    <mergeCell ref="E460:F460"/>
    <mergeCell ref="G460:H460"/>
    <mergeCell ref="I460:J460"/>
    <mergeCell ref="K460:L460"/>
    <mergeCell ref="M460:N460"/>
    <mergeCell ref="O460:P460"/>
    <mergeCell ref="Q460:R460"/>
    <mergeCell ref="S461:T461"/>
    <mergeCell ref="U461:V461"/>
    <mergeCell ref="W461:X461"/>
    <mergeCell ref="Y461:Z461"/>
    <mergeCell ref="AA461:AB461"/>
    <mergeCell ref="AC461:AD461"/>
    <mergeCell ref="AE461:AF461"/>
    <mergeCell ref="AU460:AV460"/>
    <mergeCell ref="AW460:AX460"/>
    <mergeCell ref="AY460:AZ460"/>
    <mergeCell ref="BA460:BB460"/>
    <mergeCell ref="BC460:BD460"/>
    <mergeCell ref="BE460:BF460"/>
    <mergeCell ref="BG460:BH460"/>
    <mergeCell ref="E461:F461"/>
    <mergeCell ref="G461:H461"/>
    <mergeCell ref="I461:J461"/>
    <mergeCell ref="K461:L461"/>
    <mergeCell ref="M461:N461"/>
    <mergeCell ref="O461:P461"/>
    <mergeCell ref="Q461:R461"/>
    <mergeCell ref="O464:P464"/>
    <mergeCell ref="Q464:R464"/>
    <mergeCell ref="E465:F465"/>
    <mergeCell ref="G465:H465"/>
    <mergeCell ref="I465:J465"/>
    <mergeCell ref="K465:L465"/>
    <mergeCell ref="M465:N465"/>
    <mergeCell ref="O465:P465"/>
    <mergeCell ref="Q465:R465"/>
    <mergeCell ref="S465:T465"/>
    <mergeCell ref="U465:V465"/>
    <mergeCell ref="W465:X465"/>
    <mergeCell ref="Y465:Z465"/>
    <mergeCell ref="AA465:AB465"/>
    <mergeCell ref="AC465:AD465"/>
    <mergeCell ref="AE465:AF465"/>
    <mergeCell ref="AU464:AV464"/>
    <mergeCell ref="AW464:AX464"/>
    <mergeCell ref="AY464:AZ464"/>
    <mergeCell ref="BA464:BB464"/>
    <mergeCell ref="BC464:BD464"/>
    <mergeCell ref="BE464:BF464"/>
    <mergeCell ref="BG464:BH464"/>
    <mergeCell ref="AU461:AV461"/>
    <mergeCell ref="AW461:AX461"/>
    <mergeCell ref="AG461:AH461"/>
    <mergeCell ref="AI461:AJ461"/>
    <mergeCell ref="AK461:AL461"/>
    <mergeCell ref="AM461:AN461"/>
    <mergeCell ref="AO461:AP461"/>
    <mergeCell ref="AQ461:AR461"/>
    <mergeCell ref="AS461:AT461"/>
    <mergeCell ref="BM461:BN461"/>
    <mergeCell ref="AU463:AV463"/>
    <mergeCell ref="AW463:AX463"/>
    <mergeCell ref="AG463:AH463"/>
    <mergeCell ref="AI463:AJ463"/>
    <mergeCell ref="AK463:AL463"/>
    <mergeCell ref="AM463:AN463"/>
    <mergeCell ref="AO463:AP463"/>
    <mergeCell ref="AQ463:AR463"/>
    <mergeCell ref="AS463:AT463"/>
    <mergeCell ref="BM463:BN463"/>
    <mergeCell ref="AU465:AV465"/>
    <mergeCell ref="AW465:AX465"/>
    <mergeCell ref="AG465:AH465"/>
    <mergeCell ref="AI465:AJ465"/>
    <mergeCell ref="AK465:AL465"/>
    <mergeCell ref="AM465:AN465"/>
    <mergeCell ref="AO465:AP465"/>
    <mergeCell ref="AQ465:AR465"/>
    <mergeCell ref="AS465:AT465"/>
    <mergeCell ref="S459:T459"/>
    <mergeCell ref="U459:V459"/>
    <mergeCell ref="W459:X459"/>
    <mergeCell ref="Y459:Z459"/>
    <mergeCell ref="AA459:AB459"/>
    <mergeCell ref="AC459:AD459"/>
    <mergeCell ref="AE459:AF459"/>
    <mergeCell ref="AG459:AH459"/>
    <mergeCell ref="AI459:AJ459"/>
    <mergeCell ref="AK459:AL459"/>
    <mergeCell ref="AM459:AN459"/>
    <mergeCell ref="AO459:AP459"/>
    <mergeCell ref="AQ459:AR459"/>
    <mergeCell ref="AS459:AT459"/>
    <mergeCell ref="BI459:BJ459"/>
    <mergeCell ref="BK459:BL459"/>
    <mergeCell ref="BM459:BN459"/>
    <mergeCell ref="BO459:BP459"/>
    <mergeCell ref="AU459:AV459"/>
    <mergeCell ref="AW459:AX459"/>
    <mergeCell ref="AY459:AZ459"/>
    <mergeCell ref="BA459:BB459"/>
    <mergeCell ref="BC459:BD459"/>
    <mergeCell ref="BE459:BF459"/>
    <mergeCell ref="BG459:BH459"/>
    <mergeCell ref="E459:F459"/>
    <mergeCell ref="G459:H459"/>
    <mergeCell ref="I459:J459"/>
    <mergeCell ref="K459:L459"/>
    <mergeCell ref="M459:N459"/>
    <mergeCell ref="O459:P459"/>
    <mergeCell ref="Q459:R459"/>
    <mergeCell ref="BM465:BN465"/>
    <mergeCell ref="BO465:BP465"/>
    <mergeCell ref="AY465:AZ465"/>
    <mergeCell ref="BA465:BB465"/>
    <mergeCell ref="BC465:BD465"/>
    <mergeCell ref="BE465:BF465"/>
    <mergeCell ref="BG465:BH465"/>
    <mergeCell ref="BI465:BJ465"/>
    <mergeCell ref="BK465:BL465"/>
    <mergeCell ref="S464:T464"/>
    <mergeCell ref="U464:V464"/>
    <mergeCell ref="W464:X464"/>
    <mergeCell ref="Y464:Z464"/>
    <mergeCell ref="AA464:AB464"/>
    <mergeCell ref="AC464:AD464"/>
    <mergeCell ref="AE464:AF464"/>
    <mergeCell ref="AG464:AH464"/>
    <mergeCell ref="AI464:AJ464"/>
    <mergeCell ref="AK464:AL464"/>
    <mergeCell ref="AM464:AN464"/>
    <mergeCell ref="AO464:AP464"/>
    <mergeCell ref="AQ464:AR464"/>
    <mergeCell ref="AS464:AT464"/>
    <mergeCell ref="BI464:BJ464"/>
    <mergeCell ref="BK464:BL464"/>
    <mergeCell ref="BM464:BN464"/>
    <mergeCell ref="BO464:BP464"/>
    <mergeCell ref="E464:F464"/>
    <mergeCell ref="G464:H464"/>
    <mergeCell ref="I464:J464"/>
    <mergeCell ref="K464:L464"/>
    <mergeCell ref="M464:N464"/>
    <mergeCell ref="BO456:BP456"/>
    <mergeCell ref="AY456:AZ456"/>
    <mergeCell ref="BA456:BB456"/>
    <mergeCell ref="BC456:BD456"/>
    <mergeCell ref="BE456:BF456"/>
    <mergeCell ref="BG456:BH456"/>
    <mergeCell ref="BI456:BJ456"/>
    <mergeCell ref="BK456:BL456"/>
    <mergeCell ref="S455:T455"/>
    <mergeCell ref="U455:V455"/>
    <mergeCell ref="W455:X455"/>
    <mergeCell ref="Y455:Z455"/>
    <mergeCell ref="AA455:AB455"/>
    <mergeCell ref="AC455:AD455"/>
    <mergeCell ref="AE455:AF455"/>
    <mergeCell ref="AG455:AH455"/>
    <mergeCell ref="AI455:AJ455"/>
    <mergeCell ref="AK455:AL455"/>
    <mergeCell ref="AM455:AN455"/>
    <mergeCell ref="AO455:AP455"/>
    <mergeCell ref="AQ455:AR455"/>
    <mergeCell ref="AS455:AT455"/>
    <mergeCell ref="BI455:BJ455"/>
    <mergeCell ref="BK455:BL455"/>
    <mergeCell ref="BM455:BN455"/>
    <mergeCell ref="BO455:BP455"/>
    <mergeCell ref="E455:F455"/>
    <mergeCell ref="G455:H455"/>
    <mergeCell ref="I455:J455"/>
    <mergeCell ref="K455:L455"/>
    <mergeCell ref="M455:N455"/>
    <mergeCell ref="O455:P455"/>
    <mergeCell ref="Q455:R455"/>
    <mergeCell ref="S456:T456"/>
    <mergeCell ref="U456:V456"/>
    <mergeCell ref="W456:X456"/>
    <mergeCell ref="Y456:Z456"/>
    <mergeCell ref="AA456:AB456"/>
    <mergeCell ref="AC456:AD456"/>
    <mergeCell ref="AE456:AF456"/>
    <mergeCell ref="AU455:AV455"/>
    <mergeCell ref="AW455:AX455"/>
    <mergeCell ref="AY455:AZ455"/>
    <mergeCell ref="BA455:BB455"/>
    <mergeCell ref="BC455:BD455"/>
    <mergeCell ref="BE455:BF455"/>
    <mergeCell ref="BG455:BH455"/>
    <mergeCell ref="E456:F456"/>
    <mergeCell ref="G456:H456"/>
    <mergeCell ref="I456:J456"/>
    <mergeCell ref="K456:L456"/>
    <mergeCell ref="M456:N456"/>
    <mergeCell ref="O456:P456"/>
    <mergeCell ref="Q456:R456"/>
    <mergeCell ref="BO454:BP454"/>
    <mergeCell ref="AY454:AZ454"/>
    <mergeCell ref="BA454:BB454"/>
    <mergeCell ref="BC454:BD454"/>
    <mergeCell ref="BE454:BF454"/>
    <mergeCell ref="BG454:BH454"/>
    <mergeCell ref="BI454:BJ454"/>
    <mergeCell ref="BK454:BL454"/>
    <mergeCell ref="S453:T453"/>
    <mergeCell ref="U453:V453"/>
    <mergeCell ref="W453:X453"/>
    <mergeCell ref="Y453:Z453"/>
    <mergeCell ref="AA453:AB453"/>
    <mergeCell ref="AC453:AD453"/>
    <mergeCell ref="AE453:AF453"/>
    <mergeCell ref="AG453:AH453"/>
    <mergeCell ref="AI453:AJ453"/>
    <mergeCell ref="AK453:AL453"/>
    <mergeCell ref="AM453:AN453"/>
    <mergeCell ref="AO453:AP453"/>
    <mergeCell ref="AQ453:AR453"/>
    <mergeCell ref="AS453:AT453"/>
    <mergeCell ref="BI453:BJ453"/>
    <mergeCell ref="BK453:BL453"/>
    <mergeCell ref="BM453:BN453"/>
    <mergeCell ref="BO453:BP453"/>
    <mergeCell ref="E453:F453"/>
    <mergeCell ref="G453:H453"/>
    <mergeCell ref="I453:J453"/>
    <mergeCell ref="K453:L453"/>
    <mergeCell ref="M453:N453"/>
    <mergeCell ref="O453:P453"/>
    <mergeCell ref="Q453:R453"/>
    <mergeCell ref="S454:T454"/>
    <mergeCell ref="U454:V454"/>
    <mergeCell ref="W454:X454"/>
    <mergeCell ref="Y454:Z454"/>
    <mergeCell ref="AA454:AB454"/>
    <mergeCell ref="AC454:AD454"/>
    <mergeCell ref="AE454:AF454"/>
    <mergeCell ref="AU453:AV453"/>
    <mergeCell ref="AW453:AX453"/>
    <mergeCell ref="AY453:AZ453"/>
    <mergeCell ref="BA453:BB453"/>
    <mergeCell ref="BC453:BD453"/>
    <mergeCell ref="BE453:BF453"/>
    <mergeCell ref="BG453:BH453"/>
    <mergeCell ref="E454:F454"/>
    <mergeCell ref="G454:H454"/>
    <mergeCell ref="I454:J454"/>
    <mergeCell ref="K454:L454"/>
    <mergeCell ref="M454:N454"/>
    <mergeCell ref="O454:P454"/>
    <mergeCell ref="Q454:R454"/>
    <mergeCell ref="O457:P457"/>
    <mergeCell ref="Q457:R457"/>
    <mergeCell ref="E458:F458"/>
    <mergeCell ref="G458:H458"/>
    <mergeCell ref="I458:J458"/>
    <mergeCell ref="K458:L458"/>
    <mergeCell ref="M458:N458"/>
    <mergeCell ref="O458:P458"/>
    <mergeCell ref="Q458:R458"/>
    <mergeCell ref="S458:T458"/>
    <mergeCell ref="U458:V458"/>
    <mergeCell ref="W458:X458"/>
    <mergeCell ref="Y458:Z458"/>
    <mergeCell ref="AA458:AB458"/>
    <mergeCell ref="AC458:AD458"/>
    <mergeCell ref="AE458:AF458"/>
    <mergeCell ref="AU457:AV457"/>
    <mergeCell ref="AW457:AX457"/>
    <mergeCell ref="AY457:AZ457"/>
    <mergeCell ref="BA457:BB457"/>
    <mergeCell ref="BC457:BD457"/>
    <mergeCell ref="BE457:BF457"/>
    <mergeCell ref="BG457:BH457"/>
    <mergeCell ref="AU454:AV454"/>
    <mergeCell ref="AW454:AX454"/>
    <mergeCell ref="AG454:AH454"/>
    <mergeCell ref="AI454:AJ454"/>
    <mergeCell ref="AK454:AL454"/>
    <mergeCell ref="AM454:AN454"/>
    <mergeCell ref="AO454:AP454"/>
    <mergeCell ref="AQ454:AR454"/>
    <mergeCell ref="AS454:AT454"/>
    <mergeCell ref="BM454:BN454"/>
    <mergeCell ref="AU456:AV456"/>
    <mergeCell ref="AW456:AX456"/>
    <mergeCell ref="AG456:AH456"/>
    <mergeCell ref="AI456:AJ456"/>
    <mergeCell ref="AK456:AL456"/>
    <mergeCell ref="AM456:AN456"/>
    <mergeCell ref="AO456:AP456"/>
    <mergeCell ref="AQ456:AR456"/>
    <mergeCell ref="AS456:AT456"/>
    <mergeCell ref="BM456:BN456"/>
    <mergeCell ref="AU458:AV458"/>
    <mergeCell ref="AW458:AX458"/>
    <mergeCell ref="AG458:AH458"/>
    <mergeCell ref="AI458:AJ458"/>
    <mergeCell ref="AK458:AL458"/>
    <mergeCell ref="AM458:AN458"/>
    <mergeCell ref="AO458:AP458"/>
    <mergeCell ref="AQ458:AR458"/>
    <mergeCell ref="AS458:AT458"/>
    <mergeCell ref="S452:T452"/>
    <mergeCell ref="U452:V452"/>
    <mergeCell ref="W452:X452"/>
    <mergeCell ref="Y452:Z452"/>
    <mergeCell ref="AA452:AB452"/>
    <mergeCell ref="AC452:AD452"/>
    <mergeCell ref="AE452:AF452"/>
    <mergeCell ref="AG452:AH452"/>
    <mergeCell ref="AI452:AJ452"/>
    <mergeCell ref="AK452:AL452"/>
    <mergeCell ref="AM452:AN452"/>
    <mergeCell ref="AO452:AP452"/>
    <mergeCell ref="AQ452:AR452"/>
    <mergeCell ref="AS452:AT452"/>
    <mergeCell ref="BI452:BJ452"/>
    <mergeCell ref="BK452:BL452"/>
    <mergeCell ref="BM452:BN452"/>
    <mergeCell ref="BO452:BP452"/>
    <mergeCell ref="AU452:AV452"/>
    <mergeCell ref="AW452:AX452"/>
    <mergeCell ref="AY452:AZ452"/>
    <mergeCell ref="BA452:BB452"/>
    <mergeCell ref="BC452:BD452"/>
    <mergeCell ref="BE452:BF452"/>
    <mergeCell ref="BG452:BH452"/>
    <mergeCell ref="E452:F452"/>
    <mergeCell ref="G452:H452"/>
    <mergeCell ref="I452:J452"/>
    <mergeCell ref="K452:L452"/>
    <mergeCell ref="M452:N452"/>
    <mergeCell ref="O452:P452"/>
    <mergeCell ref="Q452:R452"/>
    <mergeCell ref="BM458:BN458"/>
    <mergeCell ref="BO458:BP458"/>
    <mergeCell ref="AY458:AZ458"/>
    <mergeCell ref="BA458:BB458"/>
    <mergeCell ref="BC458:BD458"/>
    <mergeCell ref="BE458:BF458"/>
    <mergeCell ref="BG458:BH458"/>
    <mergeCell ref="BI458:BJ458"/>
    <mergeCell ref="BK458:BL458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I457:AJ457"/>
    <mergeCell ref="AK457:AL457"/>
    <mergeCell ref="AM457:AN457"/>
    <mergeCell ref="AO457:AP457"/>
    <mergeCell ref="AQ457:AR457"/>
    <mergeCell ref="AS457:AT457"/>
    <mergeCell ref="BI457:BJ457"/>
    <mergeCell ref="BK457:BL457"/>
    <mergeCell ref="BM457:BN457"/>
    <mergeCell ref="BO457:BP457"/>
    <mergeCell ref="E457:F457"/>
    <mergeCell ref="G457:H457"/>
    <mergeCell ref="I457:J457"/>
    <mergeCell ref="K457:L457"/>
    <mergeCell ref="M457:N457"/>
    <mergeCell ref="BO449:BP449"/>
    <mergeCell ref="AY449:AZ449"/>
    <mergeCell ref="BA449:BB449"/>
    <mergeCell ref="BC449:BD449"/>
    <mergeCell ref="BE449:BF449"/>
    <mergeCell ref="BG449:BH449"/>
    <mergeCell ref="BI449:BJ449"/>
    <mergeCell ref="BK449:BL449"/>
    <mergeCell ref="S448:T448"/>
    <mergeCell ref="U448:V448"/>
    <mergeCell ref="W448:X448"/>
    <mergeCell ref="Y448:Z448"/>
    <mergeCell ref="AA448:AB448"/>
    <mergeCell ref="AC448:AD448"/>
    <mergeCell ref="AE448:AF448"/>
    <mergeCell ref="AG448:AH448"/>
    <mergeCell ref="AI448:AJ448"/>
    <mergeCell ref="AK448:AL448"/>
    <mergeCell ref="AM448:AN448"/>
    <mergeCell ref="AO448:AP448"/>
    <mergeCell ref="AQ448:AR448"/>
    <mergeCell ref="AS448:AT448"/>
    <mergeCell ref="BI448:BJ448"/>
    <mergeCell ref="BK448:BL448"/>
    <mergeCell ref="BM448:BN448"/>
    <mergeCell ref="BO448:BP448"/>
    <mergeCell ref="E448:F448"/>
    <mergeCell ref="G448:H448"/>
    <mergeCell ref="I448:J448"/>
    <mergeCell ref="K448:L448"/>
    <mergeCell ref="M448:N448"/>
    <mergeCell ref="O448:P448"/>
    <mergeCell ref="Q448:R448"/>
    <mergeCell ref="S449:T449"/>
    <mergeCell ref="U449:V449"/>
    <mergeCell ref="W449:X449"/>
    <mergeCell ref="Y449:Z449"/>
    <mergeCell ref="AA449:AB449"/>
    <mergeCell ref="AC449:AD449"/>
    <mergeCell ref="AE449:AF449"/>
    <mergeCell ref="AU448:AV448"/>
    <mergeCell ref="AW448:AX448"/>
    <mergeCell ref="AY448:AZ448"/>
    <mergeCell ref="BA448:BB448"/>
    <mergeCell ref="BC448:BD448"/>
    <mergeCell ref="BE448:BF448"/>
    <mergeCell ref="BG448:BH448"/>
    <mergeCell ref="E449:F449"/>
    <mergeCell ref="G449:H449"/>
    <mergeCell ref="I449:J449"/>
    <mergeCell ref="K449:L449"/>
    <mergeCell ref="M449:N449"/>
    <mergeCell ref="O449:P449"/>
    <mergeCell ref="Q449:R449"/>
    <mergeCell ref="BO447:BP447"/>
    <mergeCell ref="AY447:AZ447"/>
    <mergeCell ref="BA447:BB447"/>
    <mergeCell ref="BC447:BD447"/>
    <mergeCell ref="BE447:BF447"/>
    <mergeCell ref="BG447:BH447"/>
    <mergeCell ref="BI447:BJ447"/>
    <mergeCell ref="BK447:BL447"/>
    <mergeCell ref="S446:T446"/>
    <mergeCell ref="U446:V446"/>
    <mergeCell ref="W446:X446"/>
    <mergeCell ref="Y446:Z446"/>
    <mergeCell ref="AA446:AB446"/>
    <mergeCell ref="AC446:AD446"/>
    <mergeCell ref="AE446:AF446"/>
    <mergeCell ref="AG446:AH446"/>
    <mergeCell ref="AI446:AJ446"/>
    <mergeCell ref="AK446:AL446"/>
    <mergeCell ref="AM446:AN446"/>
    <mergeCell ref="AO446:AP446"/>
    <mergeCell ref="AQ446:AR446"/>
    <mergeCell ref="AS446:AT446"/>
    <mergeCell ref="BI446:BJ446"/>
    <mergeCell ref="BK446:BL446"/>
    <mergeCell ref="BM446:BN446"/>
    <mergeCell ref="BO446:BP446"/>
    <mergeCell ref="E446:F446"/>
    <mergeCell ref="G446:H446"/>
    <mergeCell ref="I446:J446"/>
    <mergeCell ref="K446:L446"/>
    <mergeCell ref="M446:N446"/>
    <mergeCell ref="O446:P446"/>
    <mergeCell ref="Q446:R446"/>
    <mergeCell ref="S447:T447"/>
    <mergeCell ref="U447:V447"/>
    <mergeCell ref="W447:X447"/>
    <mergeCell ref="Y447:Z447"/>
    <mergeCell ref="AA447:AB447"/>
    <mergeCell ref="AC447:AD447"/>
    <mergeCell ref="AE447:AF447"/>
    <mergeCell ref="AU446:AV446"/>
    <mergeCell ref="AW446:AX446"/>
    <mergeCell ref="AY446:AZ446"/>
    <mergeCell ref="BA446:BB446"/>
    <mergeCell ref="BC446:BD446"/>
    <mergeCell ref="BE446:BF446"/>
    <mergeCell ref="BG446:BH446"/>
    <mergeCell ref="E447:F447"/>
    <mergeCell ref="G447:H447"/>
    <mergeCell ref="I447:J447"/>
    <mergeCell ref="K447:L447"/>
    <mergeCell ref="M447:N447"/>
    <mergeCell ref="O447:P447"/>
    <mergeCell ref="Q447:R447"/>
    <mergeCell ref="O450:P450"/>
    <mergeCell ref="Q450:R450"/>
    <mergeCell ref="E451:F451"/>
    <mergeCell ref="G451:H451"/>
    <mergeCell ref="I451:J451"/>
    <mergeCell ref="K451:L451"/>
    <mergeCell ref="M451:N451"/>
    <mergeCell ref="O451:P451"/>
    <mergeCell ref="Q451:R451"/>
    <mergeCell ref="S451:T451"/>
    <mergeCell ref="U451:V451"/>
    <mergeCell ref="W451:X451"/>
    <mergeCell ref="Y451:Z451"/>
    <mergeCell ref="AA451:AB451"/>
    <mergeCell ref="AC451:AD451"/>
    <mergeCell ref="AE451:AF451"/>
    <mergeCell ref="AU450:AV450"/>
    <mergeCell ref="AW450:AX450"/>
    <mergeCell ref="AY450:AZ450"/>
    <mergeCell ref="BA450:BB450"/>
    <mergeCell ref="BC450:BD450"/>
    <mergeCell ref="BE450:BF450"/>
    <mergeCell ref="BG450:BH450"/>
    <mergeCell ref="AU447:AV447"/>
    <mergeCell ref="AW447:AX447"/>
    <mergeCell ref="AG447:AH447"/>
    <mergeCell ref="AI447:AJ447"/>
    <mergeCell ref="AK447:AL447"/>
    <mergeCell ref="AM447:AN447"/>
    <mergeCell ref="AO447:AP447"/>
    <mergeCell ref="AQ447:AR447"/>
    <mergeCell ref="AS447:AT447"/>
    <mergeCell ref="BM447:BN447"/>
    <mergeCell ref="AU449:AV449"/>
    <mergeCell ref="AW449:AX449"/>
    <mergeCell ref="AG449:AH449"/>
    <mergeCell ref="AI449:AJ449"/>
    <mergeCell ref="AK449:AL449"/>
    <mergeCell ref="AM449:AN449"/>
    <mergeCell ref="AO449:AP449"/>
    <mergeCell ref="AQ449:AR449"/>
    <mergeCell ref="AS449:AT449"/>
    <mergeCell ref="BM449:BN449"/>
    <mergeCell ref="AU451:AV451"/>
    <mergeCell ref="AW451:AX451"/>
    <mergeCell ref="AG451:AH451"/>
    <mergeCell ref="AI451:AJ451"/>
    <mergeCell ref="AK451:AL451"/>
    <mergeCell ref="AM451:AN451"/>
    <mergeCell ref="AO451:AP451"/>
    <mergeCell ref="AQ451:AR451"/>
    <mergeCell ref="AS451:AT451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I445:AJ445"/>
    <mergeCell ref="AK445:AL445"/>
    <mergeCell ref="AM445:AN445"/>
    <mergeCell ref="AO445:AP445"/>
    <mergeCell ref="AQ445:AR445"/>
    <mergeCell ref="AS445:AT445"/>
    <mergeCell ref="BI445:BJ445"/>
    <mergeCell ref="BK445:BL445"/>
    <mergeCell ref="BM445:BN445"/>
    <mergeCell ref="BO445:BP445"/>
    <mergeCell ref="AU445:AV445"/>
    <mergeCell ref="AW445:AX445"/>
    <mergeCell ref="AY445:AZ445"/>
    <mergeCell ref="BA445:BB445"/>
    <mergeCell ref="BC445:BD445"/>
    <mergeCell ref="BE445:BF445"/>
    <mergeCell ref="BG445:BH445"/>
    <mergeCell ref="E445:F445"/>
    <mergeCell ref="G445:H445"/>
    <mergeCell ref="I445:J445"/>
    <mergeCell ref="K445:L445"/>
    <mergeCell ref="M445:N445"/>
    <mergeCell ref="O445:P445"/>
    <mergeCell ref="Q445:R445"/>
    <mergeCell ref="BM451:BN451"/>
    <mergeCell ref="BO451:BP451"/>
    <mergeCell ref="AY451:AZ451"/>
    <mergeCell ref="BA451:BB451"/>
    <mergeCell ref="BC451:BD451"/>
    <mergeCell ref="BE451:BF451"/>
    <mergeCell ref="BG451:BH451"/>
    <mergeCell ref="BI451:BJ451"/>
    <mergeCell ref="BK451:BL451"/>
    <mergeCell ref="S450:T450"/>
    <mergeCell ref="U450:V450"/>
    <mergeCell ref="W450:X450"/>
    <mergeCell ref="Y450:Z450"/>
    <mergeCell ref="AA450:AB450"/>
    <mergeCell ref="AC450:AD450"/>
    <mergeCell ref="AE450:AF450"/>
    <mergeCell ref="AG450:AH450"/>
    <mergeCell ref="AI450:AJ450"/>
    <mergeCell ref="AK450:AL450"/>
    <mergeCell ref="AM450:AN450"/>
    <mergeCell ref="AO450:AP450"/>
    <mergeCell ref="AQ450:AR450"/>
    <mergeCell ref="AS450:AT450"/>
    <mergeCell ref="BI450:BJ450"/>
    <mergeCell ref="BK450:BL450"/>
    <mergeCell ref="BM450:BN450"/>
    <mergeCell ref="BO450:BP450"/>
    <mergeCell ref="E450:F450"/>
    <mergeCell ref="G450:H450"/>
    <mergeCell ref="I450:J450"/>
    <mergeCell ref="K450:L450"/>
    <mergeCell ref="M450:N450"/>
    <mergeCell ref="BO442:BP442"/>
    <mergeCell ref="AY442:AZ442"/>
    <mergeCell ref="BA442:BB442"/>
    <mergeCell ref="BC442:BD442"/>
    <mergeCell ref="BE442:BF442"/>
    <mergeCell ref="BG442:BH442"/>
    <mergeCell ref="BI442:BJ442"/>
    <mergeCell ref="BK442:BL442"/>
    <mergeCell ref="S441:T441"/>
    <mergeCell ref="U441:V441"/>
    <mergeCell ref="W441:X441"/>
    <mergeCell ref="Y441:Z441"/>
    <mergeCell ref="AA441:AB441"/>
    <mergeCell ref="AC441:AD441"/>
    <mergeCell ref="AE441:AF441"/>
    <mergeCell ref="AG441:AH441"/>
    <mergeCell ref="AI441:AJ441"/>
    <mergeCell ref="AK441:AL441"/>
    <mergeCell ref="AM441:AN441"/>
    <mergeCell ref="AO441:AP441"/>
    <mergeCell ref="AQ441:AR441"/>
    <mergeCell ref="AS441:AT441"/>
    <mergeCell ref="BI441:BJ441"/>
    <mergeCell ref="BK441:BL441"/>
    <mergeCell ref="BM441:BN441"/>
    <mergeCell ref="BO441:BP441"/>
    <mergeCell ref="E441:F441"/>
    <mergeCell ref="G441:H441"/>
    <mergeCell ref="I441:J441"/>
    <mergeCell ref="K441:L441"/>
    <mergeCell ref="M441:N441"/>
    <mergeCell ref="O441:P441"/>
    <mergeCell ref="Q441:R441"/>
    <mergeCell ref="S442:T442"/>
    <mergeCell ref="U442:V442"/>
    <mergeCell ref="W442:X442"/>
    <mergeCell ref="Y442:Z442"/>
    <mergeCell ref="AA442:AB442"/>
    <mergeCell ref="AC442:AD442"/>
    <mergeCell ref="AE442:AF442"/>
    <mergeCell ref="AU441:AV441"/>
    <mergeCell ref="AW441:AX441"/>
    <mergeCell ref="AY441:AZ441"/>
    <mergeCell ref="BA441:BB441"/>
    <mergeCell ref="BC441:BD441"/>
    <mergeCell ref="BE441:BF441"/>
    <mergeCell ref="BG441:BH441"/>
    <mergeCell ref="E442:F442"/>
    <mergeCell ref="G442:H442"/>
    <mergeCell ref="I442:J442"/>
    <mergeCell ref="K442:L442"/>
    <mergeCell ref="M442:N442"/>
    <mergeCell ref="O442:P442"/>
    <mergeCell ref="Q442:R442"/>
    <mergeCell ref="BO440:BP440"/>
    <mergeCell ref="AY440:AZ440"/>
    <mergeCell ref="BA440:BB440"/>
    <mergeCell ref="BC440:BD440"/>
    <mergeCell ref="BE440:BF440"/>
    <mergeCell ref="BG440:BH440"/>
    <mergeCell ref="BI440:BJ440"/>
    <mergeCell ref="BK440:BL440"/>
    <mergeCell ref="S439:T439"/>
    <mergeCell ref="U439:V439"/>
    <mergeCell ref="W439:X439"/>
    <mergeCell ref="Y439:Z439"/>
    <mergeCell ref="AA439:AB439"/>
    <mergeCell ref="AC439:AD439"/>
    <mergeCell ref="AE439:AF439"/>
    <mergeCell ref="AG439:AH439"/>
    <mergeCell ref="AI439:AJ439"/>
    <mergeCell ref="AK439:AL439"/>
    <mergeCell ref="AM439:AN439"/>
    <mergeCell ref="AO439:AP439"/>
    <mergeCell ref="AQ439:AR439"/>
    <mergeCell ref="AS439:AT439"/>
    <mergeCell ref="BI439:BJ439"/>
    <mergeCell ref="BK439:BL439"/>
    <mergeCell ref="BM439:BN439"/>
    <mergeCell ref="BO439:BP439"/>
    <mergeCell ref="E439:F439"/>
    <mergeCell ref="G439:H439"/>
    <mergeCell ref="I439:J439"/>
    <mergeCell ref="K439:L439"/>
    <mergeCell ref="M439:N439"/>
    <mergeCell ref="O439:P439"/>
    <mergeCell ref="Q439:R439"/>
    <mergeCell ref="S440:T440"/>
    <mergeCell ref="U440:V440"/>
    <mergeCell ref="W440:X440"/>
    <mergeCell ref="Y440:Z440"/>
    <mergeCell ref="AA440:AB440"/>
    <mergeCell ref="AC440:AD440"/>
    <mergeCell ref="AE440:AF440"/>
    <mergeCell ref="AU439:AV439"/>
    <mergeCell ref="AW439:AX439"/>
    <mergeCell ref="AY439:AZ439"/>
    <mergeCell ref="BA439:BB439"/>
    <mergeCell ref="BC439:BD439"/>
    <mergeCell ref="BE439:BF439"/>
    <mergeCell ref="BG439:BH439"/>
    <mergeCell ref="E440:F440"/>
    <mergeCell ref="G440:H440"/>
    <mergeCell ref="I440:J440"/>
    <mergeCell ref="K440:L440"/>
    <mergeCell ref="M440:N440"/>
    <mergeCell ref="O440:P440"/>
    <mergeCell ref="Q440:R440"/>
    <mergeCell ref="O443:P443"/>
    <mergeCell ref="Q443:R443"/>
    <mergeCell ref="E444:F444"/>
    <mergeCell ref="G444:H444"/>
    <mergeCell ref="I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AC444:AD444"/>
    <mergeCell ref="AE444:AF444"/>
    <mergeCell ref="AU443:AV443"/>
    <mergeCell ref="AW443:AX443"/>
    <mergeCell ref="AY443:AZ443"/>
    <mergeCell ref="BA443:BB443"/>
    <mergeCell ref="BC443:BD443"/>
    <mergeCell ref="BE443:BF443"/>
    <mergeCell ref="BG443:BH443"/>
    <mergeCell ref="AU440:AV440"/>
    <mergeCell ref="AW440:AX440"/>
    <mergeCell ref="AG440:AH440"/>
    <mergeCell ref="AI440:AJ440"/>
    <mergeCell ref="AK440:AL440"/>
    <mergeCell ref="AM440:AN440"/>
    <mergeCell ref="AO440:AP440"/>
    <mergeCell ref="AQ440:AR440"/>
    <mergeCell ref="AS440:AT440"/>
    <mergeCell ref="BM440:BN440"/>
    <mergeCell ref="AU442:AV442"/>
    <mergeCell ref="AW442:AX442"/>
    <mergeCell ref="AG442:AH442"/>
    <mergeCell ref="AI442:AJ442"/>
    <mergeCell ref="AK442:AL442"/>
    <mergeCell ref="AM442:AN442"/>
    <mergeCell ref="AO442:AP442"/>
    <mergeCell ref="AQ442:AR442"/>
    <mergeCell ref="AS442:AT442"/>
    <mergeCell ref="BM442:BN442"/>
    <mergeCell ref="AU444:AV444"/>
    <mergeCell ref="AW444:AX444"/>
    <mergeCell ref="AG444:AH444"/>
    <mergeCell ref="AI444:AJ444"/>
    <mergeCell ref="AK444:AL444"/>
    <mergeCell ref="AM444:AN444"/>
    <mergeCell ref="AO444:AP444"/>
    <mergeCell ref="AQ444:AR444"/>
    <mergeCell ref="AS444:AT444"/>
    <mergeCell ref="S438:T438"/>
    <mergeCell ref="U438:V438"/>
    <mergeCell ref="W438:X438"/>
    <mergeCell ref="Y438:Z438"/>
    <mergeCell ref="AA438:AB438"/>
    <mergeCell ref="AC438:AD438"/>
    <mergeCell ref="AE438:AF438"/>
    <mergeCell ref="AG438:AH438"/>
    <mergeCell ref="AI438:AJ438"/>
    <mergeCell ref="AK438:AL438"/>
    <mergeCell ref="AM438:AN438"/>
    <mergeCell ref="AO438:AP438"/>
    <mergeCell ref="AQ438:AR438"/>
    <mergeCell ref="AS438:AT438"/>
    <mergeCell ref="BI438:BJ438"/>
    <mergeCell ref="BK438:BL438"/>
    <mergeCell ref="BM438:BN438"/>
    <mergeCell ref="BO438:BP438"/>
    <mergeCell ref="AU438:AV438"/>
    <mergeCell ref="AW438:AX438"/>
    <mergeCell ref="AY438:AZ438"/>
    <mergeCell ref="BA438:BB438"/>
    <mergeCell ref="BC438:BD438"/>
    <mergeCell ref="BE438:BF438"/>
    <mergeCell ref="BG438:BH438"/>
    <mergeCell ref="E438:F438"/>
    <mergeCell ref="G438:H438"/>
    <mergeCell ref="I438:J438"/>
    <mergeCell ref="K438:L438"/>
    <mergeCell ref="M438:N438"/>
    <mergeCell ref="O438:P438"/>
    <mergeCell ref="Q438:R438"/>
    <mergeCell ref="BM444:BN444"/>
    <mergeCell ref="BO444:BP444"/>
    <mergeCell ref="AY444:AZ444"/>
    <mergeCell ref="BA444:BB444"/>
    <mergeCell ref="BC444:BD444"/>
    <mergeCell ref="BE444:BF444"/>
    <mergeCell ref="BG444:BH444"/>
    <mergeCell ref="BI444:BJ444"/>
    <mergeCell ref="BK444:BL444"/>
    <mergeCell ref="S443:T443"/>
    <mergeCell ref="U443:V443"/>
    <mergeCell ref="W443:X443"/>
    <mergeCell ref="Y443:Z443"/>
    <mergeCell ref="AA443:AB443"/>
    <mergeCell ref="AC443:AD443"/>
    <mergeCell ref="AE443:AF443"/>
    <mergeCell ref="AG443:AH443"/>
    <mergeCell ref="AI443:AJ443"/>
    <mergeCell ref="AK443:AL443"/>
    <mergeCell ref="AM443:AN443"/>
    <mergeCell ref="AO443:AP443"/>
    <mergeCell ref="AQ443:AR443"/>
    <mergeCell ref="AS443:AT443"/>
    <mergeCell ref="BI443:BJ443"/>
    <mergeCell ref="BK443:BL443"/>
    <mergeCell ref="BM443:BN443"/>
    <mergeCell ref="BO443:BP443"/>
    <mergeCell ref="E443:F443"/>
    <mergeCell ref="G443:H443"/>
    <mergeCell ref="I443:J443"/>
    <mergeCell ref="K443:L443"/>
    <mergeCell ref="M443:N443"/>
    <mergeCell ref="BO435:BP435"/>
    <mergeCell ref="AY435:AZ435"/>
    <mergeCell ref="BA435:BB435"/>
    <mergeCell ref="BC435:BD435"/>
    <mergeCell ref="BE435:BF435"/>
    <mergeCell ref="BG435:BH435"/>
    <mergeCell ref="BI435:BJ435"/>
    <mergeCell ref="BK435:BL435"/>
    <mergeCell ref="S434:T434"/>
    <mergeCell ref="U434:V434"/>
    <mergeCell ref="W434:X434"/>
    <mergeCell ref="Y434:Z434"/>
    <mergeCell ref="AA434:AB434"/>
    <mergeCell ref="AC434:AD434"/>
    <mergeCell ref="AE434:AF434"/>
    <mergeCell ref="AG434:AH434"/>
    <mergeCell ref="AI434:AJ434"/>
    <mergeCell ref="AK434:AL434"/>
    <mergeCell ref="AM434:AN434"/>
    <mergeCell ref="AO434:AP434"/>
    <mergeCell ref="AQ434:AR434"/>
    <mergeCell ref="AS434:AT434"/>
    <mergeCell ref="BI434:BJ434"/>
    <mergeCell ref="BK434:BL434"/>
    <mergeCell ref="BM434:BN434"/>
    <mergeCell ref="BO434:BP434"/>
    <mergeCell ref="E434:F434"/>
    <mergeCell ref="G434:H434"/>
    <mergeCell ref="I434:J434"/>
    <mergeCell ref="K434:L434"/>
    <mergeCell ref="M434:N434"/>
    <mergeCell ref="O434:P434"/>
    <mergeCell ref="Q434:R434"/>
    <mergeCell ref="S435:T435"/>
    <mergeCell ref="U435:V435"/>
    <mergeCell ref="W435:X435"/>
    <mergeCell ref="Y435:Z435"/>
    <mergeCell ref="AA435:AB435"/>
    <mergeCell ref="AC435:AD435"/>
    <mergeCell ref="AE435:AF435"/>
    <mergeCell ref="AU434:AV434"/>
    <mergeCell ref="AW434:AX434"/>
    <mergeCell ref="AY434:AZ434"/>
    <mergeCell ref="BA434:BB434"/>
    <mergeCell ref="BC434:BD434"/>
    <mergeCell ref="BE434:BF434"/>
    <mergeCell ref="BG434:BH434"/>
    <mergeCell ref="E435:F435"/>
    <mergeCell ref="G435:H435"/>
    <mergeCell ref="I435:J435"/>
    <mergeCell ref="K435:L435"/>
    <mergeCell ref="M435:N435"/>
    <mergeCell ref="O435:P435"/>
    <mergeCell ref="Q435:R435"/>
    <mergeCell ref="BO433:BP433"/>
    <mergeCell ref="AY433:AZ433"/>
    <mergeCell ref="BA433:BB433"/>
    <mergeCell ref="BC433:BD433"/>
    <mergeCell ref="BE433:BF433"/>
    <mergeCell ref="BG433:BH433"/>
    <mergeCell ref="BI433:BJ433"/>
    <mergeCell ref="BK433:BL433"/>
    <mergeCell ref="S432:T432"/>
    <mergeCell ref="U432:V432"/>
    <mergeCell ref="W432:X432"/>
    <mergeCell ref="Y432:Z432"/>
    <mergeCell ref="AA432:AB432"/>
    <mergeCell ref="AC432:AD432"/>
    <mergeCell ref="AE432:AF432"/>
    <mergeCell ref="AG432:AH432"/>
    <mergeCell ref="AI432:AJ432"/>
    <mergeCell ref="AK432:AL432"/>
    <mergeCell ref="AM432:AN432"/>
    <mergeCell ref="AO432:AP432"/>
    <mergeCell ref="AQ432:AR432"/>
    <mergeCell ref="AS432:AT432"/>
    <mergeCell ref="BI432:BJ432"/>
    <mergeCell ref="BK432:BL432"/>
    <mergeCell ref="BM432:BN432"/>
    <mergeCell ref="BO432:BP432"/>
    <mergeCell ref="E432:F432"/>
    <mergeCell ref="G432:H432"/>
    <mergeCell ref="I432:J432"/>
    <mergeCell ref="K432:L432"/>
    <mergeCell ref="M432:N432"/>
    <mergeCell ref="O432:P432"/>
    <mergeCell ref="Q432:R432"/>
    <mergeCell ref="S433:T433"/>
    <mergeCell ref="U433:V433"/>
    <mergeCell ref="W433:X433"/>
    <mergeCell ref="Y433:Z433"/>
    <mergeCell ref="AA433:AB433"/>
    <mergeCell ref="AC433:AD433"/>
    <mergeCell ref="AE433:AF433"/>
    <mergeCell ref="AU432:AV432"/>
    <mergeCell ref="AW432:AX432"/>
    <mergeCell ref="AY432:AZ432"/>
    <mergeCell ref="BA432:BB432"/>
    <mergeCell ref="BC432:BD432"/>
    <mergeCell ref="BE432:BF432"/>
    <mergeCell ref="BG432:BH432"/>
    <mergeCell ref="E433:F433"/>
    <mergeCell ref="G433:H433"/>
    <mergeCell ref="I433:J433"/>
    <mergeCell ref="K433:L433"/>
    <mergeCell ref="M433:N433"/>
    <mergeCell ref="O433:P433"/>
    <mergeCell ref="Q433:R433"/>
    <mergeCell ref="O436:P436"/>
    <mergeCell ref="Q436:R436"/>
    <mergeCell ref="E437:F437"/>
    <mergeCell ref="G437:H437"/>
    <mergeCell ref="I437:J437"/>
    <mergeCell ref="K437:L437"/>
    <mergeCell ref="M437:N437"/>
    <mergeCell ref="O437:P437"/>
    <mergeCell ref="Q437:R437"/>
    <mergeCell ref="S437:T437"/>
    <mergeCell ref="U437:V437"/>
    <mergeCell ref="W437:X437"/>
    <mergeCell ref="Y437:Z437"/>
    <mergeCell ref="AA437:AB437"/>
    <mergeCell ref="AC437:AD437"/>
    <mergeCell ref="AE437:AF437"/>
    <mergeCell ref="AU436:AV436"/>
    <mergeCell ref="AW436:AX436"/>
    <mergeCell ref="AY436:AZ436"/>
    <mergeCell ref="BA436:BB436"/>
    <mergeCell ref="BC436:BD436"/>
    <mergeCell ref="BE436:BF436"/>
    <mergeCell ref="BG436:BH436"/>
    <mergeCell ref="AU433:AV433"/>
    <mergeCell ref="AW433:AX433"/>
    <mergeCell ref="AG433:AH433"/>
    <mergeCell ref="AI433:AJ433"/>
    <mergeCell ref="AK433:AL433"/>
    <mergeCell ref="AM433:AN433"/>
    <mergeCell ref="AO433:AP433"/>
    <mergeCell ref="AQ433:AR433"/>
    <mergeCell ref="AS433:AT433"/>
    <mergeCell ref="BM433:BN433"/>
    <mergeCell ref="AU435:AV435"/>
    <mergeCell ref="AW435:AX435"/>
    <mergeCell ref="AG435:AH435"/>
    <mergeCell ref="AI435:AJ435"/>
    <mergeCell ref="AK435:AL435"/>
    <mergeCell ref="AM435:AN435"/>
    <mergeCell ref="AO435:AP435"/>
    <mergeCell ref="AQ435:AR435"/>
    <mergeCell ref="AS435:AT435"/>
    <mergeCell ref="BM435:BN435"/>
    <mergeCell ref="AU437:AV437"/>
    <mergeCell ref="AW437:AX437"/>
    <mergeCell ref="AG437:AH437"/>
    <mergeCell ref="AI437:AJ437"/>
    <mergeCell ref="AK437:AL437"/>
    <mergeCell ref="AM437:AN437"/>
    <mergeCell ref="AO437:AP437"/>
    <mergeCell ref="AQ437:AR437"/>
    <mergeCell ref="AS437:AT437"/>
    <mergeCell ref="S431:T431"/>
    <mergeCell ref="U431:V431"/>
    <mergeCell ref="W431:X431"/>
    <mergeCell ref="Y431:Z431"/>
    <mergeCell ref="AA431:AB431"/>
    <mergeCell ref="AC431:AD431"/>
    <mergeCell ref="AE431:AF431"/>
    <mergeCell ref="AG431:AH431"/>
    <mergeCell ref="AI431:AJ431"/>
    <mergeCell ref="AK431:AL431"/>
    <mergeCell ref="AM431:AN431"/>
    <mergeCell ref="AO431:AP431"/>
    <mergeCell ref="AQ431:AR431"/>
    <mergeCell ref="AS431:AT431"/>
    <mergeCell ref="BI431:BJ431"/>
    <mergeCell ref="BK431:BL431"/>
    <mergeCell ref="BM431:BN431"/>
    <mergeCell ref="BO431:BP431"/>
    <mergeCell ref="AU431:AV431"/>
    <mergeCell ref="AW431:AX431"/>
    <mergeCell ref="AY431:AZ431"/>
    <mergeCell ref="BA431:BB431"/>
    <mergeCell ref="BC431:BD431"/>
    <mergeCell ref="BE431:BF431"/>
    <mergeCell ref="BG431:BH431"/>
    <mergeCell ref="E431:F431"/>
    <mergeCell ref="G431:H431"/>
    <mergeCell ref="I431:J431"/>
    <mergeCell ref="K431:L431"/>
    <mergeCell ref="M431:N431"/>
    <mergeCell ref="O431:P431"/>
    <mergeCell ref="Q431:R431"/>
    <mergeCell ref="BM437:BN437"/>
    <mergeCell ref="BO437:BP437"/>
    <mergeCell ref="AY437:AZ437"/>
    <mergeCell ref="BA437:BB437"/>
    <mergeCell ref="BC437:BD437"/>
    <mergeCell ref="BE437:BF437"/>
    <mergeCell ref="BG437:BH437"/>
    <mergeCell ref="BI437:BJ437"/>
    <mergeCell ref="BK437:BL437"/>
    <mergeCell ref="S436:T436"/>
    <mergeCell ref="U436:V436"/>
    <mergeCell ref="W436:X436"/>
    <mergeCell ref="Y436:Z436"/>
    <mergeCell ref="AA436:AB436"/>
    <mergeCell ref="AC436:AD436"/>
    <mergeCell ref="AE436:AF436"/>
    <mergeCell ref="AG436:AH436"/>
    <mergeCell ref="AI436:AJ436"/>
    <mergeCell ref="AK436:AL436"/>
    <mergeCell ref="AM436:AN436"/>
    <mergeCell ref="AO436:AP436"/>
    <mergeCell ref="AQ436:AR436"/>
    <mergeCell ref="AS436:AT436"/>
    <mergeCell ref="BI436:BJ436"/>
    <mergeCell ref="BK436:BL436"/>
    <mergeCell ref="BM436:BN436"/>
    <mergeCell ref="BO436:BP436"/>
    <mergeCell ref="E436:F436"/>
    <mergeCell ref="G436:H436"/>
    <mergeCell ref="I436:J436"/>
    <mergeCell ref="K436:L436"/>
    <mergeCell ref="M436:N436"/>
    <mergeCell ref="BM428:BN428"/>
    <mergeCell ref="BO428:BP428"/>
    <mergeCell ref="AY428:AZ428"/>
    <mergeCell ref="BA428:BB428"/>
    <mergeCell ref="BC428:BD428"/>
    <mergeCell ref="BE428:BF428"/>
    <mergeCell ref="BG428:BH428"/>
    <mergeCell ref="BI428:BJ428"/>
    <mergeCell ref="BK428:BL428"/>
    <mergeCell ref="S427:T427"/>
    <mergeCell ref="U427:V427"/>
    <mergeCell ref="W427:X427"/>
    <mergeCell ref="Y427:Z427"/>
    <mergeCell ref="AA427:AB427"/>
    <mergeCell ref="AC427:AD427"/>
    <mergeCell ref="AE427:AF427"/>
    <mergeCell ref="AG427:AH427"/>
    <mergeCell ref="AI427:AJ427"/>
    <mergeCell ref="AK427:AL427"/>
    <mergeCell ref="AM427:AN427"/>
    <mergeCell ref="AO427:AP427"/>
    <mergeCell ref="AQ427:AR427"/>
    <mergeCell ref="AS427:AT427"/>
    <mergeCell ref="BI427:BJ427"/>
    <mergeCell ref="BK427:BL427"/>
    <mergeCell ref="BM427:BN427"/>
    <mergeCell ref="BO427:BP427"/>
    <mergeCell ref="E427:F427"/>
    <mergeCell ref="G427:H427"/>
    <mergeCell ref="I427:J427"/>
    <mergeCell ref="K427:L427"/>
    <mergeCell ref="M427:N427"/>
    <mergeCell ref="O427:P427"/>
    <mergeCell ref="Q427:R427"/>
    <mergeCell ref="S428:T428"/>
    <mergeCell ref="U428:V428"/>
    <mergeCell ref="W428:X428"/>
    <mergeCell ref="Y428:Z428"/>
    <mergeCell ref="AA428:AB428"/>
    <mergeCell ref="AC428:AD428"/>
    <mergeCell ref="AE428:AF428"/>
    <mergeCell ref="AU427:AV427"/>
    <mergeCell ref="AW427:AX427"/>
    <mergeCell ref="AY427:AZ427"/>
    <mergeCell ref="BA427:BB427"/>
    <mergeCell ref="BC427:BD427"/>
    <mergeCell ref="BE427:BF427"/>
    <mergeCell ref="BG427:BH427"/>
    <mergeCell ref="E428:F428"/>
    <mergeCell ref="G428:H428"/>
    <mergeCell ref="I428:J428"/>
    <mergeCell ref="K428:L428"/>
    <mergeCell ref="M428:N428"/>
    <mergeCell ref="O428:P428"/>
    <mergeCell ref="Q428:R428"/>
    <mergeCell ref="E425:F425"/>
    <mergeCell ref="G425:H425"/>
    <mergeCell ref="I425:J425"/>
    <mergeCell ref="K425:L425"/>
    <mergeCell ref="M425:N425"/>
    <mergeCell ref="O425:P425"/>
    <mergeCell ref="Q425:R425"/>
    <mergeCell ref="S426:T426"/>
    <mergeCell ref="U426:V426"/>
    <mergeCell ref="W426:X426"/>
    <mergeCell ref="Y426:Z426"/>
    <mergeCell ref="AA426:AB426"/>
    <mergeCell ref="AC426:AD426"/>
    <mergeCell ref="AE426:AF426"/>
    <mergeCell ref="AU425:AV425"/>
    <mergeCell ref="AW425:AX425"/>
    <mergeCell ref="AY425:AZ425"/>
    <mergeCell ref="BA425:BB425"/>
    <mergeCell ref="BC425:BD425"/>
    <mergeCell ref="BE425:BF425"/>
    <mergeCell ref="BG425:BH425"/>
    <mergeCell ref="E426:F426"/>
    <mergeCell ref="G426:H426"/>
    <mergeCell ref="I426:J426"/>
    <mergeCell ref="K426:L426"/>
    <mergeCell ref="M426:N426"/>
    <mergeCell ref="O426:P426"/>
    <mergeCell ref="Q426:R426"/>
    <mergeCell ref="AU428:AV428"/>
    <mergeCell ref="AW428:AX428"/>
    <mergeCell ref="AG428:AH428"/>
    <mergeCell ref="AI428:AJ428"/>
    <mergeCell ref="AK428:AL428"/>
    <mergeCell ref="AM428:AN428"/>
    <mergeCell ref="AO428:AP428"/>
    <mergeCell ref="AQ428:AR428"/>
    <mergeCell ref="AS428:AT428"/>
    <mergeCell ref="AU426:AV426"/>
    <mergeCell ref="AW426:AX426"/>
    <mergeCell ref="AG426:AH426"/>
    <mergeCell ref="AI426:AJ426"/>
    <mergeCell ref="AK426:AL426"/>
    <mergeCell ref="AM426:AN426"/>
    <mergeCell ref="AO426:AP426"/>
    <mergeCell ref="AQ426:AR426"/>
    <mergeCell ref="AS426:AT426"/>
    <mergeCell ref="BM426:BN426"/>
    <mergeCell ref="BO426:BP426"/>
    <mergeCell ref="AY426:AZ426"/>
    <mergeCell ref="BA426:BB426"/>
    <mergeCell ref="BC426:BD426"/>
    <mergeCell ref="BE426:BF426"/>
    <mergeCell ref="BG426:BH426"/>
    <mergeCell ref="BI426:BJ426"/>
    <mergeCell ref="BK426:BL426"/>
    <mergeCell ref="S425:T425"/>
    <mergeCell ref="U425:V425"/>
    <mergeCell ref="W425:X425"/>
    <mergeCell ref="Y425:Z425"/>
    <mergeCell ref="AA425:AB425"/>
    <mergeCell ref="AC425:AD425"/>
    <mergeCell ref="AE425:AF425"/>
    <mergeCell ref="AG425:AH425"/>
    <mergeCell ref="AI425:AJ425"/>
    <mergeCell ref="AK425:AL425"/>
    <mergeCell ref="AM425:AN425"/>
    <mergeCell ref="AO425:AP425"/>
    <mergeCell ref="AQ425:AR425"/>
    <mergeCell ref="AS425:AT425"/>
    <mergeCell ref="BI425:BJ425"/>
    <mergeCell ref="BK425:BL425"/>
    <mergeCell ref="BM425:BN425"/>
    <mergeCell ref="BO425:BP425"/>
    <mergeCell ref="BM430:BN430"/>
    <mergeCell ref="BO430:BP430"/>
    <mergeCell ref="AY430:AZ430"/>
    <mergeCell ref="BA430:BB430"/>
    <mergeCell ref="BC430:BD430"/>
    <mergeCell ref="BE430:BF430"/>
    <mergeCell ref="BG430:BH430"/>
    <mergeCell ref="BI430:BJ430"/>
    <mergeCell ref="BK430:BL430"/>
    <mergeCell ref="S429:T429"/>
    <mergeCell ref="U429:V429"/>
    <mergeCell ref="W429:X429"/>
    <mergeCell ref="Y429:Z429"/>
    <mergeCell ref="AA429:AB429"/>
    <mergeCell ref="AC429:AD429"/>
    <mergeCell ref="AE429:AF429"/>
    <mergeCell ref="AG429:AH429"/>
    <mergeCell ref="AI429:AJ429"/>
    <mergeCell ref="AK429:AL429"/>
    <mergeCell ref="AM429:AN429"/>
    <mergeCell ref="AO429:AP429"/>
    <mergeCell ref="AQ429:AR429"/>
    <mergeCell ref="AS429:AT429"/>
    <mergeCell ref="BI429:BJ429"/>
    <mergeCell ref="BK429:BL429"/>
    <mergeCell ref="BM429:BN429"/>
    <mergeCell ref="BO429:BP429"/>
    <mergeCell ref="E429:F429"/>
    <mergeCell ref="G429:H429"/>
    <mergeCell ref="I429:J429"/>
    <mergeCell ref="K429:L429"/>
    <mergeCell ref="M429:N429"/>
    <mergeCell ref="O429:P429"/>
    <mergeCell ref="Q429:R429"/>
    <mergeCell ref="E430:F430"/>
    <mergeCell ref="G430:H430"/>
    <mergeCell ref="I430:J430"/>
    <mergeCell ref="K430:L430"/>
    <mergeCell ref="M430:N430"/>
    <mergeCell ref="O430:P430"/>
    <mergeCell ref="Q430:R430"/>
    <mergeCell ref="S430:T430"/>
    <mergeCell ref="U430:V430"/>
    <mergeCell ref="W430:X430"/>
    <mergeCell ref="Y430:Z430"/>
    <mergeCell ref="AA430:AB430"/>
    <mergeCell ref="AC430:AD430"/>
    <mergeCell ref="AE430:AF430"/>
    <mergeCell ref="AU429:AV429"/>
    <mergeCell ref="AW429:AX429"/>
    <mergeCell ref="AY429:AZ429"/>
    <mergeCell ref="BA429:BB429"/>
    <mergeCell ref="BC429:BD429"/>
    <mergeCell ref="BE429:BF429"/>
    <mergeCell ref="BG429:BH429"/>
    <mergeCell ref="AU430:AV430"/>
    <mergeCell ref="AW430:AX430"/>
    <mergeCell ref="AG430:AH430"/>
    <mergeCell ref="AI430:AJ430"/>
    <mergeCell ref="AK430:AL430"/>
    <mergeCell ref="AM430:AN430"/>
    <mergeCell ref="AO430:AP430"/>
    <mergeCell ref="AQ430:AR430"/>
    <mergeCell ref="AS430:AT430"/>
    <mergeCell ref="S495:T495"/>
    <mergeCell ref="U495:V495"/>
    <mergeCell ref="W495:X495"/>
    <mergeCell ref="Y495:Z495"/>
    <mergeCell ref="AA495:AB495"/>
    <mergeCell ref="AC495:AD495"/>
    <mergeCell ref="AE495:AF495"/>
    <mergeCell ref="AG495:AH495"/>
    <mergeCell ref="AI495:AJ495"/>
    <mergeCell ref="AK495:AL495"/>
    <mergeCell ref="AM495:AN495"/>
    <mergeCell ref="AO495:AP495"/>
    <mergeCell ref="AQ495:AR495"/>
    <mergeCell ref="AS495:AT495"/>
    <mergeCell ref="BI495:BJ495"/>
    <mergeCell ref="BK495:BL495"/>
    <mergeCell ref="BM495:BN495"/>
    <mergeCell ref="BO495:BP495"/>
    <mergeCell ref="E495:F495"/>
    <mergeCell ref="G495:H495"/>
    <mergeCell ref="I495:J495"/>
    <mergeCell ref="K495:L495"/>
    <mergeCell ref="M495:N495"/>
    <mergeCell ref="O495:P495"/>
    <mergeCell ref="Q495:R495"/>
    <mergeCell ref="S496:T496"/>
    <mergeCell ref="U496:V496"/>
    <mergeCell ref="W496:X496"/>
    <mergeCell ref="Y496:Z496"/>
    <mergeCell ref="AA496:AB496"/>
    <mergeCell ref="AC496:AD496"/>
    <mergeCell ref="AE496:AF496"/>
    <mergeCell ref="AU495:AV495"/>
    <mergeCell ref="AW495:AX495"/>
    <mergeCell ref="AY495:AZ495"/>
    <mergeCell ref="BA495:BB495"/>
    <mergeCell ref="BC495:BD495"/>
    <mergeCell ref="BE495:BF495"/>
    <mergeCell ref="BG495:BH495"/>
    <mergeCell ref="E496:F496"/>
    <mergeCell ref="G496:H496"/>
    <mergeCell ref="I496:J496"/>
    <mergeCell ref="K496:L496"/>
    <mergeCell ref="M496:N496"/>
    <mergeCell ref="O496:P496"/>
    <mergeCell ref="Q496:R496"/>
    <mergeCell ref="AU496:AV496"/>
    <mergeCell ref="AW496:AX496"/>
    <mergeCell ref="AG496:AH496"/>
    <mergeCell ref="AI496:AJ496"/>
    <mergeCell ref="AK496:AL496"/>
    <mergeCell ref="AM496:AN496"/>
    <mergeCell ref="AO496:AP496"/>
    <mergeCell ref="AQ496:AR496"/>
    <mergeCell ref="AS496:AT496"/>
    <mergeCell ref="BM496:BN496"/>
    <mergeCell ref="BO496:BP496"/>
    <mergeCell ref="AY496:AZ496"/>
    <mergeCell ref="BA496:BB496"/>
    <mergeCell ref="BC496:BD496"/>
    <mergeCell ref="BE496:BF496"/>
    <mergeCell ref="BG496:BH496"/>
    <mergeCell ref="BI496:BJ496"/>
    <mergeCell ref="BK496:BL496"/>
    <mergeCell ref="E497:F497"/>
    <mergeCell ref="G497:H497"/>
    <mergeCell ref="I497:J497"/>
    <mergeCell ref="K497:L497"/>
    <mergeCell ref="M497:N497"/>
    <mergeCell ref="O497:P497"/>
    <mergeCell ref="Q497:R497"/>
    <mergeCell ref="S497:T497"/>
    <mergeCell ref="U497:V497"/>
    <mergeCell ref="W497:X497"/>
    <mergeCell ref="Y497:Z497"/>
    <mergeCell ref="AA497:AB497"/>
    <mergeCell ref="AC497:AD497"/>
    <mergeCell ref="AE497:AF497"/>
    <mergeCell ref="AG497:AH497"/>
    <mergeCell ref="AI497:AJ497"/>
    <mergeCell ref="AK497:AL497"/>
    <mergeCell ref="AM497:AN497"/>
    <mergeCell ref="AO497:AP497"/>
    <mergeCell ref="AQ497:AR497"/>
    <mergeCell ref="AS497:AT497"/>
    <mergeCell ref="BI497:BJ497"/>
    <mergeCell ref="BK497:BL497"/>
    <mergeCell ref="BM497:BN497"/>
    <mergeCell ref="BO497:BP497"/>
    <mergeCell ref="AU497:AV497"/>
    <mergeCell ref="AW497:AX497"/>
    <mergeCell ref="AY497:AZ497"/>
    <mergeCell ref="BA497:BB497"/>
    <mergeCell ref="BC497:BD497"/>
    <mergeCell ref="BE497:BF497"/>
    <mergeCell ref="BG497:BH497"/>
    <mergeCell ref="BV25:BY25"/>
    <mergeCell ref="AG25:AH25"/>
    <mergeCell ref="AI25:AJ25"/>
    <mergeCell ref="AK25:AL25"/>
    <mergeCell ref="AM25:AN25"/>
    <mergeCell ref="AO25:AP25"/>
    <mergeCell ref="AQ25:AR25"/>
    <mergeCell ref="AS25:AT25"/>
    <mergeCell ref="BM29:BN29"/>
    <mergeCell ref="BO29:BP29"/>
    <mergeCell ref="AY29:AZ29"/>
    <mergeCell ref="BA29:BB29"/>
    <mergeCell ref="BC29:BD29"/>
    <mergeCell ref="BE29:BF29"/>
    <mergeCell ref="BG29:BH29"/>
    <mergeCell ref="BI29:BJ29"/>
    <mergeCell ref="BK29:BL29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BI28:BJ28"/>
    <mergeCell ref="BK28:BL28"/>
    <mergeCell ref="BO28:BP28"/>
    <mergeCell ref="S29:T29"/>
    <mergeCell ref="U29:V29"/>
    <mergeCell ref="W29:X29"/>
    <mergeCell ref="Y29:Z29"/>
    <mergeCell ref="AA29:AB29"/>
    <mergeCell ref="AC29:AD29"/>
    <mergeCell ref="AE29:AF29"/>
    <mergeCell ref="AU28:AV28"/>
    <mergeCell ref="AW28:AX28"/>
    <mergeCell ref="AY28:AZ28"/>
    <mergeCell ref="BA28:BB28"/>
    <mergeCell ref="BC28:BD28"/>
    <mergeCell ref="BE28:BF28"/>
    <mergeCell ref="BG28:BH28"/>
    <mergeCell ref="AM22:AN22"/>
    <mergeCell ref="AO22:AP22"/>
    <mergeCell ref="AQ22:AR22"/>
    <mergeCell ref="AS22:AT22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BI23:BJ23"/>
    <mergeCell ref="BK23:BL23"/>
    <mergeCell ref="BM23:BN23"/>
    <mergeCell ref="BO23:BP23"/>
    <mergeCell ref="CA23:CB23"/>
    <mergeCell ref="CC23:CD23"/>
    <mergeCell ref="AU23:AV23"/>
    <mergeCell ref="AW23:AX23"/>
    <mergeCell ref="AY23:AZ23"/>
    <mergeCell ref="BA23:BB23"/>
    <mergeCell ref="BC23:BD23"/>
    <mergeCell ref="BE23:BF23"/>
    <mergeCell ref="BG23:BH23"/>
    <mergeCell ref="E23:F23"/>
    <mergeCell ref="G23:H23"/>
    <mergeCell ref="I23:J23"/>
    <mergeCell ref="K23:L23"/>
    <mergeCell ref="M23:N23"/>
    <mergeCell ref="O23:P23"/>
    <mergeCell ref="Q23:R23"/>
    <mergeCell ref="BM22:BN22"/>
    <mergeCell ref="BO22:BP22"/>
    <mergeCell ref="AY22:AZ22"/>
    <mergeCell ref="BA22:BB22"/>
    <mergeCell ref="BC22:BD22"/>
    <mergeCell ref="BE22:BF22"/>
    <mergeCell ref="BG22:BH22"/>
    <mergeCell ref="BI22:BJ22"/>
    <mergeCell ref="BK22:BL22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BI21:BJ21"/>
    <mergeCell ref="BK21:BL21"/>
    <mergeCell ref="BM21:BN21"/>
    <mergeCell ref="BO21:BP21"/>
    <mergeCell ref="CA21:CB21"/>
    <mergeCell ref="CC21:CD21"/>
    <mergeCell ref="CA22:CB22"/>
    <mergeCell ref="CC22:CD22"/>
    <mergeCell ref="E21:F21"/>
    <mergeCell ref="G21:H21"/>
    <mergeCell ref="I21:J21"/>
    <mergeCell ref="K21:L21"/>
    <mergeCell ref="M21:N21"/>
    <mergeCell ref="O21:P21"/>
    <mergeCell ref="Q21:R21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U21:AV21"/>
    <mergeCell ref="AW21:AX21"/>
    <mergeCell ref="AY21:AZ21"/>
    <mergeCell ref="BA21:BB21"/>
    <mergeCell ref="BC21:BD21"/>
    <mergeCell ref="BE21:BF21"/>
    <mergeCell ref="BG21:BH21"/>
    <mergeCell ref="AU22:AV22"/>
    <mergeCell ref="AW22:AX22"/>
    <mergeCell ref="AG22:AH22"/>
    <mergeCell ref="AI22:AJ22"/>
    <mergeCell ref="AK22:AL22"/>
    <mergeCell ref="AM19:AN19"/>
    <mergeCell ref="AO19:AP19"/>
    <mergeCell ref="AQ19:AR19"/>
    <mergeCell ref="AS19:AT19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BI20:BJ20"/>
    <mergeCell ref="BK20:BL20"/>
    <mergeCell ref="BM20:BN20"/>
    <mergeCell ref="BO20:BP20"/>
    <mergeCell ref="CA20:CB20"/>
    <mergeCell ref="CC20:CD20"/>
    <mergeCell ref="AU20:AV20"/>
    <mergeCell ref="AW20:AX20"/>
    <mergeCell ref="AY20:AZ20"/>
    <mergeCell ref="BA20:BB20"/>
    <mergeCell ref="BC20:BD20"/>
    <mergeCell ref="BE20:BF20"/>
    <mergeCell ref="BG20:BH20"/>
    <mergeCell ref="E20:F20"/>
    <mergeCell ref="G20:H20"/>
    <mergeCell ref="I20:J20"/>
    <mergeCell ref="K20:L20"/>
    <mergeCell ref="M20:N20"/>
    <mergeCell ref="O20:P20"/>
    <mergeCell ref="Q20:R20"/>
    <mergeCell ref="BM19:BN19"/>
    <mergeCell ref="BO19:BP19"/>
    <mergeCell ref="AY19:AZ19"/>
    <mergeCell ref="BA19:BB19"/>
    <mergeCell ref="BC19:BD19"/>
    <mergeCell ref="BE19:BF19"/>
    <mergeCell ref="BG19:BH19"/>
    <mergeCell ref="BI19:BJ19"/>
    <mergeCell ref="BK19:BL19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BI18:BJ18"/>
    <mergeCell ref="BK18:BL18"/>
    <mergeCell ref="BM18:BN18"/>
    <mergeCell ref="BO18:BP18"/>
    <mergeCell ref="CA18:CB18"/>
    <mergeCell ref="CC18:CD18"/>
    <mergeCell ref="CA19:CB19"/>
    <mergeCell ref="CC19:CD19"/>
    <mergeCell ref="E18:F18"/>
    <mergeCell ref="G18:H18"/>
    <mergeCell ref="I18:J18"/>
    <mergeCell ref="K18:L18"/>
    <mergeCell ref="M18:N18"/>
    <mergeCell ref="O18:P18"/>
    <mergeCell ref="Q18:R18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U18:AV18"/>
    <mergeCell ref="AW18:AX18"/>
    <mergeCell ref="AY18:AZ18"/>
    <mergeCell ref="BA18:BB18"/>
    <mergeCell ref="BC18:BD18"/>
    <mergeCell ref="BE18:BF18"/>
    <mergeCell ref="BG18:BH18"/>
    <mergeCell ref="AU19:AV19"/>
    <mergeCell ref="AW19:AX19"/>
    <mergeCell ref="AG19:AH19"/>
    <mergeCell ref="AI19:AJ19"/>
    <mergeCell ref="AK19:AL19"/>
    <mergeCell ref="AM16:AN16"/>
    <mergeCell ref="AO16:AP16"/>
    <mergeCell ref="AQ16:AR16"/>
    <mergeCell ref="AS16:AT16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BI17:BJ17"/>
    <mergeCell ref="BK17:BL17"/>
    <mergeCell ref="BM17:BN17"/>
    <mergeCell ref="BO17:BP17"/>
    <mergeCell ref="CA17:CB17"/>
    <mergeCell ref="CC17:CD17"/>
    <mergeCell ref="AU17:AV17"/>
    <mergeCell ref="AW17:AX17"/>
    <mergeCell ref="AY17:AZ17"/>
    <mergeCell ref="BA17:BB17"/>
    <mergeCell ref="BC17:BD17"/>
    <mergeCell ref="BE17:BF17"/>
    <mergeCell ref="BG17:BH17"/>
    <mergeCell ref="E17:F17"/>
    <mergeCell ref="G17:H17"/>
    <mergeCell ref="I17:J17"/>
    <mergeCell ref="K17:L17"/>
    <mergeCell ref="M17:N17"/>
    <mergeCell ref="O17:P17"/>
    <mergeCell ref="Q17:R17"/>
    <mergeCell ref="BM11:BN11"/>
    <mergeCell ref="BO11:BP11"/>
    <mergeCell ref="BV11:BY11"/>
    <mergeCell ref="CA11:CD11"/>
    <mergeCell ref="AY11:AZ11"/>
    <mergeCell ref="BA11:BB11"/>
    <mergeCell ref="BC11:BD11"/>
    <mergeCell ref="BE11:BF11"/>
    <mergeCell ref="BG11:BH11"/>
    <mergeCell ref="BI11:BJ11"/>
    <mergeCell ref="BK11:BL11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BI10:BJ10"/>
    <mergeCell ref="BK10:BL10"/>
    <mergeCell ref="BM10:BN10"/>
    <mergeCell ref="BO10:BP10"/>
    <mergeCell ref="E10:F10"/>
    <mergeCell ref="G10:H10"/>
    <mergeCell ref="I10:J10"/>
    <mergeCell ref="K10:L10"/>
    <mergeCell ref="M10:N10"/>
    <mergeCell ref="O10:P10"/>
    <mergeCell ref="Q10:R10"/>
    <mergeCell ref="S11:T11"/>
    <mergeCell ref="U11:V11"/>
    <mergeCell ref="W11:X11"/>
    <mergeCell ref="Y11:Z11"/>
    <mergeCell ref="AA11:AB11"/>
    <mergeCell ref="AC11:AD11"/>
    <mergeCell ref="AE11:AF11"/>
    <mergeCell ref="AU10:AV10"/>
    <mergeCell ref="AW10:AX10"/>
    <mergeCell ref="AY10:AZ10"/>
    <mergeCell ref="BA10:BB10"/>
    <mergeCell ref="BC10:BD10"/>
    <mergeCell ref="BE10:BF10"/>
    <mergeCell ref="BG10:BH10"/>
    <mergeCell ref="E11:F11"/>
    <mergeCell ref="G11:H11"/>
    <mergeCell ref="I11:J11"/>
    <mergeCell ref="K11:L11"/>
    <mergeCell ref="M11:N11"/>
    <mergeCell ref="O11:P11"/>
    <mergeCell ref="Q11:R11"/>
    <mergeCell ref="K8:L8"/>
    <mergeCell ref="M8:N8"/>
    <mergeCell ref="O8:P8"/>
    <mergeCell ref="Q8:R8"/>
    <mergeCell ref="S9:T9"/>
    <mergeCell ref="U9:V9"/>
    <mergeCell ref="W9:X9"/>
    <mergeCell ref="Y9:Z9"/>
    <mergeCell ref="AA9:AB9"/>
    <mergeCell ref="AC9:AD9"/>
    <mergeCell ref="AE9:AF9"/>
    <mergeCell ref="AU8:AV8"/>
    <mergeCell ref="AW8:AX8"/>
    <mergeCell ref="AY8:AZ8"/>
    <mergeCell ref="BA8:BB8"/>
    <mergeCell ref="BC8:BD8"/>
    <mergeCell ref="BE8:BF8"/>
    <mergeCell ref="BG8:BH8"/>
    <mergeCell ref="E9:F9"/>
    <mergeCell ref="G9:H9"/>
    <mergeCell ref="I9:J9"/>
    <mergeCell ref="K9:L9"/>
    <mergeCell ref="M9:N9"/>
    <mergeCell ref="O9:P9"/>
    <mergeCell ref="Q9:R9"/>
    <mergeCell ref="AU11:AV11"/>
    <mergeCell ref="AW11:AX11"/>
    <mergeCell ref="AG11:AH11"/>
    <mergeCell ref="AI11:AJ11"/>
    <mergeCell ref="AK11:AL11"/>
    <mergeCell ref="AM11:AN11"/>
    <mergeCell ref="AO11:AP11"/>
    <mergeCell ref="AQ11:AR11"/>
    <mergeCell ref="AS11:AT11"/>
    <mergeCell ref="BM16:BN16"/>
    <mergeCell ref="BO16:BP16"/>
    <mergeCell ref="AY16:AZ16"/>
    <mergeCell ref="BA16:BB16"/>
    <mergeCell ref="BC16:BD16"/>
    <mergeCell ref="BE16:BF16"/>
    <mergeCell ref="BG16:BH16"/>
    <mergeCell ref="BI16:BJ16"/>
    <mergeCell ref="BK16:BL16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BI15:BJ15"/>
    <mergeCell ref="BK15:BL15"/>
    <mergeCell ref="BM15:BN15"/>
    <mergeCell ref="BO15:BP15"/>
    <mergeCell ref="CA15:CB15"/>
    <mergeCell ref="CC15:CD15"/>
    <mergeCell ref="CA16:CB16"/>
    <mergeCell ref="CC16:CD16"/>
    <mergeCell ref="E15:F15"/>
    <mergeCell ref="G15:H15"/>
    <mergeCell ref="I15:J15"/>
    <mergeCell ref="K15:L15"/>
    <mergeCell ref="M15:N15"/>
    <mergeCell ref="O15:P15"/>
    <mergeCell ref="Q15:R15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U15:AV15"/>
    <mergeCell ref="AW15:AX15"/>
    <mergeCell ref="AY15:AZ15"/>
    <mergeCell ref="BA15:BB15"/>
    <mergeCell ref="BC15:BD15"/>
    <mergeCell ref="BE15:BF15"/>
    <mergeCell ref="BG15:BH15"/>
    <mergeCell ref="AU16:AV16"/>
    <mergeCell ref="AW16:AX16"/>
    <mergeCell ref="AG16:AH16"/>
    <mergeCell ref="AI16:AJ16"/>
    <mergeCell ref="AK16:AL16"/>
    <mergeCell ref="AO13:AP13"/>
    <mergeCell ref="AQ13:AR13"/>
    <mergeCell ref="AS13:AT13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BI14:BJ14"/>
    <mergeCell ref="BK14:BL14"/>
    <mergeCell ref="BM14:BN14"/>
    <mergeCell ref="BO14:BP14"/>
    <mergeCell ref="CA14:CB14"/>
    <mergeCell ref="CC14:CD14"/>
    <mergeCell ref="AU14:AV14"/>
    <mergeCell ref="AW14:AX14"/>
    <mergeCell ref="AY14:AZ14"/>
    <mergeCell ref="BA14:BB14"/>
    <mergeCell ref="BC14:BD14"/>
    <mergeCell ref="BE14:BF14"/>
    <mergeCell ref="BG14:BH14"/>
    <mergeCell ref="E14:F14"/>
    <mergeCell ref="G14:H14"/>
    <mergeCell ref="I14:J14"/>
    <mergeCell ref="K14:L14"/>
    <mergeCell ref="M14:N14"/>
    <mergeCell ref="O14:P14"/>
    <mergeCell ref="Q14:R14"/>
    <mergeCell ref="BM13:BN13"/>
    <mergeCell ref="BO13:BP13"/>
    <mergeCell ref="AY13:AZ13"/>
    <mergeCell ref="BA13:BB13"/>
    <mergeCell ref="BC13:BD13"/>
    <mergeCell ref="BE13:BF13"/>
    <mergeCell ref="BG13:BH13"/>
    <mergeCell ref="BI13:BJ13"/>
    <mergeCell ref="BK13:BL13"/>
    <mergeCell ref="BV9:BX9"/>
    <mergeCell ref="AG9:AH9"/>
    <mergeCell ref="AI9:AJ9"/>
    <mergeCell ref="AK9:AL9"/>
    <mergeCell ref="AM9:AN9"/>
    <mergeCell ref="AO9:AP9"/>
    <mergeCell ref="AQ9:AR9"/>
    <mergeCell ref="AS9:AT9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BI12:BJ12"/>
    <mergeCell ref="BK12:BL12"/>
    <mergeCell ref="BM12:BN12"/>
    <mergeCell ref="BO12:BP12"/>
    <mergeCell ref="CA12:CB12"/>
    <mergeCell ref="CC12:CD12"/>
    <mergeCell ref="CA13:CB13"/>
    <mergeCell ref="CC13:CD13"/>
    <mergeCell ref="E12:F12"/>
    <mergeCell ref="G12:H12"/>
    <mergeCell ref="I12:J12"/>
    <mergeCell ref="K12:L12"/>
    <mergeCell ref="M12:N12"/>
    <mergeCell ref="O12:P12"/>
    <mergeCell ref="Q12:R12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U12:AV12"/>
    <mergeCell ref="AW12:AX12"/>
    <mergeCell ref="AY12:AZ12"/>
    <mergeCell ref="BA12:BB12"/>
    <mergeCell ref="BC12:BD12"/>
    <mergeCell ref="BE12:BF12"/>
    <mergeCell ref="BG12:BH12"/>
    <mergeCell ref="AU13:AV13"/>
    <mergeCell ref="AW13:AX13"/>
    <mergeCell ref="AG13:AH13"/>
    <mergeCell ref="AI13:AJ13"/>
    <mergeCell ref="AK13:AL13"/>
    <mergeCell ref="AM13:AN13"/>
    <mergeCell ref="BR4:BS4"/>
    <mergeCell ref="BR5:BS5"/>
    <mergeCell ref="BR6:BS6"/>
    <mergeCell ref="BR7:BS7"/>
    <mergeCell ref="AU4:AV4"/>
    <mergeCell ref="AW4:AX4"/>
    <mergeCell ref="AY4:AZ4"/>
    <mergeCell ref="BA4:BB4"/>
    <mergeCell ref="BC4:BD4"/>
    <mergeCell ref="BE4:BF4"/>
    <mergeCell ref="BG4:BH4"/>
    <mergeCell ref="E4:F4"/>
    <mergeCell ref="G4:H4"/>
    <mergeCell ref="I4:J4"/>
    <mergeCell ref="K4:L4"/>
    <mergeCell ref="M4:N4"/>
    <mergeCell ref="O4:P4"/>
    <mergeCell ref="Q4:R4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AU9:AV9"/>
    <mergeCell ref="AW9:AX9"/>
    <mergeCell ref="BM9:BN9"/>
    <mergeCell ref="BO9:BP9"/>
    <mergeCell ref="AY9:AZ9"/>
    <mergeCell ref="BA9:BB9"/>
    <mergeCell ref="BC9:BD9"/>
    <mergeCell ref="BE9:BF9"/>
    <mergeCell ref="BG9:BH9"/>
    <mergeCell ref="BI9:BJ9"/>
    <mergeCell ref="BK9:BL9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BI8:BJ8"/>
    <mergeCell ref="BK8:BL8"/>
    <mergeCell ref="BM8:BN8"/>
    <mergeCell ref="BO8:BP8"/>
    <mergeCell ref="E8:F8"/>
    <mergeCell ref="G8:H8"/>
    <mergeCell ref="I8:J8"/>
    <mergeCell ref="AW2:AX2"/>
    <mergeCell ref="AY2:AZ2"/>
    <mergeCell ref="BA2:BB2"/>
    <mergeCell ref="BC2:BD2"/>
    <mergeCell ref="BE2:BF2"/>
    <mergeCell ref="BG2:BH2"/>
    <mergeCell ref="E3:F3"/>
    <mergeCell ref="G3:H3"/>
    <mergeCell ref="I3:J3"/>
    <mergeCell ref="K3:L3"/>
    <mergeCell ref="M3:N3"/>
    <mergeCell ref="O3:P3"/>
    <mergeCell ref="Q3:R3"/>
    <mergeCell ref="AU7:AV7"/>
    <mergeCell ref="AW7:AX7"/>
    <mergeCell ref="AG7:AH7"/>
    <mergeCell ref="AI7:AJ7"/>
    <mergeCell ref="AK7:AL7"/>
    <mergeCell ref="AM7:AN7"/>
    <mergeCell ref="AO7:AP7"/>
    <mergeCell ref="AQ7:AR7"/>
    <mergeCell ref="AS7:AT7"/>
    <mergeCell ref="BM7:BN7"/>
    <mergeCell ref="BO7:BP7"/>
    <mergeCell ref="AY7:AZ7"/>
    <mergeCell ref="BA7:BB7"/>
    <mergeCell ref="BC7:BD7"/>
    <mergeCell ref="BE7:BF7"/>
    <mergeCell ref="BG7:BH7"/>
    <mergeCell ref="BI7:BJ7"/>
    <mergeCell ref="BK7:BL7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BI4:BJ4"/>
    <mergeCell ref="BK4:BL4"/>
    <mergeCell ref="BM4:BN4"/>
    <mergeCell ref="BO4:BP4"/>
    <mergeCell ref="E494:F494"/>
    <mergeCell ref="G494:H494"/>
    <mergeCell ref="I494:J494"/>
    <mergeCell ref="K494:L494"/>
    <mergeCell ref="M494:N494"/>
    <mergeCell ref="O494:P494"/>
    <mergeCell ref="Q494:R494"/>
    <mergeCell ref="AU3:AV3"/>
    <mergeCell ref="AW3:AX3"/>
    <mergeCell ref="AG3:AH3"/>
    <mergeCell ref="AI3:AJ3"/>
    <mergeCell ref="AK3:AL3"/>
    <mergeCell ref="AM3:AN3"/>
    <mergeCell ref="AO3:AP3"/>
    <mergeCell ref="AQ3:AR3"/>
    <mergeCell ref="AS3:AT3"/>
    <mergeCell ref="BM3:BN3"/>
    <mergeCell ref="BO3:BP3"/>
    <mergeCell ref="CD3:CE3"/>
    <mergeCell ref="CF3:CG3"/>
    <mergeCell ref="CH3:CI3"/>
    <mergeCell ref="CJ3:CK3"/>
    <mergeCell ref="AY3:AZ3"/>
    <mergeCell ref="BA3:BB3"/>
    <mergeCell ref="BC3:BD3"/>
    <mergeCell ref="BE3:BF3"/>
    <mergeCell ref="BG3:BH3"/>
    <mergeCell ref="BI3:BJ3"/>
    <mergeCell ref="BK3:BL3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BI2:BJ2"/>
    <mergeCell ref="BK2:BL2"/>
    <mergeCell ref="BM2:BN2"/>
    <mergeCell ref="BO2:BP2"/>
    <mergeCell ref="BR2:BS2"/>
    <mergeCell ref="BR3:BS3"/>
    <mergeCell ref="E2:F2"/>
    <mergeCell ref="G2:H2"/>
    <mergeCell ref="I2:J2"/>
    <mergeCell ref="K2:L2"/>
    <mergeCell ref="M2:N2"/>
    <mergeCell ref="O2:P2"/>
    <mergeCell ref="Q2:R2"/>
    <mergeCell ref="S3:T3"/>
    <mergeCell ref="U3:V3"/>
    <mergeCell ref="W3:X3"/>
    <mergeCell ref="Y3:Z3"/>
    <mergeCell ref="AA3:AB3"/>
    <mergeCell ref="AC3:AD3"/>
    <mergeCell ref="AE3:AF3"/>
    <mergeCell ref="AU2:AV2"/>
    <mergeCell ref="AU493:AV493"/>
    <mergeCell ref="AW493:AX493"/>
    <mergeCell ref="AG493:AH493"/>
    <mergeCell ref="AI493:AJ493"/>
    <mergeCell ref="AK493:AL493"/>
    <mergeCell ref="AM493:AN493"/>
    <mergeCell ref="AO493:AP493"/>
    <mergeCell ref="AQ493:AR493"/>
    <mergeCell ref="AS493:AT493"/>
    <mergeCell ref="S494:T494"/>
    <mergeCell ref="U494:V494"/>
    <mergeCell ref="W494:X494"/>
    <mergeCell ref="Y494:Z494"/>
    <mergeCell ref="AA494:AB494"/>
    <mergeCell ref="AC494:AD494"/>
    <mergeCell ref="AE494:AF494"/>
    <mergeCell ref="AG494:AH494"/>
    <mergeCell ref="AI494:AJ494"/>
    <mergeCell ref="AK494:AL494"/>
    <mergeCell ref="AM494:AN494"/>
    <mergeCell ref="AO494:AP494"/>
    <mergeCell ref="AQ494:AR494"/>
    <mergeCell ref="AS494:AT494"/>
    <mergeCell ref="BI494:BJ494"/>
    <mergeCell ref="BK494:BL494"/>
    <mergeCell ref="BM494:BN494"/>
    <mergeCell ref="BO494:BP494"/>
    <mergeCell ref="AU494:AV494"/>
    <mergeCell ref="AW494:AX494"/>
    <mergeCell ref="AY494:AZ494"/>
    <mergeCell ref="BA494:BB494"/>
    <mergeCell ref="BC494:BD494"/>
    <mergeCell ref="BE494:BF494"/>
    <mergeCell ref="BG494:BH494"/>
    <mergeCell ref="BM491:BN491"/>
    <mergeCell ref="BO491:BP491"/>
    <mergeCell ref="AY491:AZ491"/>
    <mergeCell ref="BA491:BB491"/>
    <mergeCell ref="BC491:BD491"/>
    <mergeCell ref="BE491:BF491"/>
    <mergeCell ref="BG491:BH491"/>
    <mergeCell ref="BI491:BJ491"/>
    <mergeCell ref="BK491:BL491"/>
    <mergeCell ref="S490:T490"/>
    <mergeCell ref="U490:V490"/>
    <mergeCell ref="W490:X490"/>
    <mergeCell ref="Y490:Z490"/>
    <mergeCell ref="AA490:AB490"/>
    <mergeCell ref="AC490:AD490"/>
    <mergeCell ref="AE490:AF490"/>
    <mergeCell ref="AG490:AH490"/>
    <mergeCell ref="AI490:AJ490"/>
    <mergeCell ref="AK490:AL490"/>
    <mergeCell ref="AM490:AN490"/>
    <mergeCell ref="AO490:AP490"/>
    <mergeCell ref="AQ490:AR490"/>
    <mergeCell ref="AS490:AT490"/>
    <mergeCell ref="BI490:BJ490"/>
    <mergeCell ref="BK490:BL490"/>
    <mergeCell ref="BM490:BN490"/>
    <mergeCell ref="BO490:BP490"/>
    <mergeCell ref="E490:F490"/>
    <mergeCell ref="G490:H490"/>
    <mergeCell ref="I490:J490"/>
    <mergeCell ref="K490:L490"/>
    <mergeCell ref="M490:N490"/>
    <mergeCell ref="O490:P490"/>
    <mergeCell ref="Q490:R490"/>
    <mergeCell ref="S491:T491"/>
    <mergeCell ref="U491:V491"/>
    <mergeCell ref="W491:X491"/>
    <mergeCell ref="Y491:Z491"/>
    <mergeCell ref="AA491:AB491"/>
    <mergeCell ref="AC491:AD491"/>
    <mergeCell ref="AE491:AF491"/>
    <mergeCell ref="AU490:AV490"/>
    <mergeCell ref="AW490:AX490"/>
    <mergeCell ref="AY490:AZ490"/>
    <mergeCell ref="BA490:BB490"/>
    <mergeCell ref="BC490:BD490"/>
    <mergeCell ref="BE490:BF490"/>
    <mergeCell ref="BG490:BH490"/>
    <mergeCell ref="E491:F491"/>
    <mergeCell ref="G491:H491"/>
    <mergeCell ref="I491:J491"/>
    <mergeCell ref="K491:L491"/>
    <mergeCell ref="M491:N491"/>
    <mergeCell ref="O491:P491"/>
    <mergeCell ref="Q491:R491"/>
    <mergeCell ref="E488:F488"/>
    <mergeCell ref="G488:H488"/>
    <mergeCell ref="I488:J488"/>
    <mergeCell ref="K488:L488"/>
    <mergeCell ref="M488:N488"/>
    <mergeCell ref="O488:P488"/>
    <mergeCell ref="Q488:R488"/>
    <mergeCell ref="S489:T489"/>
    <mergeCell ref="U489:V489"/>
    <mergeCell ref="W489:X489"/>
    <mergeCell ref="Y489:Z489"/>
    <mergeCell ref="AA489:AB489"/>
    <mergeCell ref="AC489:AD489"/>
    <mergeCell ref="AE489:AF489"/>
    <mergeCell ref="AU488:AV488"/>
    <mergeCell ref="AW488:AX488"/>
    <mergeCell ref="AY488:AZ488"/>
    <mergeCell ref="BA488:BB488"/>
    <mergeCell ref="BC488:BD488"/>
    <mergeCell ref="BE488:BF488"/>
    <mergeCell ref="BG488:BH488"/>
    <mergeCell ref="E489:F489"/>
    <mergeCell ref="G489:H489"/>
    <mergeCell ref="I489:J489"/>
    <mergeCell ref="K489:L489"/>
    <mergeCell ref="M489:N489"/>
    <mergeCell ref="O489:P489"/>
    <mergeCell ref="Q489:R489"/>
    <mergeCell ref="AU491:AV491"/>
    <mergeCell ref="AW491:AX491"/>
    <mergeCell ref="AG491:AH491"/>
    <mergeCell ref="AI491:AJ491"/>
    <mergeCell ref="AK491:AL491"/>
    <mergeCell ref="AM491:AN491"/>
    <mergeCell ref="AO491:AP491"/>
    <mergeCell ref="AQ491:AR491"/>
    <mergeCell ref="AS491:AT491"/>
    <mergeCell ref="AG489:AH489"/>
    <mergeCell ref="AI489:AJ489"/>
    <mergeCell ref="AK489:AL489"/>
    <mergeCell ref="AM489:AN489"/>
    <mergeCell ref="AO489:AP489"/>
    <mergeCell ref="AQ489:AR489"/>
    <mergeCell ref="AS489:AT489"/>
    <mergeCell ref="BM489:BN489"/>
    <mergeCell ref="BO489:BP489"/>
    <mergeCell ref="AY489:AZ489"/>
    <mergeCell ref="BA489:BB489"/>
    <mergeCell ref="BC489:BD489"/>
    <mergeCell ref="BE489:BF489"/>
    <mergeCell ref="BG489:BH489"/>
    <mergeCell ref="BI489:BJ489"/>
    <mergeCell ref="BK489:BL489"/>
    <mergeCell ref="S488:T488"/>
    <mergeCell ref="U488:V488"/>
    <mergeCell ref="W488:X488"/>
    <mergeCell ref="Y488:Z488"/>
    <mergeCell ref="AA488:AB488"/>
    <mergeCell ref="AC488:AD488"/>
    <mergeCell ref="AE488:AF488"/>
    <mergeCell ref="AG488:AH488"/>
    <mergeCell ref="AI488:AJ488"/>
    <mergeCell ref="AK488:AL488"/>
    <mergeCell ref="AM488:AN488"/>
    <mergeCell ref="AO488:AP488"/>
    <mergeCell ref="AQ488:AR488"/>
    <mergeCell ref="AS488:AT488"/>
    <mergeCell ref="BI488:BJ488"/>
    <mergeCell ref="BK488:BL488"/>
    <mergeCell ref="BM488:BN488"/>
    <mergeCell ref="BO488:BP488"/>
    <mergeCell ref="E487:F487"/>
    <mergeCell ref="G487:H487"/>
    <mergeCell ref="I487:J487"/>
    <mergeCell ref="K487:L487"/>
    <mergeCell ref="M487:N487"/>
    <mergeCell ref="O487:P487"/>
    <mergeCell ref="Q487:R487"/>
    <mergeCell ref="BM493:BN493"/>
    <mergeCell ref="BO493:BP493"/>
    <mergeCell ref="AY493:AZ493"/>
    <mergeCell ref="BA493:BB493"/>
    <mergeCell ref="BC493:BD493"/>
    <mergeCell ref="BE493:BF493"/>
    <mergeCell ref="BG493:BH493"/>
    <mergeCell ref="BI493:BJ493"/>
    <mergeCell ref="BK493:BL493"/>
    <mergeCell ref="S492:T492"/>
    <mergeCell ref="U492:V492"/>
    <mergeCell ref="W492:X492"/>
    <mergeCell ref="Y492:Z492"/>
    <mergeCell ref="AA492:AB492"/>
    <mergeCell ref="AC492:AD492"/>
    <mergeCell ref="AE492:AF492"/>
    <mergeCell ref="AG492:AH492"/>
    <mergeCell ref="AI492:AJ492"/>
    <mergeCell ref="AK492:AL492"/>
    <mergeCell ref="AM492:AN492"/>
    <mergeCell ref="AO492:AP492"/>
    <mergeCell ref="AQ492:AR492"/>
    <mergeCell ref="AS492:AT492"/>
    <mergeCell ref="BI492:BJ492"/>
    <mergeCell ref="BK492:BL492"/>
    <mergeCell ref="BM492:BN492"/>
    <mergeCell ref="BO492:BP492"/>
    <mergeCell ref="E492:F492"/>
    <mergeCell ref="G492:H492"/>
    <mergeCell ref="I492:J492"/>
    <mergeCell ref="K492:L492"/>
    <mergeCell ref="M492:N492"/>
    <mergeCell ref="O492:P492"/>
    <mergeCell ref="Q492:R492"/>
    <mergeCell ref="E493:F493"/>
    <mergeCell ref="G493:H493"/>
    <mergeCell ref="I493:J493"/>
    <mergeCell ref="K493:L493"/>
    <mergeCell ref="M493:N493"/>
    <mergeCell ref="O493:P493"/>
    <mergeCell ref="Q493:R493"/>
    <mergeCell ref="S493:T493"/>
    <mergeCell ref="U493:V493"/>
    <mergeCell ref="W493:X493"/>
    <mergeCell ref="Y493:Z493"/>
    <mergeCell ref="AA493:AB493"/>
    <mergeCell ref="AC493:AD493"/>
    <mergeCell ref="AE493:AF493"/>
    <mergeCell ref="AU492:AV492"/>
    <mergeCell ref="AW492:AX492"/>
    <mergeCell ref="AY492:AZ492"/>
    <mergeCell ref="BA492:BB492"/>
    <mergeCell ref="BC492:BD492"/>
    <mergeCell ref="BE492:BF492"/>
    <mergeCell ref="BG492:BH492"/>
    <mergeCell ref="AU489:AV489"/>
    <mergeCell ref="AW489:AX489"/>
    <mergeCell ref="AU486:AV486"/>
    <mergeCell ref="AW486:AX486"/>
    <mergeCell ref="AG486:AH486"/>
    <mergeCell ref="AI486:AJ486"/>
    <mergeCell ref="AK486:AL486"/>
    <mergeCell ref="AM486:AN486"/>
    <mergeCell ref="AO486:AP486"/>
    <mergeCell ref="AQ486:AR486"/>
    <mergeCell ref="AS486:AT486"/>
    <mergeCell ref="S487:T487"/>
    <mergeCell ref="U487:V487"/>
    <mergeCell ref="W487:X487"/>
    <mergeCell ref="Y487:Z487"/>
    <mergeCell ref="AA487:AB487"/>
    <mergeCell ref="AC487:AD487"/>
    <mergeCell ref="AE487:AF487"/>
    <mergeCell ref="AG487:AH487"/>
    <mergeCell ref="AI487:AJ487"/>
    <mergeCell ref="AK487:AL487"/>
    <mergeCell ref="AM487:AN487"/>
    <mergeCell ref="AO487:AP487"/>
    <mergeCell ref="AQ487:AR487"/>
    <mergeCell ref="AS487:AT487"/>
    <mergeCell ref="BI487:BJ487"/>
    <mergeCell ref="BK487:BL487"/>
    <mergeCell ref="BM487:BN487"/>
    <mergeCell ref="BO487:BP487"/>
    <mergeCell ref="AU487:AV487"/>
    <mergeCell ref="AW487:AX487"/>
    <mergeCell ref="AY487:AZ487"/>
    <mergeCell ref="BA487:BB487"/>
    <mergeCell ref="BC487:BD487"/>
    <mergeCell ref="BE487:BF487"/>
    <mergeCell ref="BG487:BH487"/>
    <mergeCell ref="BM484:BN484"/>
    <mergeCell ref="BO484:BP484"/>
    <mergeCell ref="AY484:AZ484"/>
    <mergeCell ref="BA484:BB484"/>
    <mergeCell ref="BC484:BD484"/>
    <mergeCell ref="BE484:BF484"/>
    <mergeCell ref="BG484:BH484"/>
    <mergeCell ref="BI484:BJ484"/>
    <mergeCell ref="BK484:BL484"/>
    <mergeCell ref="S483:T483"/>
    <mergeCell ref="U483:V483"/>
    <mergeCell ref="W483:X483"/>
    <mergeCell ref="Y483:Z483"/>
    <mergeCell ref="AA483:AB483"/>
    <mergeCell ref="AC483:AD483"/>
    <mergeCell ref="AE483:AF483"/>
    <mergeCell ref="AG483:AH483"/>
    <mergeCell ref="AI483:AJ483"/>
    <mergeCell ref="AK483:AL483"/>
    <mergeCell ref="AM483:AN483"/>
    <mergeCell ref="AO483:AP483"/>
    <mergeCell ref="AQ483:AR483"/>
    <mergeCell ref="AS483:AT483"/>
    <mergeCell ref="BI483:BJ483"/>
    <mergeCell ref="BK483:BL483"/>
    <mergeCell ref="BM483:BN483"/>
    <mergeCell ref="BO483:BP483"/>
    <mergeCell ref="E483:F483"/>
    <mergeCell ref="G483:H483"/>
    <mergeCell ref="I483:J483"/>
    <mergeCell ref="K483:L483"/>
    <mergeCell ref="M483:N483"/>
    <mergeCell ref="O483:P483"/>
    <mergeCell ref="Q483:R483"/>
    <mergeCell ref="S484:T484"/>
    <mergeCell ref="U484:V484"/>
    <mergeCell ref="W484:X484"/>
    <mergeCell ref="Y484:Z484"/>
    <mergeCell ref="AA484:AB484"/>
    <mergeCell ref="AC484:AD484"/>
    <mergeCell ref="AE484:AF484"/>
    <mergeCell ref="AU483:AV483"/>
    <mergeCell ref="AW483:AX483"/>
    <mergeCell ref="AY483:AZ483"/>
    <mergeCell ref="BA483:BB483"/>
    <mergeCell ref="BC483:BD483"/>
    <mergeCell ref="BE483:BF483"/>
    <mergeCell ref="BG483:BH483"/>
    <mergeCell ref="E484:F484"/>
    <mergeCell ref="G484:H484"/>
    <mergeCell ref="I484:J484"/>
    <mergeCell ref="K484:L484"/>
    <mergeCell ref="M484:N484"/>
    <mergeCell ref="O484:P484"/>
    <mergeCell ref="Q484:R484"/>
    <mergeCell ref="E481:F481"/>
    <mergeCell ref="G481:H481"/>
    <mergeCell ref="I481:J481"/>
    <mergeCell ref="K481:L481"/>
    <mergeCell ref="M481:N481"/>
    <mergeCell ref="O481:P481"/>
    <mergeCell ref="Q481:R481"/>
    <mergeCell ref="S482:T482"/>
    <mergeCell ref="U482:V482"/>
    <mergeCell ref="W482:X482"/>
    <mergeCell ref="Y482:Z482"/>
    <mergeCell ref="AA482:AB482"/>
    <mergeCell ref="AC482:AD482"/>
    <mergeCell ref="AE482:AF482"/>
    <mergeCell ref="AU481:AV481"/>
    <mergeCell ref="AW481:AX481"/>
    <mergeCell ref="AY481:AZ481"/>
    <mergeCell ref="BA481:BB481"/>
    <mergeCell ref="BC481:BD481"/>
    <mergeCell ref="BE481:BF481"/>
    <mergeCell ref="BG481:BH481"/>
    <mergeCell ref="E482:F482"/>
    <mergeCell ref="G482:H482"/>
    <mergeCell ref="I482:J482"/>
    <mergeCell ref="K482:L482"/>
    <mergeCell ref="M482:N482"/>
    <mergeCell ref="O482:P482"/>
    <mergeCell ref="Q482:R482"/>
    <mergeCell ref="AU484:AV484"/>
    <mergeCell ref="AW484:AX484"/>
    <mergeCell ref="AG484:AH484"/>
    <mergeCell ref="AI484:AJ484"/>
    <mergeCell ref="AK484:AL484"/>
    <mergeCell ref="AM484:AN484"/>
    <mergeCell ref="AO484:AP484"/>
    <mergeCell ref="AQ484:AR484"/>
    <mergeCell ref="AS484:AT484"/>
    <mergeCell ref="AG482:AH482"/>
    <mergeCell ref="AI482:AJ482"/>
    <mergeCell ref="AK482:AL482"/>
    <mergeCell ref="AM482:AN482"/>
    <mergeCell ref="AO482:AP482"/>
    <mergeCell ref="AQ482:AR482"/>
    <mergeCell ref="AS482:AT482"/>
    <mergeCell ref="BM482:BN482"/>
    <mergeCell ref="BO482:BP482"/>
    <mergeCell ref="AY482:AZ482"/>
    <mergeCell ref="BA482:BB482"/>
    <mergeCell ref="BC482:BD482"/>
    <mergeCell ref="BE482:BF482"/>
    <mergeCell ref="BG482:BH482"/>
    <mergeCell ref="BI482:BJ482"/>
    <mergeCell ref="BK482:BL482"/>
    <mergeCell ref="S481:T481"/>
    <mergeCell ref="U481:V481"/>
    <mergeCell ref="W481:X481"/>
    <mergeCell ref="Y481:Z481"/>
    <mergeCell ref="AA481:AB481"/>
    <mergeCell ref="AC481:AD481"/>
    <mergeCell ref="AE481:AF481"/>
    <mergeCell ref="AG481:AH481"/>
    <mergeCell ref="AI481:AJ481"/>
    <mergeCell ref="AK481:AL481"/>
    <mergeCell ref="AM481:AN481"/>
    <mergeCell ref="AO481:AP481"/>
    <mergeCell ref="AQ481:AR481"/>
    <mergeCell ref="AS481:AT481"/>
    <mergeCell ref="BI481:BJ481"/>
    <mergeCell ref="BK481:BL481"/>
    <mergeCell ref="BM481:BN481"/>
    <mergeCell ref="BO481:BP481"/>
    <mergeCell ref="E480:F480"/>
    <mergeCell ref="G480:H480"/>
    <mergeCell ref="I480:J480"/>
    <mergeCell ref="K480:L480"/>
    <mergeCell ref="M480:N480"/>
    <mergeCell ref="O480:P480"/>
    <mergeCell ref="Q480:R480"/>
    <mergeCell ref="BM486:BN486"/>
    <mergeCell ref="BO486:BP486"/>
    <mergeCell ref="AY486:AZ486"/>
    <mergeCell ref="BA486:BB486"/>
    <mergeCell ref="BC486:BD486"/>
    <mergeCell ref="BE486:BF486"/>
    <mergeCell ref="BG486:BH486"/>
    <mergeCell ref="BI486:BJ486"/>
    <mergeCell ref="BK486:BL486"/>
    <mergeCell ref="S485:T485"/>
    <mergeCell ref="U485:V485"/>
    <mergeCell ref="W485:X485"/>
    <mergeCell ref="Y485:Z485"/>
    <mergeCell ref="AA485:AB485"/>
    <mergeCell ref="AC485:AD485"/>
    <mergeCell ref="AE485:AF485"/>
    <mergeCell ref="AG485:AH485"/>
    <mergeCell ref="AI485:AJ485"/>
    <mergeCell ref="AK485:AL485"/>
    <mergeCell ref="AM485:AN485"/>
    <mergeCell ref="AO485:AP485"/>
    <mergeCell ref="AQ485:AR485"/>
    <mergeCell ref="AS485:AT485"/>
    <mergeCell ref="BI485:BJ485"/>
    <mergeCell ref="BK485:BL485"/>
    <mergeCell ref="BM485:BN485"/>
    <mergeCell ref="BO485:BP485"/>
    <mergeCell ref="E485:F485"/>
    <mergeCell ref="G485:H485"/>
    <mergeCell ref="I485:J485"/>
    <mergeCell ref="K485:L485"/>
    <mergeCell ref="M485:N485"/>
    <mergeCell ref="O485:P485"/>
    <mergeCell ref="Q485:R485"/>
    <mergeCell ref="E486:F486"/>
    <mergeCell ref="G486:H486"/>
    <mergeCell ref="I486:J486"/>
    <mergeCell ref="K486:L486"/>
    <mergeCell ref="M486:N486"/>
    <mergeCell ref="O486:P486"/>
    <mergeCell ref="Q486:R486"/>
    <mergeCell ref="S486:T486"/>
    <mergeCell ref="U486:V486"/>
    <mergeCell ref="W486:X486"/>
    <mergeCell ref="Y486:Z486"/>
    <mergeCell ref="AA486:AB486"/>
    <mergeCell ref="AC486:AD486"/>
    <mergeCell ref="AE486:AF486"/>
    <mergeCell ref="AU485:AV485"/>
    <mergeCell ref="AW485:AX485"/>
    <mergeCell ref="AY485:AZ485"/>
    <mergeCell ref="BA485:BB485"/>
    <mergeCell ref="BC485:BD485"/>
    <mergeCell ref="BE485:BF485"/>
    <mergeCell ref="BG485:BH485"/>
    <mergeCell ref="AU482:AV482"/>
    <mergeCell ref="AW482:AX482"/>
    <mergeCell ref="AU479:AV479"/>
    <mergeCell ref="AW479:AX479"/>
    <mergeCell ref="AG479:AH479"/>
    <mergeCell ref="AI479:AJ479"/>
    <mergeCell ref="AK479:AL479"/>
    <mergeCell ref="AM479:AN479"/>
    <mergeCell ref="AO479:AP479"/>
    <mergeCell ref="AQ479:AR479"/>
    <mergeCell ref="AS479:AT479"/>
    <mergeCell ref="S480:T480"/>
    <mergeCell ref="U480:V480"/>
    <mergeCell ref="W480:X480"/>
    <mergeCell ref="Y480:Z480"/>
    <mergeCell ref="AA480:AB480"/>
    <mergeCell ref="AC480:AD480"/>
    <mergeCell ref="AE480:AF480"/>
    <mergeCell ref="AG480:AH480"/>
    <mergeCell ref="AI480:AJ480"/>
    <mergeCell ref="AK480:AL480"/>
    <mergeCell ref="AM480:AN480"/>
    <mergeCell ref="AO480:AP480"/>
    <mergeCell ref="AQ480:AR480"/>
    <mergeCell ref="AS480:AT480"/>
    <mergeCell ref="BI480:BJ480"/>
    <mergeCell ref="BK480:BL480"/>
    <mergeCell ref="BM480:BN480"/>
    <mergeCell ref="BO480:BP480"/>
    <mergeCell ref="AU480:AV480"/>
    <mergeCell ref="AW480:AX480"/>
    <mergeCell ref="AY480:AZ480"/>
    <mergeCell ref="BA480:BB480"/>
    <mergeCell ref="BC480:BD480"/>
    <mergeCell ref="BE480:BF480"/>
    <mergeCell ref="BG480:BH480"/>
    <mergeCell ref="BM477:BN477"/>
    <mergeCell ref="BO477:BP477"/>
    <mergeCell ref="AY477:AZ477"/>
    <mergeCell ref="BA477:BB477"/>
    <mergeCell ref="BC477:BD477"/>
    <mergeCell ref="BE477:BF477"/>
    <mergeCell ref="BG477:BH477"/>
    <mergeCell ref="BI477:BJ477"/>
    <mergeCell ref="BK477:BL477"/>
    <mergeCell ref="S476:T476"/>
    <mergeCell ref="U476:V476"/>
    <mergeCell ref="W476:X476"/>
    <mergeCell ref="Y476:Z476"/>
    <mergeCell ref="AA476:AB476"/>
    <mergeCell ref="AC476:AD476"/>
    <mergeCell ref="AE476:AF476"/>
    <mergeCell ref="AG476:AH476"/>
    <mergeCell ref="AI476:AJ476"/>
    <mergeCell ref="AK476:AL476"/>
    <mergeCell ref="AM476:AN476"/>
    <mergeCell ref="AO476:AP476"/>
    <mergeCell ref="AQ476:AR476"/>
    <mergeCell ref="AS476:AT476"/>
    <mergeCell ref="BI476:BJ476"/>
    <mergeCell ref="BK476:BL476"/>
    <mergeCell ref="BM476:BN476"/>
    <mergeCell ref="BO476:BP476"/>
    <mergeCell ref="E476:F476"/>
    <mergeCell ref="G476:H476"/>
    <mergeCell ref="I476:J476"/>
    <mergeCell ref="K476:L476"/>
    <mergeCell ref="M476:N476"/>
    <mergeCell ref="O476:P476"/>
    <mergeCell ref="Q476:R476"/>
    <mergeCell ref="S477:T477"/>
    <mergeCell ref="U477:V477"/>
    <mergeCell ref="W477:X477"/>
    <mergeCell ref="Y477:Z477"/>
    <mergeCell ref="AA477:AB477"/>
    <mergeCell ref="AC477:AD477"/>
    <mergeCell ref="AE477:AF477"/>
    <mergeCell ref="AU476:AV476"/>
    <mergeCell ref="AW476:AX476"/>
    <mergeCell ref="AY476:AZ476"/>
    <mergeCell ref="BA476:BB476"/>
    <mergeCell ref="BC476:BD476"/>
    <mergeCell ref="BE476:BF476"/>
    <mergeCell ref="BG476:BH476"/>
    <mergeCell ref="E477:F477"/>
    <mergeCell ref="G477:H477"/>
    <mergeCell ref="I477:J477"/>
    <mergeCell ref="K477:L477"/>
    <mergeCell ref="M477:N477"/>
    <mergeCell ref="O477:P477"/>
    <mergeCell ref="Q477:R477"/>
    <mergeCell ref="E474:F474"/>
    <mergeCell ref="G474:H474"/>
    <mergeCell ref="I474:J474"/>
    <mergeCell ref="K474:L474"/>
    <mergeCell ref="M474:N474"/>
    <mergeCell ref="O474:P474"/>
    <mergeCell ref="Q474:R474"/>
    <mergeCell ref="S475:T475"/>
    <mergeCell ref="U475:V475"/>
    <mergeCell ref="W475:X475"/>
    <mergeCell ref="Y475:Z475"/>
    <mergeCell ref="AA475:AB475"/>
    <mergeCell ref="AC475:AD475"/>
    <mergeCell ref="AE475:AF475"/>
    <mergeCell ref="AU474:AV474"/>
    <mergeCell ref="AW474:AX474"/>
    <mergeCell ref="AY474:AZ474"/>
    <mergeCell ref="BA474:BB474"/>
    <mergeCell ref="BC474:BD474"/>
    <mergeCell ref="BE474:BF474"/>
    <mergeCell ref="BG474:BH474"/>
    <mergeCell ref="E475:F475"/>
    <mergeCell ref="G475:H475"/>
    <mergeCell ref="I475:J475"/>
    <mergeCell ref="K475:L475"/>
    <mergeCell ref="M475:N475"/>
    <mergeCell ref="O475:P475"/>
    <mergeCell ref="Q475:R475"/>
    <mergeCell ref="AU477:AV477"/>
    <mergeCell ref="AW477:AX477"/>
    <mergeCell ref="AG477:AH477"/>
    <mergeCell ref="AI477:AJ477"/>
    <mergeCell ref="AK477:AL477"/>
    <mergeCell ref="AM477:AN477"/>
    <mergeCell ref="AO477:AP477"/>
    <mergeCell ref="AQ477:AR477"/>
    <mergeCell ref="AS477:AT477"/>
    <mergeCell ref="AU475:AV475"/>
    <mergeCell ref="AW475:AX475"/>
    <mergeCell ref="AG475:AH475"/>
    <mergeCell ref="AI475:AJ475"/>
    <mergeCell ref="AK475:AL475"/>
    <mergeCell ref="AM475:AN475"/>
    <mergeCell ref="AO475:AP475"/>
    <mergeCell ref="AQ475:AR475"/>
    <mergeCell ref="AS475:AT475"/>
    <mergeCell ref="BM475:BN475"/>
    <mergeCell ref="BO475:BP475"/>
    <mergeCell ref="AY475:AZ475"/>
    <mergeCell ref="BA475:BB475"/>
    <mergeCell ref="BC475:BD475"/>
    <mergeCell ref="BE475:BF475"/>
    <mergeCell ref="BG475:BH475"/>
    <mergeCell ref="BI475:BJ475"/>
    <mergeCell ref="BK475:BL475"/>
    <mergeCell ref="S474:T474"/>
    <mergeCell ref="U474:V474"/>
    <mergeCell ref="W474:X474"/>
    <mergeCell ref="Y474:Z474"/>
    <mergeCell ref="AA474:AB474"/>
    <mergeCell ref="AC474:AD474"/>
    <mergeCell ref="AE474:AF474"/>
    <mergeCell ref="AG474:AH474"/>
    <mergeCell ref="AI474:AJ474"/>
    <mergeCell ref="AK474:AL474"/>
    <mergeCell ref="AM474:AN474"/>
    <mergeCell ref="AO474:AP474"/>
    <mergeCell ref="AQ474:AR474"/>
    <mergeCell ref="AS474:AT474"/>
    <mergeCell ref="BI474:BJ474"/>
    <mergeCell ref="BK474:BL474"/>
    <mergeCell ref="BM474:BN474"/>
    <mergeCell ref="BO474:BP474"/>
    <mergeCell ref="BE32:BF32"/>
    <mergeCell ref="BG32:BH32"/>
    <mergeCell ref="E32:F32"/>
    <mergeCell ref="G32:H32"/>
    <mergeCell ref="I32:J32"/>
    <mergeCell ref="K32:L32"/>
    <mergeCell ref="M32:N32"/>
    <mergeCell ref="O32:P32"/>
    <mergeCell ref="Q32:R32"/>
    <mergeCell ref="BM479:BN479"/>
    <mergeCell ref="BO479:BP479"/>
    <mergeCell ref="AY479:AZ479"/>
    <mergeCell ref="BA479:BB479"/>
    <mergeCell ref="BC479:BD479"/>
    <mergeCell ref="BE479:BF479"/>
    <mergeCell ref="BG479:BH479"/>
    <mergeCell ref="BI479:BJ479"/>
    <mergeCell ref="BK479:BL479"/>
    <mergeCell ref="S478:T478"/>
    <mergeCell ref="U478:V478"/>
    <mergeCell ref="W478:X478"/>
    <mergeCell ref="Y478:Z478"/>
    <mergeCell ref="AA478:AB478"/>
    <mergeCell ref="AC478:AD478"/>
    <mergeCell ref="AE478:AF478"/>
    <mergeCell ref="AG478:AH478"/>
    <mergeCell ref="AI478:AJ478"/>
    <mergeCell ref="AK478:AL478"/>
    <mergeCell ref="AM478:AN478"/>
    <mergeCell ref="AO478:AP478"/>
    <mergeCell ref="AQ478:AR478"/>
    <mergeCell ref="AS478:AT478"/>
    <mergeCell ref="BI478:BJ478"/>
    <mergeCell ref="BK478:BL478"/>
    <mergeCell ref="BM478:BN478"/>
    <mergeCell ref="BO478:BP478"/>
    <mergeCell ref="E478:F478"/>
    <mergeCell ref="G478:H478"/>
    <mergeCell ref="I478:J478"/>
    <mergeCell ref="K478:L478"/>
    <mergeCell ref="M478:N478"/>
    <mergeCell ref="O478:P478"/>
    <mergeCell ref="Q478:R478"/>
    <mergeCell ref="E479:F479"/>
    <mergeCell ref="G479:H479"/>
    <mergeCell ref="I479:J479"/>
    <mergeCell ref="K479:L479"/>
    <mergeCell ref="M479:N479"/>
    <mergeCell ref="O479:P479"/>
    <mergeCell ref="Q479:R479"/>
    <mergeCell ref="S479:T479"/>
    <mergeCell ref="U479:V479"/>
    <mergeCell ref="W479:X479"/>
    <mergeCell ref="Y479:Z479"/>
    <mergeCell ref="AA479:AB479"/>
    <mergeCell ref="AC479:AD479"/>
    <mergeCell ref="AE479:AF479"/>
    <mergeCell ref="AU478:AV478"/>
    <mergeCell ref="AW478:AX478"/>
    <mergeCell ref="AY478:AZ478"/>
    <mergeCell ref="BA478:BB478"/>
    <mergeCell ref="BC478:BD478"/>
    <mergeCell ref="BE478:BF478"/>
    <mergeCell ref="BG478:BH478"/>
    <mergeCell ref="E26:F26"/>
    <mergeCell ref="G26:H26"/>
    <mergeCell ref="I26:J26"/>
    <mergeCell ref="K26:L26"/>
    <mergeCell ref="M26:N26"/>
    <mergeCell ref="O26:P26"/>
    <mergeCell ref="Q26:R26"/>
    <mergeCell ref="S27:T27"/>
    <mergeCell ref="U27:V27"/>
    <mergeCell ref="W27:X27"/>
    <mergeCell ref="Y27:Z27"/>
    <mergeCell ref="AA27:AB27"/>
    <mergeCell ref="AC27:AD27"/>
    <mergeCell ref="AE27:AF27"/>
    <mergeCell ref="AU26:AV26"/>
    <mergeCell ref="AW26:AX26"/>
    <mergeCell ref="AY26:AZ26"/>
    <mergeCell ref="BA26:BB26"/>
    <mergeCell ref="BC26:BD26"/>
    <mergeCell ref="BE26:BF26"/>
    <mergeCell ref="BG26:BH26"/>
    <mergeCell ref="E27:F27"/>
    <mergeCell ref="G27:H27"/>
    <mergeCell ref="I27:J27"/>
    <mergeCell ref="K27:L27"/>
    <mergeCell ref="M27:N27"/>
    <mergeCell ref="O27:P27"/>
    <mergeCell ref="Q27:R27"/>
    <mergeCell ref="AU29:AV29"/>
    <mergeCell ref="AW29:AX29"/>
    <mergeCell ref="AG29:AH29"/>
    <mergeCell ref="AI29:AJ29"/>
    <mergeCell ref="AK29:AL29"/>
    <mergeCell ref="AM29:AN29"/>
    <mergeCell ref="AO29:AP29"/>
    <mergeCell ref="AQ29:AR29"/>
    <mergeCell ref="AS29:AT29"/>
    <mergeCell ref="E28:F28"/>
    <mergeCell ref="G28:H28"/>
    <mergeCell ref="I28:J28"/>
    <mergeCell ref="K28:L28"/>
    <mergeCell ref="M28:N28"/>
    <mergeCell ref="O28:P28"/>
    <mergeCell ref="Q28:R28"/>
    <mergeCell ref="E29:F29"/>
    <mergeCell ref="G29:H29"/>
    <mergeCell ref="I29:J29"/>
    <mergeCell ref="K29:L29"/>
    <mergeCell ref="M29:N29"/>
    <mergeCell ref="O29:P29"/>
    <mergeCell ref="Q29:R29"/>
    <mergeCell ref="AU27:AV27"/>
    <mergeCell ref="AW27:AX27"/>
    <mergeCell ref="AG27:AH27"/>
    <mergeCell ref="AI27:AJ27"/>
    <mergeCell ref="AK27:AL27"/>
    <mergeCell ref="AM27:AN27"/>
    <mergeCell ref="AO27:AP27"/>
    <mergeCell ref="AQ27:AR27"/>
    <mergeCell ref="AS27:AT27"/>
    <mergeCell ref="BM27:BN27"/>
    <mergeCell ref="BO27:BP27"/>
    <mergeCell ref="AY27:AZ27"/>
    <mergeCell ref="BA27:BB27"/>
    <mergeCell ref="BC27:BD27"/>
    <mergeCell ref="BE27:BF27"/>
    <mergeCell ref="BG27:BH27"/>
    <mergeCell ref="BI27:BJ27"/>
    <mergeCell ref="BK27:BL27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BI26:BJ26"/>
    <mergeCell ref="BK26:BL26"/>
    <mergeCell ref="BM26:BN26"/>
    <mergeCell ref="BO26:BP26"/>
    <mergeCell ref="BM25:BN25"/>
    <mergeCell ref="BO25:BP25"/>
    <mergeCell ref="AY25:AZ25"/>
    <mergeCell ref="BA25:BB25"/>
    <mergeCell ref="BC25:BD25"/>
    <mergeCell ref="BE25:BF25"/>
    <mergeCell ref="BG25:BH25"/>
    <mergeCell ref="BI25:BJ25"/>
    <mergeCell ref="BK25:BL25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BI24:BJ24"/>
    <mergeCell ref="BK24:BL24"/>
    <mergeCell ref="BM24:BN24"/>
    <mergeCell ref="BO24:BP24"/>
    <mergeCell ref="E24:F24"/>
    <mergeCell ref="G24:H24"/>
    <mergeCell ref="I24:J24"/>
    <mergeCell ref="K24:L24"/>
    <mergeCell ref="M24:N24"/>
    <mergeCell ref="O24:P24"/>
    <mergeCell ref="Q24:R24"/>
    <mergeCell ref="S25:T25"/>
    <mergeCell ref="U25:V25"/>
    <mergeCell ref="W25:X25"/>
    <mergeCell ref="Y25:Z25"/>
    <mergeCell ref="AA25:AB25"/>
    <mergeCell ref="AC25:AD25"/>
    <mergeCell ref="AE25:AF25"/>
    <mergeCell ref="AU24:AV24"/>
    <mergeCell ref="AW24:AX24"/>
    <mergeCell ref="AY24:AZ24"/>
    <mergeCell ref="BA24:BB24"/>
    <mergeCell ref="BC24:BD24"/>
    <mergeCell ref="BE24:BF24"/>
    <mergeCell ref="BG24:BH24"/>
    <mergeCell ref="E25:F25"/>
    <mergeCell ref="G25:H25"/>
    <mergeCell ref="I25:J25"/>
    <mergeCell ref="K25:L25"/>
    <mergeCell ref="M25:N25"/>
    <mergeCell ref="O25:P25"/>
    <mergeCell ref="Q25:R25"/>
    <mergeCell ref="AU25:AV25"/>
    <mergeCell ref="AW25:AX25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BI30:BJ30"/>
    <mergeCell ref="BK30:BL30"/>
    <mergeCell ref="BM30:BN30"/>
    <mergeCell ref="BO30:BP30"/>
    <mergeCell ref="E30:F30"/>
    <mergeCell ref="G30:H30"/>
    <mergeCell ref="I30:J30"/>
    <mergeCell ref="K30:L30"/>
    <mergeCell ref="M30:N30"/>
    <mergeCell ref="O30:P30"/>
    <mergeCell ref="Q30:R30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U30:AV30"/>
    <mergeCell ref="AW30:AX30"/>
    <mergeCell ref="AY30:AZ30"/>
    <mergeCell ref="BA30:BB30"/>
    <mergeCell ref="BC30:BD30"/>
    <mergeCell ref="BE30:BF30"/>
    <mergeCell ref="BG30:BH30"/>
    <mergeCell ref="AU31:AV31"/>
    <mergeCell ref="AW31:AX31"/>
    <mergeCell ref="AG31:AH31"/>
    <mergeCell ref="AI31:AJ31"/>
    <mergeCell ref="AK31:AL31"/>
    <mergeCell ref="AM31:AN31"/>
    <mergeCell ref="AO31:AP31"/>
    <mergeCell ref="AQ31:AR31"/>
    <mergeCell ref="AS31:AT31"/>
    <mergeCell ref="S424:T424"/>
    <mergeCell ref="U424:V424"/>
    <mergeCell ref="W424:X424"/>
    <mergeCell ref="Y424:Z424"/>
    <mergeCell ref="AA424:AB424"/>
    <mergeCell ref="AC424:AD424"/>
    <mergeCell ref="AE424:AF424"/>
    <mergeCell ref="AG424:AH424"/>
    <mergeCell ref="AI424:AJ424"/>
    <mergeCell ref="AK424:AL424"/>
    <mergeCell ref="AM424:AN424"/>
    <mergeCell ref="AO424:AP424"/>
    <mergeCell ref="AQ424:AR424"/>
    <mergeCell ref="AS424:AT424"/>
    <mergeCell ref="BI424:BJ424"/>
    <mergeCell ref="BK424:BL424"/>
    <mergeCell ref="BM424:BN424"/>
    <mergeCell ref="BO424:BP424"/>
    <mergeCell ref="AU424:AV424"/>
    <mergeCell ref="AW424:AX424"/>
    <mergeCell ref="AY424:AZ424"/>
    <mergeCell ref="BA424:BB424"/>
    <mergeCell ref="BC424:BD424"/>
    <mergeCell ref="BE424:BF424"/>
    <mergeCell ref="BG424:BH424"/>
    <mergeCell ref="E424:F424"/>
    <mergeCell ref="G424:H424"/>
    <mergeCell ref="I424:J424"/>
    <mergeCell ref="K424:L424"/>
    <mergeCell ref="M424:N424"/>
    <mergeCell ref="O424:P424"/>
    <mergeCell ref="Q424:R424"/>
    <mergeCell ref="BM31:BN31"/>
    <mergeCell ref="BO31:BP31"/>
    <mergeCell ref="AY31:AZ31"/>
    <mergeCell ref="BA31:BB31"/>
    <mergeCell ref="BC31:BD31"/>
    <mergeCell ref="BE31:BF31"/>
    <mergeCell ref="BG31:BH31"/>
    <mergeCell ref="BI31:BJ31"/>
    <mergeCell ref="BK31:BL31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BI32:BJ32"/>
    <mergeCell ref="BK32:BL32"/>
    <mergeCell ref="BM32:BN32"/>
    <mergeCell ref="BO32:BP32"/>
    <mergeCell ref="AU32:AV32"/>
    <mergeCell ref="AW32:AX32"/>
    <mergeCell ref="AY32:AZ32"/>
    <mergeCell ref="BA32:BB32"/>
    <mergeCell ref="BC32:BD32"/>
    <mergeCell ref="BO421:BP421"/>
    <mergeCell ref="AY421:AZ421"/>
    <mergeCell ref="BA421:BB421"/>
    <mergeCell ref="BC421:BD421"/>
    <mergeCell ref="BE421:BF421"/>
    <mergeCell ref="BG421:BH421"/>
    <mergeCell ref="BI421:BJ421"/>
    <mergeCell ref="BK421:BL421"/>
    <mergeCell ref="S420:T420"/>
    <mergeCell ref="U420:V420"/>
    <mergeCell ref="W420:X420"/>
    <mergeCell ref="Y420:Z420"/>
    <mergeCell ref="AA420:AB420"/>
    <mergeCell ref="AC420:AD420"/>
    <mergeCell ref="AE420:AF420"/>
    <mergeCell ref="AG420:AH420"/>
    <mergeCell ref="AI420:AJ420"/>
    <mergeCell ref="AK420:AL420"/>
    <mergeCell ref="AM420:AN420"/>
    <mergeCell ref="AO420:AP420"/>
    <mergeCell ref="AQ420:AR420"/>
    <mergeCell ref="AS420:AT420"/>
    <mergeCell ref="BI420:BJ420"/>
    <mergeCell ref="BK420:BL420"/>
    <mergeCell ref="BM420:BN420"/>
    <mergeCell ref="BO420:BP420"/>
    <mergeCell ref="E420:F420"/>
    <mergeCell ref="G420:H420"/>
    <mergeCell ref="I420:J420"/>
    <mergeCell ref="K420:L420"/>
    <mergeCell ref="M420:N420"/>
    <mergeCell ref="O420:P420"/>
    <mergeCell ref="Q420:R420"/>
    <mergeCell ref="S421:T421"/>
    <mergeCell ref="U421:V421"/>
    <mergeCell ref="W421:X421"/>
    <mergeCell ref="Y421:Z421"/>
    <mergeCell ref="AA421:AB421"/>
    <mergeCell ref="AC421:AD421"/>
    <mergeCell ref="AE421:AF421"/>
    <mergeCell ref="AU420:AV420"/>
    <mergeCell ref="AW420:AX420"/>
    <mergeCell ref="AY420:AZ420"/>
    <mergeCell ref="BA420:BB420"/>
    <mergeCell ref="BC420:BD420"/>
    <mergeCell ref="BE420:BF420"/>
    <mergeCell ref="BG420:BH420"/>
    <mergeCell ref="E421:F421"/>
    <mergeCell ref="G421:H421"/>
    <mergeCell ref="I421:J421"/>
    <mergeCell ref="K421:L421"/>
    <mergeCell ref="M421:N421"/>
    <mergeCell ref="O421:P421"/>
    <mergeCell ref="Q421:R421"/>
    <mergeCell ref="BO419:BP419"/>
    <mergeCell ref="AY419:AZ419"/>
    <mergeCell ref="BA419:BB419"/>
    <mergeCell ref="BC419:BD419"/>
    <mergeCell ref="BE419:BF419"/>
    <mergeCell ref="BG419:BH419"/>
    <mergeCell ref="BI419:BJ419"/>
    <mergeCell ref="BK419:BL419"/>
    <mergeCell ref="S418:T418"/>
    <mergeCell ref="U418:V418"/>
    <mergeCell ref="W418:X418"/>
    <mergeCell ref="Y418:Z418"/>
    <mergeCell ref="AA418:AB418"/>
    <mergeCell ref="AC418:AD418"/>
    <mergeCell ref="AE418:AF418"/>
    <mergeCell ref="AG418:AH418"/>
    <mergeCell ref="AI418:AJ418"/>
    <mergeCell ref="AK418:AL418"/>
    <mergeCell ref="AM418:AN418"/>
    <mergeCell ref="AO418:AP418"/>
    <mergeCell ref="AQ418:AR418"/>
    <mergeCell ref="AS418:AT418"/>
    <mergeCell ref="BI418:BJ418"/>
    <mergeCell ref="BK418:BL418"/>
    <mergeCell ref="BM418:BN418"/>
    <mergeCell ref="BO418:BP418"/>
    <mergeCell ref="E418:F418"/>
    <mergeCell ref="G418:H418"/>
    <mergeCell ref="I418:J418"/>
    <mergeCell ref="K418:L418"/>
    <mergeCell ref="M418:N418"/>
    <mergeCell ref="O418:P418"/>
    <mergeCell ref="Q418:R418"/>
    <mergeCell ref="S419:T419"/>
    <mergeCell ref="U419:V419"/>
    <mergeCell ref="W419:X419"/>
    <mergeCell ref="Y419:Z419"/>
    <mergeCell ref="AA419:AB419"/>
    <mergeCell ref="AC419:AD419"/>
    <mergeCell ref="AE419:AF419"/>
    <mergeCell ref="AU418:AV418"/>
    <mergeCell ref="AW418:AX418"/>
    <mergeCell ref="AY418:AZ418"/>
    <mergeCell ref="BA418:BB418"/>
    <mergeCell ref="BC418:BD418"/>
    <mergeCell ref="BE418:BF418"/>
    <mergeCell ref="BG418:BH418"/>
    <mergeCell ref="E419:F419"/>
    <mergeCell ref="G419:H419"/>
    <mergeCell ref="I419:J419"/>
    <mergeCell ref="K419:L419"/>
    <mergeCell ref="M419:N419"/>
    <mergeCell ref="O419:P419"/>
    <mergeCell ref="Q419:R419"/>
    <mergeCell ref="O422:P422"/>
    <mergeCell ref="Q422:R422"/>
    <mergeCell ref="E423:F423"/>
    <mergeCell ref="G423:H423"/>
    <mergeCell ref="I423:J423"/>
    <mergeCell ref="K423:L423"/>
    <mergeCell ref="M423:N423"/>
    <mergeCell ref="O423:P423"/>
    <mergeCell ref="Q423:R423"/>
    <mergeCell ref="S423:T423"/>
    <mergeCell ref="U423:V423"/>
    <mergeCell ref="W423:X423"/>
    <mergeCell ref="Y423:Z423"/>
    <mergeCell ref="AA423:AB423"/>
    <mergeCell ref="AC423:AD423"/>
    <mergeCell ref="AE423:AF423"/>
    <mergeCell ref="AU422:AV422"/>
    <mergeCell ref="AW422:AX422"/>
    <mergeCell ref="AY422:AZ422"/>
    <mergeCell ref="BA422:BB422"/>
    <mergeCell ref="BC422:BD422"/>
    <mergeCell ref="BE422:BF422"/>
    <mergeCell ref="BG422:BH422"/>
    <mergeCell ref="AU419:AV419"/>
    <mergeCell ref="AW419:AX419"/>
    <mergeCell ref="AG419:AH419"/>
    <mergeCell ref="AI419:AJ419"/>
    <mergeCell ref="AK419:AL419"/>
    <mergeCell ref="AM419:AN419"/>
    <mergeCell ref="AO419:AP419"/>
    <mergeCell ref="AQ419:AR419"/>
    <mergeCell ref="AS419:AT419"/>
    <mergeCell ref="BM419:BN419"/>
    <mergeCell ref="AU421:AV421"/>
    <mergeCell ref="AW421:AX421"/>
    <mergeCell ref="AG421:AH421"/>
    <mergeCell ref="AI421:AJ421"/>
    <mergeCell ref="AK421:AL421"/>
    <mergeCell ref="AM421:AN421"/>
    <mergeCell ref="AO421:AP421"/>
    <mergeCell ref="AQ421:AR421"/>
    <mergeCell ref="AS421:AT421"/>
    <mergeCell ref="BM421:BN421"/>
    <mergeCell ref="AU423:AV423"/>
    <mergeCell ref="AW423:AX423"/>
    <mergeCell ref="AG423:AH423"/>
    <mergeCell ref="AI423:AJ423"/>
    <mergeCell ref="AK423:AL423"/>
    <mergeCell ref="AM423:AN423"/>
    <mergeCell ref="AO423:AP423"/>
    <mergeCell ref="AQ423:AR423"/>
    <mergeCell ref="AS423:AT423"/>
    <mergeCell ref="S417:T417"/>
    <mergeCell ref="U417:V417"/>
    <mergeCell ref="W417:X417"/>
    <mergeCell ref="Y417:Z417"/>
    <mergeCell ref="AA417:AB417"/>
    <mergeCell ref="AC417:AD417"/>
    <mergeCell ref="AE417:AF417"/>
    <mergeCell ref="AG417:AH417"/>
    <mergeCell ref="AI417:AJ417"/>
    <mergeCell ref="AK417:AL417"/>
    <mergeCell ref="AM417:AN417"/>
    <mergeCell ref="AO417:AP417"/>
    <mergeCell ref="AQ417:AR417"/>
    <mergeCell ref="AS417:AT417"/>
    <mergeCell ref="BI417:BJ417"/>
    <mergeCell ref="BK417:BL417"/>
    <mergeCell ref="BM417:BN417"/>
    <mergeCell ref="BO417:BP417"/>
    <mergeCell ref="AU417:AV417"/>
    <mergeCell ref="AW417:AX417"/>
    <mergeCell ref="AY417:AZ417"/>
    <mergeCell ref="BA417:BB417"/>
    <mergeCell ref="BC417:BD417"/>
    <mergeCell ref="BE417:BF417"/>
    <mergeCell ref="BG417:BH417"/>
    <mergeCell ref="E417:F417"/>
    <mergeCell ref="G417:H417"/>
    <mergeCell ref="I417:J417"/>
    <mergeCell ref="K417:L417"/>
    <mergeCell ref="M417:N417"/>
    <mergeCell ref="O417:P417"/>
    <mergeCell ref="Q417:R417"/>
    <mergeCell ref="BM423:BN423"/>
    <mergeCell ref="BO423:BP423"/>
    <mergeCell ref="AY423:AZ423"/>
    <mergeCell ref="BA423:BB423"/>
    <mergeCell ref="BC423:BD423"/>
    <mergeCell ref="BE423:BF423"/>
    <mergeCell ref="BG423:BH423"/>
    <mergeCell ref="BI423:BJ423"/>
    <mergeCell ref="BK423:BL423"/>
    <mergeCell ref="S422:T422"/>
    <mergeCell ref="U422:V422"/>
    <mergeCell ref="W422:X422"/>
    <mergeCell ref="Y422:Z422"/>
    <mergeCell ref="AA422:AB422"/>
    <mergeCell ref="AC422:AD422"/>
    <mergeCell ref="AE422:AF422"/>
    <mergeCell ref="AG422:AH422"/>
    <mergeCell ref="AI422:AJ422"/>
    <mergeCell ref="AK422:AL422"/>
    <mergeCell ref="AM422:AN422"/>
    <mergeCell ref="AO422:AP422"/>
    <mergeCell ref="AQ422:AR422"/>
    <mergeCell ref="AS422:AT422"/>
    <mergeCell ref="BI422:BJ422"/>
    <mergeCell ref="BK422:BL422"/>
    <mergeCell ref="BM422:BN422"/>
    <mergeCell ref="BO422:BP422"/>
    <mergeCell ref="E422:F422"/>
    <mergeCell ref="G422:H422"/>
    <mergeCell ref="I422:J422"/>
    <mergeCell ref="K422:L422"/>
    <mergeCell ref="M422:N422"/>
    <mergeCell ref="BO414:BP414"/>
    <mergeCell ref="AY414:AZ414"/>
    <mergeCell ref="BA414:BB414"/>
    <mergeCell ref="BC414:BD414"/>
    <mergeCell ref="BE414:BF414"/>
    <mergeCell ref="BG414:BH414"/>
    <mergeCell ref="BI414:BJ414"/>
    <mergeCell ref="BK414:BL414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I413:AJ413"/>
    <mergeCell ref="AK413:AL413"/>
    <mergeCell ref="AM413:AN413"/>
    <mergeCell ref="AO413:AP413"/>
    <mergeCell ref="AQ413:AR413"/>
    <mergeCell ref="AS413:AT413"/>
    <mergeCell ref="BI413:BJ413"/>
    <mergeCell ref="BK413:BL413"/>
    <mergeCell ref="BM413:BN413"/>
    <mergeCell ref="BO413:BP413"/>
    <mergeCell ref="E413:F413"/>
    <mergeCell ref="G413:H413"/>
    <mergeCell ref="I413:J413"/>
    <mergeCell ref="K413:L413"/>
    <mergeCell ref="M413:N413"/>
    <mergeCell ref="O413:P413"/>
    <mergeCell ref="Q413:R413"/>
    <mergeCell ref="S414:T414"/>
    <mergeCell ref="U414:V414"/>
    <mergeCell ref="W414:X414"/>
    <mergeCell ref="Y414:Z414"/>
    <mergeCell ref="AA414:AB414"/>
    <mergeCell ref="AC414:AD414"/>
    <mergeCell ref="AE414:AF414"/>
    <mergeCell ref="AU413:AV413"/>
    <mergeCell ref="AW413:AX413"/>
    <mergeCell ref="AY413:AZ413"/>
    <mergeCell ref="BA413:BB413"/>
    <mergeCell ref="BC413:BD413"/>
    <mergeCell ref="BE413:BF413"/>
    <mergeCell ref="BG413:BH413"/>
    <mergeCell ref="E414:F414"/>
    <mergeCell ref="G414:H414"/>
    <mergeCell ref="I414:J414"/>
    <mergeCell ref="K414:L414"/>
    <mergeCell ref="M414:N414"/>
    <mergeCell ref="O414:P414"/>
    <mergeCell ref="Q414:R414"/>
    <mergeCell ref="BO412:BP412"/>
    <mergeCell ref="AY412:AZ412"/>
    <mergeCell ref="BA412:BB412"/>
    <mergeCell ref="BC412:BD412"/>
    <mergeCell ref="BE412:BF412"/>
    <mergeCell ref="BG412:BH412"/>
    <mergeCell ref="BI412:BJ412"/>
    <mergeCell ref="BK412:BL412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I411:AJ411"/>
    <mergeCell ref="AK411:AL411"/>
    <mergeCell ref="AM411:AN411"/>
    <mergeCell ref="AO411:AP411"/>
    <mergeCell ref="AQ411:AR411"/>
    <mergeCell ref="AS411:AT411"/>
    <mergeCell ref="BI411:BJ411"/>
    <mergeCell ref="BK411:BL411"/>
    <mergeCell ref="BM411:BN411"/>
    <mergeCell ref="BO411:BP411"/>
    <mergeCell ref="E411:F411"/>
    <mergeCell ref="G411:H411"/>
    <mergeCell ref="I411:J411"/>
    <mergeCell ref="K411:L411"/>
    <mergeCell ref="M411:N411"/>
    <mergeCell ref="O411:P411"/>
    <mergeCell ref="Q411:R411"/>
    <mergeCell ref="S412:T412"/>
    <mergeCell ref="U412:V412"/>
    <mergeCell ref="W412:X412"/>
    <mergeCell ref="Y412:Z412"/>
    <mergeCell ref="AA412:AB412"/>
    <mergeCell ref="AC412:AD412"/>
    <mergeCell ref="AE412:AF412"/>
    <mergeCell ref="AU411:AV411"/>
    <mergeCell ref="AW411:AX411"/>
    <mergeCell ref="AY411:AZ411"/>
    <mergeCell ref="BA411:BB411"/>
    <mergeCell ref="BC411:BD411"/>
    <mergeCell ref="BE411:BF411"/>
    <mergeCell ref="BG411:BH411"/>
    <mergeCell ref="E412:F412"/>
    <mergeCell ref="G412:H412"/>
    <mergeCell ref="I412:J412"/>
    <mergeCell ref="K412:L412"/>
    <mergeCell ref="M412:N412"/>
    <mergeCell ref="O412:P412"/>
    <mergeCell ref="Q412:R412"/>
    <mergeCell ref="O415:P415"/>
    <mergeCell ref="Q415:R415"/>
    <mergeCell ref="E416:F416"/>
    <mergeCell ref="G416:H416"/>
    <mergeCell ref="I416:J416"/>
    <mergeCell ref="K416:L416"/>
    <mergeCell ref="M416:N416"/>
    <mergeCell ref="O416:P416"/>
    <mergeCell ref="Q416:R416"/>
    <mergeCell ref="S416:T416"/>
    <mergeCell ref="U416:V416"/>
    <mergeCell ref="W416:X416"/>
    <mergeCell ref="Y416:Z416"/>
    <mergeCell ref="AA416:AB416"/>
    <mergeCell ref="AC416:AD416"/>
    <mergeCell ref="AE416:AF416"/>
    <mergeCell ref="AU415:AV415"/>
    <mergeCell ref="AW415:AX415"/>
    <mergeCell ref="AY415:AZ415"/>
    <mergeCell ref="BA415:BB415"/>
    <mergeCell ref="BC415:BD415"/>
    <mergeCell ref="BE415:BF415"/>
    <mergeCell ref="BG415:BH415"/>
    <mergeCell ref="AU412:AV412"/>
    <mergeCell ref="AW412:AX412"/>
    <mergeCell ref="AG412:AH412"/>
    <mergeCell ref="AI412:AJ412"/>
    <mergeCell ref="AK412:AL412"/>
    <mergeCell ref="AM412:AN412"/>
    <mergeCell ref="AO412:AP412"/>
    <mergeCell ref="AQ412:AR412"/>
    <mergeCell ref="AS412:AT412"/>
    <mergeCell ref="BM412:BN412"/>
    <mergeCell ref="AU414:AV414"/>
    <mergeCell ref="AW414:AX414"/>
    <mergeCell ref="AG414:AH414"/>
    <mergeCell ref="AI414:AJ414"/>
    <mergeCell ref="AK414:AL414"/>
    <mergeCell ref="AM414:AN414"/>
    <mergeCell ref="AO414:AP414"/>
    <mergeCell ref="AQ414:AR414"/>
    <mergeCell ref="AS414:AT414"/>
    <mergeCell ref="BM414:BN414"/>
    <mergeCell ref="AU416:AV416"/>
    <mergeCell ref="AW416:AX416"/>
    <mergeCell ref="AG416:AH416"/>
    <mergeCell ref="AI416:AJ416"/>
    <mergeCell ref="AK416:AL416"/>
    <mergeCell ref="AM416:AN416"/>
    <mergeCell ref="AO416:AP416"/>
    <mergeCell ref="AQ416:AR416"/>
    <mergeCell ref="AS416:AT416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I410:AJ410"/>
    <mergeCell ref="AK410:AL410"/>
    <mergeCell ref="AM410:AN410"/>
    <mergeCell ref="AO410:AP410"/>
    <mergeCell ref="AQ410:AR410"/>
    <mergeCell ref="AS410:AT410"/>
    <mergeCell ref="BI410:BJ410"/>
    <mergeCell ref="BK410:BL410"/>
    <mergeCell ref="BM410:BN410"/>
    <mergeCell ref="BO410:BP410"/>
    <mergeCell ref="AU410:AV410"/>
    <mergeCell ref="AW410:AX410"/>
    <mergeCell ref="AY410:AZ410"/>
    <mergeCell ref="BA410:BB410"/>
    <mergeCell ref="BC410:BD410"/>
    <mergeCell ref="BE410:BF410"/>
    <mergeCell ref="BG410:BH410"/>
    <mergeCell ref="E410:F410"/>
    <mergeCell ref="G410:H410"/>
    <mergeCell ref="I410:J410"/>
    <mergeCell ref="K410:L410"/>
    <mergeCell ref="M410:N410"/>
    <mergeCell ref="O410:P410"/>
    <mergeCell ref="Q410:R410"/>
    <mergeCell ref="BM416:BN416"/>
    <mergeCell ref="BO416:BP416"/>
    <mergeCell ref="AY416:AZ416"/>
    <mergeCell ref="BA416:BB416"/>
    <mergeCell ref="BC416:BD416"/>
    <mergeCell ref="BE416:BF416"/>
    <mergeCell ref="BG416:BH416"/>
    <mergeCell ref="BI416:BJ416"/>
    <mergeCell ref="BK416:BL416"/>
    <mergeCell ref="S415:T415"/>
    <mergeCell ref="U415:V415"/>
    <mergeCell ref="W415:X415"/>
    <mergeCell ref="Y415:Z415"/>
    <mergeCell ref="AA415:AB415"/>
    <mergeCell ref="AC415:AD415"/>
    <mergeCell ref="AE415:AF415"/>
    <mergeCell ref="AG415:AH415"/>
    <mergeCell ref="AI415:AJ415"/>
    <mergeCell ref="AK415:AL415"/>
    <mergeCell ref="AM415:AN415"/>
    <mergeCell ref="AO415:AP415"/>
    <mergeCell ref="AQ415:AR415"/>
    <mergeCell ref="AS415:AT415"/>
    <mergeCell ref="BI415:BJ415"/>
    <mergeCell ref="BK415:BL415"/>
    <mergeCell ref="BM415:BN415"/>
    <mergeCell ref="BO415:BP415"/>
    <mergeCell ref="E415:F415"/>
    <mergeCell ref="G415:H415"/>
    <mergeCell ref="I415:J415"/>
    <mergeCell ref="K415:L415"/>
    <mergeCell ref="M415:N415"/>
    <mergeCell ref="BO407:BP407"/>
    <mergeCell ref="AY407:AZ407"/>
    <mergeCell ref="BA407:BB407"/>
    <mergeCell ref="BC407:BD407"/>
    <mergeCell ref="BE407:BF407"/>
    <mergeCell ref="BG407:BH407"/>
    <mergeCell ref="BI407:BJ407"/>
    <mergeCell ref="BK407:BL407"/>
    <mergeCell ref="S406:T406"/>
    <mergeCell ref="U406:V406"/>
    <mergeCell ref="W406:X406"/>
    <mergeCell ref="Y406:Z406"/>
    <mergeCell ref="AA406:AB406"/>
    <mergeCell ref="AC406:AD406"/>
    <mergeCell ref="AE406:AF406"/>
    <mergeCell ref="AG406:AH406"/>
    <mergeCell ref="AI406:AJ406"/>
    <mergeCell ref="AK406:AL406"/>
    <mergeCell ref="AM406:AN406"/>
    <mergeCell ref="AO406:AP406"/>
    <mergeCell ref="AQ406:AR406"/>
    <mergeCell ref="AS406:AT406"/>
    <mergeCell ref="BI406:BJ406"/>
    <mergeCell ref="BK406:BL406"/>
    <mergeCell ref="BM406:BN406"/>
    <mergeCell ref="BO406:BP406"/>
    <mergeCell ref="E406:F406"/>
    <mergeCell ref="G406:H406"/>
    <mergeCell ref="I406:J406"/>
    <mergeCell ref="K406:L406"/>
    <mergeCell ref="M406:N406"/>
    <mergeCell ref="O406:P406"/>
    <mergeCell ref="Q406:R406"/>
    <mergeCell ref="S407:T407"/>
    <mergeCell ref="U407:V407"/>
    <mergeCell ref="W407:X407"/>
    <mergeCell ref="Y407:Z407"/>
    <mergeCell ref="AA407:AB407"/>
    <mergeCell ref="AC407:AD407"/>
    <mergeCell ref="AE407:AF407"/>
    <mergeCell ref="AU406:AV406"/>
    <mergeCell ref="AW406:AX406"/>
    <mergeCell ref="AY406:AZ406"/>
    <mergeCell ref="BA406:BB406"/>
    <mergeCell ref="BC406:BD406"/>
    <mergeCell ref="BE406:BF406"/>
    <mergeCell ref="BG406:BH406"/>
    <mergeCell ref="E407:F407"/>
    <mergeCell ref="G407:H407"/>
    <mergeCell ref="I407:J407"/>
    <mergeCell ref="K407:L407"/>
    <mergeCell ref="M407:N407"/>
    <mergeCell ref="O407:P407"/>
    <mergeCell ref="Q407:R407"/>
    <mergeCell ref="BO405:BP405"/>
    <mergeCell ref="AY405:AZ405"/>
    <mergeCell ref="BA405:BB405"/>
    <mergeCell ref="BC405:BD405"/>
    <mergeCell ref="BE405:BF405"/>
    <mergeCell ref="BG405:BH405"/>
    <mergeCell ref="BI405:BJ405"/>
    <mergeCell ref="BK405:BL405"/>
    <mergeCell ref="S404:T404"/>
    <mergeCell ref="U404:V404"/>
    <mergeCell ref="W404:X404"/>
    <mergeCell ref="Y404:Z404"/>
    <mergeCell ref="AA404:AB404"/>
    <mergeCell ref="AC404:AD404"/>
    <mergeCell ref="AE404:AF404"/>
    <mergeCell ref="AG404:AH404"/>
    <mergeCell ref="AI404:AJ404"/>
    <mergeCell ref="AK404:AL404"/>
    <mergeCell ref="AM404:AN404"/>
    <mergeCell ref="AO404:AP404"/>
    <mergeCell ref="AQ404:AR404"/>
    <mergeCell ref="AS404:AT404"/>
    <mergeCell ref="BI404:BJ404"/>
    <mergeCell ref="BK404:BL404"/>
    <mergeCell ref="BM404:BN404"/>
    <mergeCell ref="BO404:BP404"/>
    <mergeCell ref="E404:F404"/>
    <mergeCell ref="G404:H404"/>
    <mergeCell ref="I404:J404"/>
    <mergeCell ref="K404:L404"/>
    <mergeCell ref="M404:N404"/>
    <mergeCell ref="O404:P404"/>
    <mergeCell ref="Q404:R404"/>
    <mergeCell ref="S405:T405"/>
    <mergeCell ref="U405:V405"/>
    <mergeCell ref="W405:X405"/>
    <mergeCell ref="Y405:Z405"/>
    <mergeCell ref="AA405:AB405"/>
    <mergeCell ref="AC405:AD405"/>
    <mergeCell ref="AE405:AF405"/>
    <mergeCell ref="AU404:AV404"/>
    <mergeCell ref="AW404:AX404"/>
    <mergeCell ref="AY404:AZ404"/>
    <mergeCell ref="BA404:BB404"/>
    <mergeCell ref="BC404:BD404"/>
    <mergeCell ref="BE404:BF404"/>
    <mergeCell ref="BG404:BH404"/>
    <mergeCell ref="E405:F405"/>
    <mergeCell ref="G405:H405"/>
    <mergeCell ref="I405:J405"/>
    <mergeCell ref="K405:L405"/>
    <mergeCell ref="M405:N405"/>
    <mergeCell ref="O405:P405"/>
    <mergeCell ref="Q405:R405"/>
    <mergeCell ref="O408:P408"/>
    <mergeCell ref="Q408:R408"/>
    <mergeCell ref="E409:F409"/>
    <mergeCell ref="G409:H409"/>
    <mergeCell ref="I409:J409"/>
    <mergeCell ref="K409:L409"/>
    <mergeCell ref="M409:N409"/>
    <mergeCell ref="O409:P409"/>
    <mergeCell ref="Q409:R409"/>
    <mergeCell ref="S409:T409"/>
    <mergeCell ref="U409:V409"/>
    <mergeCell ref="W409:X409"/>
    <mergeCell ref="Y409:Z409"/>
    <mergeCell ref="AA409:AB409"/>
    <mergeCell ref="AC409:AD409"/>
    <mergeCell ref="AE409:AF409"/>
    <mergeCell ref="AU408:AV408"/>
    <mergeCell ref="AW408:AX408"/>
    <mergeCell ref="AY408:AZ408"/>
    <mergeCell ref="BA408:BB408"/>
    <mergeCell ref="BC408:BD408"/>
    <mergeCell ref="BE408:BF408"/>
    <mergeCell ref="BG408:BH408"/>
    <mergeCell ref="AU405:AV405"/>
    <mergeCell ref="AW405:AX405"/>
    <mergeCell ref="AG405:AH405"/>
    <mergeCell ref="AI405:AJ405"/>
    <mergeCell ref="AK405:AL405"/>
    <mergeCell ref="AM405:AN405"/>
    <mergeCell ref="AO405:AP405"/>
    <mergeCell ref="AQ405:AR405"/>
    <mergeCell ref="AS405:AT405"/>
    <mergeCell ref="BM405:BN405"/>
    <mergeCell ref="AU407:AV407"/>
    <mergeCell ref="AW407:AX407"/>
    <mergeCell ref="AG407:AH407"/>
    <mergeCell ref="AI407:AJ407"/>
    <mergeCell ref="AK407:AL407"/>
    <mergeCell ref="AM407:AN407"/>
    <mergeCell ref="AO407:AP407"/>
    <mergeCell ref="AQ407:AR407"/>
    <mergeCell ref="AS407:AT407"/>
    <mergeCell ref="BM407:BN407"/>
    <mergeCell ref="AU409:AV409"/>
    <mergeCell ref="AW409:AX409"/>
    <mergeCell ref="AG409:AH409"/>
    <mergeCell ref="AI409:AJ409"/>
    <mergeCell ref="AK409:AL409"/>
    <mergeCell ref="AM409:AN409"/>
    <mergeCell ref="AO409:AP409"/>
    <mergeCell ref="AQ409:AR409"/>
    <mergeCell ref="AS409:AT409"/>
    <mergeCell ref="S403:T403"/>
    <mergeCell ref="U403:V403"/>
    <mergeCell ref="W403:X403"/>
    <mergeCell ref="Y403:Z403"/>
    <mergeCell ref="AA403:AB403"/>
    <mergeCell ref="AC403:AD403"/>
    <mergeCell ref="AE403:AF403"/>
    <mergeCell ref="AG403:AH403"/>
    <mergeCell ref="AI403:AJ403"/>
    <mergeCell ref="AK403:AL403"/>
    <mergeCell ref="AM403:AN403"/>
    <mergeCell ref="AO403:AP403"/>
    <mergeCell ref="AQ403:AR403"/>
    <mergeCell ref="AS403:AT403"/>
    <mergeCell ref="BI403:BJ403"/>
    <mergeCell ref="BK403:BL403"/>
    <mergeCell ref="BM403:BN403"/>
    <mergeCell ref="BO403:BP403"/>
    <mergeCell ref="AU403:AV403"/>
    <mergeCell ref="AW403:AX403"/>
    <mergeCell ref="AY403:AZ403"/>
    <mergeCell ref="BA403:BB403"/>
    <mergeCell ref="BC403:BD403"/>
    <mergeCell ref="BE403:BF403"/>
    <mergeCell ref="BG403:BH403"/>
    <mergeCell ref="E403:F403"/>
    <mergeCell ref="G403:H403"/>
    <mergeCell ref="I403:J403"/>
    <mergeCell ref="K403:L403"/>
    <mergeCell ref="M403:N403"/>
    <mergeCell ref="O403:P403"/>
    <mergeCell ref="Q403:R403"/>
    <mergeCell ref="BM409:BN409"/>
    <mergeCell ref="BO409:BP409"/>
    <mergeCell ref="AY409:AZ409"/>
    <mergeCell ref="BA409:BB409"/>
    <mergeCell ref="BC409:BD409"/>
    <mergeCell ref="BE409:BF409"/>
    <mergeCell ref="BG409:BH409"/>
    <mergeCell ref="BI409:BJ409"/>
    <mergeCell ref="BK409:BL409"/>
    <mergeCell ref="S408:T408"/>
    <mergeCell ref="U408:V408"/>
    <mergeCell ref="W408:X408"/>
    <mergeCell ref="Y408:Z408"/>
    <mergeCell ref="AA408:AB408"/>
    <mergeCell ref="AC408:AD408"/>
    <mergeCell ref="AE408:AF408"/>
    <mergeCell ref="AG408:AH408"/>
    <mergeCell ref="AI408:AJ408"/>
    <mergeCell ref="AK408:AL408"/>
    <mergeCell ref="AM408:AN408"/>
    <mergeCell ref="AO408:AP408"/>
    <mergeCell ref="AQ408:AR408"/>
    <mergeCell ref="AS408:AT408"/>
    <mergeCell ref="BI408:BJ408"/>
    <mergeCell ref="BK408:BL408"/>
    <mergeCell ref="BM408:BN408"/>
    <mergeCell ref="BO408:BP408"/>
    <mergeCell ref="E408:F408"/>
    <mergeCell ref="G408:H408"/>
    <mergeCell ref="I408:J408"/>
    <mergeCell ref="K408:L408"/>
    <mergeCell ref="M408:N408"/>
    <mergeCell ref="BO400:BP400"/>
    <mergeCell ref="AY400:AZ400"/>
    <mergeCell ref="BA400:BB400"/>
    <mergeCell ref="BC400:BD400"/>
    <mergeCell ref="BE400:BF400"/>
    <mergeCell ref="BG400:BH400"/>
    <mergeCell ref="BI400:BJ400"/>
    <mergeCell ref="BK400:BL400"/>
    <mergeCell ref="S399:T399"/>
    <mergeCell ref="U399:V399"/>
    <mergeCell ref="W399:X399"/>
    <mergeCell ref="Y399:Z399"/>
    <mergeCell ref="AA399:AB399"/>
    <mergeCell ref="AC399:AD399"/>
    <mergeCell ref="AE399:AF399"/>
    <mergeCell ref="AG399:AH399"/>
    <mergeCell ref="AI399:AJ399"/>
    <mergeCell ref="AK399:AL399"/>
    <mergeCell ref="AM399:AN399"/>
    <mergeCell ref="AO399:AP399"/>
    <mergeCell ref="AQ399:AR399"/>
    <mergeCell ref="AS399:AT399"/>
    <mergeCell ref="BI399:BJ399"/>
    <mergeCell ref="BK399:BL399"/>
    <mergeCell ref="BM399:BN399"/>
    <mergeCell ref="BO399:BP399"/>
    <mergeCell ref="E399:F399"/>
    <mergeCell ref="G399:H399"/>
    <mergeCell ref="I399:J399"/>
    <mergeCell ref="K399:L399"/>
    <mergeCell ref="M399:N399"/>
    <mergeCell ref="O399:P399"/>
    <mergeCell ref="Q399:R399"/>
    <mergeCell ref="S400:T400"/>
    <mergeCell ref="U400:V400"/>
    <mergeCell ref="W400:X400"/>
    <mergeCell ref="Y400:Z400"/>
    <mergeCell ref="AA400:AB400"/>
    <mergeCell ref="AC400:AD400"/>
    <mergeCell ref="AE400:AF400"/>
    <mergeCell ref="AU399:AV399"/>
    <mergeCell ref="AW399:AX399"/>
    <mergeCell ref="AY399:AZ399"/>
    <mergeCell ref="BA399:BB399"/>
    <mergeCell ref="BC399:BD399"/>
    <mergeCell ref="BE399:BF399"/>
    <mergeCell ref="BG399:BH399"/>
    <mergeCell ref="E400:F400"/>
    <mergeCell ref="G400:H400"/>
    <mergeCell ref="I400:J400"/>
    <mergeCell ref="K400:L400"/>
    <mergeCell ref="M400:N400"/>
    <mergeCell ref="O400:P400"/>
    <mergeCell ref="Q400:R400"/>
    <mergeCell ref="BO398:BP398"/>
    <mergeCell ref="AY398:AZ398"/>
    <mergeCell ref="BA398:BB398"/>
    <mergeCell ref="BC398:BD398"/>
    <mergeCell ref="BE398:BF398"/>
    <mergeCell ref="BG398:BH398"/>
    <mergeCell ref="BI398:BJ398"/>
    <mergeCell ref="BK398:BL398"/>
    <mergeCell ref="S397:T397"/>
    <mergeCell ref="U397:V397"/>
    <mergeCell ref="W397:X397"/>
    <mergeCell ref="Y397:Z397"/>
    <mergeCell ref="AA397:AB397"/>
    <mergeCell ref="AC397:AD397"/>
    <mergeCell ref="AE397:AF397"/>
    <mergeCell ref="AG397:AH397"/>
    <mergeCell ref="AI397:AJ397"/>
    <mergeCell ref="AK397:AL397"/>
    <mergeCell ref="AM397:AN397"/>
    <mergeCell ref="AO397:AP397"/>
    <mergeCell ref="AQ397:AR397"/>
    <mergeCell ref="AS397:AT397"/>
    <mergeCell ref="BI397:BJ397"/>
    <mergeCell ref="BK397:BL397"/>
    <mergeCell ref="BM397:BN397"/>
    <mergeCell ref="BO397:BP397"/>
    <mergeCell ref="E397:F397"/>
    <mergeCell ref="G397:H397"/>
    <mergeCell ref="I397:J397"/>
    <mergeCell ref="K397:L397"/>
    <mergeCell ref="M397:N397"/>
    <mergeCell ref="O397:P397"/>
    <mergeCell ref="Q397:R397"/>
    <mergeCell ref="S398:T398"/>
    <mergeCell ref="U398:V398"/>
    <mergeCell ref="W398:X398"/>
    <mergeCell ref="Y398:Z398"/>
    <mergeCell ref="AA398:AB398"/>
    <mergeCell ref="AC398:AD398"/>
    <mergeCell ref="AE398:AF398"/>
    <mergeCell ref="AU397:AV397"/>
    <mergeCell ref="AW397:AX397"/>
    <mergeCell ref="AY397:AZ397"/>
    <mergeCell ref="BA397:BB397"/>
    <mergeCell ref="BC397:BD397"/>
    <mergeCell ref="BE397:BF397"/>
    <mergeCell ref="BG397:BH397"/>
    <mergeCell ref="E398:F398"/>
    <mergeCell ref="G398:H398"/>
    <mergeCell ref="I398:J398"/>
    <mergeCell ref="K398:L398"/>
    <mergeCell ref="M398:N398"/>
    <mergeCell ref="O398:P398"/>
    <mergeCell ref="Q398:R398"/>
    <mergeCell ref="O401:P401"/>
    <mergeCell ref="Q401:R401"/>
    <mergeCell ref="E402:F402"/>
    <mergeCell ref="G402:H402"/>
    <mergeCell ref="I402:J402"/>
    <mergeCell ref="K402:L402"/>
    <mergeCell ref="M402:N402"/>
    <mergeCell ref="O402:P402"/>
    <mergeCell ref="Q402:R402"/>
    <mergeCell ref="S402:T402"/>
    <mergeCell ref="U402:V402"/>
    <mergeCell ref="W402:X402"/>
    <mergeCell ref="Y402:Z402"/>
    <mergeCell ref="AA402:AB402"/>
    <mergeCell ref="AC402:AD402"/>
    <mergeCell ref="AE402:AF402"/>
    <mergeCell ref="AU401:AV401"/>
    <mergeCell ref="AW401:AX401"/>
    <mergeCell ref="AY401:AZ401"/>
    <mergeCell ref="BA401:BB401"/>
    <mergeCell ref="BC401:BD401"/>
    <mergeCell ref="BE401:BF401"/>
    <mergeCell ref="BG401:BH401"/>
    <mergeCell ref="AU398:AV398"/>
    <mergeCell ref="AW398:AX398"/>
    <mergeCell ref="AG398:AH398"/>
    <mergeCell ref="AI398:AJ398"/>
    <mergeCell ref="AK398:AL398"/>
    <mergeCell ref="AM398:AN398"/>
    <mergeCell ref="AO398:AP398"/>
    <mergeCell ref="AQ398:AR398"/>
    <mergeCell ref="AS398:AT398"/>
    <mergeCell ref="BM398:BN398"/>
    <mergeCell ref="AU400:AV400"/>
    <mergeCell ref="AW400:AX400"/>
    <mergeCell ref="AG400:AH400"/>
    <mergeCell ref="AI400:AJ400"/>
    <mergeCell ref="AK400:AL400"/>
    <mergeCell ref="AM400:AN400"/>
    <mergeCell ref="AO400:AP400"/>
    <mergeCell ref="AQ400:AR400"/>
    <mergeCell ref="AS400:AT400"/>
    <mergeCell ref="BM400:BN400"/>
    <mergeCell ref="AU402:AV402"/>
    <mergeCell ref="AW402:AX402"/>
    <mergeCell ref="AG402:AH402"/>
    <mergeCell ref="AI402:AJ402"/>
    <mergeCell ref="AK402:AL402"/>
    <mergeCell ref="AM402:AN402"/>
    <mergeCell ref="AO402:AP402"/>
    <mergeCell ref="AQ402:AR402"/>
    <mergeCell ref="AS402:AT402"/>
    <mergeCell ref="S396:T396"/>
    <mergeCell ref="U396:V396"/>
    <mergeCell ref="W396:X396"/>
    <mergeCell ref="Y396:Z396"/>
    <mergeCell ref="AA396:AB396"/>
    <mergeCell ref="AC396:AD396"/>
    <mergeCell ref="AE396:AF396"/>
    <mergeCell ref="AG396:AH396"/>
    <mergeCell ref="AI396:AJ396"/>
    <mergeCell ref="AK396:AL396"/>
    <mergeCell ref="AM396:AN396"/>
    <mergeCell ref="AO396:AP396"/>
    <mergeCell ref="AQ396:AR396"/>
    <mergeCell ref="AS396:AT396"/>
    <mergeCell ref="BI396:BJ396"/>
    <mergeCell ref="BK396:BL396"/>
    <mergeCell ref="BM396:BN396"/>
    <mergeCell ref="BO396:BP396"/>
    <mergeCell ref="AU396:AV396"/>
    <mergeCell ref="AW396:AX396"/>
    <mergeCell ref="AY396:AZ396"/>
    <mergeCell ref="BA396:BB396"/>
    <mergeCell ref="BC396:BD396"/>
    <mergeCell ref="BE396:BF396"/>
    <mergeCell ref="BG396:BH396"/>
    <mergeCell ref="E396:F396"/>
    <mergeCell ref="G396:H396"/>
    <mergeCell ref="I396:J396"/>
    <mergeCell ref="K396:L396"/>
    <mergeCell ref="M396:N396"/>
    <mergeCell ref="O396:P396"/>
    <mergeCell ref="Q396:R396"/>
    <mergeCell ref="BM402:BN402"/>
    <mergeCell ref="BO402:BP402"/>
    <mergeCell ref="AY402:AZ402"/>
    <mergeCell ref="BA402:BB402"/>
    <mergeCell ref="BC402:BD402"/>
    <mergeCell ref="BE402:BF402"/>
    <mergeCell ref="BG402:BH402"/>
    <mergeCell ref="BI402:BJ402"/>
    <mergeCell ref="BK402:BL402"/>
    <mergeCell ref="S401:T401"/>
    <mergeCell ref="U401:V401"/>
    <mergeCell ref="W401:X401"/>
    <mergeCell ref="Y401:Z401"/>
    <mergeCell ref="AA401:AB401"/>
    <mergeCell ref="AC401:AD401"/>
    <mergeCell ref="AE401:AF401"/>
    <mergeCell ref="AG401:AH401"/>
    <mergeCell ref="AI401:AJ401"/>
    <mergeCell ref="AK401:AL401"/>
    <mergeCell ref="AM401:AN401"/>
    <mergeCell ref="AO401:AP401"/>
    <mergeCell ref="AQ401:AR401"/>
    <mergeCell ref="AS401:AT401"/>
    <mergeCell ref="BI401:BJ401"/>
    <mergeCell ref="BK401:BL401"/>
    <mergeCell ref="BM401:BN401"/>
    <mergeCell ref="BO401:BP401"/>
    <mergeCell ref="E401:F401"/>
    <mergeCell ref="G401:H401"/>
    <mergeCell ref="I401:J401"/>
    <mergeCell ref="K401:L401"/>
    <mergeCell ref="M401:N401"/>
    <mergeCell ref="BO393:BP393"/>
    <mergeCell ref="AY393:AZ393"/>
    <mergeCell ref="BA393:BB393"/>
    <mergeCell ref="BC393:BD393"/>
    <mergeCell ref="BE393:BF393"/>
    <mergeCell ref="BG393:BH393"/>
    <mergeCell ref="BI393:BJ393"/>
    <mergeCell ref="BK393:BL393"/>
    <mergeCell ref="S392:T392"/>
    <mergeCell ref="U392:V392"/>
    <mergeCell ref="W392:X392"/>
    <mergeCell ref="Y392:Z392"/>
    <mergeCell ref="AA392:AB392"/>
    <mergeCell ref="AC392:AD392"/>
    <mergeCell ref="AE392:AF392"/>
    <mergeCell ref="AG392:AH392"/>
    <mergeCell ref="AI392:AJ392"/>
    <mergeCell ref="AK392:AL392"/>
    <mergeCell ref="AM392:AN392"/>
    <mergeCell ref="AO392:AP392"/>
    <mergeCell ref="AQ392:AR392"/>
    <mergeCell ref="AS392:AT392"/>
    <mergeCell ref="BI392:BJ392"/>
    <mergeCell ref="BK392:BL392"/>
    <mergeCell ref="BM392:BN392"/>
    <mergeCell ref="BO392:BP392"/>
    <mergeCell ref="E392:F392"/>
    <mergeCell ref="G392:H392"/>
    <mergeCell ref="I392:J392"/>
    <mergeCell ref="K392:L392"/>
    <mergeCell ref="M392:N392"/>
    <mergeCell ref="O392:P392"/>
    <mergeCell ref="Q392:R392"/>
    <mergeCell ref="S393:T393"/>
    <mergeCell ref="U393:V393"/>
    <mergeCell ref="W393:X393"/>
    <mergeCell ref="Y393:Z393"/>
    <mergeCell ref="AA393:AB393"/>
    <mergeCell ref="AC393:AD393"/>
    <mergeCell ref="AE393:AF393"/>
    <mergeCell ref="AU392:AV392"/>
    <mergeCell ref="AW392:AX392"/>
    <mergeCell ref="AY392:AZ392"/>
    <mergeCell ref="BA392:BB392"/>
    <mergeCell ref="BC392:BD392"/>
    <mergeCell ref="BE392:BF392"/>
    <mergeCell ref="BG392:BH392"/>
    <mergeCell ref="E393:F393"/>
    <mergeCell ref="G393:H393"/>
    <mergeCell ref="I393:J393"/>
    <mergeCell ref="K393:L393"/>
    <mergeCell ref="M393:N393"/>
    <mergeCell ref="O393:P393"/>
    <mergeCell ref="Q393:R393"/>
    <mergeCell ref="BO391:BP391"/>
    <mergeCell ref="AY391:AZ391"/>
    <mergeCell ref="BA391:BB391"/>
    <mergeCell ref="BC391:BD391"/>
    <mergeCell ref="BE391:BF391"/>
    <mergeCell ref="BG391:BH391"/>
    <mergeCell ref="BI391:BJ391"/>
    <mergeCell ref="BK391:BL391"/>
    <mergeCell ref="S390:T390"/>
    <mergeCell ref="U390:V390"/>
    <mergeCell ref="W390:X390"/>
    <mergeCell ref="Y390:Z390"/>
    <mergeCell ref="AA390:AB390"/>
    <mergeCell ref="AC390:AD390"/>
    <mergeCell ref="AE390:AF390"/>
    <mergeCell ref="AG390:AH390"/>
    <mergeCell ref="AI390:AJ390"/>
    <mergeCell ref="AK390:AL390"/>
    <mergeCell ref="AM390:AN390"/>
    <mergeCell ref="AO390:AP390"/>
    <mergeCell ref="AQ390:AR390"/>
    <mergeCell ref="AS390:AT390"/>
    <mergeCell ref="BI390:BJ390"/>
    <mergeCell ref="BK390:BL390"/>
    <mergeCell ref="BM390:BN390"/>
    <mergeCell ref="BO390:BP390"/>
    <mergeCell ref="E390:F390"/>
    <mergeCell ref="G390:H390"/>
    <mergeCell ref="I390:J390"/>
    <mergeCell ref="K390:L390"/>
    <mergeCell ref="M390:N390"/>
    <mergeCell ref="O390:P390"/>
    <mergeCell ref="Q390:R390"/>
    <mergeCell ref="S391:T391"/>
    <mergeCell ref="U391:V391"/>
    <mergeCell ref="W391:X391"/>
    <mergeCell ref="Y391:Z391"/>
    <mergeCell ref="AA391:AB391"/>
    <mergeCell ref="AC391:AD391"/>
    <mergeCell ref="AE391:AF391"/>
    <mergeCell ref="AU390:AV390"/>
    <mergeCell ref="AW390:AX390"/>
    <mergeCell ref="AY390:AZ390"/>
    <mergeCell ref="BA390:BB390"/>
    <mergeCell ref="BC390:BD390"/>
    <mergeCell ref="BE390:BF390"/>
    <mergeCell ref="BG390:BH390"/>
    <mergeCell ref="E391:F391"/>
    <mergeCell ref="G391:H391"/>
    <mergeCell ref="I391:J391"/>
    <mergeCell ref="K391:L391"/>
    <mergeCell ref="M391:N391"/>
    <mergeCell ref="O391:P391"/>
    <mergeCell ref="Q391:R391"/>
    <mergeCell ref="O394:P394"/>
    <mergeCell ref="Q394:R394"/>
    <mergeCell ref="E395:F395"/>
    <mergeCell ref="G395:H395"/>
    <mergeCell ref="I395:J395"/>
    <mergeCell ref="K395:L395"/>
    <mergeCell ref="M395:N395"/>
    <mergeCell ref="O395:P395"/>
    <mergeCell ref="Q395:R395"/>
    <mergeCell ref="S395:T395"/>
    <mergeCell ref="U395:V395"/>
    <mergeCell ref="W395:X395"/>
    <mergeCell ref="Y395:Z395"/>
    <mergeCell ref="AA395:AB395"/>
    <mergeCell ref="AC395:AD395"/>
    <mergeCell ref="AE395:AF395"/>
    <mergeCell ref="AU394:AV394"/>
    <mergeCell ref="AW394:AX394"/>
    <mergeCell ref="AY394:AZ394"/>
    <mergeCell ref="BA394:BB394"/>
    <mergeCell ref="BC394:BD394"/>
    <mergeCell ref="BE394:BF394"/>
    <mergeCell ref="BG394:BH394"/>
    <mergeCell ref="AU391:AV391"/>
    <mergeCell ref="AW391:AX391"/>
    <mergeCell ref="AG391:AH391"/>
    <mergeCell ref="AI391:AJ391"/>
    <mergeCell ref="AK391:AL391"/>
    <mergeCell ref="AM391:AN391"/>
    <mergeCell ref="AO391:AP391"/>
    <mergeCell ref="AQ391:AR391"/>
    <mergeCell ref="AS391:AT391"/>
    <mergeCell ref="BM391:BN391"/>
    <mergeCell ref="AU393:AV393"/>
    <mergeCell ref="AW393:AX393"/>
    <mergeCell ref="AG393:AH393"/>
    <mergeCell ref="AI393:AJ393"/>
    <mergeCell ref="AK393:AL393"/>
    <mergeCell ref="AM393:AN393"/>
    <mergeCell ref="AO393:AP393"/>
    <mergeCell ref="AQ393:AR393"/>
    <mergeCell ref="AS393:AT393"/>
    <mergeCell ref="BM393:BN393"/>
    <mergeCell ref="AU395:AV395"/>
    <mergeCell ref="AW395:AX395"/>
    <mergeCell ref="AG395:AH395"/>
    <mergeCell ref="AI395:AJ395"/>
    <mergeCell ref="AK395:AL395"/>
    <mergeCell ref="AM395:AN395"/>
    <mergeCell ref="AO395:AP395"/>
    <mergeCell ref="AQ395:AR395"/>
    <mergeCell ref="AS395:AT395"/>
    <mergeCell ref="S389:T389"/>
    <mergeCell ref="U389:V389"/>
    <mergeCell ref="W389:X389"/>
    <mergeCell ref="Y389:Z389"/>
    <mergeCell ref="AA389:AB389"/>
    <mergeCell ref="AC389:AD389"/>
    <mergeCell ref="AE389:AF389"/>
    <mergeCell ref="AG389:AH389"/>
    <mergeCell ref="AI389:AJ389"/>
    <mergeCell ref="AK389:AL389"/>
    <mergeCell ref="AM389:AN389"/>
    <mergeCell ref="AO389:AP389"/>
    <mergeCell ref="AQ389:AR389"/>
    <mergeCell ref="AS389:AT389"/>
    <mergeCell ref="BI389:BJ389"/>
    <mergeCell ref="BK389:BL389"/>
    <mergeCell ref="BM389:BN389"/>
    <mergeCell ref="BO389:BP389"/>
    <mergeCell ref="AU389:AV389"/>
    <mergeCell ref="AW389:AX389"/>
    <mergeCell ref="AY389:AZ389"/>
    <mergeCell ref="BA389:BB389"/>
    <mergeCell ref="BC389:BD389"/>
    <mergeCell ref="BE389:BF389"/>
    <mergeCell ref="BG389:BH389"/>
    <mergeCell ref="E389:F389"/>
    <mergeCell ref="G389:H389"/>
    <mergeCell ref="I389:J389"/>
    <mergeCell ref="K389:L389"/>
    <mergeCell ref="M389:N389"/>
    <mergeCell ref="O389:P389"/>
    <mergeCell ref="Q389:R389"/>
    <mergeCell ref="BM395:BN395"/>
    <mergeCell ref="BO395:BP395"/>
    <mergeCell ref="AY395:AZ395"/>
    <mergeCell ref="BA395:BB395"/>
    <mergeCell ref="BC395:BD395"/>
    <mergeCell ref="BE395:BF395"/>
    <mergeCell ref="BG395:BH395"/>
    <mergeCell ref="BI395:BJ395"/>
    <mergeCell ref="BK395:BL395"/>
    <mergeCell ref="S394:T394"/>
    <mergeCell ref="U394:V394"/>
    <mergeCell ref="W394:X394"/>
    <mergeCell ref="Y394:Z394"/>
    <mergeCell ref="AA394:AB394"/>
    <mergeCell ref="AC394:AD394"/>
    <mergeCell ref="AE394:AF394"/>
    <mergeCell ref="AG394:AH394"/>
    <mergeCell ref="AI394:AJ394"/>
    <mergeCell ref="AK394:AL394"/>
    <mergeCell ref="AM394:AN394"/>
    <mergeCell ref="AO394:AP394"/>
    <mergeCell ref="AQ394:AR394"/>
    <mergeCell ref="AS394:AT394"/>
    <mergeCell ref="BI394:BJ394"/>
    <mergeCell ref="BK394:BL394"/>
    <mergeCell ref="BM394:BN394"/>
    <mergeCell ref="BO394:BP394"/>
    <mergeCell ref="E394:F394"/>
    <mergeCell ref="G394:H394"/>
    <mergeCell ref="I394:J394"/>
    <mergeCell ref="K394:L394"/>
    <mergeCell ref="M394:N394"/>
    <mergeCell ref="BO386:BP386"/>
    <mergeCell ref="AY386:AZ386"/>
    <mergeCell ref="BA386:BB386"/>
    <mergeCell ref="BC386:BD386"/>
    <mergeCell ref="BE386:BF386"/>
    <mergeCell ref="BG386:BH386"/>
    <mergeCell ref="BI386:BJ386"/>
    <mergeCell ref="BK386:BL386"/>
    <mergeCell ref="S385:T385"/>
    <mergeCell ref="U385:V385"/>
    <mergeCell ref="W385:X385"/>
    <mergeCell ref="Y385:Z385"/>
    <mergeCell ref="AA385:AB385"/>
    <mergeCell ref="AC385:AD385"/>
    <mergeCell ref="AE385:AF385"/>
    <mergeCell ref="AG385:AH385"/>
    <mergeCell ref="AI385:AJ385"/>
    <mergeCell ref="AK385:AL385"/>
    <mergeCell ref="AM385:AN385"/>
    <mergeCell ref="AO385:AP385"/>
    <mergeCell ref="AQ385:AR385"/>
    <mergeCell ref="AS385:AT385"/>
    <mergeCell ref="BI385:BJ385"/>
    <mergeCell ref="BK385:BL385"/>
    <mergeCell ref="BM385:BN385"/>
    <mergeCell ref="BO385:BP385"/>
    <mergeCell ref="E385:F385"/>
    <mergeCell ref="G385:H385"/>
    <mergeCell ref="I385:J385"/>
    <mergeCell ref="K385:L385"/>
    <mergeCell ref="M385:N385"/>
    <mergeCell ref="O385:P385"/>
    <mergeCell ref="Q385:R385"/>
    <mergeCell ref="S386:T386"/>
    <mergeCell ref="U386:V386"/>
    <mergeCell ref="W386:X386"/>
    <mergeCell ref="Y386:Z386"/>
    <mergeCell ref="AA386:AB386"/>
    <mergeCell ref="AC386:AD386"/>
    <mergeCell ref="AE386:AF386"/>
    <mergeCell ref="AU385:AV385"/>
    <mergeCell ref="AW385:AX385"/>
    <mergeCell ref="AY385:AZ385"/>
    <mergeCell ref="BA385:BB385"/>
    <mergeCell ref="BC385:BD385"/>
    <mergeCell ref="BE385:BF385"/>
    <mergeCell ref="BG385:BH385"/>
    <mergeCell ref="E386:F386"/>
    <mergeCell ref="G386:H386"/>
    <mergeCell ref="I386:J386"/>
    <mergeCell ref="K386:L386"/>
    <mergeCell ref="M386:N386"/>
    <mergeCell ref="O386:P386"/>
    <mergeCell ref="Q386:R386"/>
    <mergeCell ref="BO384:BP384"/>
    <mergeCell ref="AY384:AZ384"/>
    <mergeCell ref="BA384:BB384"/>
    <mergeCell ref="BC384:BD384"/>
    <mergeCell ref="BE384:BF384"/>
    <mergeCell ref="BG384:BH384"/>
    <mergeCell ref="BI384:BJ384"/>
    <mergeCell ref="BK384:BL384"/>
    <mergeCell ref="S383:T383"/>
    <mergeCell ref="U383:V383"/>
    <mergeCell ref="W383:X383"/>
    <mergeCell ref="Y383:Z383"/>
    <mergeCell ref="AA383:AB383"/>
    <mergeCell ref="AC383:AD383"/>
    <mergeCell ref="AE383:AF383"/>
    <mergeCell ref="AG383:AH383"/>
    <mergeCell ref="AI383:AJ383"/>
    <mergeCell ref="AK383:AL383"/>
    <mergeCell ref="AM383:AN383"/>
    <mergeCell ref="AO383:AP383"/>
    <mergeCell ref="AQ383:AR383"/>
    <mergeCell ref="AS383:AT383"/>
    <mergeCell ref="BI383:BJ383"/>
    <mergeCell ref="BK383:BL383"/>
    <mergeCell ref="BM383:BN383"/>
    <mergeCell ref="BO383:BP383"/>
    <mergeCell ref="E383:F383"/>
    <mergeCell ref="G383:H383"/>
    <mergeCell ref="I383:J383"/>
    <mergeCell ref="K383:L383"/>
    <mergeCell ref="M383:N383"/>
    <mergeCell ref="O383:P383"/>
    <mergeCell ref="Q383:R383"/>
    <mergeCell ref="S384:T384"/>
    <mergeCell ref="U384:V384"/>
    <mergeCell ref="W384:X384"/>
    <mergeCell ref="Y384:Z384"/>
    <mergeCell ref="AA384:AB384"/>
    <mergeCell ref="AC384:AD384"/>
    <mergeCell ref="AE384:AF384"/>
    <mergeCell ref="AU383:AV383"/>
    <mergeCell ref="AW383:AX383"/>
    <mergeCell ref="AY383:AZ383"/>
    <mergeCell ref="BA383:BB383"/>
    <mergeCell ref="BC383:BD383"/>
    <mergeCell ref="BE383:BF383"/>
    <mergeCell ref="BG383:BH383"/>
    <mergeCell ref="E384:F384"/>
    <mergeCell ref="G384:H384"/>
    <mergeCell ref="I384:J384"/>
    <mergeCell ref="K384:L384"/>
    <mergeCell ref="M384:N384"/>
    <mergeCell ref="O384:P384"/>
    <mergeCell ref="Q384:R384"/>
    <mergeCell ref="O387:P387"/>
    <mergeCell ref="Q387:R387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AC388:AD388"/>
    <mergeCell ref="AE388:AF388"/>
    <mergeCell ref="AU387:AV387"/>
    <mergeCell ref="AW387:AX387"/>
    <mergeCell ref="AY387:AZ387"/>
    <mergeCell ref="BA387:BB387"/>
    <mergeCell ref="BC387:BD387"/>
    <mergeCell ref="BE387:BF387"/>
    <mergeCell ref="BG387:BH387"/>
    <mergeCell ref="AU384:AV384"/>
    <mergeCell ref="AW384:AX384"/>
    <mergeCell ref="AG384:AH384"/>
    <mergeCell ref="AI384:AJ384"/>
    <mergeCell ref="AK384:AL384"/>
    <mergeCell ref="AM384:AN384"/>
    <mergeCell ref="AO384:AP384"/>
    <mergeCell ref="AQ384:AR384"/>
    <mergeCell ref="AS384:AT384"/>
    <mergeCell ref="BM384:BN384"/>
    <mergeCell ref="AU386:AV386"/>
    <mergeCell ref="AW386:AX386"/>
    <mergeCell ref="AG386:AH386"/>
    <mergeCell ref="AI386:AJ386"/>
    <mergeCell ref="AK386:AL386"/>
    <mergeCell ref="AM386:AN386"/>
    <mergeCell ref="AO386:AP386"/>
    <mergeCell ref="AQ386:AR386"/>
    <mergeCell ref="AS386:AT386"/>
    <mergeCell ref="BM386:BN386"/>
    <mergeCell ref="AU388:AV388"/>
    <mergeCell ref="AW388:AX388"/>
    <mergeCell ref="AG388:AH388"/>
    <mergeCell ref="AI388:AJ388"/>
    <mergeCell ref="AK388:AL388"/>
    <mergeCell ref="AM388:AN388"/>
    <mergeCell ref="AO388:AP388"/>
    <mergeCell ref="AQ388:AR388"/>
    <mergeCell ref="AS388:AT388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I382:AJ382"/>
    <mergeCell ref="AK382:AL382"/>
    <mergeCell ref="AM382:AN382"/>
    <mergeCell ref="AO382:AP382"/>
    <mergeCell ref="AQ382:AR382"/>
    <mergeCell ref="AS382:AT382"/>
    <mergeCell ref="BI382:BJ382"/>
    <mergeCell ref="BK382:BL382"/>
    <mergeCell ref="BM382:BN382"/>
    <mergeCell ref="BO382:BP382"/>
    <mergeCell ref="AU382:AV382"/>
    <mergeCell ref="AW382:AX382"/>
    <mergeCell ref="AY382:AZ382"/>
    <mergeCell ref="BA382:BB382"/>
    <mergeCell ref="BC382:BD382"/>
    <mergeCell ref="BE382:BF382"/>
    <mergeCell ref="BG382:BH382"/>
    <mergeCell ref="E382:F382"/>
    <mergeCell ref="G382:H382"/>
    <mergeCell ref="I382:J382"/>
    <mergeCell ref="K382:L382"/>
    <mergeCell ref="M382:N382"/>
    <mergeCell ref="O382:P382"/>
    <mergeCell ref="Q382:R382"/>
    <mergeCell ref="BM388:BN388"/>
    <mergeCell ref="BO388:BP388"/>
    <mergeCell ref="AY388:AZ388"/>
    <mergeCell ref="BA388:BB388"/>
    <mergeCell ref="BC388:BD388"/>
    <mergeCell ref="BE388:BF388"/>
    <mergeCell ref="BG388:BH388"/>
    <mergeCell ref="BI388:BJ388"/>
    <mergeCell ref="BK388:BL388"/>
    <mergeCell ref="S387:T387"/>
    <mergeCell ref="U387:V387"/>
    <mergeCell ref="W387:X387"/>
    <mergeCell ref="Y387:Z387"/>
    <mergeCell ref="AA387:AB387"/>
    <mergeCell ref="AC387:AD387"/>
    <mergeCell ref="AE387:AF387"/>
    <mergeCell ref="AG387:AH387"/>
    <mergeCell ref="AI387:AJ387"/>
    <mergeCell ref="AK387:AL387"/>
    <mergeCell ref="AM387:AN387"/>
    <mergeCell ref="AO387:AP387"/>
    <mergeCell ref="AQ387:AR387"/>
    <mergeCell ref="AS387:AT387"/>
    <mergeCell ref="BI387:BJ387"/>
    <mergeCell ref="BK387:BL387"/>
    <mergeCell ref="BM387:BN387"/>
    <mergeCell ref="BO387:BP387"/>
    <mergeCell ref="E387:F387"/>
    <mergeCell ref="G387:H387"/>
    <mergeCell ref="I387:J387"/>
    <mergeCell ref="K387:L387"/>
    <mergeCell ref="M387:N387"/>
    <mergeCell ref="BM379:BN379"/>
    <mergeCell ref="BO379:BP379"/>
    <mergeCell ref="AY379:AZ379"/>
    <mergeCell ref="BA379:BB379"/>
    <mergeCell ref="BC379:BD379"/>
    <mergeCell ref="BE379:BF379"/>
    <mergeCell ref="BG379:BH379"/>
    <mergeCell ref="BI379:BJ379"/>
    <mergeCell ref="BK379:BL379"/>
    <mergeCell ref="S378:T378"/>
    <mergeCell ref="U378:V378"/>
    <mergeCell ref="W378:X378"/>
    <mergeCell ref="Y378:Z378"/>
    <mergeCell ref="AA378:AB378"/>
    <mergeCell ref="AC378:AD378"/>
    <mergeCell ref="AE378:AF378"/>
    <mergeCell ref="AG378:AH378"/>
    <mergeCell ref="AI378:AJ378"/>
    <mergeCell ref="AK378:AL378"/>
    <mergeCell ref="AM378:AN378"/>
    <mergeCell ref="AO378:AP378"/>
    <mergeCell ref="AQ378:AR378"/>
    <mergeCell ref="AS378:AT378"/>
    <mergeCell ref="BI378:BJ378"/>
    <mergeCell ref="BK378:BL378"/>
    <mergeCell ref="BM378:BN378"/>
    <mergeCell ref="BO378:BP378"/>
    <mergeCell ref="E378:F378"/>
    <mergeCell ref="G378:H378"/>
    <mergeCell ref="I378:J378"/>
    <mergeCell ref="K378:L378"/>
    <mergeCell ref="M378:N378"/>
    <mergeCell ref="O378:P378"/>
    <mergeCell ref="Q378:R378"/>
    <mergeCell ref="S379:T379"/>
    <mergeCell ref="U379:V379"/>
    <mergeCell ref="W379:X379"/>
    <mergeCell ref="Y379:Z379"/>
    <mergeCell ref="AA379:AB379"/>
    <mergeCell ref="AC379:AD379"/>
    <mergeCell ref="AE379:AF379"/>
    <mergeCell ref="AU378:AV378"/>
    <mergeCell ref="AW378:AX378"/>
    <mergeCell ref="AY378:AZ378"/>
    <mergeCell ref="BA378:BB378"/>
    <mergeCell ref="BC378:BD378"/>
    <mergeCell ref="BE378:BF378"/>
    <mergeCell ref="BG378:BH378"/>
    <mergeCell ref="E379:F379"/>
    <mergeCell ref="G379:H379"/>
    <mergeCell ref="I379:J379"/>
    <mergeCell ref="K379:L379"/>
    <mergeCell ref="M379:N379"/>
    <mergeCell ref="O379:P379"/>
    <mergeCell ref="Q379:R379"/>
    <mergeCell ref="E376:F376"/>
    <mergeCell ref="G376:H376"/>
    <mergeCell ref="I376:J376"/>
    <mergeCell ref="K376:L376"/>
    <mergeCell ref="M376:N376"/>
    <mergeCell ref="O376:P376"/>
    <mergeCell ref="Q376:R376"/>
    <mergeCell ref="S377:T377"/>
    <mergeCell ref="U377:V377"/>
    <mergeCell ref="W377:X377"/>
    <mergeCell ref="Y377:Z377"/>
    <mergeCell ref="AA377:AB377"/>
    <mergeCell ref="AC377:AD377"/>
    <mergeCell ref="AE377:AF377"/>
    <mergeCell ref="AU376:AV376"/>
    <mergeCell ref="AW376:AX376"/>
    <mergeCell ref="AY376:AZ376"/>
    <mergeCell ref="BA376:BB376"/>
    <mergeCell ref="BC376:BD376"/>
    <mergeCell ref="BE376:BF376"/>
    <mergeCell ref="BG376:BH376"/>
    <mergeCell ref="E377:F377"/>
    <mergeCell ref="G377:H377"/>
    <mergeCell ref="I377:J377"/>
    <mergeCell ref="K377:L377"/>
    <mergeCell ref="M377:N377"/>
    <mergeCell ref="O377:P377"/>
    <mergeCell ref="Q377:R377"/>
    <mergeCell ref="AU379:AV379"/>
    <mergeCell ref="AW379:AX379"/>
    <mergeCell ref="AG379:AH379"/>
    <mergeCell ref="AI379:AJ379"/>
    <mergeCell ref="AK379:AL379"/>
    <mergeCell ref="AM379:AN379"/>
    <mergeCell ref="AO379:AP379"/>
    <mergeCell ref="AQ379:AR379"/>
    <mergeCell ref="AS379:AT379"/>
    <mergeCell ref="AU377:AV377"/>
    <mergeCell ref="AW377:AX377"/>
    <mergeCell ref="AG377:AH377"/>
    <mergeCell ref="AI377:AJ377"/>
    <mergeCell ref="AK377:AL377"/>
    <mergeCell ref="AM377:AN377"/>
    <mergeCell ref="AO377:AP377"/>
    <mergeCell ref="AQ377:AR377"/>
    <mergeCell ref="AS377:AT377"/>
    <mergeCell ref="BM377:BN377"/>
    <mergeCell ref="BO377:BP377"/>
    <mergeCell ref="AY377:AZ377"/>
    <mergeCell ref="BA377:BB377"/>
    <mergeCell ref="BC377:BD377"/>
    <mergeCell ref="BE377:BF377"/>
    <mergeCell ref="BG377:BH377"/>
    <mergeCell ref="BI377:BJ377"/>
    <mergeCell ref="BK377:BL377"/>
    <mergeCell ref="S376:T376"/>
    <mergeCell ref="U376:V376"/>
    <mergeCell ref="W376:X376"/>
    <mergeCell ref="Y376:Z376"/>
    <mergeCell ref="AA376:AB376"/>
    <mergeCell ref="AC376:AD376"/>
    <mergeCell ref="AE376:AF376"/>
    <mergeCell ref="AG376:AH376"/>
    <mergeCell ref="AI376:AJ376"/>
    <mergeCell ref="AK376:AL376"/>
    <mergeCell ref="AM376:AN376"/>
    <mergeCell ref="AO376:AP376"/>
    <mergeCell ref="AQ376:AR376"/>
    <mergeCell ref="AS376:AT376"/>
    <mergeCell ref="BI376:BJ376"/>
    <mergeCell ref="BK376:BL376"/>
    <mergeCell ref="BM376:BN376"/>
    <mergeCell ref="BO376:BP376"/>
    <mergeCell ref="BM381:BN381"/>
    <mergeCell ref="BO381:BP381"/>
    <mergeCell ref="AY381:AZ381"/>
    <mergeCell ref="BA381:BB381"/>
    <mergeCell ref="BC381:BD381"/>
    <mergeCell ref="BE381:BF381"/>
    <mergeCell ref="BG381:BH381"/>
    <mergeCell ref="BI381:BJ381"/>
    <mergeCell ref="BK381:BL381"/>
    <mergeCell ref="S380:T380"/>
    <mergeCell ref="U380:V380"/>
    <mergeCell ref="W380:X380"/>
    <mergeCell ref="Y380:Z380"/>
    <mergeCell ref="AA380:AB380"/>
    <mergeCell ref="AC380:AD380"/>
    <mergeCell ref="AE380:AF380"/>
    <mergeCell ref="AG380:AH380"/>
    <mergeCell ref="AI380:AJ380"/>
    <mergeCell ref="AK380:AL380"/>
    <mergeCell ref="AM380:AN380"/>
    <mergeCell ref="AO380:AP380"/>
    <mergeCell ref="AQ380:AR380"/>
    <mergeCell ref="AS380:AT380"/>
    <mergeCell ref="BI380:BJ380"/>
    <mergeCell ref="BK380:BL380"/>
    <mergeCell ref="BM380:BN380"/>
    <mergeCell ref="BO380:BP380"/>
    <mergeCell ref="E380:F380"/>
    <mergeCell ref="G380:H380"/>
    <mergeCell ref="I380:J380"/>
    <mergeCell ref="K380:L380"/>
    <mergeCell ref="M380:N380"/>
    <mergeCell ref="O380:P380"/>
    <mergeCell ref="Q380:R380"/>
    <mergeCell ref="E381:F381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AA381:AB381"/>
    <mergeCell ref="AC381:AD381"/>
    <mergeCell ref="AE381:AF381"/>
    <mergeCell ref="AU380:AV380"/>
    <mergeCell ref="AW380:AX380"/>
    <mergeCell ref="AY380:AZ380"/>
    <mergeCell ref="BA380:BB380"/>
    <mergeCell ref="BC380:BD380"/>
    <mergeCell ref="BE380:BF380"/>
    <mergeCell ref="BG380:BH380"/>
    <mergeCell ref="AU381:AV381"/>
    <mergeCell ref="AW381:AX381"/>
    <mergeCell ref="AG381:AH381"/>
    <mergeCell ref="AI381:AJ381"/>
    <mergeCell ref="AK381:AL381"/>
    <mergeCell ref="AM381:AN381"/>
    <mergeCell ref="AO381:AP381"/>
    <mergeCell ref="AQ381:AR381"/>
    <mergeCell ref="AS381:AT381"/>
  </mergeCells>
  <phoneticPr fontId="31" type="noConversion"/>
  <conditionalFormatting sqref="B8:B154 B340:B349 B351:B352 B357:B370 B372:B377">
    <cfRule type="cellIs" dxfId="1" priority="1" operator="lessThan">
      <formula>d&gt;1</formula>
    </cfRule>
  </conditionalFormatting>
  <conditionalFormatting sqref="B8:B497">
    <cfRule type="containsBlanks" dxfId="0" priority="2">
      <formula>LEN(TRIM(B8))=0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26년 1월 유효회원</vt:lpstr>
      <vt:lpstr>26년 1월 출석표</vt:lpstr>
      <vt:lpstr>25년 12월 유효회원</vt:lpstr>
      <vt:lpstr>25년 12월 출석표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강희주</dc:creator>
  <cp:lastModifiedBy>강희주</cp:lastModifiedBy>
  <dcterms:created xsi:type="dcterms:W3CDTF">2026-01-15T00:01:14Z</dcterms:created>
  <dcterms:modified xsi:type="dcterms:W3CDTF">2026-01-15T00:01:14Z</dcterms:modified>
</cp:coreProperties>
</file>